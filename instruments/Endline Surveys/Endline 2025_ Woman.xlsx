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Q Numbers" sheetId="5" r:id="rId9"/>
    <sheet state="visible" name="help-choices" sheetId="6" r:id="rId10"/>
    <sheet state="visible" name="help-settings" sheetId="7" r:id="rId11"/>
  </sheets>
  <definedNames>
    <definedName hidden="1" localSheetId="0" name="_xlnm._FilterDatabase">survey!$A$1:$A$1353</definedName>
    <definedName hidden="1" localSheetId="4" name="_xlnm._FilterDatabase">'Q Numbers'!$A$1:$A$2836</definedName>
  </definedNames>
  <calcPr/>
</workbook>
</file>

<file path=xl/sharedStrings.xml><?xml version="1.0" encoding="utf-8"?>
<sst xmlns="http://schemas.openxmlformats.org/spreadsheetml/2006/main" count="11839" uniqueCount="6380">
  <si>
    <t>form_title</t>
  </si>
  <si>
    <t>list_name</t>
  </si>
  <si>
    <t>type</t>
  </si>
  <si>
    <t>form_id</t>
  </si>
  <si>
    <t>value</t>
  </si>
  <si>
    <t>The survey worksheet</t>
  </si>
  <si>
    <t>version</t>
  </si>
  <si>
    <t>label</t>
  </si>
  <si>
    <t>name</t>
  </si>
  <si>
    <t>label:french</t>
  </si>
  <si>
    <t>label:hausa</t>
  </si>
  <si>
    <t>image</t>
  </si>
  <si>
    <t>filter</t>
  </si>
  <si>
    <t>filter2</t>
  </si>
  <si>
    <t>public_key</t>
  </si>
  <si>
    <t>filter3</t>
  </si>
  <si>
    <t>submission_url</t>
  </si>
  <si>
    <t>filter4</t>
  </si>
  <si>
    <t>default_language</t>
  </si>
  <si>
    <t>hint</t>
  </si>
  <si>
    <t>hint:french</t>
  </si>
  <si>
    <t>hint:hausa</t>
  </si>
  <si>
    <t>default</t>
  </si>
  <si>
    <t>appearance</t>
  </si>
  <si>
    <t>constraint</t>
  </si>
  <si>
    <t>constraint message</t>
  </si>
  <si>
    <t>constraint message:french</t>
  </si>
  <si>
    <t>constraint message:hausa</t>
  </si>
  <si>
    <t>relevance</t>
  </si>
  <si>
    <t>disabled</t>
  </si>
  <si>
    <t>required</t>
  </si>
  <si>
    <t>required message</t>
  </si>
  <si>
    <t>read only</t>
  </si>
  <si>
    <t>calculation</t>
  </si>
  <si>
    <t>repeat_count</t>
  </si>
  <si>
    <t>Endline 2025 Woman</t>
  </si>
  <si>
    <t>yesno</t>
  </si>
  <si>
    <t>media:image</t>
  </si>
  <si>
    <t>media:audio</t>
  </si>
  <si>
    <t>media:video</t>
  </si>
  <si>
    <t>el_w_2025</t>
  </si>
  <si>
    <t>choice_filter</t>
  </si>
  <si>
    <t>note</t>
  </si>
  <si>
    <t>response_note</t>
  </si>
  <si>
    <t>publishable</t>
  </si>
  <si>
    <t>minimum_seconds</t>
  </si>
  <si>
    <t>This worksheet specifies all of the groups, questions, and other fields in your survey form, each in its own row. Aside from overall settings and lists of multiple-choice options, everything about your survey form is specified in this worksheet.</t>
  </si>
  <si>
    <t>Yes</t>
  </si>
  <si>
    <t>Oui</t>
  </si>
  <si>
    <t>ii</t>
  </si>
  <si>
    <t>start</t>
  </si>
  <si>
    <t>starttime</t>
  </si>
  <si>
    <t>Learn more about form definitions and field types</t>
  </si>
  <si>
    <t/>
  </si>
  <si>
    <t>english</t>
  </si>
  <si>
    <t>No</t>
  </si>
  <si>
    <t>Non</t>
  </si>
  <si>
    <t>a'a</t>
  </si>
  <si>
    <t>end</t>
  </si>
  <si>
    <t>endtime</t>
  </si>
  <si>
    <t>label:languagename</t>
  </si>
  <si>
    <t>hint:languagename</t>
  </si>
  <si>
    <t>constraint message:languagename</t>
  </si>
  <si>
    <t>required message:languagename</t>
  </si>
  <si>
    <t>deviceid</t>
  </si>
  <si>
    <t>media:image:languagename</t>
  </si>
  <si>
    <t>media:audio:languagename</t>
  </si>
  <si>
    <t>media:video:languagename</t>
  </si>
  <si>
    <t>round</t>
  </si>
  <si>
    <t>Round 3</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</si>
  <si>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</si>
  <si>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t>Tour 3</t>
  </si>
  <si>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</si>
  <si>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t>zagaye 3</t>
  </si>
  <si>
    <t>phonenumber</t>
  </si>
  <si>
    <t>devicephonenum</t>
  </si>
  <si>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</si>
  <si>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</si>
  <si>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</si>
  <si>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</si>
  <si>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</si>
  <si>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</si>
  <si>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</si>
  <si>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</si>
  <si>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</si>
  <si>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</si>
  <si>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t>Round 5</t>
  </si>
  <si>
    <t>username</t>
  </si>
  <si>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</si>
  <si>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t>Tour 5</t>
  </si>
  <si>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</si>
  <si>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zagaye 5</t>
  </si>
  <si>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</si>
  <si>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</si>
  <si>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</si>
  <si>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</si>
  <si>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</si>
  <si>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</si>
  <si>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</si>
  <si>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</si>
  <si>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</si>
  <si>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</si>
  <si>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</si>
  <si>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</si>
  <si>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</si>
  <si>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</si>
  <si>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</si>
  <si>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</si>
  <si>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calculate</t>
  </si>
  <si>
    <t>device_info</t>
  </si>
  <si>
    <t>Help topic: Form languages</t>
  </si>
  <si>
    <t>device-info()</t>
  </si>
  <si>
    <t>yesnodk</t>
  </si>
  <si>
    <t>duration</t>
  </si>
  <si>
    <t>Help topic: Pre-loading data into a form</t>
  </si>
  <si>
    <t>aa</t>
  </si>
  <si>
    <t>duration()</t>
  </si>
  <si>
    <t>Help topic: Using constraints to validate responses</t>
  </si>
  <si>
    <t>Help topic: Implementing skip patterns with "relevance"</t>
  </si>
  <si>
    <t>text audit</t>
  </si>
  <si>
    <t>Don't know</t>
  </si>
  <si>
    <t>Je ne sais pas</t>
  </si>
  <si>
    <t>text_audit</t>
  </si>
  <si>
    <t>Ban sani ba</t>
  </si>
  <si>
    <t>Question Durations</t>
  </si>
  <si>
    <t>Help topic: Other field properties</t>
  </si>
  <si>
    <t>Help topic: Field type: calculate</t>
  </si>
  <si>
    <t>intronote</t>
  </si>
  <si>
    <t>Help topic: Grouping and repeating questions</t>
  </si>
  <si>
    <t>1. Endline Survey</t>
  </si>
  <si>
    <t xml:space="preserve">1. </t>
  </si>
  <si>
    <t>intro</t>
  </si>
  <si>
    <t>Help topic: Images: Adding pictures and other graphics</t>
  </si>
  <si>
    <t>team</t>
  </si>
  <si>
    <t>team_id</t>
  </si>
  <si>
    <t>team_leader</t>
  </si>
  <si>
    <t>Help topic: Dynamically filtering lists of multiple-choice options</t>
  </si>
  <si>
    <t>Help topic: Downloading printable copies of your forms</t>
  </si>
  <si>
    <t>Help topic: Encrypting form data (end-to-end encryption)</t>
  </si>
  <si>
    <t>calculate_here</t>
  </si>
  <si>
    <t>enum</t>
  </si>
  <si>
    <t>speedcheck_intro_start</t>
  </si>
  <si>
    <t>enum_id</t>
  </si>
  <si>
    <t>enum_name</t>
  </si>
  <si>
    <t>Help topic: Collecting high-quality data</t>
  </si>
  <si>
    <t>once(duration())</t>
  </si>
  <si>
    <r>
      <rPr>
        <rFont val="Calibri"/>
        <color rgb="FF000000"/>
        <sz val="12.0"/>
        <u/>
      </rPr>
      <t>Examples</t>
    </r>
    <r>
      <rPr>
        <rFont val="Calibri"/>
        <color rgb="FF000000"/>
        <sz val="12.0"/>
        <u/>
      </rPr>
      <t xml:space="preserve"> (scroll right for appearance styles)</t>
    </r>
  </si>
  <si>
    <t>commune</t>
  </si>
  <si>
    <t>commune_id</t>
  </si>
  <si>
    <t>commune_name</t>
  </si>
  <si>
    <t>begin group</t>
  </si>
  <si>
    <t>enum_questions</t>
  </si>
  <si>
    <t>Enumerator Questions</t>
  </si>
  <si>
    <t>locality</t>
  </si>
  <si>
    <t>vn</t>
  </si>
  <si>
    <t>locality_name</t>
  </si>
  <si>
    <t>select_one team</t>
  </si>
  <si>
    <t>enumerator</t>
  </si>
  <si>
    <t>2. Who is your team leader?</t>
  </si>
  <si>
    <t>2. Qui est votre chef d'équipe?</t>
  </si>
  <si>
    <t>2. Wanene shugaban tahiyar ku ?</t>
  </si>
  <si>
    <t>fieldname</t>
  </si>
  <si>
    <t>search('teams_el')</t>
  </si>
  <si>
    <t>Enumerator selection field (require a special code in order to reveal the full enumerator list):</t>
  </si>
  <si>
    <t>other-user-code(xyz)</t>
  </si>
  <si>
    <t>respondent</t>
  </si>
  <si>
    <t>yes</t>
  </si>
  <si>
    <t>PM - ${pm_name} (age: ${pm_age})</t>
  </si>
  <si>
    <t>PM - ${pm_name}</t>
  </si>
  <si>
    <t>select_one enum</t>
  </si>
  <si>
    <t>Enumerator selection field (require a special code in order to enter a new enumerator):</t>
  </si>
  <si>
    <t>3. What is your name?</t>
  </si>
  <si>
    <t>3. Quel est votre nom?</t>
  </si>
  <si>
    <t>3. Menene sunanka?</t>
  </si>
  <si>
    <t>add-new-code(xyz)</t>
  </si>
  <si>
    <t>search('teams_el', 'matches', 'team_id', ${team_leader})</t>
  </si>
  <si>
    <t>SHM - ${shm_name} (age: ${shm_age})</t>
  </si>
  <si>
    <t>SHM - ${shm_name}</t>
  </si>
  <si>
    <t>2. What round is this?</t>
  </si>
  <si>
    <t>2. quel tour est-ce ?</t>
  </si>
  <si>
    <t>2. Wane kewaye ne?</t>
  </si>
  <si>
    <t>3. Who is your team leader?</t>
  </si>
  <si>
    <t>3. Qui est votre chef d'équipe?</t>
  </si>
  <si>
    <t>3. Wanene shugaban tahiyar ku ?</t>
  </si>
  <si>
    <t>enumerator_name</t>
  </si>
  <si>
    <t>CALC: Pull enumerator name</t>
  </si>
  <si>
    <t>Woman - ${w_name} (age: ${w_age})</t>
  </si>
  <si>
    <t>Enumerator selection field:</t>
  </si>
  <si>
    <t>pulldata('teams_el', 'enum_name', 'enum_id', ${enumerator})</t>
  </si>
  <si>
    <t>4. What is your name?</t>
  </si>
  <si>
    <t>4. Quel est votre nom?</t>
  </si>
  <si>
    <t>4. Menene sunanka?</t>
  </si>
  <si>
    <t>default-to-entry</t>
  </si>
  <si>
    <t>enumerator_partner</t>
  </si>
  <si>
    <t>4. What is your partner's name?</t>
  </si>
  <si>
    <t>4. Quel est le nom de votre binôme?</t>
  </si>
  <si>
    <t>4. Menene sunan abokin aikinka</t>
  </si>
  <si>
    <t>5. What is your partner's name?</t>
  </si>
  <si>
    <t>5. Quel est le nom de votre binôme?</t>
  </si>
  <si>
    <t>5. Menene sunan abokin aikinka</t>
  </si>
  <si>
    <t>None</t>
  </si>
  <si>
    <t>Aucun</t>
  </si>
  <si>
    <t>Babu</t>
  </si>
  <si>
    <t>enumerator_partner_name</t>
  </si>
  <si>
    <t>default-to-scan</t>
  </si>
  <si>
    <t>select_one commune</t>
  </si>
  <si>
    <t>6. What commune are you surveying in?</t>
  </si>
  <si>
    <t>6. Quelle est votre commune de travail ?</t>
  </si>
  <si>
    <t>6. Cikin wane komin kake aiki?</t>
  </si>
  <si>
    <t>resp</t>
  </si>
  <si>
    <t>${pm_name} (age: ${pm_age})</t>
  </si>
  <si>
    <t>CALC: Pull commune name</t>
  </si>
  <si>
    <t>${pm_name}</t>
  </si>
  <si>
    <t>pulldata('teams_el', 'enum_name', 'enum_id', ${enumerator_partner})</t>
  </si>
  <si>
    <t>text</t>
  </si>
  <si>
    <t>Standard text field:</t>
  </si>
  <si>
    <t>pm_home_location</t>
  </si>
  <si>
    <t>5. What commune are you surveying in?</t>
  </si>
  <si>
    <t>5. Quelle est votre commune de travail ?</t>
  </si>
  <si>
    <t>5. Cikin wane komin kake aiki?</t>
  </si>
  <si>
    <t>${shm_name} (age: ${shm_age})</t>
  </si>
  <si>
    <t>${shm_name}</t>
  </si>
  <si>
    <t>select_one locality</t>
  </si>
  <si>
    <t>search('locations')</t>
  </si>
  <si>
    <t>7. What village/neighborhood are you surveying in?</t>
  </si>
  <si>
    <t>7. Dans quelle ville/village faites-vous votre enquête ?</t>
  </si>
  <si>
    <t>7. Cikin wane gari kake binciken?</t>
  </si>
  <si>
    <t>Text field which uses the numeric keypad:</t>
  </si>
  <si>
    <t>CALC: Pull locality name</t>
  </si>
  <si>
    <t>numbers</t>
  </si>
  <si>
    <t>id</t>
  </si>
  <si>
    <t>id_key</t>
  </si>
  <si>
    <t>hh_id</t>
  </si>
  <si>
    <t>village_id</t>
  </si>
  <si>
    <t>pulldata('locations', 'commune_name', 'commune_id', ${commune})</t>
  </si>
  <si>
    <t>id_startswith</t>
  </si>
  <si>
    <t>end group</t>
  </si>
  <si>
    <t>integer</t>
  </si>
  <si>
    <t>period_bl</t>
  </si>
  <si>
    <t>sex</t>
  </si>
  <si>
    <t>period_french_bl</t>
  </si>
  <si>
    <t>period_hausa_bl</t>
  </si>
  <si>
    <t>period_bl_fu5</t>
  </si>
  <si>
    <t>${commune_name}</t>
  </si>
  <si>
    <t>Standard integer field:</t>
  </si>
  <si>
    <t>Male</t>
  </si>
  <si>
    <t>Homme</t>
  </si>
  <si>
    <t>8. Select the Household ID number:</t>
  </si>
  <si>
    <t xml:space="preserve">8. </t>
  </si>
  <si>
    <t>Namiji</t>
  </si>
  <si>
    <t>period_french_bl_fu5</t>
  </si>
  <si>
    <t>8. Sélectionnez le numéro d'identification du ménage :</t>
  </si>
  <si>
    <t>8. Zaɓi lambar ID na Gida:</t>
  </si>
  <si>
    <t>period_hausa_bl_fu5</t>
  </si>
  <si>
    <t>period</t>
  </si>
  <si>
    <t>Female</t>
  </si>
  <si>
    <t>Femme</t>
  </si>
  <si>
    <t>pulldata('locations', 'commune_id', 'commune_name', ${commune_name})</t>
  </si>
  <si>
    <t>Mace</t>
  </si>
  <si>
    <t>decimal</t>
  </si>
  <si>
    <t>period_french</t>
  </si>
  <si>
    <t>period_hausa</t>
  </si>
  <si>
    <t>select_one id</t>
  </si>
  <si>
    <t>Standard decimal field:</t>
  </si>
  <si>
    <t>6. What village/neighborhood are you surveying in?</t>
  </si>
  <si>
    <t>6. Dans quelle ville/village faites-vous votre enquête ?</t>
  </si>
  <si>
    <t>6. Cikin wane gari kake binciken?</t>
  </si>
  <si>
    <t>search('locations', 'matches', 'commune_id', ${commune})</t>
  </si>
  <si>
    <t>relation</t>
  </si>
  <si>
    <t>Household head</t>
  </si>
  <si>
    <t>Chef de menage</t>
  </si>
  <si>
    <t>Mai gida</t>
  </si>
  <si>
    <t>phase</t>
  </si>
  <si>
    <t>pm_name</t>
  </si>
  <si>
    <t>select_one listname</t>
  </si>
  <si>
    <t>Standard multiple-choice field (allows one selection, shown as series of radio buttons):</t>
  </si>
  <si>
    <t>shm_name</t>
  </si>
  <si>
    <t>w_name</t>
  </si>
  <si>
    <t>pulldata('locations', 'locality_name', 'vn', ${locality})</t>
  </si>
  <si>
    <t>pm_age</t>
  </si>
  <si>
    <t>Spouse</t>
  </si>
  <si>
    <t>shm_age</t>
  </si>
  <si>
    <t>Conjoint</t>
  </si>
  <si>
    <t>Uwar gida/ Mata</t>
  </si>
  <si>
    <t>w_age</t>
  </si>
  <si>
    <t>pm_hoh</t>
  </si>
  <si>
    <t>9. There are no women to survey in this HH. Complete the PM and the SHM survey, if not complete already.</t>
  </si>
  <si>
    <t>Son/daughter</t>
  </si>
  <si>
    <t>Multiple-choice field (allows one selection, shown horizontally along likert-type scale):</t>
  </si>
  <si>
    <t xml:space="preserve">9. </t>
  </si>
  <si>
    <t>Fils/fille</t>
  </si>
  <si>
    <t>Ɗa/ɗiya</t>
  </si>
  <si>
    <t>shm_hoh</t>
  </si>
  <si>
    <t>pulldata('locations', 'village_id', 'vn', ${locality})</t>
  </si>
  <si>
    <t>likert</t>
  </si>
  <si>
    <t>Father/mother</t>
  </si>
  <si>
    <t>Père/mère</t>
  </si>
  <si>
    <t>Uwa/uba</t>
  </si>
  <si>
    <t>w_hoh</t>
  </si>
  <si>
    <t>Multiple-choice field (allows one selection, shown horizontally along likert-type scale, labels only at ends of the scale):</t>
  </si>
  <si>
    <t>10. You indicated that you are attempting to interview ${w_name} (age: ${w_age}). Is that correct?</t>
  </si>
  <si>
    <t xml:space="preserve">10. </t>
  </si>
  <si>
    <t>concat(${commune_id}, '-', ${village_id})</t>
  </si>
  <si>
    <t>w_shm</t>
  </si>
  <si>
    <t>likert-min</t>
  </si>
  <si>
    <t>Brother/sister</t>
  </si>
  <si>
    <t>Frère/sœur</t>
  </si>
  <si>
    <t>Wa/ƙane/Ya/ƙanwa</t>
  </si>
  <si>
    <t>10. Vous avez indiqué que vous tentez d'interroger ${w_name} (âge : ${w_age}). Est-ce exact ?</t>
  </si>
  <si>
    <t>10. Kun nuna cewa kuna ƙoƙarin yin hira da ${w_name} (shekaru: ${w_age}). Shin hakan daidai ne?</t>
  </si>
  <si>
    <t>treatment</t>
  </si>
  <si>
    <t>11. Who are you trying to interview? Here are the other respondents in this household:</t>
  </si>
  <si>
    <t>11. Qui essayez-vous d’interroger ? Voici les autres répondants de ce foyer :</t>
  </si>
  <si>
    <t>11. Wanene kuke ƙoƙarin yin hira da shi ? Ga sauran masu bada amsa a wannan gidan:</t>
  </si>
  <si>
    <t>treatment_cfa</t>
  </si>
  <si>
    <t>Nephew/niece</t>
  </si>
  <si>
    <t>Neveu/nièce</t>
  </si>
  <si>
    <t>Ɗan ƙane ko wa/Ɗiyar ƙane ko wa</t>
  </si>
  <si>
    <t>Multiple-choice field (allows one selection, shown horizontally along likert-type scale, labels only at ends and middle of scale):</t>
  </si>
  <si>
    <t>12. End of survey. Please return and fill out the PM survey to collect survey responses.</t>
  </si>
  <si>
    <t>12. Fin de l'enquête. Veuillez revenir et remplir l'enquête PM pour recueillir les réponses aux questions.</t>
  </si>
  <si>
    <t>12. Ƙarshen binciken kenan. Da fatan za a dawo a cika binciken PM don tattara amsoshin binciken.</t>
  </si>
  <si>
    <t>note_no_woman</t>
  </si>
  <si>
    <t>9. Il n'y a aucune femme à enquêter dans ce ménage. Remplissez l'enquête PM et SHM, si ce n'est pas déjà fait.</t>
  </si>
  <si>
    <t>likert-mid</t>
  </si>
  <si>
    <t>9. Babu mata da za su bada amsa a wannan gidan. Kammala da binciken PM da SHM, idan ba a gama ba tun tuni.</t>
  </si>
  <si>
    <t>Grand-parent</t>
  </si>
  <si>
    <t>Kaka</t>
  </si>
  <si>
    <t>hh_has_woman</t>
  </si>
  <si>
    <t>Father/mother-in-law</t>
  </si>
  <si>
    <t>HH has woman to survey</t>
  </si>
  <si>
    <t>Beau-père/ belle-mère</t>
  </si>
  <si>
    <t>Siriki/sarakuwa</t>
  </si>
  <si>
    <t>Multiple-choice field (allows one selection, auto-advances to next question as soon as an option is selected):</t>
  </si>
  <si>
    <t>quick</t>
  </si>
  <si>
    <t>Brother in law/Sister in law</t>
  </si>
  <si>
    <t>Beau-frère/belle-sœur</t>
  </si>
  <si>
    <t>ƙane ko wan mata/ƙanwa ko yar mata</t>
  </si>
  <si>
    <t>select_one yesno</t>
  </si>
  <si>
    <t>resp_confirm</t>
  </si>
  <si>
    <t>Son/daughter-in-law</t>
  </si>
  <si>
    <t>Beau fils / belle-fille</t>
  </si>
  <si>
    <t>Mijin ɗiya/matar ɗa</t>
  </si>
  <si>
    <t>select_one resp</t>
  </si>
  <si>
    <t>resp_interview</t>
  </si>
  <si>
    <t>Multiple-choice field (allows one selection, shown as a drop-down selector):</t>
  </si>
  <si>
    <t>minimal</t>
  </si>
  <si>
    <t>Grandchildren</t>
  </si>
  <si>
    <t>Petits-enfants</t>
  </si>
  <si>
    <t>Jikoki</t>
  </si>
  <si>
    <t>resp_pm</t>
  </si>
  <si>
    <t>Cousin</t>
  </si>
  <si>
    <t>Cousin/Cousine</t>
  </si>
  <si>
    <t>Dan/ Wa/Kanen uba</t>
  </si>
  <si>
    <t>"From baseline (April 2023) to endline (June 2025)"</t>
  </si>
  <si>
    <t>resp_shm</t>
  </si>
  <si>
    <t>13. End of survey. Please return and fill out the SHM survey to collect survey responses.</t>
  </si>
  <si>
    <t>13. Fin de l'enquête. Veuillez revenir et remplir l'enquête du SHM pour recueillir les réponses aux questions.</t>
  </si>
  <si>
    <t>Multiple-choice field (allows one selection, shown as a compact table of options):</t>
  </si>
  <si>
    <t>13. Ƙarshen binciken kenan. Da fatan za a dawo baya a cika binciken SHM don tattara amsoshin binciken.</t>
  </si>
  <si>
    <t>compact</t>
  </si>
  <si>
    <t>Co-spouse</t>
  </si>
  <si>
    <t>Co-épouse</t>
  </si>
  <si>
    <t>w_shm_note</t>
  </si>
  <si>
    <t>Kishiya</t>
  </si>
  <si>
    <t>14. End of survey. The woman respondent is the Secondary HH member. Please return and fill out the SHM survey to collect survey responses.</t>
  </si>
  <si>
    <t>14. Fin de l'enquête. La femme interrogée est le second membre du ménage. Veuillez revenir en arrière et remplir l'enquête du SHM pour recueillir les réponses aux questions.</t>
  </si>
  <si>
    <t>14. Ƙarshen binciken kenan. Matar da ta bada amsa ita ce memba na biyu a gidan. Da fatan za a dawo a cika binciken SHM don tattara amsoshin tambayoyin.</t>
  </si>
  <si>
    <t>"Du debut des vents de l'ouest d'il y a 2 ans (avril 2023) au début de la saison des pluies de cette année (juin 2025)"</t>
  </si>
  <si>
    <t>resp_available</t>
  </si>
  <si>
    <t>15. Is ${w_name} available to be interviewed?</t>
  </si>
  <si>
    <t>15. Est-ce que ${w_name} est disponible pour être interviewé ?</t>
  </si>
  <si>
    <t>15. Ko ${w_name} yana da damar yin hira mu?</t>
  </si>
  <si>
    <t>Multiple-choice field (allows one selection, shown as a compact table of options with exactly three columns):</t>
  </si>
  <si>
    <t>No family relation</t>
  </si>
  <si>
    <t>Aucun lien de parenté</t>
  </si>
  <si>
    <t>Babu dangantaka</t>
  </si>
  <si>
    <t>compact-3</t>
  </si>
  <si>
    <t>select_one unavail_why</t>
  </si>
  <si>
    <t>resp_available_why</t>
  </si>
  <si>
    <t>16. Enumerator: Please specify why ${w_name} is not available right now:</t>
  </si>
  <si>
    <t>16. Enqueteur: veuillez specifier pourquoi ${w_name} n'est pas disponible maintenant</t>
  </si>
  <si>
    <t>16. Dan binkike: dan mine ${w_name} bai nan a yanzu</t>
  </si>
  <si>
    <t>"Tun daga binciken fari na bara a ƙarshen damana zuwa yanzu."</t>
  </si>
  <si>
    <t>resp_available_why_o</t>
  </si>
  <si>
    <t>call</t>
  </si>
  <si>
    <t>17. Other, specify:</t>
  </si>
  <si>
    <t>17. Autre précisez:</t>
  </si>
  <si>
    <t>17. Sauran, bayar da cikakkun bayanai:</t>
  </si>
  <si>
    <t>Phone did not ring</t>
  </si>
  <si>
    <t>Le téléphone n'a pas sonné</t>
  </si>
  <si>
    <t>Waya ba ta yi ƙara ba</t>
  </si>
  <si>
    <t>Multiple-choice field (allows one selection, shown as a compact table of options, auto-advances to next question as soon as an option is selected):</t>
  </si>
  <si>
    <t>quickcompact</t>
  </si>
  <si>
    <t>"From baseline (April 2023) to follow up 5 (December 2024)"</t>
  </si>
  <si>
    <t>17. Where is ${pm_name} living right now?
Enumerator: Is location in Niger?</t>
  </si>
  <si>
    <t>17. Où est ${pm_name} en ce moment?
 Énquêteur: le lieu est-il au Niger?</t>
  </si>
  <si>
    <t>17. Ina ${pm_name} yake a yanzu?
 Dan bincike: Ko wurin a Nijar ne?</t>
  </si>
  <si>
    <t>Phone rang but no one picked up</t>
  </si>
  <si>
    <t>consent</t>
  </si>
  <si>
    <t>Le téléphone a sonné mais personne n'a décroché</t>
  </si>
  <si>
    <t>Waya tayi ƙara amma babu wanda ya dauka</t>
  </si>
  <si>
    <t>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</si>
  <si>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</si>
  <si>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</si>
  <si>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Phone rang and was answered</t>
  </si>
  <si>
    <t>Le téléphone a sonné et on a répondu</t>
  </si>
  <si>
    <t>Waya tayi kara kuma an amsa</t>
  </si>
  <si>
    <t>Multiple-choice field (allows one selection, shown as a compact table of options with exactly three columns, auto-advances to next question as soon as an option is selected):</t>
  </si>
  <si>
    <t>"Du debut des vents de l'ouest d'il y a 2 ans (avril 2023) à la période de froid de l'année dernière (décembre 2024)"</t>
  </si>
  <si>
    <t>quickcompact-3</t>
  </si>
  <si>
    <t>speedcheck_intro_end</t>
  </si>
  <si>
    <t>dur_intro</t>
  </si>
  <si>
    <t>Multiple-choice field (allows one selection, loads options from pre-loaded .csv file, includes options based on a "contains" comparison):</t>
  </si>
  <si>
    <t>"Tun daga bazara na shekaru biyu wuce (Afrilu 2023) zuwa lokacin ɗari na bara (Disamba 2024)"</t>
  </si>
  <si>
    <t>search('hhplotdata', 'contains', 'respondentname', ${nametofind})</t>
  </si>
  <si>
    <t>18. Before we begin, I would like to ask you about the locations of other respondents of this household</t>
  </si>
  <si>
    <t xml:space="preserve">18. </t>
  </si>
  <si>
    <t>consented</t>
  </si>
  <si>
    <t>Consent: Yes</t>
  </si>
  <si>
    <t>contact_relation</t>
  </si>
  <si>
    <t>Spouse/partner</t>
  </si>
  <si>
    <t>Conjoint/partenaire</t>
  </si>
  <si>
    <t>Miji/mace/</t>
  </si>
  <si>
    <t>form_questions</t>
  </si>
  <si>
    <t>Multiple-choice field (allows one selection, loads options from pre-loaded .csv file, includes options based on a "starts with" comparison):</t>
  </si>
  <si>
    <t>Child</t>
  </si>
  <si>
    <t>"From follow up 5 (December 2024) to endline (June 2025)"</t>
  </si>
  <si>
    <t>search('hhplotdata', 'startswith', 'respondentname', ${nameprefix})</t>
  </si>
  <si>
    <t>Enfant</t>
  </si>
  <si>
    <t>Yaro</t>
  </si>
  <si>
    <t>20. Where is ${pm_name} living right now?
Enumerator: Is location in Niger?</t>
  </si>
  <si>
    <t>20. Où est ${pm_name} en ce moment?
 Énquêteur: le lieu est-il au Niger?</t>
  </si>
  <si>
    <t>20. Ina ${pm_name} yake a yanzu?
 Dan bincike: Ko wurin a Nijar ne?</t>
  </si>
  <si>
    <t>speedcheck_w_start</t>
  </si>
  <si>
    <t>Parent</t>
  </si>
  <si>
    <t>21. Enumerator: Select region in Niger</t>
  </si>
  <si>
    <t>Uwa</t>
  </si>
  <si>
    <t>21. Enquêteur : Sélectionnez une région au Niger</t>
  </si>
  <si>
    <t>21. Ɗan bincike: Zaɓi Jaha ɗaya a Nijar</t>
  </si>
  <si>
    <t>w_questions</t>
  </si>
  <si>
    <t>Woman Questionnaire</t>
  </si>
  <si>
    <t>Sibling</t>
  </si>
  <si>
    <t>Frère et sœur</t>
  </si>
  <si>
    <t>Multiple-choice field (allows one selection, loads options from pre-loaded .csv file, includes options based on an "ends with" comparison):</t>
  </si>
  <si>
    <t>22. Enumerator: Select country</t>
  </si>
  <si>
    <t>Ɗan uwa/ƴar uwa</t>
  </si>
  <si>
    <t>22. Enquêteur : sélectionnez le pays</t>
  </si>
  <si>
    <t>22. Ɗan bincike: Zaɓi ƙasa</t>
  </si>
  <si>
    <t>"De la période de froid (décembre 2024) au début de la saison des pluies de cette année (juin 2025)"</t>
  </si>
  <si>
    <t>search('hhplotdata', 'endswith', 'respondentname', ${namesuffix})</t>
  </si>
  <si>
    <t>w_note</t>
  </si>
  <si>
    <t>19. Woman Questions</t>
  </si>
  <si>
    <t>19. Questions de la femme</t>
  </si>
  <si>
    <t>19. Tambayoyin Mata</t>
  </si>
  <si>
    <t>Member of spouse's family</t>
  </si>
  <si>
    <t>Membre de la famille du conjoint</t>
  </si>
  <si>
    <t>Dan gidan aure</t>
  </si>
  <si>
    <t>"Tun daga lokacin ɗari na bara (Disamba 2024) zuwa shigowar damana na bana (Yuni 2025)"</t>
  </si>
  <si>
    <t>Other family member</t>
  </si>
  <si>
    <t>Autre membre de la famille</t>
  </si>
  <si>
    <t>Wani dan uwa</t>
  </si>
  <si>
    <t>Multiple-choice field (allows one selection, loads options from pre-loaded .csv file, includes options based on an "exact match" comparison):</t>
  </si>
  <si>
    <t>speedcheck_w_loc_start</t>
  </si>
  <si>
    <t>7. Select the Household ID number:</t>
  </si>
  <si>
    <t>7. Sélectionnez le numéro d'identification du ménage :</t>
  </si>
  <si>
    <t>7. Zaɓi lambar ID na Gida:</t>
  </si>
  <si>
    <t>Enumerator: if you can't find the Household ID in the given list, please double check your entries for the commune and village name in the previous page.</t>
  </si>
  <si>
    <t>Agent enquêteur : si vous ne trouvez pas l'identifiant du ménage sur la liste donnée, veuillez vérifier vos entrées pour le nom de la commune et du village sur la page précédente.</t>
  </si>
  <si>
    <t>search('hhplotdata', 'matches', 'respondentname', ${nametofind})</t>
  </si>
  <si>
    <t>24. Enumerator: Select town</t>
  </si>
  <si>
    <t>Friend</t>
  </si>
  <si>
    <t>Mai bincike: idan ba ka samu ID na Gidan a cikin jerin sunayen da aka bayar ba, to ka sake duba sunan komin da sunan garin a cikin shafin da ya gabata.</t>
  </si>
  <si>
    <t>Ami</t>
  </si>
  <si>
    <t>24. Enquêteur : Sélectionnez la ville</t>
  </si>
  <si>
    <t>24. Ɗan bincike: Zaɓi gari</t>
  </si>
  <si>
    <t>Aboki</t>
  </si>
  <si>
    <t>search('baseline_ids_el', 'startswith', 'hh_id', ${id_startswith})</t>
  </si>
  <si>
    <t>w_resp_location</t>
  </si>
  <si>
    <t>20. Before we begin, I would like to ask you about the locations of other respondents of this household</t>
  </si>
  <si>
    <t>20. Avant de commencer, j'aimerais vous poser des questions sur l'endroit où vivent les autres répondants de ce ménage.</t>
  </si>
  <si>
    <t>20. Kafin mu fara, Ina so in tambaye ku game da inda sauran masu bada amsan wannan gidan suke</t>
  </si>
  <si>
    <t>Neighbor</t>
  </si>
  <si>
    <t>Voisin</t>
  </si>
  <si>
    <t>Makwabci</t>
  </si>
  <si>
    <t>select_one yesnodk</t>
  </si>
  <si>
    <t>w_pm_home</t>
  </si>
  <si>
    <t>21. Is ${pm_name} currently living in your household?</t>
  </si>
  <si>
    <t>21. ${pm_name} vit-il actuellement dans votre ménage?</t>
  </si>
  <si>
    <t>21. Ko ${pm_name} yana zaune a gidan ku a hali yanzu?</t>
  </si>
  <si>
    <t>Multiple-choice field (allows one selection, loads options from pre-loaded .csv file, includes options based on both a "contains" comparison and an "exact match" filter):</t>
  </si>
  <si>
    <t>Other</t>
  </si>
  <si>
    <t>Autre</t>
  </si>
  <si>
    <t>Wani daban</t>
  </si>
  <si>
    <t>search('hhplotdata', 'contains', 'respondentname', ${nametofind}, 'villageid', ${villageid})</t>
  </si>
  <si>
    <t>w_pm_in_niger</t>
  </si>
  <si>
    <t>22. Where is ${pm_name} living right now?
 Enumerator: Is location in Niger?</t>
  </si>
  <si>
    <t>22. Où est ${pm_name} en ce moment?
 Énquêteur: le lieu est-il au Niger?</t>
  </si>
  <si>
    <t>22. Ina ${pm_name} yake a yanzu?
 Dan bincike: Ko wurin a Nijar ne?</t>
  </si>
  <si>
    <t>if(${id}!= null, pulldata('baseline_ids_el', 'hh_id', 'id_key', ${id}), null)</t>
  </si>
  <si>
    <t>select_one region</t>
  </si>
  <si>
    <t>select_multiple listname</t>
  </si>
  <si>
    <t>w_pm_region</t>
  </si>
  <si>
    <t>23. Enumerator: Select region in Niger</t>
  </si>
  <si>
    <t>23. Enquêteur : Sélectionnez une région au Niger</t>
  </si>
  <si>
    <t>interest</t>
  </si>
  <si>
    <t>Standard multiple-choice field (allows multiple selections, shown as series of radio buttons):</t>
  </si>
  <si>
    <t>23. Ɗan bincike: Zaɓi Jaha ɗaya a Nijar</t>
  </si>
  <si>
    <t>Not very interested</t>
  </si>
  <si>
    <t>Pas très intéressé</t>
  </si>
  <si>
    <t>Ba sha'awa sosai</t>
  </si>
  <si>
    <t>select_one mig_countries</t>
  </si>
  <si>
    <t>w_pm_country</t>
  </si>
  <si>
    <t>24. Enumerator: Select country</t>
  </si>
  <si>
    <t>pulldata('baseline_ids_el', 'phase', 'hh_id', ${hh_id})</t>
  </si>
  <si>
    <t>24. Enquêteur : sélectionnez le pays</t>
  </si>
  <si>
    <t>24. Ɗan bincike: Zaɓi ƙasa</t>
  </si>
  <si>
    <t>Somewhat interested</t>
  </si>
  <si>
    <t>Un peu intéressé</t>
  </si>
  <si>
    <t>Da ɗan sha'awa</t>
  </si>
  <si>
    <t>w_pm_country_o</t>
  </si>
  <si>
    <t>Multiple-choice field (allows multiple selections, shown as a pop-up selector):</t>
  </si>
  <si>
    <t>25. Enumerator: Enter other country</t>
  </si>
  <si>
    <t>25. Enquêteur : Entrez un autre pays</t>
  </si>
  <si>
    <t>25. Ɗan bincike: Shigar da wata ƙasa</t>
  </si>
  <si>
    <t>Very interested</t>
  </si>
  <si>
    <t>Très intéressé</t>
  </si>
  <si>
    <t>Da Sha'awa sosai</t>
  </si>
  <si>
    <t>pulldata('baseline_ids_el', 'pm_name', 'hh_id', ${hh_id})</t>
  </si>
  <si>
    <t>select_one towns</t>
  </si>
  <si>
    <t>w_pm_town</t>
  </si>
  <si>
    <t>26. Enumerator: Select town</t>
  </si>
  <si>
    <t>26. Enquêteur : Sélectionnez la ville</t>
  </si>
  <si>
    <t>26. Ɗan bincike: Zaɓi gari</t>
  </si>
  <si>
    <t>w_pm_town_o</t>
  </si>
  <si>
    <t>27. Enumerator: Enter other town</t>
  </si>
  <si>
    <t>Multiple-choice field (allows multiple selections, shown as a compact table of options):</t>
  </si>
  <si>
    <t>27. Enquêteur : Entrez un autre ville</t>
  </si>
  <si>
    <t>27. Ɗan bincike: Shigar da wata gari</t>
  </si>
  <si>
    <t>pulldata('baseline_ids_el', 'shm_name', 'hh_id', ${hh_id})</t>
  </si>
  <si>
    <t>patient</t>
  </si>
  <si>
    <t>Impatient</t>
  </si>
  <si>
    <t>w_pm_home_2w</t>
  </si>
  <si>
    <t>28. Will ${pm_name} be in the household within the next two weeks?</t>
  </si>
  <si>
    <t>28. Est-ce que ${pm_name} sera dans le ménage au cours des deux prochaines semaines ?</t>
  </si>
  <si>
    <t>Babu haƙuri</t>
  </si>
  <si>
    <t>28. Ko ${pm_name} zai kasance a gidan nan cikin sati biyu masu zuwa?</t>
  </si>
  <si>
    <t>w_pm_contact</t>
  </si>
  <si>
    <t>Have you spoken with ${pm_name} in the past month?</t>
  </si>
  <si>
    <t>Avez-vous parlé à ${pm_name} au cours du mois dernier ?</t>
  </si>
  <si>
    <t>Multiple-choice field (allows multiple selections, shown as a compact table of options with exactly three columns):</t>
  </si>
  <si>
    <t>Ko kun yi magana da ${pm_name} a cikin watan da ya gabata?</t>
  </si>
  <si>
    <t>Somewhat patient</t>
  </si>
  <si>
    <t>Un peu patient</t>
  </si>
  <si>
    <t>Da ɗan haƙuri</t>
  </si>
  <si>
    <t>pulldata('baseline_ids_el', 'w_name', 'hh_id', ${hh_id})</t>
  </si>
  <si>
    <t>w_shm_home</t>
  </si>
  <si>
    <t>29. Is ${shm_name} currently living in your household?</t>
  </si>
  <si>
    <t>29. ${shm_name} vit-il actuellement dans votre ménage?</t>
  </si>
  <si>
    <t>29. Ko ${shm_name} yana zaune a gidan ku a hali yanzu?</t>
  </si>
  <si>
    <t>Very patient</t>
  </si>
  <si>
    <t>Très patient</t>
  </si>
  <si>
    <t>Da Hakuri sosai</t>
  </si>
  <si>
    <t>Multiple-choice field (allows multiple selections, loads options from pre-loaded .csv file, includes options based on a "contains" comparison):</t>
  </si>
  <si>
    <t>pulldata('baseline_ids_el', 'pm_age', 'hh_id', ${hh_id})</t>
  </si>
  <si>
    <t>w_shm_in_niger</t>
  </si>
  <si>
    <t>30. Where is ${shm_name} living?
 Enumerator: Is location in Niger?</t>
  </si>
  <si>
    <t>30. Où habite ${shm_name}?
 Enquêteur : le lieu est-il au Niger?</t>
  </si>
  <si>
    <t>30. A ina ${shm_name} ya zaune?
 Mai bincike: Wurin a Nijar ne?</t>
  </si>
  <si>
    <t>w_shm_region</t>
  </si>
  <si>
    <t>31. Enumerator: Select region in Niger</t>
  </si>
  <si>
    <t>31. Enquêteur : Sélectionnez une région au Niger</t>
  </si>
  <si>
    <t>31. Ɗan bincike: Zaɓi Jaha ɗaya a Nijar</t>
  </si>
  <si>
    <t>pulldata('baseline_ids_el', 'shm_age', 'hh_id', ${hh_id})</t>
  </si>
  <si>
    <t>Multiple-choice field (allows multiple selections, loads options from pre-loaded .csv file, includes options based on a "starts with" comparison):</t>
  </si>
  <si>
    <t>w_shm_country</t>
  </si>
  <si>
    <t>32. Enumerator: Select country</t>
  </si>
  <si>
    <t>32. Enquêteur : sélectionnez le pays</t>
  </si>
  <si>
    <t>32. Ɗan bincike: Zaɓi ƙasa</t>
  </si>
  <si>
    <t>w_shm_country_o</t>
  </si>
  <si>
    <t>33. Enumerator: Enter other country</t>
  </si>
  <si>
    <t>33. Enquêteur : Entrez un autre pays</t>
  </si>
  <si>
    <t>33. Ɗan bincike: Shigar da wata ƙasa</t>
  </si>
  <si>
    <t>pulldata('baseline_ids_el', 'w_age', 'hh_id', ${hh_id})</t>
  </si>
  <si>
    <t>savings</t>
  </si>
  <si>
    <t>In cash</t>
  </si>
  <si>
    <t>w_shm_town</t>
  </si>
  <si>
    <t>Multiple-choice field (allows multiple selections, loads options from pre-loaded .csv file, includes options based on an "ends with" comparison):</t>
  </si>
  <si>
    <t>En argent liquide</t>
  </si>
  <si>
    <t>A Tsabar kudi</t>
  </si>
  <si>
    <t>34. Enumerator: Select town</t>
  </si>
  <si>
    <t>34. Enquêteur : Sélectionnez la ville</t>
  </si>
  <si>
    <t>34. Ɗan bincike: Zaɓi gari</t>
  </si>
  <si>
    <t>In a bank account</t>
  </si>
  <si>
    <t>Dans un compte bancaire</t>
  </si>
  <si>
    <t>w_shm_town_o</t>
  </si>
  <si>
    <t>A cikin asusun banki</t>
  </si>
  <si>
    <t>35. Enumerator: Enter other town</t>
  </si>
  <si>
    <t>35. Enquêteur : Entrez un autre ville</t>
  </si>
  <si>
    <t>35. Ɗan bincike: Shigar da wata gari</t>
  </si>
  <si>
    <t>pulldata('baseline_ids_el', 'pm_hoh', 'hh_id', ${hh_id})</t>
  </si>
  <si>
    <t>w_shm_home_2w</t>
  </si>
  <si>
    <t>36. Will ${shm_name} be in the household within the next two weeks?</t>
  </si>
  <si>
    <t>In a mobile money account</t>
  </si>
  <si>
    <t>36. Est-ce que ${shm_name} sera dans le ménage au cours des deux prochaines semaines ?</t>
  </si>
  <si>
    <t>Dans un compte mobile money</t>
  </si>
  <si>
    <t>36. Ko ${shm_name} zai kasance a gidan nan cikin sati biyu masu zuwa?</t>
  </si>
  <si>
    <t>Multiple-choice field (allows multiple selections, loads options from pre-loaded .csv file, includes options based on an "exact match" comparison):</t>
  </si>
  <si>
    <t>A cikin asusun wayar hannu</t>
  </si>
  <si>
    <t>speedcheck_w_loc_end</t>
  </si>
  <si>
    <t>pulldata('baseline_ids_el', 'shm_hoh', 'hh_id', ${hh_id})</t>
  </si>
  <si>
    <t>In Jewelery or other valuables</t>
  </si>
  <si>
    <t>Dans les bijoux ou autres objets de valeur</t>
  </si>
  <si>
    <t>A cikin kayan ado ko wasu abubuwa masu mahimmanci</t>
  </si>
  <si>
    <t>39. Do you earn interest on this money ${w_savings_name}?</t>
  </si>
  <si>
    <t>39. Gagnez-vous des intérêts sur cet argent ${w_savings_name} ?</t>
  </si>
  <si>
    <t>39. Kuna samun riba akan wannan kuɗin ${w_savings_name}?</t>
  </si>
  <si>
    <t>dur_w_loc</t>
  </si>
  <si>
    <t>With a 'big man' in the area</t>
  </si>
  <si>
    <t>Avec un "grand homme" dans la région</t>
  </si>
  <si>
    <t>Tare da wani 'babban mutum' a jahar</t>
  </si>
  <si>
    <t>38. I would like to ask you a few questions about your health and wellbeing</t>
  </si>
  <si>
    <t>38. Je voudrais vous poser quelques questions sur votre santé et votre bien-être</t>
  </si>
  <si>
    <t>38. Ina so in yi muku wasu ƴan tambayoyi game da lafiyar jikinku da jin daɗin ku</t>
  </si>
  <si>
    <t>speedcheck_w_savings_start</t>
  </si>
  <si>
    <t>Multiple-choice field (allows multiple selections, loads options from pre-loaded .csv file, includes options based on both a "contains" comparison and an "exact match" filter):</t>
  </si>
  <si>
    <t>39. In general, how would you characterize your physical health?</t>
  </si>
  <si>
    <t>pulldata('baseline_ids_el', 'w_hoh', 'hh_id', ${hh_id})</t>
  </si>
  <si>
    <t>39. En général, comment caractériseriez-vous votre santé physique ?</t>
  </si>
  <si>
    <t>39. A taƙaice, yaya za ku siffanta lafiyar jikin ku?</t>
  </si>
  <si>
    <t>w_savings_note</t>
  </si>
  <si>
    <t>37. I would like to ask you about different ways you may use money that you earn.</t>
  </si>
  <si>
    <t>37. Maintenant, je voudrais vous poser des questions sur les différentes façons dont vous pouvez utiliser l'argent que vous gagnez.</t>
  </si>
  <si>
    <t>37. Yanzu ina so in tambaye ku hanyoyi daban-daban da zaku iya amfani da su wajen kashe kuɗin da kuke samu.</t>
  </si>
  <si>
    <t>By buying stocks of cereals</t>
  </si>
  <si>
    <t xml:space="preserve">Achat du céréale </t>
  </si>
  <si>
    <t>geopoint</t>
  </si>
  <si>
    <t>select_multiple savings</t>
  </si>
  <si>
    <t>w_separate_savings</t>
  </si>
  <si>
    <t>38. Do you currently have savings of each of the following types that you have put aside for yourself, separate from your household?</t>
  </si>
  <si>
    <t>38. Avez-vous actuellement des économies de chacun des types suivants que vous avez mises de côté pour vous-même, séparément de votre ménage ?</t>
  </si>
  <si>
    <t>38. Ko a halin yanzu kuna da tanadi na kowane nau'in waɗannan nau'ikan da kuka ware wa kanku?</t>
  </si>
  <si>
    <t>pulldata('baseline_ids_el', 'w_shm', 'hh_id', ${hh_id})</t>
  </si>
  <si>
    <t>Standard GPS location-capture field:</t>
  </si>
  <si>
    <t>w_separate_savings_o</t>
  </si>
  <si>
    <t>39. Specify other:</t>
  </si>
  <si>
    <t>39. Précisez autre :</t>
  </si>
  <si>
    <t>39. Ƙayyade wasu:</t>
  </si>
  <si>
    <t>begin repeat</t>
  </si>
  <si>
    <t>w_savings_amt</t>
  </si>
  <si>
    <t>Savings Amount</t>
  </si>
  <si>
    <t>Montant de l'épargne</t>
  </si>
  <si>
    <t>pulldata('baseline_ids_el', 'treatment_group', 'hh_id', ${hh_id})</t>
  </si>
  <si>
    <t>Yawan kuɗin ajiye</t>
  </si>
  <si>
    <t>geoshape</t>
  </si>
  <si>
    <t>43. In the past three months, did you suffer from an illness or injury that disrupted your daily life?</t>
  </si>
  <si>
    <t>43. Au cours des trois derniers mois, avez-vous souffert d'une maladie ou d'une blessure qui a perturbé votre vie quotidienne ?</t>
  </si>
  <si>
    <t>43. A cikin watanni uku da suka wuce, ko kun yi fama da wata rashin lafiya ko rauni wanda ya kawo muku cikas a rayuwarku na yau da kullun?</t>
  </si>
  <si>
    <t>w_savings_name</t>
  </si>
  <si>
    <t>Savings Type Name</t>
  </si>
  <si>
    <t>Nom du type d'épargne</t>
  </si>
  <si>
    <t>Sunan Nau'in Ajiya</t>
  </si>
  <si>
    <t>freq</t>
  </si>
  <si>
    <t>Never</t>
  </si>
  <si>
    <t>Jamais</t>
  </si>
  <si>
    <t>40. I would like to ask you a few questions about your health and wellbeing</t>
  </si>
  <si>
    <t>Har abada</t>
  </si>
  <si>
    <t>40. Je voudrais vous poser quelques questions sur votre santé et votre bien-être</t>
  </si>
  <si>
    <t>40. Ina so in yi muku wasu ƴan tambayoyi game da lafiyar jikinku da jin daɗin ku</t>
  </si>
  <si>
    <t>w_savings_type_amt</t>
  </si>
  <si>
    <t>Boundary-capture field (GPS polygon):</t>
  </si>
  <si>
    <t>40. Please share with us your best estimate of the value in CFA ${w_savings_name}</t>
  </si>
  <si>
    <t>40. Veuillez partager avec nous votre meilleure estimation de la valeur en CFA ${w_savings_name}</t>
  </si>
  <si>
    <t>40. Da fatan zaku faɗa mana ƙimar da kuke ganin yayi daidai a cikin CFA ${w_savings_name}</t>
  </si>
  <si>
    <t>"1000"</t>
  </si>
  <si>
    <t>Rarely</t>
  </si>
  <si>
    <t>Rarement</t>
  </si>
  <si>
    <t>Jehi jehi</t>
  </si>
  <si>
    <t>8. There are no women to survey in this HH. Complete the PM and the SHM survey, if not complete already.</t>
  </si>
  <si>
    <t>8. Il n'y a aucune femme à enquêter dans ce ménage. Remplissez l'enquête PM et SHM, si ce n'est pas déjà fait.</t>
  </si>
  <si>
    <t>8. Babu mata da za su bada amsa a wannan gidan. Kammala da binciken PM da SHM, idan ba a gama ba tun tuni.</t>
  </si>
  <si>
    <t>empty(${w_name})</t>
  </si>
  <si>
    <t>geotrace</t>
  </si>
  <si>
    <t>w_savings_interest</t>
  </si>
  <si>
    <t>41. Do you earn interest on this money ${w_savings_name}?</t>
  </si>
  <si>
    <t>41. Gagnez-vous des intérêts sur cet argent ${w_savings_name} ?</t>
  </si>
  <si>
    <t>Sometimes</t>
  </si>
  <si>
    <t>41. Kuna samun riba akan wannan kuɗin ${w_savings_name}?</t>
  </si>
  <si>
    <t>Parfois</t>
  </si>
  <si>
    <t>Lokaci zuwa lokaci</t>
  </si>
  <si>
    <t>Boundary- or path-capture field (GPS polyline or polygon):</t>
  </si>
  <si>
    <t>end repeat</t>
  </si>
  <si>
    <t>Often</t>
  </si>
  <si>
    <t>Souvent</t>
  </si>
  <si>
    <t>Sau da yawa</t>
  </si>
  <si>
    <t>not(empty(${w_name}))</t>
  </si>
  <si>
    <t>43. What illness limits you in this way?</t>
  </si>
  <si>
    <t>43. Quelle maladie vous limite de cette manière ?</t>
  </si>
  <si>
    <t>43. Wace cuta ce ke tsaida ku a kan wannan?</t>
  </si>
  <si>
    <t>select_multiple savings_reasons</t>
  </si>
  <si>
    <t>w_separate_savings_why</t>
  </si>
  <si>
    <t>Do you already have a plan for using the money you have saved?</t>
  </si>
  <si>
    <t>Avez-vous déjà prévu d'utiliser l'argent que vous avez économisé ?</t>
  </si>
  <si>
    <t>Shin kuna da shirin yin amfani da kuɗin da kuka adana?</t>
  </si>
  <si>
    <t>9. You indicated that you are attempting to interview ${w_name} (age: ${w_age}). Is that correct?</t>
  </si>
  <si>
    <t>9. Vous avez indiqué que vous tentez d'interroger ${w_name} (âge : ${w_age}). Est-ce exact ?</t>
  </si>
  <si>
    <t>w_separate_savings_why_o</t>
  </si>
  <si>
    <t>9. Kun nuna cewa kuna ƙoƙarin yin hira da ${w_name} (shekaru: ${w_age}). Shin hakan daidai ne?</t>
  </si>
  <si>
    <t>Specify other:</t>
  </si>
  <si>
    <t>Autre à préciser</t>
  </si>
  <si>
    <t>Wani daban a baiyana</t>
  </si>
  <si>
    <t>barcode</t>
  </si>
  <si>
    <t>select_multiple purchases</t>
  </si>
  <si>
    <t>w_major_purchase</t>
  </si>
  <si>
    <t>You mentioned that you are saving for a major purchase. What are you planning to buy?</t>
  </si>
  <si>
    <t>Vous avez mentionné que vous économisez pour un achat important. Qu'envisagez-vous d'acheter ?</t>
  </si>
  <si>
    <t>Kun ambaci cewa kuna tanadi don sayen wani abu mai muhimmanci. Me kuke shirin saye?</t>
  </si>
  <si>
    <t>Standard scan-barcode field:</t>
  </si>
  <si>
    <t>10. Who are you trying to interview? Here are the other respondents in this household:</t>
  </si>
  <si>
    <t>10. Qui essayez-vous d’interroger ? Voici les autres répondants de ce foyer :</t>
  </si>
  <si>
    <t>10. Wanene kuke ƙoƙarin yin hira da shi ? Ga sauran masu bada amsa a wannan gidan:</t>
  </si>
  <si>
    <t>w_major_purchase_o</t>
  </si>
  <si>
    <t>${resp_confirm} = 0</t>
  </si>
  <si>
    <t>date</t>
  </si>
  <si>
    <t>11. End of survey. Please return and fill out the PM survey to collect survey responses.</t>
  </si>
  <si>
    <t>11. Fin de l'enquête. Veuillez revenir et remplir l'enquête PM pour recueillir les réponses aux questions.</t>
  </si>
  <si>
    <t>Standard date field:</t>
  </si>
  <si>
    <t>11. Ƙarshen binciken kenan. Da fatan za a dawo a cika binciken PM don tattara amsoshin binciken.</t>
  </si>
  <si>
    <t>speedcheck_w_savings_end</t>
  </si>
  <si>
    <t>${resp_interview} = 1</t>
  </si>
  <si>
    <t>48. Did you seek any treatment for any illness or injury?</t>
  </si>
  <si>
    <t>48. Avez-vous cherché un traitement pour une maladie ou une blessure ?</t>
  </si>
  <si>
    <t>48. Ko kun nemi wani magani don wata cuta ko rauni?</t>
  </si>
  <si>
    <t>dur_w_savings</t>
  </si>
  <si>
    <t>49. Now I want to ask you about the past week (7 days)</t>
  </si>
  <si>
    <t>49. Maintenant, je veux vous poser des questions sur la semaine dernière (7 jours)</t>
  </si>
  <si>
    <t>49. Yanzu ina son in muku tambayoyi bisa satin (makon) da ya wuce (kwana 7)</t>
  </si>
  <si>
    <t>12. End of survey. Please return and fill out the SHM survey to collect survey responses.</t>
  </si>
  <si>
    <t>12. Fin de l'enquête. Veuillez revenir et remplir l'enquête du SHM pour recueillir les réponses aux questions.</t>
  </si>
  <si>
    <t>12. Ƙarshen binciken kenan. Da fatan za a dawo baya a cika binciken SHM don tattara amsoshin binciken.</t>
  </si>
  <si>
    <t>50. How many hours of sleep per night did you get on average in the last seven days?</t>
  </si>
  <si>
    <t>Date field (but for smaller screens):</t>
  </si>
  <si>
    <t>50. Combien d'heures de sommeil par nuit avez-vous dormi en moyenne au cours des sept derniers jours ?</t>
  </si>
  <si>
    <t>50. Misalin Sa'o'i nawa a taƙaice kuke yin barci a kowane dare a cikin kwanaki bakwai na ƙarshe da suka wuce?</t>
  </si>
  <si>
    <t>${resp_interview} = 2</t>
  </si>
  <si>
    <t>no-calendar</t>
  </si>
  <si>
    <t>53. Worry</t>
  </si>
  <si>
    <t>53. Inquiétude</t>
  </si>
  <si>
    <t>53. Damuwa</t>
  </si>
  <si>
    <t>speedcheck_w_nothoh_start</t>
  </si>
  <si>
    <t>54. Anger</t>
  </si>
  <si>
    <t>54. Colère</t>
  </si>
  <si>
    <t>54. Fushi</t>
  </si>
  <si>
    <t>w_not_hoh</t>
  </si>
  <si>
    <t>13. End of survey. The woman respondent is the Secondary HH member. Please return and fill out the SHM survey to collect survey responses.</t>
  </si>
  <si>
    <t>13. Fin de l'enquête. La femme interrogée est le second membre du ménage. Veuillez revenir en arrière et remplir l'enquête du SHM pour recueillir les réponses aux questions.</t>
  </si>
  <si>
    <t>13. Ƙarshen binciken kenan. Matar da ta bada amsa ita ce memba na biyu a gidan. Da fatan za a dawo a cika binciken SHM don tattara amsoshin tambayoyin.</t>
  </si>
  <si>
    <t>51. In the past week, how often did you experience the following feelings?</t>
  </si>
  <si>
    <t>datetime</t>
  </si>
  <si>
    <t>51. Au cours de la semaine dernière, à quelle fréquence avez-vous ressenti les sentiments suivants ?</t>
  </si>
  <si>
    <t>51. A cikin satin da ya wuce, sau nawa kuka ji irin waɗannan abubuwan a ranku?</t>
  </si>
  <si>
    <t>${w_shm} = 1 and ${resp_confirm} = 1</t>
  </si>
  <si>
    <t>Standard date+time field:</t>
  </si>
  <si>
    <t>w_wellbeing_note</t>
  </si>
  <si>
    <t>42. I would like to ask you a few questions about your health and wellbeing</t>
  </si>
  <si>
    <t>42. Je voudrais vous poser quelques questions sur votre santé et votre bien-être</t>
  </si>
  <si>
    <t>42. Ina so in yi muku wasu ƴan tambayoyi game da lafiyar jikinku da jin daɗin ku</t>
  </si>
  <si>
    <t>select_one health</t>
  </si>
  <si>
    <t>w_physical_health</t>
  </si>
  <si>
    <t>43. In general, how would you characterize your physical health?</t>
  </si>
  <si>
    <t>43. En général, comment caractériseriez-vous votre santé physique ?</t>
  </si>
  <si>
    <t>14. Is ${w_name} available to be interviewed?</t>
  </si>
  <si>
    <t>43. A taƙaice, yaya za ku siffanta lafiyar jikin ku?</t>
  </si>
  <si>
    <t>Date+time field (but for smaller screens):</t>
  </si>
  <si>
    <t>14. Est-ce que ${w_name} est disponible pour être interviewé ?</t>
  </si>
  <si>
    <t>14. Ko ${w_name} yana da damar yin hira mu?</t>
  </si>
  <si>
    <t>${resp_confirm} = 1</t>
  </si>
  <si>
    <t>w_illness_limit</t>
  </si>
  <si>
    <t>44. Do you currently suffer from any illness or disability that limits your ability to travel or work?</t>
  </si>
  <si>
    <t>44. Souffrez-vous actuellement d'une maladie ou d'un handicap qui limite votre capacité à voyager ou à travailler ?</t>
  </si>
  <si>
    <t>44. A halin yanzu, ko kuna fama da wata rashin lafiya ko naƙasa da ke iya kawo muku cikas game da tahiya bulaguro ko yin aiki?</t>
  </si>
  <si>
    <t>select_multiple illness</t>
  </si>
  <si>
    <t>w_illness_limit_type</t>
  </si>
  <si>
    <t>45. What illness limits you in this way?</t>
  </si>
  <si>
    <t>45. Quelle maladie vous limite de cette manière ?</t>
  </si>
  <si>
    <t>45. Wace cuta ce ke tsaida ku a kan wannan?</t>
  </si>
  <si>
    <t>15. Enumerator: Please specify why ${w_name} is not available right now:</t>
  </si>
  <si>
    <t>time</t>
  </si>
  <si>
    <t>15. Enqueteur: veuillez specifier pourquoi ${w_name} n'est pas disponible maintenant</t>
  </si>
  <si>
    <t>15. Dan binkike: dan mine ${w_name} bai nan a yanzu</t>
  </si>
  <si>
    <t>Standard time field:</t>
  </si>
  <si>
    <t>w_illness_limit_type_o</t>
  </si>
  <si>
    <t>46. Other, specify:</t>
  </si>
  <si>
    <t>46. Autre précisez:</t>
  </si>
  <si>
    <t>${resp_available} = 0</t>
  </si>
  <si>
    <t>46. Sauran, bayar da cikakkun bayanai:</t>
  </si>
  <si>
    <t>w_illness</t>
  </si>
  <si>
    <t>47. In the past six months, did you suffer from an illness or injury that disrupted your daily life?</t>
  </si>
  <si>
    <t>Au cours des six derniers mois, avez-vous souffert d'une maladie ou d'une blessure qui a perturbé votre quotidien ?</t>
  </si>
  <si>
    <t>A cikin watanni shida da suka gabata, ko kun yi fama da rashin lafiya ko rauni wanda ya kawo cikas ga rayuwar yau da kullun?</t>
  </si>
  <si>
    <t>Standard image-capture field:</t>
  </si>
  <si>
    <t>w_illness_type</t>
  </si>
  <si>
    <t>48. What type of illness or injury did you experience?</t>
  </si>
  <si>
    <t>48. Preciser le type de maladie ou de blessure</t>
  </si>
  <si>
    <t>16. Other, specify:</t>
  </si>
  <si>
    <t>48. Baiyana irin ciwo ko raunin da kuka yi fama da shi?</t>
  </si>
  <si>
    <t>16. Autre précisez:</t>
  </si>
  <si>
    <t>16. Sauran, bayar da cikakkun bayanai:</t>
  </si>
  <si>
    <t>${resp_available_why} = -777</t>
  </si>
  <si>
    <t>w_illness_type_o</t>
  </si>
  <si>
    <t>49. Specify other illness or injury</t>
  </si>
  <si>
    <t>49. Preciser le type de maladie ou de blessure</t>
  </si>
  <si>
    <t>49. Baiyana irin ciwo ko raunin da kuka yi fama da shi?</t>
  </si>
  <si>
    <t>w_seek_treatment</t>
  </si>
  <si>
    <t>50. Did you seek any treatment for any illness or injury?</t>
  </si>
  <si>
    <t>50. Avez-vous cherché un traitement pour une maladie ou une blessure ?</t>
  </si>
  <si>
    <t>50. Ko kun nemi wani magani don wata cuta ko rauni?</t>
  </si>
  <si>
    <t>Image-capture field which allows user to annotate image:</t>
  </si>
  <si>
    <t>annotate</t>
  </si>
  <si>
    <t>w_past_week_note</t>
  </si>
  <si>
    <t>51. Now I want to ask you about the past week (7 days)</t>
  </si>
  <si>
    <t>51. Maintenant, je veux vous poser des questions sur la semaine dernière (7 jours)</t>
  </si>
  <si>
    <t>51. Yanzu ina son in muku tambayoyi bisa satin (makon) da ya wuce (kwana 7)</t>
  </si>
  <si>
    <t>w_sleep</t>
  </si>
  <si>
    <t>17.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</si>
  <si>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52. How many hours of sleep per night did you get on average in the last seven days?</t>
  </si>
  <si>
    <t>52. Combien d'heures de sommeil par nuit avez-vous dormi en moyenne au cours des sept derniers jours ?</t>
  </si>
  <si>
    <t>17.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</si>
  <si>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52. Misalin Sa'o'i nawa a taƙaice kuke yin barci a kowane dare a cikin kwanaki bakwai na ƙarshe da suka wuce?</t>
  </si>
  <si>
    <t>17.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</si>
  <si>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Image-capture field which allows user to draw image:</t>
  </si>
  <si>
    <t>${resp_available} = 1</t>
  </si>
  <si>
    <t>draw</t>
  </si>
  <si>
    <t>education</t>
  </si>
  <si>
    <t>Image-capture field which collects a signature as the image:</t>
  </si>
  <si>
    <t>Bai taɓa yin makaranta ba</t>
  </si>
  <si>
    <t>w_emotions</t>
  </si>
  <si>
    <t>signature</t>
  </si>
  <si>
    <t>63. Your own health problems, illness</t>
  </si>
  <si>
    <t>63. Vos propres problèmes de santé</t>
  </si>
  <si>
    <t>63. Matsalolin lafiyar jikinku</t>
  </si>
  <si>
    <t>select_one freq</t>
  </si>
  <si>
    <t>w_emotion</t>
  </si>
  <si>
    <t>53. In the past week, how often did you experience the following feelings?</t>
  </si>
  <si>
    <t>53. Au cours de la semaine dernière, à quelle fréquence avez-vous ressenti les sentiments suivants ?</t>
  </si>
  <si>
    <t>53. A cikin satin da ya wuce, sau nawa kuka ji irin waɗannan abubuwan a ranku?</t>
  </si>
  <si>
    <t>Preschool</t>
  </si>
  <si>
    <t>Préscolaire</t>
  </si>
  <si>
    <t>Makarantar yara ƙanana</t>
  </si>
  <si>
    <t>audio</t>
  </si>
  <si>
    <t>w_emotion1</t>
  </si>
  <si>
    <t>54. Enjoyment</t>
  </si>
  <si>
    <t>54. Plaisir</t>
  </si>
  <si>
    <t>54. jin daɗi</t>
  </si>
  <si>
    <t>${speedcheck_intro_end} - ${speedcheck_intro_start}</t>
  </si>
  <si>
    <t>w_emotion2</t>
  </si>
  <si>
    <t>Standard audio-capture field:</t>
  </si>
  <si>
    <t>55. Happiness</t>
  </si>
  <si>
    <t>55. Bonheur</t>
  </si>
  <si>
    <t>Primary school</t>
  </si>
  <si>
    <t>55. Farin ciki</t>
  </si>
  <si>
    <t>École primaire</t>
  </si>
  <si>
    <t>Makarantar firamere</t>
  </si>
  <si>
    <t>w_emotion3</t>
  </si>
  <si>
    <t>56. Stress</t>
  </si>
  <si>
    <t>56. Babbar Damuwa</t>
  </si>
  <si>
    <t>${consent} = 1</t>
  </si>
  <si>
    <t>w_emotion4</t>
  </si>
  <si>
    <t>57. Worry</t>
  </si>
  <si>
    <t>57. Inquiétude</t>
  </si>
  <si>
    <t>Middle school</t>
  </si>
  <si>
    <t>57. Damuwa</t>
  </si>
  <si>
    <t>College</t>
  </si>
  <si>
    <t>Koleji/SEJ</t>
  </si>
  <si>
    <t>video</t>
  </si>
  <si>
    <t>w_emotion5</t>
  </si>
  <si>
    <t>58. Anger</t>
  </si>
  <si>
    <t>58. Colère</t>
  </si>
  <si>
    <t>58. Fushi</t>
  </si>
  <si>
    <t>Koranic school</t>
  </si>
  <si>
    <t>Ecole coranique</t>
  </si>
  <si>
    <t>Karatun kur'ani</t>
  </si>
  <si>
    <t>Standard video-capture field:</t>
  </si>
  <si>
    <t>w_emotion6</t>
  </si>
  <si>
    <t>59. Physical pain</t>
  </si>
  <si>
    <t>59. Douleur physique</t>
  </si>
  <si>
    <t>59. ciwon jiki</t>
  </si>
  <si>
    <t>High school</t>
  </si>
  <si>
    <t>Lycee</t>
  </si>
  <si>
    <t>Babbar makaranta/lise</t>
  </si>
  <si>
    <t>w_emotion7</t>
  </si>
  <si>
    <t>60. Loneliness</t>
  </si>
  <si>
    <t>60. Solitude</t>
  </si>
  <si>
    <t>60. kadaici</t>
  </si>
  <si>
    <t>More than high school</t>
  </si>
  <si>
    <t>file</t>
  </si>
  <si>
    <t>Plus qu'une école secondaire</t>
  </si>
  <si>
    <t>Jami'a</t>
  </si>
  <si>
    <t>68. Not enough money for basic needs (sucha as food and clothing)</t>
  </si>
  <si>
    <t>68. Pas assez d'argent pour les besoins de base (tels que la nourriture et les vêtements)</t>
  </si>
  <si>
    <t>68. Rashin isassun kuɗi don buƙatun asali (kamar abinci da sutura)</t>
  </si>
  <si>
    <t>Attach text, image, video, audio, PDF, ZIP, or MS Office file (Excel or Word):</t>
  </si>
  <si>
    <t>w_esteem</t>
  </si>
  <si>
    <t>69. Not being able to educate all children</t>
  </si>
  <si>
    <t>69. Ne pas pouvoir scolariser tous les enfants</t>
  </si>
  <si>
    <t>69. Rashin iya rubuta dukkan yara a makarantar boko</t>
  </si>
  <si>
    <t>select_one agree_likert</t>
  </si>
  <si>
    <t>w_self_esteem_note</t>
  </si>
  <si>
    <t>61. I will now read out several statements. You should tell me whether these statements are true for you by using the following scale.</t>
  </si>
  <si>
    <t>61. Je vais maintenant lire plusieurs déclarations. Vous devez me dire si ces affirmations sont vraies pour vous en utilisant l'échelle suivante.</t>
  </si>
  <si>
    <t>61. Yanzu zan karanta wasu maganganu da yawa. Za ku gaya mini ko waɗannan maganganun sun yi daidai da ku ta hanyar yin amfani da kuranga mai zuwa.</t>
  </si>
  <si>
    <t>region</t>
  </si>
  <si>
    <t>Agadez</t>
  </si>
  <si>
    <t>Diffa</t>
  </si>
  <si>
    <t>w_self_esteem_4</t>
  </si>
  <si>
    <t>62. I feel I do not have much to be proud of.</t>
  </si>
  <si>
    <t>62. Je sens que je n'ai pas beaucoup de raisons d'être fier (comblé).</t>
  </si>
  <si>
    <t>62. Ina jin ba ni da hujjojin ji da kai na.</t>
  </si>
  <si>
    <t>Standard note field (read-only).</t>
  </si>
  <si>
    <t>Dosso</t>
  </si>
  <si>
    <t>w_self_esteem_9</t>
  </si>
  <si>
    <t>63. At times I think I am no good at all.</t>
  </si>
  <si>
    <t>63. Parfois, je pense que je suis utile a rien</t>
  </si>
  <si>
    <t>63. A wasu lokuta ina ganin bani da amfani komai.</t>
  </si>
  <si>
    <t>Maradi</t>
  </si>
  <si>
    <t>18. Woman Questions</t>
  </si>
  <si>
    <t>18. Questions de la femme</t>
  </si>
  <si>
    <t>18. Tambayoyin Mata</t>
  </si>
  <si>
    <t>Niamey</t>
  </si>
  <si>
    <t>Tahoua</t>
  </si>
  <si>
    <t>w_ladder_scale</t>
  </si>
  <si>
    <t>64.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</si>
  <si>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64.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</si>
  <si>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64.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</si>
  <si>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Tillaberi</t>
  </si>
  <si>
    <t>Zinder</t>
  </si>
  <si>
    <t>w_worries</t>
  </si>
  <si>
    <t>Worries</t>
  </si>
  <si>
    <t>19. Before we begin, I would like to ask you about the locations of other respondents of this household</t>
  </si>
  <si>
    <t>76. Have you experienced any of the following during ${period}?</t>
  </si>
  <si>
    <t>76. Avez-vous vécu l'une des situations suivantes depuis le debut de ${period_french} ?</t>
  </si>
  <si>
    <t>19. Avant de commencer, j'aimerais vous poser des questions sur l'endroit où vivent les autres répondants de ce ménage.</t>
  </si>
  <si>
    <t>76. Ko kun taɓa fuskantar ɗayan waɗannan abubuwan a wannan wurin, lokacin ${period_hausa}?</t>
  </si>
  <si>
    <t>19. Kafin mu fara, Ina so in tambaye ku game da inda sauran masu bada amsan wannan gidan suke</t>
  </si>
  <si>
    <t>w_worries_note</t>
  </si>
  <si>
    <t>65. Now I am going to ask you about the areas of your life that worry you.</t>
  </si>
  <si>
    <t>65. Je voudrais maintenant vous poser des questions sur les choses qui vous inquiètent dans votre vie.</t>
  </si>
  <si>
    <t>65. Yanzu ina son in tambaye ku bisa abubuwan da ke damun ku a cikin rayuwar ku.</t>
  </si>
  <si>
    <t>towns</t>
  </si>
  <si>
    <t>select_one worries</t>
  </si>
  <si>
    <t>w_risk_prob_note</t>
  </si>
  <si>
    <t>66. How stressed are you about the following areas of your life?</t>
  </si>
  <si>
    <t>town_id</t>
  </si>
  <si>
    <t>66. Dans quelle mesure êtes-vous stressé par les domaines suivants de votre vie ?</t>
  </si>
  <si>
    <t>66. Yaya damuwarku game da abubuwa na rayuwarku da zan zana?</t>
  </si>
  <si>
    <t>town_name</t>
  </si>
  <si>
    <t>20. Is ${pm_name} currently living in your household?</t>
  </si>
  <si>
    <t>20. ${pm_name} vit-il actuellement dans votre ménage?</t>
  </si>
  <si>
    <t>20. Ko ${pm_name} yana zaune a gidan ku a hali yanzu?</t>
  </si>
  <si>
    <t>w_health_problems</t>
  </si>
  <si>
    <t>67. Your own health problems, illness</t>
  </si>
  <si>
    <t>67. Vos propres problèmes de santé</t>
  </si>
  <si>
    <t>67. Matsalolin lafiyar jikinku</t>
  </si>
  <si>
    <t>Wni daban</t>
  </si>
  <si>
    <t>21. Where is ${pm_name} living right now?
 Enumerator: Is location in Niger?</t>
  </si>
  <si>
    <t>21. Où est ${pm_name} en ce moment?
 Énquêteur: le lieu est-il au Niger?</t>
  </si>
  <si>
    <t>w_home_problems</t>
  </si>
  <si>
    <t>21. Ina ${pm_name} yake a yanzu?
 Dan bincike: Ko wurin a Nijar ne?</t>
  </si>
  <si>
    <t>68. Problems at home and with relatives</t>
  </si>
  <si>
    <t>subscriberid</t>
  </si>
  <si>
    <t>68. Problèmes dans le ménage et avec les proches</t>
  </si>
  <si>
    <t>68. Matsaloli na cikin gida da na dangi</t>
  </si>
  <si>
    <t>${w_pm_home} = 0</t>
  </si>
  <si>
    <t>countries</t>
  </si>
  <si>
    <t>w_accidents_disasters</t>
  </si>
  <si>
    <t>69. Accidents and disasters</t>
  </si>
  <si>
    <t>69. Accidents et catastrophes</t>
  </si>
  <si>
    <t>69. Hatsari da ibtila'i</t>
  </si>
  <si>
    <t>22. Enumerator: Select region in Niger</t>
  </si>
  <si>
    <t>22. Enquêteur : Sélectionnez une région au Niger</t>
  </si>
  <si>
    <t>22. Ɗan bincike: Zaɓi Jaha ɗaya a Nijar</t>
  </si>
  <si>
    <t>w_prob_other_ethnicity</t>
  </si>
  <si>
    <t>55. Problems with people in other ethnic groups</t>
  </si>
  <si>
    <t>55. Problèmes avec les personnes d'autres groupes ethniques</t>
  </si>
  <si>
    <t>55. Matsaloli da mutanen wasu kabilu daban</t>
  </si>
  <si>
    <t>Niger</t>
  </si>
  <si>
    <t>${w_pm_in_niger} = 1</t>
  </si>
  <si>
    <t>Nijar</t>
  </si>
  <si>
    <t>simserial</t>
  </si>
  <si>
    <t>w_money_problems</t>
  </si>
  <si>
    <t>70. Not enough money for basic needs (sucha as food and clothing)</t>
  </si>
  <si>
    <t>70. Pas assez d'argent pour les besoins de base (tels que la nourriture et les vêtements)</t>
  </si>
  <si>
    <t>Algeria</t>
  </si>
  <si>
    <t>70. Rashin isassun kuɗi don buƙatun asali (kamar abinci da sutura)</t>
  </si>
  <si>
    <t>Algérie</t>
  </si>
  <si>
    <t>Aljeriya</t>
  </si>
  <si>
    <t>23. Enumerator: Select country</t>
  </si>
  <si>
    <t>23. Enquêteur : sélectionnez le pays</t>
  </si>
  <si>
    <t>23. Ɗan bincike: Zaɓi ƙasa</t>
  </si>
  <si>
    <t>w_cant_educate_children</t>
  </si>
  <si>
    <t>71. Not being able to educate all children</t>
  </si>
  <si>
    <t>Benin</t>
  </si>
  <si>
    <t>71. Ne pas pouvoir scolariser tous les enfants</t>
  </si>
  <si>
    <t>Bénin</t>
  </si>
  <si>
    <t>71. Rashin iya rubuta dukkan yara a makarantar boko</t>
  </si>
  <si>
    <t>${w_pm_in_niger} = 0</t>
  </si>
  <si>
    <t>filter!=0</t>
  </si>
  <si>
    <t>w_cant_find_work</t>
  </si>
  <si>
    <t>Burkina Faso</t>
  </si>
  <si>
    <t>72. Difficulty finding work</t>
  </si>
  <si>
    <t>72. Difficulté à trouver du travail</t>
  </si>
  <si>
    <t>72. Wahalar neman aiki</t>
  </si>
  <si>
    <t>24. Enumerator: Enter other country</t>
  </si>
  <si>
    <t>24. Enquêteur : Entrez un autre pays</t>
  </si>
  <si>
    <t>24. Ɗan bincike: Shigar da wata ƙasa</t>
  </si>
  <si>
    <t>Cameroon</t>
  </si>
  <si>
    <t>Cameroun</t>
  </si>
  <si>
    <t>w_idleness</t>
  </si>
  <si>
    <t>Kamaru</t>
  </si>
  <si>
    <t>73. Idleness of children or spouse</t>
  </si>
  <si>
    <t>73. L'oisiveté des enfants ou du conjoint</t>
  </si>
  <si>
    <t>73. Zaman banza na yara ko mata</t>
  </si>
  <si>
    <t>${w_pm_country} = -777</t>
  </si>
  <si>
    <t>Cote d'Ivoire</t>
  </si>
  <si>
    <t>w_alcohol_consumption</t>
  </si>
  <si>
    <t>Côte d'Ivoire</t>
  </si>
  <si>
    <t>74. Alcohol comsumption of children or spouse</t>
  </si>
  <si>
    <t>74. Consommation d'alcool des enfants ou du conjoint</t>
  </si>
  <si>
    <t>Cote d'Ivoire/Abija</t>
  </si>
  <si>
    <t>74. Shan giya na yara ko mata</t>
  </si>
  <si>
    <t>25. Enumerator: Select town</t>
  </si>
  <si>
    <t>w_family_death</t>
  </si>
  <si>
    <t>25. Enquêteur : Sélectionnez la ville</t>
  </si>
  <si>
    <t>75. Death of a family member</t>
  </si>
  <si>
    <t>25. Ɗan bincike: Zaɓi gari</t>
  </si>
  <si>
    <t>75. Décès d'un membre de la famille</t>
  </si>
  <si>
    <t>75. Mutuwar wani ɗan uwa</t>
  </si>
  <si>
    <t>search('towns', 'matches', 'country_id', ${w_pm_country})</t>
  </si>
  <si>
    <t>Gambia</t>
  </si>
  <si>
    <t>Gambie</t>
  </si>
  <si>
    <t>${w_pm_in_niger} = 0  and ${w_pm_country} != -999</t>
  </si>
  <si>
    <t>Gabon</t>
  </si>
  <si>
    <t>w_debt_owed</t>
  </si>
  <si>
    <t>76. Debts owed to others</t>
  </si>
  <si>
    <t>76. Dettes envers autrui</t>
  </si>
  <si>
    <t>76. Bashi da wasu ke binku</t>
  </si>
  <si>
    <t>26. Enumerator: Enter other town</t>
  </si>
  <si>
    <t>26. Enquêteur : Entrez un autre ville</t>
  </si>
  <si>
    <t>26. Ɗan bincike: Shigar da wata gari</t>
  </si>
  <si>
    <t>selected(${w_pm_town}, '-777')</t>
  </si>
  <si>
    <t>comments</t>
  </si>
  <si>
    <t>Ghana</t>
  </si>
  <si>
    <t>27. Will ${pm_name} be in the household within the next two weeks?</t>
  </si>
  <si>
    <t>Guinea</t>
  </si>
  <si>
    <t>27. Est-ce que ${pm_name} sera dans le ménage au cours des deux prochaines semaines ?</t>
  </si>
  <si>
    <t>Guinée</t>
  </si>
  <si>
    <t>27. Ko ${pm_name} zai kasance a gidan nan cikin sati biyu masu zuwa?</t>
  </si>
  <si>
    <t>Gini</t>
  </si>
  <si>
    <t>Enumerator: If yes, please ask the respondent when the best time to return to survey ${pm_name} and note it down. We would like you to return to the household then to survey ${pm_name}.</t>
  </si>
  <si>
    <t>Enquêteur : Si oui, veuillez demander au répondant quel est le meilleur moment pour revenir à l'enquête ${pm_name} et notez-le. Nous aimerions que vous retourniez au ménage pour enquêter ${pm_name}.</t>
  </si>
  <si>
    <t>Mai bincike: Idan eh ne, ka tambayi mai bada amsa lokacin da ya fi dacewa don komawa binciken ${pm_name} kuma arubuta shi. Da fatan za'a koma gidan don yin binciken ${pm_name}.</t>
  </si>
  <si>
    <t>w_six_months_note</t>
  </si>
  <si>
    <t>Libya</t>
  </si>
  <si>
    <t>77. Now I will ask about some things that may have happened to you during the past six months.</t>
  </si>
  <si>
    <t>Libye</t>
  </si>
  <si>
    <t>Mali</t>
  </si>
  <si>
    <t>28. Have you spoken with ${pm_name} in the past month?</t>
  </si>
  <si>
    <t>28. Avez-vous parlé à ${pm_name} au cours du mois dernier ?</t>
  </si>
  <si>
    <t>w_disc</t>
  </si>
  <si>
    <t>28. Ko kun yi magana da ${pm_name} a cikin watan da ya gabata?</t>
  </si>
  <si>
    <t>78. How often, if at all, were you personally discriminated against based on your identity (ethnicity, religion, nationality)?</t>
  </si>
  <si>
    <t>78. À quelle fréquence, si ça vous est déjà arrivé, avez-vous personnellement été victime de discrimination liée a votre identité (ethnie, religion, nationalité) ?</t>
  </si>
  <si>
    <t>(${age1}+${age2}+${age3}) div 3</t>
  </si>
  <si>
    <t>78. Sau nawa, idan ya faru a gareku, aka nuna muku wariya dangance da kabilarku, ko addininku, ko ƙasarku2?</t>
  </si>
  <si>
    <t>Senegal</t>
  </si>
  <si>
    <t>Sénégal</t>
  </si>
  <si>
    <t>w_felt_unsafe</t>
  </si>
  <si>
    <t>79. How often, if ever, have you felt unsafe walking in the neighborhood where you are staying?</t>
  </si>
  <si>
    <t>79. Combien de fois, vous vous êtes-vous senti en danger en vous promenant dans le quartier où vous séjournez, si cela vous est jamais arrivé ?</t>
  </si>
  <si>
    <t>79. Sau nawa, idan ya faru a gareku, kuka ji kuna cikin hatsari yayin da kuke yawo a cikin unguwar da kuke zaune?</t>
  </si>
  <si>
    <t>Togo</t>
  </si>
  <si>
    <t>once(format-date-time(now(), '%Y-%b-%e %H:%M:%S'))</t>
  </si>
  <si>
    <t>Cape Verde</t>
  </si>
  <si>
    <t>Cap-Vert</t>
  </si>
  <si>
    <t>91. In the past week how many days have adults in your household consumed animal protein (including fish, meat, poultry)?</t>
  </si>
  <si>
    <t>91. Au cours des 7 derniers jours, combien de fois les adultes de votre ménage ont-ils consommé des protéines animales (y compris poisson, viande, volaille) ?</t>
  </si>
  <si>
    <t>91. A cikin kwanaki 7 da suka wuce sau nawa manyan gidanku suka ci abinci masu gina jiki kamar su kifi ko nama ko kaji?</t>
  </si>
  <si>
    <t>Guinea-Bissau</t>
  </si>
  <si>
    <t>Guinée-Bissau</t>
  </si>
  <si>
    <t>w_vict</t>
  </si>
  <si>
    <t>p = 50</t>
  </si>
  <si>
    <t>Liberia</t>
  </si>
  <si>
    <t>Libéria</t>
  </si>
  <si>
    <t>Laberiya</t>
  </si>
  <si>
    <t>w_experienced_note</t>
  </si>
  <si>
    <t>80. Have you experienced any of the following during ${period}?</t>
  </si>
  <si>
    <t>80. Avez-vous vécu l'une des situations suivantes depuis le debut de ${period_french} ?</t>
  </si>
  <si>
    <t>80. Ko kun taɓa fuskantar ɗayan waɗannan abubuwan a wannan wurin, lokacin ${period_hausa}?</t>
  </si>
  <si>
    <t>Nigeria</t>
  </si>
  <si>
    <t>Najeriya</t>
  </si>
  <si>
    <t>${w_shm_home} = 0</t>
  </si>
  <si>
    <t>p = 50; eventlog; choices</t>
  </si>
  <si>
    <t>Sierra Leone</t>
  </si>
  <si>
    <t>Saliyo</t>
  </si>
  <si>
    <t>w_phys_attacked</t>
  </si>
  <si>
    <t>81. Physical attack</t>
  </si>
  <si>
    <t>81. Attaque physique</t>
  </si>
  <si>
    <t>81. harin jiki</t>
  </si>
  <si>
    <t>Central African Republic</t>
  </si>
  <si>
    <t>République centrafricaine</t>
  </si>
  <si>
    <t>Jamhuriyar Afirka ta Tsakiya</t>
  </si>
  <si>
    <t>w_phys_threat</t>
  </si>
  <si>
    <t>82. Threat of physical violence/attack</t>
  </si>
  <si>
    <t>${w_shm_in_niger} = 1</t>
  </si>
  <si>
    <t>82. Menace de violence physique/agression</t>
  </si>
  <si>
    <t>audio audit</t>
  </si>
  <si>
    <t>82. Barazanar ​​harin jiki</t>
  </si>
  <si>
    <t>p = 50; s = 0; d = 60</t>
  </si>
  <si>
    <t>w_theft</t>
  </si>
  <si>
    <t>Chad</t>
  </si>
  <si>
    <t>83. Theft of either money or property?</t>
  </si>
  <si>
    <t>Tchad</t>
  </si>
  <si>
    <t>83. Vol d'argent ou de propriété?</t>
  </si>
  <si>
    <t>Cadi</t>
  </si>
  <si>
    <t>83. Satar kudi ko kaya?</t>
  </si>
  <si>
    <t>${w_shm_in_niger} = 0</t>
  </si>
  <si>
    <t>w_arrest</t>
  </si>
  <si>
    <t>84. Detention or arrest by state security forces?</t>
  </si>
  <si>
    <t>84. Détention ou arrestation par les forces de sécurité de l'État ?</t>
  </si>
  <si>
    <t>84. Kaso ko kamu daga jami'an tsaron gwamnati?</t>
  </si>
  <si>
    <t>p = 50; s = 0-600; d = 60</t>
  </si>
  <si>
    <t>${w_shm_country} = -777</t>
  </si>
  <si>
    <t>w_vict_text</t>
  </si>
  <si>
    <t>p = 50; s = firstfield; d = lastfield</t>
  </si>
  <si>
    <t>whyno_in</t>
  </si>
  <si>
    <t>Permanently moved away from household</t>
  </si>
  <si>
    <t>Définitivement parti du ménage</t>
  </si>
  <si>
    <t>w_vict_text_note</t>
  </si>
  <si>
    <t>Ya yi ƙaura daga gidan nan na dindindin</t>
  </si>
  <si>
    <t>85. Now I would like to ask you to tell me more about your specific experience with:</t>
  </si>
  <si>
    <t>85. J'aimerais maintenant vous demander de m'en dire un peu plus sur votre expérience spécifique avec :</t>
  </si>
  <si>
    <t>search('towns', 'matches', 'country_id', ${w_shm_country})</t>
  </si>
  <si>
    <t>85. Yanzu ina so in tambaye ku ƙarin bayani game da abin da ka fuskanta masamman game da:</t>
  </si>
  <si>
    <t>${w_shm_in_niger} = 0 and ${w_shm_country} != -999</t>
  </si>
  <si>
    <t>groupname</t>
  </si>
  <si>
    <t>w_attack_note</t>
  </si>
  <si>
    <t>86. Physical attack</t>
  </si>
  <si>
    <t>Standard group</t>
  </si>
  <si>
    <t>Married out of family</t>
  </si>
  <si>
    <t>Marié hors famille</t>
  </si>
  <si>
    <t>86. Attaque physique</t>
  </si>
  <si>
    <t>Ya yi aure a wani gidan daban.</t>
  </si>
  <si>
    <t>86. harin jiki</t>
  </si>
  <si>
    <t>selected(${w_shm_town}, '-777')</t>
  </si>
  <si>
    <t>w_phys_threat_note</t>
  </si>
  <si>
    <t>87. Threat of physical violence/attack</t>
  </si>
  <si>
    <t>87. Menace de violence physique/agression</t>
  </si>
  <si>
    <t>87. Barazanar ​​harin jiki</t>
  </si>
  <si>
    <t>Divorced</t>
  </si>
  <si>
    <t>Divorcé</t>
  </si>
  <si>
    <t>An rabu</t>
  </si>
  <si>
    <t>…</t>
  </si>
  <si>
    <t>w_theft_note</t>
  </si>
  <si>
    <t>88. Theft of either money or property?</t>
  </si>
  <si>
    <t>88. Vol d'argent ou de propriété?</t>
  </si>
  <si>
    <t>Enumerator: If yes, please ask the respondent when the best time to return to survey ${shm_name} and note it down. We would like you to return to the household then to survey ${shm_name}.</t>
  </si>
  <si>
    <t>88. Satar kudi ko dukiya?</t>
  </si>
  <si>
    <t>Enquêteur : Si oui, veuillez demander au répondant quel est le meilleur moment pour revenir à l'enquête ${shm_name} et notez-le. Nous aimerions que vous retourniez au ménage pour enquêter ${shm_name}.</t>
  </si>
  <si>
    <t>Mai bincike: Idan eh ne, ka tambayi mai bada amsa lokacin da ya fi dacewa don komawa binciken ${shm_name} kuma arubuta shi. Da fatan za'a koma gidan don yin binciken ${shm_name}.</t>
  </si>
  <si>
    <t>Deceased</t>
  </si>
  <si>
    <t>Décédé</t>
  </si>
  <si>
    <t>Ya Mutu</t>
  </si>
  <si>
    <t>w_arrest_note</t>
  </si>
  <si>
    <t>89. Detention or arrest by state security forces?</t>
  </si>
  <si>
    <t>89. Détention ou arrestation par les forces de sécurité de l'État ?</t>
  </si>
  <si>
    <t>89. Kaso ko kamu daga jami'an tsaron gwamnati?</t>
  </si>
  <si>
    <t>81. Other, specify:</t>
  </si>
  <si>
    <t>81. Autre précisez:</t>
  </si>
  <si>
    <t>81. Sauran, bayar da cikakkun bayanai:</t>
  </si>
  <si>
    <t>w_meals_note</t>
  </si>
  <si>
    <t>90. I will now ask you about meals people in your household have consumed in the past 7 days.</t>
  </si>
  <si>
    <t>90. Je vais maintenant vous poser des questions sur les repas que les membres de votre ménage ont consommé au cours des 7 derniers jours.</t>
  </si>
  <si>
    <t>90. Yanzu zan tambaye ku bisa abincin da mutanen gidanku suka ci a cikin kwanaki 7 da suka wuce.</t>
  </si>
  <si>
    <t>repeatname</t>
  </si>
  <si>
    <t>Standard repeated group</t>
  </si>
  <si>
    <t xml:space="preserve">${speedcheck_w_loc_end} - ${speedcheck_w_loc_start} </t>
  </si>
  <si>
    <t>illness</t>
  </si>
  <si>
    <t>malaria</t>
  </si>
  <si>
    <t>w_adults_skip_days</t>
  </si>
  <si>
    <t>Paludisme</t>
  </si>
  <si>
    <t>91. In the last 7 days, have adults gone a whole day without meals?</t>
  </si>
  <si>
    <t>Masassarar cizon sauro</t>
  </si>
  <si>
    <t>91. Au cours des 7 derniers jours, des adultes sont-ils restés une journée entière sans manger de repas ?</t>
  </si>
  <si>
    <t>91. A cikin kwanaki 7 da suka wuce, ko manya gidanku sun zauna tsawon wuni guda basu ci abinci ba?</t>
  </si>
  <si>
    <t>w_adults_skip_days_num</t>
  </si>
  <si>
    <t>92. How many days?</t>
  </si>
  <si>
    <t>92. Pendant combien de jours?</t>
  </si>
  <si>
    <t>92. 151a Tsawon kwanaki nawa?</t>
  </si>
  <si>
    <t>tuberculosis</t>
  </si>
  <si>
    <t>Tuberculose</t>
  </si>
  <si>
    <t>Babban Tari</t>
  </si>
  <si>
    <t>w_adults_skip_meals</t>
  </si>
  <si>
    <t>93. In the last 7 days, have adults cut the size of meals or skipped meals?</t>
  </si>
  <si>
    <t>93. Au cours des 7 derniers jours, les adultes ont-ils réduit la taille de leur repas ou les ont-ils sauté?</t>
  </si>
  <si>
    <t>93. A cikin kwanaki 7 na ƙarshe, ko manyan gidanku sun rage yawan abincin da suka saba ci ko sun tsallake shi?</t>
  </si>
  <si>
    <t>yellow fever</t>
  </si>
  <si>
    <t>Fièvre jaune</t>
  </si>
  <si>
    <t>Farar masassara</t>
  </si>
  <si>
    <t>w_adults_skip_meal_num</t>
  </si>
  <si>
    <t>94. How many days?</t>
  </si>
  <si>
    <t>94. Pendant combien de jours?</t>
  </si>
  <si>
    <t>94. Tsawon kwana nawa?</t>
  </si>
  <si>
    <t>w_married</t>
  </si>
  <si>
    <t>140. Are you married?</t>
  </si>
  <si>
    <t>140. Es-tu marié?</t>
  </si>
  <si>
    <t>140. Ko ki na da aure?</t>
  </si>
  <si>
    <t>typhoid</t>
  </si>
  <si>
    <t>w_adult_protein</t>
  </si>
  <si>
    <t>Typhoïde</t>
  </si>
  <si>
    <t>95. In the past week how many days have adults in your household consumed animal protein (including fish, meat, poultry)?</t>
  </si>
  <si>
    <t>Masassarar kayan ɗanye</t>
  </si>
  <si>
    <t>95. Au cours des 7 derniers jours, combien de fois les adultes de votre ménage ont-ils consommé des protéines animales (y compris poisson, viande, volaille) ?</t>
  </si>
  <si>
    <t>95. A cikin kwanaki 7 da suka wuce sau nawa manyan gidanku suka ci abinci masu gina jiki kamar su kifi ko nama ko kaji?</t>
  </si>
  <si>
    <t>cholera</t>
  </si>
  <si>
    <t>Choléra</t>
  </si>
  <si>
    <t>kwalara</t>
  </si>
  <si>
    <t>w_child_skip_days</t>
  </si>
  <si>
    <t>96. In the last 7 days, have children (&lt;14) gone a whole day without meals?</t>
  </si>
  <si>
    <t>96. Au cours des 7 derniers jours, des enfants (&lt;14) ont-ils passé une journée entière sans manger de repas ?</t>
  </si>
  <si>
    <t>96. A cikin kwana 7 na ƙarshe, ko yara ƴan ƙasa da shekara goma sha huɗu sun zauna tsawon wuni guda ba su ci da abinci ba?</t>
  </si>
  <si>
    <t>w_pm_married</t>
  </si>
  <si>
    <t>141. Are you married to ${pm_name}?</t>
  </si>
  <si>
    <t>141. Êtes-vous mariée à ${pm_name} ?</t>
  </si>
  <si>
    <t>141. Kuna da aure ${pm_name}?</t>
  </si>
  <si>
    <t>${w_married} = 1</t>
  </si>
  <si>
    <t>diarrhea</t>
  </si>
  <si>
    <t>Diarrhée</t>
  </si>
  <si>
    <t>zawo</t>
  </si>
  <si>
    <t>w_child_skip_days_num</t>
  </si>
  <si>
    <t>97. How many days?</t>
  </si>
  <si>
    <t>97. Pendant combien de jours?</t>
  </si>
  <si>
    <t>97. 154a Tsawon kwanaki nawa?</t>
  </si>
  <si>
    <t>meningitis</t>
  </si>
  <si>
    <t>Méningite</t>
  </si>
  <si>
    <t>Sanƙarau</t>
  </si>
  <si>
    <t>w_child_skip_meals</t>
  </si>
  <si>
    <t>98. In the last 7 days, have children (&lt;14) cut the size of meals or skipped meals?</t>
  </si>
  <si>
    <t>98. Au cours des 7 derniers jours, des enfants (&lt;14) ont-ils réduit la taille de leurs repas ou les ont-ils sauté?</t>
  </si>
  <si>
    <t>98. A cikin kwanaki 7 na ƙarshe, suna da yara (&lt;14) sun rage yawan abinci ko sun rasa gaba ɗaya?</t>
  </si>
  <si>
    <t>Group repeated exactly three times</t>
  </si>
  <si>
    <t>w_spouse_together</t>
  </si>
  <si>
    <t>142. In the past month, how many nights have you and your spouse stayed in the same place?</t>
  </si>
  <si>
    <t>142. Au cours du mois dernier, combien de nuits avez-vous passées avec votre conjoint au même endroit ?</t>
  </si>
  <si>
    <t>142. A cikin watan da ya gabata, dare nawa kuka zauna tare da mijinki a wuri daya?</t>
  </si>
  <si>
    <t>chicken pox</t>
  </si>
  <si>
    <t>Varicelle</t>
  </si>
  <si>
    <t>w_child_skip_meals_num</t>
  </si>
  <si>
    <t>Kashin kaji/Farankama</t>
  </si>
  <si>
    <t>99. How many days?</t>
  </si>
  <si>
    <t>99. Pendant combien de jours?</t>
  </si>
  <si>
    <t>99. 155a Tsawon kwana nawa?</t>
  </si>
  <si>
    <t>w_child_protein</t>
  </si>
  <si>
    <t>100. In the past week how many days have children in your household consumed animal protein (inlcuding fish, meat, poultry)?</t>
  </si>
  <si>
    <t>100. Au cours des 7 derniers jours, combien de fois les enfants de votre ménage ont-ils consommé des protéines animales (y compris poisson, viande, volaille) ?</t>
  </si>
  <si>
    <t>pneumonia</t>
  </si>
  <si>
    <t>100. A cikin kwanaki 7 da suka gabata sau nawa yara a cikin gidanku suka ci abinci masu gina jiki kamar su kifi, nama, kaji ?</t>
  </si>
  <si>
    <t>Pneumonie</t>
  </si>
  <si>
    <t>ciwon huhu</t>
  </si>
  <si>
    <t>105. Sheep</t>
  </si>
  <si>
    <t>105. Mouton</t>
  </si>
  <si>
    <t>105. Rago</t>
  </si>
  <si>
    <t>w_consumption</t>
  </si>
  <si>
    <t>select_multiple cons_month</t>
  </si>
  <si>
    <t>w_monthly_consumption_any</t>
  </si>
  <si>
    <t>101. Has your household spent money on the following types of expenses in the past month?</t>
  </si>
  <si>
    <t>101. Votre ménage a-t-il dépensé de l'argent pour les types de dépenses suivants au cours du dernier mois ?</t>
  </si>
  <si>
    <t>101. Shin gidanku ya kashe kuɗi akan irin waɗannan abubuwan a cikin watan da ya gabata?</t>
  </si>
  <si>
    <t>schools</t>
  </si>
  <si>
    <t>Public school</t>
  </si>
  <si>
    <t>École publique</t>
  </si>
  <si>
    <t>Makarantar gwamnati</t>
  </si>
  <si>
    <t>w_cons_month</t>
  </si>
  <si>
    <t>Consumption - Monthly</t>
  </si>
  <si>
    <t>Consommation - Mensuelle</t>
  </si>
  <si>
    <t>Cimaka - kowane wata</t>
  </si>
  <si>
    <t>w_item</t>
  </si>
  <si>
    <t>item</t>
  </si>
  <si>
    <t>article</t>
  </si>
  <si>
    <t>kaya</t>
  </si>
  <si>
    <t>w_monthly_consumption_amt</t>
  </si>
  <si>
    <t>102. How much did your household spend on ${w_item} in the past month (in CFA)?</t>
  </si>
  <si>
    <t xml:space="preserve"> </t>
  </si>
  <si>
    <t>102. Combien votre ménage a-t-il dépensé pour ${w_item} au cours du dernier mois (en CFA) ?</t>
  </si>
  <si>
    <t>102. Nawa ne (a CFA) gidanku ya kashe akan ${w_item} cikin watan da ya gabata ?</t>
  </si>
  <si>
    <t>Franco Arab School</t>
  </si>
  <si>
    <t>Ecole franco arabe</t>
  </si>
  <si>
    <t>Makarantar Franco Arab /madarissa</t>
  </si>
  <si>
    <t>speed violations count</t>
  </si>
  <si>
    <t>Koranic School</t>
  </si>
  <si>
    <t>Makarantar Kur'ani/makarantar allo</t>
  </si>
  <si>
    <t>selected(${w_separate_savings}, '-777')</t>
  </si>
  <si>
    <t>select_multiple cons_week</t>
  </si>
  <si>
    <t>w_weekly_consumption_any</t>
  </si>
  <si>
    <t>103. Has your household spent money on the following types of expenses in the past week?</t>
  </si>
  <si>
    <t>103. Votre ménage a-t-il dépensé de l'argent pour les types de dépenses suivants au cours de la semaine dernière ?</t>
  </si>
  <si>
    <t>speed violations list</t>
  </si>
  <si>
    <t>Private School</t>
  </si>
  <si>
    <t>103. Ko a gidanku an kashe kuɗi akan ire iren waɗannan abubuwan a cikin satin da ya gabata?</t>
  </si>
  <si>
    <t>École privée</t>
  </si>
  <si>
    <t>Makaranta masu zaman kansu/ marantar biya</t>
  </si>
  <si>
    <t>w_cons_week</t>
  </si>
  <si>
    <t>Consumption - Weekly</t>
  </si>
  <si>
    <t>Consommation - Hebdomadaire</t>
  </si>
  <si>
    <t>Cimakar - sati-sati</t>
  </si>
  <si>
    <t>not(selected(${w_separate_savings}, '0'))</t>
  </si>
  <si>
    <t>111. Spend your savings?</t>
  </si>
  <si>
    <t>111. Utiliser votre épargne</t>
  </si>
  <si>
    <t>111. Kashe kuɗin ajiyar ku</t>
  </si>
  <si>
    <t>count-selected(${w_separate_savings})</t>
  </si>
  <si>
    <t>w_item_week</t>
  </si>
  <si>
    <t>item weekly</t>
  </si>
  <si>
    <t>article hebdomadaire</t>
  </si>
  <si>
    <t>kayan sati-sati</t>
  </si>
  <si>
    <t>speed violations audit</t>
  </si>
  <si>
    <t>112. Reduce spending on food or change your food consumption?</t>
  </si>
  <si>
    <t>112. Réduire les dépenses alimentaires ou changé des habitudes de consommation ?</t>
  </si>
  <si>
    <t>112. Rage kashe kuɗi akan abinci ko canza abincin?</t>
  </si>
  <si>
    <t>unit</t>
  </si>
  <si>
    <t>v = 5; d = 120</t>
  </si>
  <si>
    <t>w_weekly_consumption_amt</t>
  </si>
  <si>
    <t>104. How much did your household spend on ${w_item_week} in the past week (in CFA)?</t>
  </si>
  <si>
    <t>104. Combien votre ménage a-t-il dépensé en ${w_item_week} la semaine dernière (en CFA) ?</t>
  </si>
  <si>
    <t>kg</t>
  </si>
  <si>
    <t>104. Nawa ne gidan ku ya kashe (a CFA) a ${w_item_week} satin da ya gabata ?</t>
  </si>
  <si>
    <t>kilo</t>
  </si>
  <si>
    <t>if(selected-at(${w_separate_savings}, index()-1) = '-777', ${w_separate_savings_o}, choice-label(${w_separate_savings}, selected-at(${w_separate_savings}, index()-1)))</t>
  </si>
  <si>
    <t>sensor_stream movement</t>
  </si>
  <si>
    <t>box</t>
  </si>
  <si>
    <t>boîte</t>
  </si>
  <si>
    <t>kwanko</t>
  </si>
  <si>
    <t>w_tabaski</t>
  </si>
  <si>
    <t>. &gt; 0</t>
  </si>
  <si>
    <t>tia</t>
  </si>
  <si>
    <t>tiya</t>
  </si>
  <si>
    <t>period = 1</t>
  </si>
  <si>
    <t>w_purchase</t>
  </si>
  <si>
    <t>105. For tabaski, did your household purchase any of the following?</t>
  </si>
  <si>
    <t>Pour la Tabaski, votre menage a-t-il acheté l'un des articles suivants ?</t>
  </si>
  <si>
    <t>Don sallar laiya, gidanku sun sayi ɗaya daga cikin waɗannan abubuwan ?</t>
  </si>
  <si>
    <t>50kg sack</t>
  </si>
  <si>
    <t>sac de 50 kg</t>
  </si>
  <si>
    <t>Buhun kilo 50</t>
  </si>
  <si>
    <t>w_purchase_clothing</t>
  </si>
  <si>
    <t>106. Clothing</t>
  </si>
  <si>
    <t>106. Vêtements</t>
  </si>
  <si>
    <t>106. Tufafi</t>
  </si>
  <si>
    <t>sensor_statistic pct_movement_between</t>
  </si>
  <si>
    <t>100 kg sack</t>
  </si>
  <si>
    <t>sac de 100 kg</t>
  </si>
  <si>
    <t>Buhun kilo 100</t>
  </si>
  <si>
    <t>w_purchase_sheep</t>
  </si>
  <si>
    <t>107. Sheep</t>
  </si>
  <si>
    <t>107. Mouton</t>
  </si>
  <si>
    <t>107. Rago</t>
  </si>
  <si>
    <t>basket</t>
  </si>
  <si>
    <t>panier</t>
  </si>
  <si>
    <t>sanho</t>
  </si>
  <si>
    <t>w_purchase_goat</t>
  </si>
  <si>
    <t>108. Goat</t>
  </si>
  <si>
    <t>108. Chèvre</t>
  </si>
  <si>
    <t>min = 0.25; max = 2</t>
  </si>
  <si>
    <t>108. Akuya</t>
  </si>
  <si>
    <t>w_purchase_poultry</t>
  </si>
  <si>
    <t>109. Poultry</t>
  </si>
  <si>
    <t>109. Volaille</t>
  </si>
  <si>
    <t>unité</t>
  </si>
  <si>
    <t>109. Kaji/zabi</t>
  </si>
  <si>
    <t>ɗaya</t>
  </si>
  <si>
    <t>42. Do you already have a plan for using the money you have saved?</t>
  </si>
  <si>
    <t>42. Avez-vous déjà prévu d'utiliser l'argent que vous avez économisé ?</t>
  </si>
  <si>
    <t>42. Shin kuna da shirin yin amfani da kuɗin da kuka adana?</t>
  </si>
  <si>
    <t>Quick reference for relevance, constraint, and selected calculation expressions</t>
  </si>
  <si>
    <t>maraba (1.5 tia)</t>
  </si>
  <si>
    <t>Demi tiya (1.5 tia)</t>
  </si>
  <si>
    <t>43. Specify other:</t>
  </si>
  <si>
    <t>43. Autre à préciser</t>
  </si>
  <si>
    <t>43. Wani daban a baiyana</t>
  </si>
  <si>
    <t>ladle</t>
  </si>
  <si>
    <t>louche</t>
  </si>
  <si>
    <t>lude</t>
  </si>
  <si>
    <t>selected(${w_separate_savings_why}, '-777')</t>
  </si>
  <si>
    <t>117. Loan(s) you took</t>
  </si>
  <si>
    <t>117. Les prêt(s) que vous avez contracté</t>
  </si>
  <si>
    <t>117. Bashin da kuka ɗauka</t>
  </si>
  <si>
    <t>select_multiple emergency</t>
  </si>
  <si>
    <t>Learn about all available expressions in "Using expressions in your forms: a reference for all operators and functions"</t>
  </si>
  <si>
    <t>w_emergency</t>
  </si>
  <si>
    <t>110. Since our last in person interview (in , was your household negatively affected by any of the following types of events?</t>
  </si>
  <si>
    <t>110. Despuis notre dernière enquête en personne (mai/juin 2024), votre ménage a-t-il été affecté négativement par l'un des types d'événements suivants ?</t>
  </si>
  <si>
    <t>110. Tun daga tun bayan hirar mu ta ƙarshe a gaba da gaba (Mayu/Yuni 2024), ko gidanku ya fuskanci wani daga cikin matsaloli nan masu zuwa? Zaɓi duk abin da ya dace</t>
  </si>
  <si>
    <t>packet</t>
  </si>
  <si>
    <t>paquet</t>
  </si>
  <si>
    <t>pake</t>
  </si>
  <si>
    <t>44. You mentioned that you are saving for a major purchase. What are you planning to buy?</t>
  </si>
  <si>
    <t>44. Vous avez mentionné que vous économisez pour un achat important. Qu'envisagez-vous d'acheter ?</t>
  </si>
  <si>
    <t>44. Kun ambaci cewa kuna tanadi don sayen wani abu mai muhimmanci. Me kuke shirin saye?</t>
  </si>
  <si>
    <t>selected(${w_separate_savings_why}, '1')</t>
  </si>
  <si>
    <t>w_emergency_o</t>
  </si>
  <si>
    <t>111. Please briefly describe the event(s) that negatveily affected your household</t>
  </si>
  <si>
    <t>111. Veuillez décrire brièvement le/les événement(s) qui ont eu des effets négatifs sur votre ménage au cours des 3 derniers mois</t>
  </si>
  <si>
    <t>bundle</t>
  </si>
  <si>
    <t>111. Da fatan za ku yi taƙaitaccen bayani a kan abin da ya shafi gidan ku</t>
  </si>
  <si>
    <t>botte</t>
  </si>
  <si>
    <t>Dame</t>
  </si>
  <si>
    <t>45. Specify other:</t>
  </si>
  <si>
    <t>45. Autre à préciser</t>
  </si>
  <si>
    <t>45. Wani daban a baiyana</t>
  </si>
  <si>
    <t>w_emerg_resp</t>
  </si>
  <si>
    <t>Emergency response</t>
  </si>
  <si>
    <t>Operation</t>
  </si>
  <si>
    <t>other (to specify)</t>
  </si>
  <si>
    <t>selected(${w_major_purchase}, '-777')</t>
  </si>
  <si>
    <t>autre unite (a specifier)</t>
  </si>
  <si>
    <t>Wani daban ( a baiyyana)</t>
  </si>
  <si>
    <t>Operator</t>
  </si>
  <si>
    <t>120. Daily household expenses (Less than 500 CFA)</t>
  </si>
  <si>
    <t>Example</t>
  </si>
  <si>
    <t>Example answer</t>
  </si>
  <si>
    <t>120. Dépenses quotidiennes du ménage (Moins de 500 CFA)</t>
  </si>
  <si>
    <t>120. Kashe Kuɗin gidan na yau da kullum ( Kasa da dala ɗari CFA 500)</t>
  </si>
  <si>
    <t>Addition</t>
  </si>
  <si>
    <t>w_emergency_name</t>
  </si>
  <si>
    <t>Emergency Name</t>
  </si>
  <si>
    <t>121. Household purchases (over 500 CFA)</t>
  </si>
  <si>
    <t>+</t>
  </si>
  <si>
    <t>121. Achats du ménage (plus de 500 CFA)</t>
  </si>
  <si>
    <t>121. Sayayya na gida (sama da dala ɗari CFA 500)</t>
  </si>
  <si>
    <t>1 + 1</t>
  </si>
  <si>
    <t>w_emerg_yes</t>
  </si>
  <si>
    <t>Subtraction</t>
  </si>
  <si>
    <t>-</t>
  </si>
  <si>
    <t>crops</t>
  </si>
  <si>
    <t>w_emerg_note</t>
  </si>
  <si>
    <t>112. In response to ${w_emergency_name}, did you or your household take the following actions?</t>
  </si>
  <si>
    <t>112. En réponse à ${w_emergency_name}, avez-vous vous ou votre ménage pris les mesures suivantes ??</t>
  </si>
  <si>
    <t>Multiplication</t>
  </si>
  <si>
    <t>112. Dangance da ${w_emergency_name}, ku ko ƴan gindanku kun ɗauki waɗannan matakai?</t>
  </si>
  <si>
    <t>*</t>
  </si>
  <si>
    <t>3 * 2</t>
  </si>
  <si>
    <t>Division</t>
  </si>
  <si>
    <t>div</t>
  </si>
  <si>
    <t>10 div 2</t>
  </si>
  <si>
    <t>Modulus</t>
  </si>
  <si>
    <t>mod</t>
  </si>
  <si>
    <t>9 mod 2</t>
  </si>
  <si>
    <t xml:space="preserve">${speedcheck_w_savings_end} - ${speedcheck_w_savings_start} </t>
  </si>
  <si>
    <t>Equal</t>
  </si>
  <si>
    <t>w_emerg_sell</t>
  </si>
  <si>
    <t>113. Sell assets?</t>
  </si>
  <si>
    <t>113. Vendre des actifs</t>
  </si>
  <si>
    <t>Amaranth</t>
  </si>
  <si>
    <t>113. Saida kadarori</t>
  </si>
  <si>
    <t>Amarante</t>
  </si>
  <si>
    <t>=</t>
  </si>
  <si>
    <t>alaiyahu</t>
  </si>
  <si>
    <t>${fieldname} = 3</t>
  </si>
  <si>
    <t>true or false</t>
  </si>
  <si>
    <t>Not equal</t>
  </si>
  <si>
    <t>!=</t>
  </si>
  <si>
    <t>${fieldname} != 3</t>
  </si>
  <si>
    <t>Greater-than</t>
  </si>
  <si>
    <t>&gt;</t>
  </si>
  <si>
    <t>w_emerg_borrow</t>
  </si>
  <si>
    <t>114. Borrow money?</t>
  </si>
  <si>
    <t>${fieldname} &gt; 3</t>
  </si>
  <si>
    <t>114. Emprunter de l'argent</t>
  </si>
  <si>
    <t>Bitter tomato</t>
  </si>
  <si>
    <t>114. Bashin kuɗi</t>
  </si>
  <si>
    <t>Tomate amère</t>
  </si>
  <si>
    <t>Tumatir mai ɗaci</t>
  </si>
  <si>
    <t>&gt;-or-equal</t>
  </si>
  <si>
    <t>&gt;=</t>
  </si>
  <si>
    <t>${fieldname} &gt;= 3</t>
  </si>
  <si>
    <t>Less-than</t>
  </si>
  <si>
    <t>&lt;</t>
  </si>
  <si>
    <t>${fieldname} &lt; 3</t>
  </si>
  <si>
    <t>&lt;-or-equal</t>
  </si>
  <si>
    <t>&lt;=</t>
  </si>
  <si>
    <t>${fieldname} &lt;= 3</t>
  </si>
  <si>
    <t>Or</t>
  </si>
  <si>
    <t>or</t>
  </si>
  <si>
    <t>${fieldname} = 3 or ${fieldname} = 4</t>
  </si>
  <si>
    <t>w_emerg_spend</t>
  </si>
  <si>
    <t>115. Spend your savings?</t>
  </si>
  <si>
    <t>Calabash</t>
  </si>
  <si>
    <t>115. Utiliser votre épargne</t>
  </si>
  <si>
    <t>Calebasse</t>
  </si>
  <si>
    <t>115. Kashe kuɗin ajiyar ku</t>
  </si>
  <si>
    <t>And</t>
  </si>
  <si>
    <t>kwarya/ duma</t>
  </si>
  <si>
    <t>and</t>
  </si>
  <si>
    <t>${fieldname} &gt; 3 and ${fieldname} &lt; 5</t>
  </si>
  <si>
    <t>Not</t>
  </si>
  <si>
    <t>not()</t>
  </si>
  <si>
    <t>not(${fieldname} &gt; 3 and ${fieldname} &lt; 5)</t>
  </si>
  <si>
    <t>false or true</t>
  </si>
  <si>
    <t>w_emerg_consume</t>
  </si>
  <si>
    <t>Clove</t>
  </si>
  <si>
    <t>116. Reduce spending on food or change your food consumption?</t>
  </si>
  <si>
    <t>Clou de girofle</t>
  </si>
  <si>
    <t>116. Réduire les dépenses alimentaires ou changé des habitudes de consommation ?</t>
  </si>
  <si>
    <t>karamfani</t>
  </si>
  <si>
    <t>116. Rage kashe kuɗi akan abinci ko canza abincin da ku ka saba ci?</t>
  </si>
  <si>
    <t>Function</t>
  </si>
  <si>
    <t>relevant(field)</t>
  </si>
  <si>
    <t>relevant(${followup_question})</t>
  </si>
  <si>
    <t>Corn</t>
  </si>
  <si>
    <t>Maïs</t>
  </si>
  <si>
    <t>empty(field)</t>
  </si>
  <si>
    <t>Masara</t>
  </si>
  <si>
    <t>empty(${consent})</t>
  </si>
  <si>
    <t>once(expression)</t>
  </si>
  <si>
    <t>once(random())</t>
  </si>
  <si>
    <t>w_emerg_amt</t>
  </si>
  <si>
    <t>Cowpeas</t>
  </si>
  <si>
    <t>Niébé</t>
  </si>
  <si>
    <t>Wake</t>
  </si>
  <si>
    <t>pulldata(csvname, colname, lookupcolname, lookupval)</t>
  </si>
  <si>
    <t>pulldata('hhplotdata', 'plot1size', 'hhid_key', ${hhid})</t>
  </si>
  <si>
    <t>string-length(field)</t>
  </si>
  <si>
    <t>string-length(.) &gt; 3</t>
  </si>
  <si>
    <t>w_emerg_note2</t>
  </si>
  <si>
    <t>${w_shm_home} = 1 or ${w_shm_home_2w} = 1 or ${w_pm_home_2w} = 1 or ${w_pm_home} = 1</t>
  </si>
  <si>
    <t>117. For ${w_emergency_name}
 What was the value of the following in CFA?</t>
  </si>
  <si>
    <t>117. Par rapport à ${w_emergency_name}
 Quelle était la valeur des éléments suivantes en CFA?</t>
  </si>
  <si>
    <t>117. Game da ${w_emergency_name}
 Nawa ne kimar waɗannan abubuwan a kuɗin CFA?</t>
  </si>
  <si>
    <t>count-selected(field)</t>
  </si>
  <si>
    <t>count-selected(.) &gt;= 1</t>
  </si>
  <si>
    <t>Fonio</t>
  </si>
  <si>
    <t>46. I would like to ask you a few questions about your health and wellbeing</t>
  </si>
  <si>
    <t>w_emerg_sell_amt</t>
  </si>
  <si>
    <t>46. Je voudrais vous poser quelques questions sur votre santé et votre bien-être</t>
  </si>
  <si>
    <t>118. Assets you sold</t>
  </si>
  <si>
    <t>46. Ina so in yi muku wasu ƴan tambayoyi game da lafiyar jikinku da jin daɗin ku</t>
  </si>
  <si>
    <t>118. Les actifs que vous avez vendus</t>
  </si>
  <si>
    <t>118. Kadarorin da kuka saida</t>
  </si>
  <si>
    <t>Waken Awara</t>
  </si>
  <si>
    <t>selected(field, value)</t>
  </si>
  <si>
    <t>selected(${fieldname}, 'Male')</t>
  </si>
  <si>
    <t>w_emerg_borrow_amt</t>
  </si>
  <si>
    <t>119. Loan(s) you took</t>
  </si>
  <si>
    <t>119. Les prêt(s) que vous avez contracté</t>
  </si>
  <si>
    <t>119. Bashin da kuka ɗauka</t>
  </si>
  <si>
    <t>Groundnut</t>
  </si>
  <si>
    <t>Arachide</t>
  </si>
  <si>
    <t>Gyada /Gujiya</t>
  </si>
  <si>
    <t>selected-at(field, number)</t>
  </si>
  <si>
    <t>selected-at(${fieldname}, 0) = 'Shona'</t>
  </si>
  <si>
    <t>47. In general, how would you characterize your physical health?</t>
  </si>
  <si>
    <t>47. En général, comment caractériseriez-vous votre santé physique ?</t>
  </si>
  <si>
    <t>47. A taƙaice, yaya za ku siffanta lafiyar jikin ku?</t>
  </si>
  <si>
    <t>choice-label(field, value)</t>
  </si>
  <si>
    <t>choice-label(${selectonefield}, ${selectonefield})</t>
  </si>
  <si>
    <t>w_emerg_spend_amt</t>
  </si>
  <si>
    <t>120. Savings you spent?</t>
  </si>
  <si>
    <t>120. L'épargne que vous avez utilisé</t>
  </si>
  <si>
    <t>concat(fieldorstring, fieldorstring, ...)</t>
  </si>
  <si>
    <t>120. Ajiyar da kuka kashe</t>
  </si>
  <si>
    <t>concat(${firstname}, ' ', ${lastname})</t>
  </si>
  <si>
    <t>Manioc</t>
  </si>
  <si>
    <t>index()</t>
  </si>
  <si>
    <t>Rogo</t>
  </si>
  <si>
    <t>count(repeatgroup)</t>
  </si>
  <si>
    <t>count(${repeatgroupname})</t>
  </si>
  <si>
    <t>sum(repeatedfield)</t>
  </si>
  <si>
    <t>sum(${loan_size})</t>
  </si>
  <si>
    <t>48. Do you currently suffer from any illness or disability that limits your ability to travel or work?</t>
  </si>
  <si>
    <t>48. Souffrez-vous actuellement d'une maladie ou d'un handicap qui limite votre capacité à voyager ou à travailler ?</t>
  </si>
  <si>
    <t>48. A halin yanzu, ko kuna fama da wata rashin lafiya ko naƙasa da ke iya kawo muku cikas game da tahiya bulaguro ko yin aiki?</t>
  </si>
  <si>
    <t>join(string, repeatedfield)</t>
  </si>
  <si>
    <t>Millet</t>
  </si>
  <si>
    <t>join(' ,', ${hh_member_name})</t>
  </si>
  <si>
    <t>Gero/ Hatsi</t>
  </si>
  <si>
    <t>min(repeatedfield)</t>
  </si>
  <si>
    <t>min(${hh_member_age})</t>
  </si>
  <si>
    <t>max(repeatedfield)</t>
  </si>
  <si>
    <t>max(${hh_member_age})</t>
  </si>
  <si>
    <t>indexed-repeat(repeatedfield, repeatgroup, index)</t>
  </si>
  <si>
    <t>indexed-repeat(${name}, ${names}, 1)</t>
  </si>
  <si>
    <t>Mint</t>
  </si>
  <si>
    <t>Menthe</t>
  </si>
  <si>
    <t>Mant</t>
  </si>
  <si>
    <t>substr(fieldorstring, startindex, endindex)</t>
  </si>
  <si>
    <t>49. What illness limits you in this way?</t>
  </si>
  <si>
    <t>49. Quelle maladie vous limite de cette manière ?</t>
  </si>
  <si>
    <t>substr(${phone}, 0, 3)</t>
  </si>
  <si>
    <t>49. Wace cuta ce ke tsaida ku a kan wannan?</t>
  </si>
  <si>
    <t>coalesce(field1, field2)</t>
  </si>
  <si>
    <t>${w_illness_limit} = 1</t>
  </si>
  <si>
    <t>coalesce(${id}, ${id2})</t>
  </si>
  <si>
    <t>round(field, digits)</t>
  </si>
  <si>
    <t>round(${interest_rate}, 2)</t>
  </si>
  <si>
    <t>w_opinion_note</t>
  </si>
  <si>
    <t>121. I would like to ask your opinion about a several different topics. There are no right answers to these questions, we just want to understand what you think.</t>
  </si>
  <si>
    <t>Nutgrass</t>
  </si>
  <si>
    <t>121. J'aimerais vous demander votre avis sur plusieurs sujets différents. Il n'y a pas de bonnes réponses à ces questions, nous voulons juste comprendre ce que vous pensez.</t>
  </si>
  <si>
    <t>Souchet</t>
  </si>
  <si>
    <t>121. Ina so in tambayi ra'ayin ku game bisa batutuwa daban-daban. Babu amsoshin da suka dace ga waɗannan tambayoyin, muna son mu fafimci ra'ayinki ne kawai.</t>
  </si>
  <si>
    <t>Aya</t>
  </si>
  <si>
    <t>regex(field, expression)</t>
  </si>
  <si>
    <t>regex(., '[A-Za-z0-9._%+-]+@[A-Za-z0-9.-]+.[A-Za-z]{2,4}')</t>
  </si>
  <si>
    <t>if(expression, valueiftrue, valueiffalse)</t>
  </si>
  <si>
    <t>if(selected(${country}, 'South Africa') or selected(${country}, 'Zimbabwe'), 'SADC', 'Non-SADC')</t>
  </si>
  <si>
    <t>50. Other, specify:</t>
  </si>
  <si>
    <t>today()</t>
  </si>
  <si>
    <t>50. Autre précisez:</t>
  </si>
  <si>
    <t>50. Sauran, bayar da cikakkun bayanai:</t>
  </si>
  <si>
    <t>format-date-time(today(), '%Y-%b-%e')</t>
  </si>
  <si>
    <t>selected(${w_illness_limit_type} , '-777')</t>
  </si>
  <si>
    <t>Okra</t>
  </si>
  <si>
    <t>Gombo</t>
  </si>
  <si>
    <t>kuɓewa/ Miyar guro</t>
  </si>
  <si>
    <t>w_opinion_matter</t>
  </si>
  <si>
    <t>now()</t>
  </si>
  <si>
    <t>username()</t>
  </si>
  <si>
    <t>Onions</t>
  </si>
  <si>
    <t>51. In the past six months, did you suffer from an illness or injury that disrupted your daily life?</t>
  </si>
  <si>
    <t>51. Au cours des six derniers mois, avez-vous souffert d'une maladie ou d'une blessure qui a perturbé votre quotidien ?</t>
  </si>
  <si>
    <t>Oignons</t>
  </si>
  <si>
    <t>51. A cikin watanni shida da suka gabata, ko kun yi fama da rashin lafiya ko rauni wanda ya kawo cikas ga rayuwar yau da kullun?</t>
  </si>
  <si>
    <t>Albasa</t>
  </si>
  <si>
    <t>rank-index(index, repeatedfield)</t>
  </si>
  <si>
    <t>rank-index(1, ${random_draw})</t>
  </si>
  <si>
    <t>select_one opinion_important</t>
  </si>
  <si>
    <t>w_matter_note</t>
  </si>
  <si>
    <t>122. I would like to ask you about how decisions are made in your household. Please tell me to what degree does your opinion matter in decisions related to the following topics:</t>
  </si>
  <si>
    <t>rank-value(fieldorvalue, fieldorlist)</t>
  </si>
  <si>
    <t>122. Je voudrais vous poser quelques quetions sur la prise de décision dans votre ménage, dans quelle mesure votre opinion compte-t-elle dans les décisions liées aux sujets suivants :</t>
  </si>
  <si>
    <t>rank-value(${random_draw}, ${list_of_draws})</t>
  </si>
  <si>
    <t>122. Ina son in tambaye ku yadda ake yanke hukunci a gidanku. Da fatan za ku gaya mani matsayin ra'ayinku a yanke shawara bisa abubuwa masu zuwa:</t>
  </si>
  <si>
    <t>de-duplicate(string, field)</t>
  </si>
  <si>
    <t>de-duplicate(' ', join(' ', ${repeatedfield}))</t>
  </si>
  <si>
    <t>distance-between(geopointfield1, geopointfield2)</t>
  </si>
  <si>
    <t>Paddy rice</t>
  </si>
  <si>
    <t>distance-between(${start_gps}, ${end_gps})</t>
  </si>
  <si>
    <t>Riz non décortiqué</t>
  </si>
  <si>
    <t>shinkafa maras sissika</t>
  </si>
  <si>
    <t>area(repeatedgeopointfield)</t>
  </si>
  <si>
    <t>area(${gps_reading})</t>
  </si>
  <si>
    <t>52. What type of illness or injury did you experience?</t>
  </si>
  <si>
    <t>52. Preciser le type de maladie ou de blessure</t>
  </si>
  <si>
    <t>w_use_money_opinion</t>
  </si>
  <si>
    <t>52. Baiyana irin ciwo ko raunin da kuka yi fama da shi?</t>
  </si>
  <si>
    <t>123. How to use money that you earn</t>
  </si>
  <si>
    <t>phone-call-log()</t>
  </si>
  <si>
    <t>Enumerator: do not read options, code based on response</t>
  </si>
  <si>
    <t>123. Comment utiliser l'argent que vous gagnez</t>
  </si>
  <si>
    <t>Enquêteur : ne pas lire les options, code basé sur la réponse</t>
  </si>
  <si>
    <t>123. Yadda ake amfani da kuɗin da kuke samu</t>
  </si>
  <si>
    <t>Ɗan bincike: kar a karanta zaɓuɓɓuka, lamba bisa amsa</t>
  </si>
  <si>
    <t>${w_illness} = 1</t>
  </si>
  <si>
    <t>plug-in-metadata(field)</t>
  </si>
  <si>
    <t>Peanuts</t>
  </si>
  <si>
    <t>plug-in-metadata(${counter})</t>
  </si>
  <si>
    <t>Cacahuètes</t>
  </si>
  <si>
    <t>Gyada</t>
  </si>
  <si>
    <t>w_daily_hh_expenses_opinion</t>
  </si>
  <si>
    <t>124. Daily household expenses (Less than 500 CFA)</t>
  </si>
  <si>
    <t>124. Dépenses quotidiennes du ménage (Moins de 500 CFA)</t>
  </si>
  <si>
    <t>124. Kashe Kuɗin gidan na yau da kullum ( Kasa da dala ɗari CFA 500)</t>
  </si>
  <si>
    <t>53. Specify other illness or injury</t>
  </si>
  <si>
    <t>53. Preciser le type de maladie ou de blessure</t>
  </si>
  <si>
    <t>53. Baiyana irin ciwo ko raunin da kuka yi fama da shi?</t>
  </si>
  <si>
    <t>w_hh_purchases_opinion</t>
  </si>
  <si>
    <t>Peppers</t>
  </si>
  <si>
    <t>125. Household purchases (over 500 CFA)</t>
  </si>
  <si>
    <t>Poivrons</t>
  </si>
  <si>
    <t>125. Achats du ménage (plus de 500 CFA)</t>
  </si>
  <si>
    <t>tattase</t>
  </si>
  <si>
    <t>125. Sayayya na gida (sama da dala ɗari CFA 500)</t>
  </si>
  <si>
    <t>selected(${w_illness_type} , '-777')</t>
  </si>
  <si>
    <t>w_illnesses_opinion</t>
  </si>
  <si>
    <t>126. What to do if someone in your household falls ill</t>
  </si>
  <si>
    <t>126. Que faire si un membre de votre ménage tombe malade</t>
  </si>
  <si>
    <t>126. Abin da za'a yi idan wani a cikin gidanku ya kamu da rashin lafiya</t>
  </si>
  <si>
    <t>Sesame</t>
  </si>
  <si>
    <t>Sésame</t>
  </si>
  <si>
    <t>Riɗi</t>
  </si>
  <si>
    <t>54. Did you seek any treatment for any illness or injury?</t>
  </si>
  <si>
    <t>54. Avez-vous cherché un traitement pour une maladie ou une blessure ?</t>
  </si>
  <si>
    <t>54. Ko kun nemi wani magani don wata cuta ko rauni?</t>
  </si>
  <si>
    <t>w_attend_school_opinion</t>
  </si>
  <si>
    <t>127. Whether children attend school or not</t>
  </si>
  <si>
    <t>127. Que les enfants soient scolarisés ou non</t>
  </si>
  <si>
    <t>127. Ko za'a rubuta yara makaranta ko a'a</t>
  </si>
  <si>
    <t>Sorghum</t>
  </si>
  <si>
    <t>Sorgho</t>
  </si>
  <si>
    <t>Dawa</t>
  </si>
  <si>
    <t>w_migrate_opinion</t>
  </si>
  <si>
    <t>128. Whether you will migrate to find work or stay at home</t>
  </si>
  <si>
    <t>128. Si vous migrez pour trouver du travail ou rester à la maison</t>
  </si>
  <si>
    <t>128. Ko za ku yi tahiya wurin biɗa ko za ku zauna a gida</t>
  </si>
  <si>
    <t>55. Now I want to ask you about the past week (7 days)</t>
  </si>
  <si>
    <t>55. Maintenant, je veux vous poser des questions sur la semaine dernière (7 jours)</t>
  </si>
  <si>
    <t>55. Yanzu ina son in muku tambayoyi bisa satin (makon) da ya wuce (kwana 7)</t>
  </si>
  <si>
    <t>Sorrel</t>
  </si>
  <si>
    <t>Oseille</t>
  </si>
  <si>
    <t>Yakuwa</t>
  </si>
  <si>
    <t>56. How many hours of sleep per night did you get on average in the last seven days?</t>
  </si>
  <si>
    <t>56. Combien d'heures de sommeil par nuit avez-vous dormi en moyenne au cours des sept derniers jours ?</t>
  </si>
  <si>
    <t>56. Misalin Sa'o'i nawa a taƙaice kuke yin barci a kowane dare a cikin kwanaki bakwai na ƙarshe da suka wuce?</t>
  </si>
  <si>
    <t>Squash</t>
  </si>
  <si>
    <t>Courge</t>
  </si>
  <si>
    <t>w_input</t>
  </si>
  <si>
    <t>Kabewa</t>
  </si>
  <si>
    <t>. &gt;= 0 and . &lt;= 10</t>
  </si>
  <si>
    <t>w_input_note</t>
  </si>
  <si>
    <t>129. Can you make your own decisions, without the input of anyone else if you want to regarding:</t>
  </si>
  <si>
    <t>129. Pouvez-vous prendre vos propres décisions, sans l'intervention de quelqu'un d'autre, si vous le souhaitez concernant :</t>
  </si>
  <si>
    <t>129. Za ku iya yanke shawara da kanku, ba tare da sa bakin wani ba idan kuna so dangance da:</t>
  </si>
  <si>
    <t>Sweet potatoes</t>
  </si>
  <si>
    <t>Patates douces</t>
  </si>
  <si>
    <t>Dankali</t>
  </si>
  <si>
    <t>w_use_money_decide</t>
  </si>
  <si>
    <t>130. How to use money that you earn</t>
  </si>
  <si>
    <t>130. Comment utiliser l'argent que vous gagnez</t>
  </si>
  <si>
    <t>130. Yadda ake amfani da kuɗin da kuke samu</t>
  </si>
  <si>
    <t>Wheat</t>
  </si>
  <si>
    <t>Blé</t>
  </si>
  <si>
    <t>Alkama</t>
  </si>
  <si>
    <t>w_daily_hh_expenses_decide</t>
  </si>
  <si>
    <t>131. Daily household expenses (less than 500 CFA)</t>
  </si>
  <si>
    <t>131. Dépenses quotidiennes du ménage (moins de 500 CFA)</t>
  </si>
  <si>
    <t>131. Kashe Kuɗin gida na yau da kullum ( Kasa da dala ɗari CFA 500)</t>
  </si>
  <si>
    <t>Yam</t>
  </si>
  <si>
    <t>Igname</t>
  </si>
  <si>
    <t>field-list</t>
  </si>
  <si>
    <t>Doya</t>
  </si>
  <si>
    <t>w_hh_purchases_decide</t>
  </si>
  <si>
    <t>132. Household purchases (over 500 CFA)</t>
  </si>
  <si>
    <t>132. Achats du ménage (plus de 500 CFA)</t>
  </si>
  <si>
    <t>132. Sayayya na gida (sama da dala ɗari CFA 500)</t>
  </si>
  <si>
    <t>57. In the past week, how often did you experience the following feelings?</t>
  </si>
  <si>
    <t>57. Au cours de la semaine dernière, à quelle fréquence avez-vous ressenti les sentiments suivants ?</t>
  </si>
  <si>
    <t>57. A cikin satin da ya wuce, sau nawa kuka ji irin waɗannan abubuwan a ranku?</t>
  </si>
  <si>
    <t>w_job_decide</t>
  </si>
  <si>
    <t>133. What job you do</t>
  </si>
  <si>
    <t>133. Quel travail tu fais</t>
  </si>
  <si>
    <t>133. Wane aiki kuke yi</t>
  </si>
  <si>
    <t>w_migrate_decide</t>
  </si>
  <si>
    <t>134. Whether you will migrate to find work</t>
  </si>
  <si>
    <t>134. Si vous migrez pour trouver du travail</t>
  </si>
  <si>
    <t>134. Ko za ku yi tahiya don neman aiki</t>
  </si>
  <si>
    <t>58. Enjoyment</t>
  </si>
  <si>
    <t>58. Plaisir</t>
  </si>
  <si>
    <t>58. jin daɗi</t>
  </si>
  <si>
    <t>list-nolabel</t>
  </si>
  <si>
    <t>assets</t>
  </si>
  <si>
    <t>Generator</t>
  </si>
  <si>
    <t>Groupe electrogene</t>
  </si>
  <si>
    <t>Ganareto</t>
  </si>
  <si>
    <t>149. How often, if ever do you talk about the role of women in society with other people?</t>
  </si>
  <si>
    <t>149. À quelle fréquence, si jamais cela est arrivé, parlez-vous du rôle des femmes dans la société avec d'autres personnes ?</t>
  </si>
  <si>
    <t>149. Sau nawa, idan ya na faruwa, kuke yin magana game da taka rawan mata a cikin al'umma tare da sauran mutane?</t>
  </si>
  <si>
    <t>135. The next set of questions are for married women only. Are you married?</t>
  </si>
  <si>
    <t>135. La série de questions suivante s'adresse uniquement aux femmes mariées. Es-tu marié?</t>
  </si>
  <si>
    <t>135. Tambayoyi na gaba na matan aure ne kawai. Ko ki na da aure?</t>
  </si>
  <si>
    <t>59. Happiness</t>
  </si>
  <si>
    <t>59. Bonheur</t>
  </si>
  <si>
    <t>59. Farin ciki</t>
  </si>
  <si>
    <t>TV set</t>
  </si>
  <si>
    <t>poste de télévision</t>
  </si>
  <si>
    <t>talabijan/ Tele</t>
  </si>
  <si>
    <t>Are you married to ${pm_name}?</t>
  </si>
  <si>
    <t>Êtes-vous mariée à ${pm_name} ?</t>
  </si>
  <si>
    <t>Kuna da aure ${pm_name}?</t>
  </si>
  <si>
    <t>In the past month, how many nights have you and your spouse stayed in the same place?</t>
  </si>
  <si>
    <t>Au cours du mois dernier, combien de nuits avez-vous passées avec votre conjoint au même endroit ?</t>
  </si>
  <si>
    <t>A cikin watan da ya gabata, dare nawa kuka zauna tare da mijinki a wuri daya?</t>
  </si>
  <si>
    <t>Radio</t>
  </si>
  <si>
    <t>Rediyo</t>
  </si>
  <si>
    <t>60. Stress</t>
  </si>
  <si>
    <t>60. Babbar Damuwa</t>
  </si>
  <si>
    <t>Mobile Phone</t>
  </si>
  <si>
    <t>Téléphone mobile</t>
  </si>
  <si>
    <t>w_husband_wife_discuss</t>
  </si>
  <si>
    <t>Wayar Hannu/ Salula</t>
  </si>
  <si>
    <t>136. I am now going to mention some things that husband and wives sometimes speak about. Please tell me if you and your spouse talk about these things</t>
  </si>
  <si>
    <t>136. Je vais maintenant mentionner certaines choses dont les maris et les femmes parlent parfois. Veuillez me dire si vous et votre conjoint parlez de ces choses</t>
  </si>
  <si>
    <t>136. Yanzu zan ambaci wasu abubuwa da mata da miji suke magana akai. Don Allah ku gaya mini idan ku da mijinku kuna magana a kan waɗannan abubuwan</t>
  </si>
  <si>
    <t>61. Worry</t>
  </si>
  <si>
    <t>61. Inquiétude</t>
  </si>
  <si>
    <t>61. Damuwa</t>
  </si>
  <si>
    <t>w_discuss_work</t>
  </si>
  <si>
    <t>Traditional bed</t>
  </si>
  <si>
    <t>137. Things that happen at work or in the fields?</t>
  </si>
  <si>
    <t>Lit traditionnel</t>
  </si>
  <si>
    <t>137. Des choses qui se passent au travail ou dans les champs ?</t>
  </si>
  <si>
    <t>137. Abubuwan da ke faruwa a wurin aiki ko a gona?</t>
  </si>
  <si>
    <t>Gadon gargajiya</t>
  </si>
  <si>
    <t>w_discuss_community</t>
  </si>
  <si>
    <t>138. Things that happen in the community?</t>
  </si>
  <si>
    <t>138. Des choses qui se passent dans la communauté ?</t>
  </si>
  <si>
    <t>138. Abubuwan da ke faruwa a cikin al'umma?</t>
  </si>
  <si>
    <t>Iron/wooden bed</t>
  </si>
  <si>
    <t>Lit en fer/bois</t>
  </si>
  <si>
    <t>Gadon ƙarfe / katako</t>
  </si>
  <si>
    <t>62. Anger</t>
  </si>
  <si>
    <t>62. Colère</t>
  </si>
  <si>
    <t>62. Fushi</t>
  </si>
  <si>
    <t>w_discuss_election</t>
  </si>
  <si>
    <t>139. Who to vote for in local elections?</t>
  </si>
  <si>
    <t>139. Pour qui voter aux élections municipales ?</t>
  </si>
  <si>
    <t>139. Wanene za'a zaɓa a zaɓen ƙananan hukumomi?</t>
  </si>
  <si>
    <t>Flashlight</t>
  </si>
  <si>
    <t>Torche</t>
  </si>
  <si>
    <t>Tocila/ yer hannu</t>
  </si>
  <si>
    <t>w_discuss_invest</t>
  </si>
  <si>
    <t>140. How to you invest your money such as whether to improve your house</t>
  </si>
  <si>
    <t>140. Comment investir votre argent, par exemple pour améliorer votre maison</t>
  </si>
  <si>
    <t>140. Yadda za ku kashe kuɗin ku, kamar gyaran gidanku</t>
  </si>
  <si>
    <t>63. Physical pain</t>
  </si>
  <si>
    <t>63. Douleur physique</t>
  </si>
  <si>
    <t>63. ciwon jiki</t>
  </si>
  <si>
    <t>Bike</t>
  </si>
  <si>
    <t>w_discuss_children</t>
  </si>
  <si>
    <t>Vélo</t>
  </si>
  <si>
    <t>141. Family planning (when to have children)</t>
  </si>
  <si>
    <t>Keke/ Belo</t>
  </si>
  <si>
    <t>141. Planification familiale (quand avoir des enfants)</t>
  </si>
  <si>
    <t>141. Tsarin iyali (lokacin ɗaukan ciki)</t>
  </si>
  <si>
    <t>w_discuss_school</t>
  </si>
  <si>
    <t>Children’s enrollment in school</t>
  </si>
  <si>
    <t>64. Loneliness</t>
  </si>
  <si>
    <t>64. Solitude</t>
  </si>
  <si>
    <t>64. kadaici</t>
  </si>
  <si>
    <t>Scolarisation des enfants</t>
  </si>
  <si>
    <t>Motorbike</t>
  </si>
  <si>
    <t>Moto</t>
  </si>
  <si>
    <t>Shigar da yara makaranta</t>
  </si>
  <si>
    <t>Babur/ Moto</t>
  </si>
  <si>
    <t>Plow</t>
  </si>
  <si>
    <t>w_discuss_age_marry</t>
  </si>
  <si>
    <t>Charrue</t>
  </si>
  <si>
    <t>The age at which your daughters should marry</t>
  </si>
  <si>
    <t>Galma</t>
  </si>
  <si>
    <t>Âge auquel vos filles devraient se marier</t>
  </si>
  <si>
    <t>Shekarar da ƴaƴanku mata zasu yin aure</t>
  </si>
  <si>
    <t>w_spouse_disagree</t>
  </si>
  <si>
    <t>142. Do you and your spouse ever disagree about any of these topics?</t>
  </si>
  <si>
    <t>Cart</t>
  </si>
  <si>
    <t>142. Vous et votre conjoint avez-vous déjà eu un désaccord sur ces sujets ?</t>
  </si>
  <si>
    <t>Chariot</t>
  </si>
  <si>
    <t>142. Ko ke da mijnki kun taɓa samun saɓani game da waɗannan batutuwa?</t>
  </si>
  <si>
    <t>Amalanke</t>
  </si>
  <si>
    <t>w_spouse_contentious</t>
  </si>
  <si>
    <t>143. Do these conversations ever get contentious?</t>
  </si>
  <si>
    <t>143. Ces conversations deviennent-elles parfois controversées ?</t>
  </si>
  <si>
    <t>143. Ko waɗannan hirarrakin sun taɓa zama sabani?</t>
  </si>
  <si>
    <t>Pickaxe</t>
  </si>
  <si>
    <t>Pioche</t>
  </si>
  <si>
    <t>Diga</t>
  </si>
  <si>
    <t>w_spouse_avoid</t>
  </si>
  <si>
    <t>Do you avoid talking with your husband about certain topics due to fear about how your husband would respond?</t>
  </si>
  <si>
    <t>Évitez-vous d'aborder certains sujets avec votre mari par crainte de sa réaction ?</t>
  </si>
  <si>
    <t>Ko kina gujewa yin magana da mijinki akan wasu batutuwa saboda tsoron yadda zai mayar miki da maganar ?</t>
  </si>
  <si>
    <t>65. I will now read out several statements. You should tell me whether these statements are true for you by using the following scale.</t>
  </si>
  <si>
    <t>65. Je vais maintenant lire plusieurs déclarations. Vous devez me dire si ces affirmations sont vraies pour vous en utilisant l'échelle suivante.</t>
  </si>
  <si>
    <t>65. Yanzu zan karanta wasu maganganu da yawa. Za ku gaya mini ko waɗannan maganganun sun yi daidai da ku ta hanyar yin amfani da kuranga mai zuwa.</t>
  </si>
  <si>
    <t>select_multiple topics</t>
  </si>
  <si>
    <t>w_spouse_avoid_topics</t>
  </si>
  <si>
    <t>What topics do you avoid?</t>
  </si>
  <si>
    <t>Quels sujets évitez-vous ?</t>
  </si>
  <si>
    <t>Wadanne batutuwa kuke gujewa?</t>
  </si>
  <si>
    <t>w_spouse_avoid_topics_o</t>
  </si>
  <si>
    <t>Specify other</t>
  </si>
  <si>
    <t>Wani daban a Bayyana</t>
  </si>
  <si>
    <t>66. I feel I do not have much to be proud of.</t>
  </si>
  <si>
    <t>66. Je sens que je n'ai pas beaucoup de raisons d'être fier (comblé).</t>
  </si>
  <si>
    <t>66. Ina jin ba ni da hujjojin ji da kai na.</t>
  </si>
  <si>
    <t>w_agree_note</t>
  </si>
  <si>
    <t>144. I will read you several statements. Please tell me the extent do you agree/disagree with each:</t>
  </si>
  <si>
    <t>144. Je vais vous lire plusieurs déclarations. Veuillez me dire dans quelle mesure êtes-vous d'accord/pas d'accord avec chacun :</t>
  </si>
  <si>
    <t>144. Zan karanta muku maganganu da yawa. Da fatan za a gaya mini iya yarda/rishin yarda da kowanne:</t>
  </si>
  <si>
    <t>livestock</t>
  </si>
  <si>
    <t>Poultry</t>
  </si>
  <si>
    <t>Volaille</t>
  </si>
  <si>
    <t>Kaji</t>
  </si>
  <si>
    <t>w_respect_decision</t>
  </si>
  <si>
    <t>145. I must always respect decisions taken by my household even if you do not agree</t>
  </si>
  <si>
    <t>145. Je dois toujours respecter les décisions prises par mon ménage même si je ne suis pas d'accord</t>
  </si>
  <si>
    <t>67. At times I think I am no good at all.</t>
  </si>
  <si>
    <t>145. Dole ne in mutunta shawarar da gidanmu ya yanke ko da ba ra'ayina ba ne</t>
  </si>
  <si>
    <t>67. Parfois, je pense que je suis utile a rien</t>
  </si>
  <si>
    <t>67. A wasu lokuta ina ganin bani da amfani komai.</t>
  </si>
  <si>
    <t>Goats</t>
  </si>
  <si>
    <t>Chèvres</t>
  </si>
  <si>
    <t>Awaki</t>
  </si>
  <si>
    <t>w_duty_family</t>
  </si>
  <si>
    <t>146. I should always sacrifice my personal needs and wants to satisfy my parents.</t>
  </si>
  <si>
    <t>146. Je devrais toujours sacrifier mes besoins personnels et vouloir satisfaire mes parents.</t>
  </si>
  <si>
    <t>146. Dole ne ko yaushe in sadaukar da bukatuna na kaina don in gamsar da iyayena.</t>
  </si>
  <si>
    <t>Sheep</t>
  </si>
  <si>
    <t>w_emergency_capital</t>
  </si>
  <si>
    <t>Mouton</t>
  </si>
  <si>
    <t>147. If I had an emergency that required 5,000 CFA urgently (within 3 days), I would be able to find the money.</t>
  </si>
  <si>
    <t>Tumaki</t>
  </si>
  <si>
    <t>147. Si j'avais une urgence qui nécessitait 5 000 CFA en urgence (dans les 3 jours), je serais capable de trouver l'argent.</t>
  </si>
  <si>
    <t>147. Idan ina da biƙatar gaggawa na 5,000 CFA (a cikin kwanaki 3), zan iya samun kuɗin.</t>
  </si>
  <si>
    <t>select_one contact_relation</t>
  </si>
  <si>
    <t>w_emergency_who</t>
  </si>
  <si>
    <t>Cattle</t>
  </si>
  <si>
    <t>148. What type of person would you go to first for this money?</t>
  </si>
  <si>
    <t>148. Vers quel type de personne iriez-vous en premier pour cet argent ?</t>
  </si>
  <si>
    <t>68.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</si>
  <si>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Vaches</t>
  </si>
  <si>
    <t>148. Wane irin mutum ne za ku fara zuwa wurin shi don wannan kuɗin?</t>
  </si>
  <si>
    <t>68.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</si>
  <si>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Shanu</t>
  </si>
  <si>
    <t>68.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</si>
  <si>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Use the scale from 0 to 10</t>
  </si>
  <si>
    <t>Ca C'est une mesure de 0 à 10</t>
  </si>
  <si>
    <t>Wannan ma'auni ne daga 0 zuwa 10</t>
  </si>
  <si>
    <t>w_emergency_who_o</t>
  </si>
  <si>
    <t>149. Specify your relationship with this person</t>
  </si>
  <si>
    <t>149. Précisez votre relation avec cette personne</t>
  </si>
  <si>
    <t>149. Faɗi dangantakar ku da wannan mutumen</t>
  </si>
  <si>
    <t>Horses</t>
  </si>
  <si>
    <t>Les chevaux</t>
  </si>
  <si>
    <t>Dawaki</t>
  </si>
  <si>
    <t>w_roles_note</t>
  </si>
  <si>
    <t>150. The next set of questions are about your opinions regarding the roles that women and men play</t>
  </si>
  <si>
    <t>150. La prochaine série de questions porte sur vos opinions concernant les rôles que jouent les femmes et les hommes</t>
  </si>
  <si>
    <t>150. Tambayoyi na gaba sun ta'allaƙa ne da ra'ayoyin ku game da rawar da mata da maza suke takawa.</t>
  </si>
  <si>
    <t>Camels</t>
  </si>
  <si>
    <t>Chameaux</t>
  </si>
  <si>
    <t>Rakumma</t>
  </si>
  <si>
    <t>w_discuss_women</t>
  </si>
  <si>
    <t>151. How often, if ever do you talk about the role of women in society with other people?</t>
  </si>
  <si>
    <t>151. À quelle fréquence, si jamais cela est arrivé, parlez-vous du rôle des femmes dans la société avec d'autres personnes ?</t>
  </si>
  <si>
    <t>151. Sau nawa, idan ya na faruwa, kuke yin magana game da taka rawan mata a cikin al'umma tare da sauran mutane?</t>
  </si>
  <si>
    <t>Donkey</t>
  </si>
  <si>
    <t>Âne</t>
  </si>
  <si>
    <t>Jaki</t>
  </si>
  <si>
    <t>w_influence_note</t>
  </si>
  <si>
    <t>152. In your opinion, how much influence a wife should have over the following decisions within a couple?</t>
  </si>
  <si>
    <t>152. Selon vous, quelle influence une épouse devrait-elle avoir sur les décisions suivantes au sein d'un couple ?</t>
  </si>
  <si>
    <t>152. A ra'ayinka, wane tasiri mace ya kamata ta yi bisa yanke shawarwari da zan zana a tsakanin ta da mijinta?</t>
  </si>
  <si>
    <t>select_one husbandwife</t>
  </si>
  <si>
    <t>w_daily_hh_expenses_couple</t>
  </si>
  <si>
    <t>153. Daily household expenses (Less than 500 CFA)</t>
  </si>
  <si>
    <t>153. Dépenses quotidiennes du ménage (Moins de 500 CFA)</t>
  </si>
  <si>
    <t>153. Kashe kashen kuɗin gida na yau da kullun ( Kasa da dala ɗari CFA 500)</t>
  </si>
  <si>
    <t>69. Now I am going to ask you about the areas of your life that worry you.</t>
  </si>
  <si>
    <t>69. Je voudrais maintenant vous poser des questions sur les choses qui vous inquiètent dans votre vie.</t>
  </si>
  <si>
    <t>69. Yanzu ina son in tambaye ku bisa abubuwan da ke damun ku a cikin rayuwar ku.</t>
  </si>
  <si>
    <t>w_hh_purchases_couple</t>
  </si>
  <si>
    <t>154. Household purchases worth more than 500 CFA</t>
  </si>
  <si>
    <t>154. Achats des ménages d'une valeur supérieure à 500 CFA</t>
  </si>
  <si>
    <t>154. Siyayyar gida na sama da dala ɗari 500 CFA</t>
  </si>
  <si>
    <t>w_fam_plan_couple</t>
  </si>
  <si>
    <t>155. Family planning (how many children to have)</t>
  </si>
  <si>
    <t>70. How stressed are you about the following areas of your life?</t>
  </si>
  <si>
    <t>155. Planification familiale (combien d'enfants avoir)</t>
  </si>
  <si>
    <t>70. Dans quelle mesure êtes-vous stressé par les domaines suivants de votre vie ?</t>
  </si>
  <si>
    <t>155. Tsarin iyali (ƴaƴa nawa za a haifa)</t>
  </si>
  <si>
    <t>70. Yaya damuwarku game da abubuwa na rayuwarku da zan zana?</t>
  </si>
  <si>
    <t>activities</t>
  </si>
  <si>
    <t>Farming/Agriculture</t>
  </si>
  <si>
    <t>Agriculture</t>
  </si>
  <si>
    <t>Noma</t>
  </si>
  <si>
    <t>w_migrate_couple</t>
  </si>
  <si>
    <t>156. Whether the husband will migrate to find work</t>
  </si>
  <si>
    <t>156. Si le mari va migrer pour trouver du travail</t>
  </si>
  <si>
    <t>156. Ko miji zai yi tahiya don neman aiki</t>
  </si>
  <si>
    <t>w_vote_couple</t>
  </si>
  <si>
    <t>157. Who to vote for in local elections?</t>
  </si>
  <si>
    <t>157. Pour qui voter aux élections municipales ?</t>
  </si>
  <si>
    <t>157. Wanene za'a zaɓa a zaɓen ƙananan hukumomi?</t>
  </si>
  <si>
    <t>Herding</t>
  </si>
  <si>
    <t>71. Your own health problems, illness</t>
  </si>
  <si>
    <t>Élevage</t>
  </si>
  <si>
    <t>71. Vos propres problèmes de santé</t>
  </si>
  <si>
    <t>71. Matsalolin lafiyar jikinku</t>
  </si>
  <si>
    <t>Kiwo</t>
  </si>
  <si>
    <t>w_marry_couple</t>
  </si>
  <si>
    <t>158. To whom your daughter should marry?</t>
  </si>
  <si>
    <t>158. Avec qui votre fille devrait-elle se marier ?</t>
  </si>
  <si>
    <t>158. Wa ya kamata ƴarku ta aura?</t>
  </si>
  <si>
    <t>Small business</t>
  </si>
  <si>
    <t>Petit commerce</t>
  </si>
  <si>
    <t>Ƙananan kasuwanci</t>
  </si>
  <si>
    <t>w_marry_age</t>
  </si>
  <si>
    <t>The age your daughter should marry?</t>
  </si>
  <si>
    <t>72. Problems at home and with relatives</t>
  </si>
  <si>
    <t>72. Problèmes dans le ménage et avec les proches</t>
  </si>
  <si>
    <t>72. Matsaloli na cikin gida da na dangi</t>
  </si>
  <si>
    <t>Artisan production</t>
  </si>
  <si>
    <t>Production Artisanale</t>
  </si>
  <si>
    <t>Aikin hannu</t>
  </si>
  <si>
    <t>w_school_couple</t>
  </si>
  <si>
    <t>159. Children's enrollment in school</t>
  </si>
  <si>
    <t>159. Inscription des enfants à l'école</t>
  </si>
  <si>
    <t>159. Rubuta yara a makaranta</t>
  </si>
  <si>
    <t>Butcher</t>
  </si>
  <si>
    <t>Boucher</t>
  </si>
  <si>
    <t>73. Accidents and disasters</t>
  </si>
  <si>
    <t>mahauci</t>
  </si>
  <si>
    <t>73. Accidents et catastrophes</t>
  </si>
  <si>
    <t>73. Hatsari da ibtila'i</t>
  </si>
  <si>
    <t>w_marry_daughter_relig</t>
  </si>
  <si>
    <t>160. Imagine one of your daughters wanted to marry someone of a different religious faith, would you give them your permission?</t>
  </si>
  <si>
    <t>160. Imaginez qu'une de vos filles veuille épouser quelqu'un d'une confession religieuse différente, leur donneriez-vous votre permission ?</t>
  </si>
  <si>
    <t>160. Ku ƙaddara da wata ɗiyarku ta na son ta auri wani mai bin wani addini daban, za ku bada izininku?</t>
  </si>
  <si>
    <t>Lumberjack/woodcutter</t>
  </si>
  <si>
    <t>Bûcheron</t>
  </si>
  <si>
    <t>Mai saran itace</t>
  </si>
  <si>
    <t>w_marry_son_relig</t>
  </si>
  <si>
    <t>161. Imagine one of your sons wanted to marry someone of a different religious faith, would you give them your permission?</t>
  </si>
  <si>
    <t>161. Imaginez que l'un de vos fils veuille épouser quelqu'un d'une confession religieuse différente, leur donneriez-vous votre permission ?</t>
  </si>
  <si>
    <t>161. Ku ƙaddara da wani ɗanku ya na son ya auri wata ƴa mai bin wani addini daban, za ku bada izininku?</t>
  </si>
  <si>
    <t>74. Problems with people in other ethnic groups</t>
  </si>
  <si>
    <t>74. Problèmes avec les personnes d'autres groupes ethniques</t>
  </si>
  <si>
    <t>74. Matsaloli da mutanen wasu kabilu daban</t>
  </si>
  <si>
    <t>w_marry_daughter_eth</t>
  </si>
  <si>
    <t>162. Imagine one of your daughters wanted to marry someone of a different ethnic group, would you give them your permission?</t>
  </si>
  <si>
    <t>Domestic labor</t>
  </si>
  <si>
    <t>Domestique</t>
  </si>
  <si>
    <t>162. Imaginez qu'une de vos filles veuille épouser quelqu'un d'un groupe ethnique différent, leur donneriez-vous votre permission ?</t>
  </si>
  <si>
    <t>Aikin gida</t>
  </si>
  <si>
    <t>162. Ku ƙaddara da wata ɗiyarka tana son ta auri ɗan wata kabila daban, za ku bada izininka?</t>
  </si>
  <si>
    <t>w_marry_son_eth</t>
  </si>
  <si>
    <t>163. Imagine one of your sons wanted to marry someone of a different ethnic group, would you give them your permission?</t>
  </si>
  <si>
    <t>163. Imaginez que l'un de vos fils veuille épouser quelqu'un d'un groupe ethnique différent, leur donneriez-vous votre permission ?</t>
  </si>
  <si>
    <t>163. Ku ƙaddara da wani ɗanku ya na son ya auri wani ɗan wata ƙabila daban, za ku bada izininka?</t>
  </si>
  <si>
    <t>75. Not enough money for basic needs (sucha as food and clothing)</t>
  </si>
  <si>
    <t>75. Pas assez d'argent pour les besoins de base (tels que la nourriture et les vêtements)</t>
  </si>
  <si>
    <t>75. Rashin isassun kuɗi don buƙatun asali (kamar abinci da sutura)</t>
  </si>
  <si>
    <t>Marabout</t>
  </si>
  <si>
    <t>Malumci</t>
  </si>
  <si>
    <t>w_statement_note</t>
  </si>
  <si>
    <t>164. Please tell me the degree to which you agree or disagree with the following statements.</t>
  </si>
  <si>
    <t>164. Veuillez me dire dans quelle mesure vous êtes d'accord ou pas d'accord avec les énoncés suivants.</t>
  </si>
  <si>
    <t>164. Yanzu ina son ku gaya mini har zuwa wane matsayi kuka yarda ko baku yarda ba da waɗannan maganganun da zan zana muku.</t>
  </si>
  <si>
    <t>Mechanic/driver</t>
  </si>
  <si>
    <t>Mécanicien/chauffeur</t>
  </si>
  <si>
    <t>76. Not being able to educate all children</t>
  </si>
  <si>
    <t>76. Ne pas pouvoir scolariser tous les enfants</t>
  </si>
  <si>
    <t>Makaniki/direba</t>
  </si>
  <si>
    <t>76. Rashin iya rubuta dukkan yara a makarantar boko</t>
  </si>
  <si>
    <t>w_male_education_priority</t>
  </si>
  <si>
    <t>165. Middle school education for males is more important than middle school education for females.</t>
  </si>
  <si>
    <t>165. L'enseignement secondaire pour les hommes est plus important que l'enseignement secondaire pour les femmes.</t>
  </si>
  <si>
    <t>165. Ilimin koleji ga maza yana da mahimmanci fiye da ilimin koleji ga mata.</t>
  </si>
  <si>
    <t>w_equal_rights_inheritance</t>
  </si>
  <si>
    <t>166. Women and men should have equal rights to their inheritance (Women should not be denied their right)</t>
  </si>
  <si>
    <t>Blacksmith</t>
  </si>
  <si>
    <t>166. Les femmes et les hommes devraient avoir des droits égaux à l'héritage (les femmes ne devraient pas être privées de leur droit)</t>
  </si>
  <si>
    <t>Forgeron</t>
  </si>
  <si>
    <t>166. Ya kamata mata da maza su samu haƙƙi daidai akan gado (Bai Kamata a hana ma mata haƙƙinsu ba)</t>
  </si>
  <si>
    <t>Maƙeri</t>
  </si>
  <si>
    <t>77. Difficulty finding work</t>
  </si>
  <si>
    <t>77. Difficulté à trouver du travail</t>
  </si>
  <si>
    <t>77. Wahalar neman aiki</t>
  </si>
  <si>
    <t>w_woman_reject_marriage</t>
  </si>
  <si>
    <t>167. A woman can reject a marriage that her family chose for her without her consent</t>
  </si>
  <si>
    <t>167. Une femme peut refuser un mariage que sa famille a choisi pour elle sans son consentement</t>
  </si>
  <si>
    <t>167. Mace za ta iya ƙin auren da danginta suka zaɓa mata idan bata yarda ba</t>
  </si>
  <si>
    <t>Salaried employee</t>
  </si>
  <si>
    <t>Employé salarié</t>
  </si>
  <si>
    <t>Ma'aikaci mai albashi</t>
  </si>
  <si>
    <t>w_equal_rights_divorce</t>
  </si>
  <si>
    <t>168. Women and men should have equal rights in making the decision to divorce.</t>
  </si>
  <si>
    <t>78. Idleness of children or spouse</t>
  </si>
  <si>
    <t>168. Les femmes et les hommes devraient avoir des droits égaux dans la décision de divorcer.</t>
  </si>
  <si>
    <t>78. L'oisiveté des enfants ou du conjoint</t>
  </si>
  <si>
    <t>168. Yakamata a ce mata da maza suna da haƙƙi daidai wajen yanke shawarar rabuwar aure.</t>
  </si>
  <si>
    <t>78. Zaman banza na yara ko mata</t>
  </si>
  <si>
    <t>Mason</t>
  </si>
  <si>
    <t>Maçon</t>
  </si>
  <si>
    <t>Magini</t>
  </si>
  <si>
    <t>w_polygamy</t>
  </si>
  <si>
    <t>169. The law should not allow a man to marry more than one woman.</t>
  </si>
  <si>
    <t>169. La loi ne devrait pas permettre à un homme d'épouser plus d'une femme.</t>
  </si>
  <si>
    <t>169. Yakamata doka ta hana ma namiji ya auri fiye da mace ɗaya.</t>
  </si>
  <si>
    <t>79. Alcohol comsumption of children or spouse</t>
  </si>
  <si>
    <t>79. Consommation d'alcool des enfants ou du conjoint</t>
  </si>
  <si>
    <t>wani daban</t>
  </si>
  <si>
    <t>79. Shan giya na yara ko mata</t>
  </si>
  <si>
    <t>w_gbv</t>
  </si>
  <si>
    <t>184. Now if you will permit me, I need to ask some more questions about your relationship with your husband. Does he ever?</t>
  </si>
  <si>
    <t>184. Maintenant, si vous me le permettez, je dois poser quelques questions supplémentaires sur votre relation avec votre mari. Est-ce qu'il a jamais?</t>
  </si>
  <si>
    <t>184. Yanzu idan za ki ba ni izini, Ina bukatar yin wasu tambayoyi game da dangantakarki da mijinki. Ko ya taba?</t>
  </si>
  <si>
    <t>w_gbv_note</t>
  </si>
  <si>
    <t>170. In your opinion, is a husband justified in hitting or beating his wife if:</t>
  </si>
  <si>
    <t>170. A votre avis, est-il justifié pour un mari de frapper ou de battre sa femme si :</t>
  </si>
  <si>
    <t>170. A ganinku, ko ya cancanta miji ya bugi matarshi ko ya bata kashi idan:</t>
  </si>
  <si>
    <t>80. Death of a family member</t>
  </si>
  <si>
    <t>80. Décès d'un membre de la famille</t>
  </si>
  <si>
    <t>80. Mutuwar wani ɗan uwa</t>
  </si>
  <si>
    <t>w_neglects_children</t>
  </si>
  <si>
    <t>171. She neglects the children</t>
  </si>
  <si>
    <t>171. Elle néglige les enfants</t>
  </si>
  <si>
    <t>171. Ta yi sakaci da yara</t>
  </si>
  <si>
    <t>money_transfer</t>
  </si>
  <si>
    <t>Did not transfer money</t>
  </si>
  <si>
    <t>N'a pas transféré d'argent</t>
  </si>
  <si>
    <t>Ba a yi aiken kuɗi ba</t>
  </si>
  <si>
    <t>w_argues</t>
  </si>
  <si>
    <t>172. She argues with him</t>
  </si>
  <si>
    <t>81. Debts owed to others</t>
  </si>
  <si>
    <t>172. Elle se dispute avec lui</t>
  </si>
  <si>
    <t>81. Dettes envers autrui</t>
  </si>
  <si>
    <t>81. Bashi da wasu ke binku</t>
  </si>
  <si>
    <t>172. Ta yi mishi gardama</t>
  </si>
  <si>
    <t>w_refuses_pray</t>
  </si>
  <si>
    <t>173. She refuses to pray</t>
  </si>
  <si>
    <t>173. Elle refuse de prier</t>
  </si>
  <si>
    <t>173. Ta ƙi yin sallah</t>
  </si>
  <si>
    <t>Hand cash directly to recipient</t>
  </si>
  <si>
    <t>Remettre l'argent directement au destinataire</t>
  </si>
  <si>
    <t>Bada kudi hannu da hannu kai tsaye ga mai karɓa</t>
  </si>
  <si>
    <t>w_burns_food</t>
  </si>
  <si>
    <t>174. She burns the food</t>
  </si>
  <si>
    <t>174. Elle brûle la nourriture</t>
  </si>
  <si>
    <t>174. Ta ƙona abincin</t>
  </si>
  <si>
    <t>Through a family member or close friend</t>
  </si>
  <si>
    <t>Par l'intermédiaire d'un membre de la famille ou d'un ami proche</t>
  </si>
  <si>
    <t>Ta hanyar dangi ko aboki na kusa</t>
  </si>
  <si>
    <t>190. Kick you or drag you</t>
  </si>
  <si>
    <t>190. Vous donner un coup de pied ou vous traîner</t>
  </si>
  <si>
    <t>190. Habre ku ko jan ku</t>
  </si>
  <si>
    <t>select_multiple changes</t>
  </si>
  <si>
    <t>w_other_changes</t>
  </si>
  <si>
    <t>175. I've asked you a lot of questions about your life since our last in person interview (May/June 2024) in order to better understand your experiences. Is there anything else that has happened recently to you that has changed your life in an important way?</t>
  </si>
  <si>
    <t>175. Je vous ai posé beaucoup de questions sur votre vie depuis notre dernière enquête en personne (mai/juin 2024) écoulée afin de mieux comprendre vos expériences. Y a-t-il autre chose qui vous est arrivé récemment qui a changé votre vie de manière importante ?</t>
  </si>
  <si>
    <r>
      <rPr>
        <rFont val="Fira Code"/>
        <color rgb="FF1155CC"/>
        <sz val="10.0"/>
        <u/>
      </rPr>
      <t>175.Na</t>
    </r>
    <r>
      <rPr>
        <rFont val="Fira Code"/>
        <color rgb="FF000000"/>
        <sz val="10.0"/>
      </rPr>
      <t xml:space="preserve"> yi muku tambayoyi da yawa game da rayuwarku Tun daga tun bayan hirar mu ta ƙarshe a gaba da gaba (Mayu/Yuni 2024) suka wuce don in gane yanda kuke tahiyar rayuwarku. Ko akwai wani abu da ya faru da ku cikin kwanan nan wanda ya kawo wani mahimmin canji ga rayuwarku ?</t>
    </r>
  </si>
  <si>
    <t>Through someone you know</t>
  </si>
  <si>
    <t>Par quelqu'un que tu connais</t>
  </si>
  <si>
    <t>Ta hanyar wanda a ka sani</t>
  </si>
  <si>
    <t>82. Now I will ask about some things that may have happened to you during the past six months.</t>
  </si>
  <si>
    <t xml:space="preserve">82. </t>
  </si>
  <si>
    <t>Through an app on a mobile phone</t>
  </si>
  <si>
    <t>Via une application sur un téléphone mobile</t>
  </si>
  <si>
    <t>Ta hanyar salula</t>
  </si>
  <si>
    <t>w_other_change_desc</t>
  </si>
  <si>
    <t>176. Enumerator: Briefly summarize the changes described by the respondent</t>
  </si>
  <si>
    <t>176. Enquêteur : Résumez brièvement les changements décrits par le répondant</t>
  </si>
  <si>
    <t>176. Ɗan bincike: A taƙaice rubuta canje-canjen da mai bada amsa ya gaya maka</t>
  </si>
  <si>
    <t>83. How often, if at all, were you personally discriminated against based on your identity (ethnicity, religion, nationality)?</t>
  </si>
  <si>
    <t>83. À quelle fréquence, si ça vous est déjà arrivé, avez-vous personnellement été victime de discrimination liée a votre identité (ethnie, religion, nationalité) ?</t>
  </si>
  <si>
    <t>83. Sau nawa, idan ya faru a gareku, aka nuna muku wariya dangance da kabilarku, ko addininku, ko ƙasarku2?</t>
  </si>
  <si>
    <t>Through an exchange house</t>
  </si>
  <si>
    <t>Par l'intermédiaire d'un bureau de change</t>
  </si>
  <si>
    <t>Ta hanyar wani ofishin canji</t>
  </si>
  <si>
    <t>Through money transfer companies</t>
  </si>
  <si>
    <t>Compagnies de Transfert (Nita, Alizza, Amana…)</t>
  </si>
  <si>
    <t>84. How often, if ever, have you felt unsafe walking in the neighborhood where you are staying?</t>
  </si>
  <si>
    <t>84. Combien de fois, vous vous êtes-vous senti en danger en vous promenant dans le quartier où vous séjournez, si cela vous est jamais arrivé ?</t>
  </si>
  <si>
    <t>84. Sau nawa, idan ya faru a gareku, kuka ji kuna cikin hatsari yayin da kuke yawo a cikin unguwar da kuke zaune?</t>
  </si>
  <si>
    <t>speedcheck_w_nothoh_end</t>
  </si>
  <si>
    <t>188. Threaten you or someone close to you with harm</t>
  </si>
  <si>
    <t>188. Vous menacer vous-même ou quelqu'un proche de vous à vous faire du mal</t>
  </si>
  <si>
    <t>188. Yi muku barazana ko wani na kusa da ku da cutarwa</t>
  </si>
  <si>
    <t xml:space="preserve">Other  </t>
  </si>
  <si>
    <t>dur_w_nothoh</t>
  </si>
  <si>
    <t>Wani abu daban</t>
  </si>
  <si>
    <t>189. Push you shake you or throw something at you</t>
  </si>
  <si>
    <t>189. Vous pousser, vous secouer ou jeter quelque chose sur vous</t>
  </si>
  <si>
    <t>189. Tura ku girgiza ku ko jefar da wani abu bisanku</t>
  </si>
  <si>
    <t>w_private</t>
  </si>
  <si>
    <t>w_private_note</t>
  </si>
  <si>
    <t>177. Now I would like to ask you questions about some other important aspects of a woman's life. I know that some of these questions are very personal. Let me assure you that your answers are completely confidential and will not be told to anyone.
 In the past six months has your husband or another member of your household prevented you from</t>
  </si>
  <si>
    <t>« J’aimerais maintenant vous poser des questions sur d’autres aspects importants de la vie d’une femme. Je sais que certaines de ces questions sont très personnelles. Soyez assurée que vos réponses resteront entièrement confidentielles et ne seront révélées à personne. 
 Au cours des six derniers mois, votre mari ou un autre membre de votre foyer vous a-t-il empêchée de… »</t>
  </si>
  <si>
    <t>Yanzu ina son in yi muku tambayoyi game da wasu muhimman al'amura na rayuwar mace, na san cewa wasu daga cikin tambayoyin na sirri ne, Amma ina tabbatar muku cewa zamu sirrin amsoshin ku kuma ba za a gaya wa kowa ba. 
 A cikin wata shida mijinki ko wani dan gidanki ya hana ki</t>
  </si>
  <si>
    <t>85. Have you experienced any of the following during ${period}?</t>
  </si>
  <si>
    <t>85. Avez-vous vécu l'une des situations suivantes depuis le debut de ${period_french} ?</t>
  </si>
  <si>
    <t>85. Ko kun taɓa fuskantar ɗayan waɗannan abubuwan a wannan wurin, lokacin ${period_hausa}?</t>
  </si>
  <si>
    <t>w_prevent_visit</t>
  </si>
  <si>
    <t>178. visiting your family or friends?</t>
  </si>
  <si>
    <t>178. rendre visite à votre famille ou à vos amis ?</t>
  </si>
  <si>
    <t>178. ziyartar danginku ko abokananku?</t>
  </si>
  <si>
    <t>w_prevent_work</t>
  </si>
  <si>
    <t>179. working outside the household?</t>
  </si>
  <si>
    <t>179. travailler en dehors du ménage ?</t>
  </si>
  <si>
    <t>179. aiki a wajen gidanku?</t>
  </si>
  <si>
    <t>w_married_only</t>
  </si>
  <si>
    <t>88. Satar kudi ko kaya?</t>
  </si>
  <si>
    <t>153. How many ${hoh_livestock_act_name} did you sell?</t>
  </si>
  <si>
    <t>153. Au cours des trois derniers mois, combien de ${hoh_livestock_act_name} avez-vous vendu ?</t>
  </si>
  <si>
    <t>153. ${hoh_livestock_act_name} nawa kuka saida?</t>
  </si>
  <si>
    <t>w_relationship</t>
  </si>
  <si>
    <t>154. How many ${hoh_livestock_act_name} did you consume?</t>
  </si>
  <si>
    <t>154. Au cours des trois derniers mois, combien de ${hoh_livestock_act_name} avez-vous consommé ?</t>
  </si>
  <si>
    <t>154. ${hoh_livestock_act_name} Nawa kuka cinye ?</t>
  </si>
  <si>
    <t>w_married_note</t>
  </si>
  <si>
    <t>180. The next set of questions are for married women only</t>
  </si>
  <si>
    <t>goods_transfer</t>
  </si>
  <si>
    <t>Hand directly to recipient</t>
  </si>
  <si>
    <t>Remettre directement au destinataire</t>
  </si>
  <si>
    <t>Bada tsabar kuɗi hannu da hannu ga mai karɓa</t>
  </si>
  <si>
    <t>w_relationship_note</t>
  </si>
  <si>
    <t>181. When two people marry or live together, they share both good and bad moments. In your relationship with your husband/partner do the following happen frequently, only sometimes, or never?</t>
  </si>
  <si>
    <t>181. Lorsque deux personnes se marient ou vivent ensemble, elles partagent de bons et de mauvais moments. Dans votre relation avec votre mari/partenaire, les situations suivantes se produisent-elles a quelle frequence?</t>
  </si>
  <si>
    <t>181. Idan mutum biyu suka yi aure ko suna zaune tare, suna raba lokutta masu daɗi da marasa daɗi. A cikin zamantakewarku da mijinki/abokin zaman, ko waɗannan abubuwan suna faruwa kai-aka?</t>
  </si>
  <si>
    <t>Ta hanyar dangi ko aboki na kurkusa</t>
  </si>
  <si>
    <t>w_affectionate</t>
  </si>
  <si>
    <t>182. He is affectionnate with you</t>
  </si>
  <si>
    <t>182. Il est affectueux avec vous</t>
  </si>
  <si>
    <t>182. Yana nuna muku soyayya</t>
  </si>
  <si>
    <t>Ta hanyar wanda ka sani</t>
  </si>
  <si>
    <t>w_respectful</t>
  </si>
  <si>
    <t>183. He respects you and your wishes</t>
  </si>
  <si>
    <t>183. Il vous respecte et respecte vos souhaits</t>
  </si>
  <si>
    <t>183. Yana girmama ku kuma ya na girmama buƙatuntu</t>
  </si>
  <si>
    <t>The choices worksheet</t>
  </si>
  <si>
    <t>158. In the past three months, did you hire anyone outside your household to care for your animals?</t>
  </si>
  <si>
    <t>158. Au cours des trois derniers mois, avez-vous embauché quelqu'un en dehors de votre ménage pour s'occuper de vos animaux ?</t>
  </si>
  <si>
    <t>158. A cikin watanni uku da suka wuce, Ko kun ɗauki wani wanda ba ɗan gidanku ba don kula da dabbobinku?</t>
  </si>
  <si>
    <t>w_sitatuations</t>
  </si>
  <si>
    <t>${w_phys_attacked} = 1 or ${w_phys_threat} = 1 or ${w_theft} = 1 or ${w_arrest} = 1</t>
  </si>
  <si>
    <t>emergency</t>
  </si>
  <si>
    <t>159. In the last 3 months, for how many weeks did you hire people to care for your livestock?</t>
  </si>
  <si>
    <t>159. Au cours des trois derniers mois, combien de semaines avez-vous embauché des personnes pour s'occuper de votre bétail ?</t>
  </si>
  <si>
    <t>159. A cikin watanni 3 da suka wuce, sati nawa kuka dauki ƴan aiki don kula da dabbobinku?</t>
  </si>
  <si>
    <t>w_situations_note</t>
  </si>
  <si>
    <t>184. Now I am going to ask you about some situations which happen to some women. Please tell me if these apply to your relationship with your husband?</t>
  </si>
  <si>
    <t>184. Maintenant, je vais vous poser des questions sur certaines situations qui arrivent à certaines femmes. Veuillez me dire si cela s'applique à votre relation avec votre mari ?</t>
  </si>
  <si>
    <t>184. To, yanzu zan tambaye ku game da wasu al’amura da suke faruwa ga wasu mata. Ko kun gaya mini idan waɗannan sun shafi zamantakewarku da mijinku?</t>
  </si>
  <si>
    <t>90. Now I would like to ask you to tell me more about your specific experience with:</t>
  </si>
  <si>
    <t>90. J'aimerais maintenant vous demander de m'en dire un peu plus sur votre expérience spécifique avec :</t>
  </si>
  <si>
    <t>90. Yanzu ina so in tambaye ku ƙarin bayani game da abin da ka fuskanta masamman game da:</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</si>
  <si>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</si>
  <si>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w_accuse_unfaithful</t>
  </si>
  <si>
    <t>185. He does not trust your fidelty</t>
  </si>
  <si>
    <t>185. Il est jaloux et vous montre qu'il n’a pas confiance en vous ?</t>
  </si>
  <si>
    <t>Serious illness or injury to self</t>
  </si>
  <si>
    <t>185. Yana zargin ku kullum da nuna rashin yarda?</t>
  </si>
  <si>
    <t>Maladie grave ou blessure personnelle</t>
  </si>
  <si>
    <t>Mummunan cuta ko rauni</t>
  </si>
  <si>
    <t>Read about the select_one field type for more information</t>
  </si>
  <si>
    <t>91. Physical attack</t>
  </si>
  <si>
    <t>91. Attaque physique</t>
  </si>
  <si>
    <t>Serious injury or illness of household member</t>
  </si>
  <si>
    <t>91. harin jiki</t>
  </si>
  <si>
    <t>Blessure grave ou maladie d'un membre du ménage</t>
  </si>
  <si>
    <t>If they refuse, enter -888</t>
  </si>
  <si>
    <t>S'il refuse, entrez -888</t>
  </si>
  <si>
    <t>Mummunan rauni ko rashin lafiya na ɗan gida</t>
  </si>
  <si>
    <t>Idan ya ƙiya, shigar da -888</t>
  </si>
  <si>
    <t>w_not_permit_friends</t>
  </si>
  <si>
    <t>186. He (does/did) not permit you to meet your girl friends?</t>
  </si>
  <si>
    <t>186. Il ne vous a pas permis de rencontrer vos copines ?</t>
  </si>
  <si>
    <t>${w_phys_attacked} = 1</t>
  </si>
  <si>
    <t>186. Bai baku izinin ganin ƙawayenku ba?</t>
  </si>
  <si>
    <t>Read about the select_multiple field type for more information</t>
  </si>
  <si>
    <t>Death of household member</t>
  </si>
  <si>
    <t>Décès d'un membre du ménage</t>
  </si>
  <si>
    <t>Mutuwar ɗan gida</t>
  </si>
  <si>
    <t>Read about dynamically loading choice lists from external pre-loaded data</t>
  </si>
  <si>
    <t>w_limit_fam_contact</t>
  </si>
  <si>
    <t>92. Threat of physical violence/attack</t>
  </si>
  <si>
    <t>187. He (tries/tried) to limit your contact with your family?</t>
  </si>
  <si>
    <t>92. Menace de violence physique/agression</t>
  </si>
  <si>
    <t>187. Il essaie de limiter vos contacts avec votre famille ?</t>
  </si>
  <si>
    <t>92. Barazanar ​​harin jiki</t>
  </si>
  <si>
    <t>187. Ya na ƙoƙarin ya rage hulɗarku da danginku?</t>
  </si>
  <si>
    <t>${w_phys_threat} = 1</t>
  </si>
  <si>
    <t>Loss of asset/livestock due to theft/death/accident</t>
  </si>
  <si>
    <t>Perte de biens/bétail suite à un vol/un décès/un accident</t>
  </si>
  <si>
    <t>Asarar kadara/dabbobi saboda sata/mutuwa/hatsari</t>
  </si>
  <si>
    <t>w_not_permit_health</t>
  </si>
  <si>
    <t>He expects you to ask his permission before seeking health care for yourself?</t>
  </si>
  <si>
    <t>Il s’attend à ce que vous demandiez sa permission avant de chercher à obtenir des soins de santé pour vous-même ?</t>
  </si>
  <si>
    <t>Yana tsammanin ki nemi izininshi kafin ki nemi lafiyar kanka?</t>
  </si>
  <si>
    <t>93. Theft of either money or property?</t>
  </si>
  <si>
    <t>93. Vol d'argent ou de propriété?</t>
  </si>
  <si>
    <t>93. Satar kudi ko dukiya?</t>
  </si>
  <si>
    <t>image:languagename</t>
  </si>
  <si>
    <t>${w_theft} = 1</t>
  </si>
  <si>
    <t>w_not_permit_health_child</t>
  </si>
  <si>
    <t>He expects you to ask his permission before seeking health care for your children?</t>
  </si>
  <si>
    <t>Loss of job or income</t>
  </si>
  <si>
    <t>S’attend-il à ce que vous demandiez sa permission avant de consulter pour vos enfants ?</t>
  </si>
  <si>
    <t>Perte d'emploi ou de revenu</t>
  </si>
  <si>
    <t>Yana tsammanin ki nemi izininshi kafin ki nemi lafiyar yaranku?</t>
  </si>
  <si>
    <t>Ɓadda aiki ko kuɗin shiga</t>
  </si>
  <si>
    <t>w_intimidate</t>
  </si>
  <si>
    <t>He does things to scare or intimidate you (e.g. by the way he looked at you, by yelling and smashing things)?</t>
  </si>
  <si>
    <t>Il agit pour vous effrayer ou vous intimider (par exemple, par son regard, en criant et en cassant des objets) ?</t>
  </si>
  <si>
    <t>Yana yin abubuwa don ya firgitar ko ya tsoratar da ku (misali ta hanyar harare, ta hanyar ihu da fasa abubuwa)?</t>
  </si>
  <si>
    <t>94. Detention or arrest by state security forces?</t>
  </si>
  <si>
    <t>94. Détention ou arrestation par les forces de sécurité de l'État ?</t>
  </si>
  <si>
    <t>94. Kaso ko kamu daga jami'an tsaron gwamnati?</t>
  </si>
  <si>
    <t>Flood</t>
  </si>
  <si>
    <t>Inondation</t>
  </si>
  <si>
    <t>Ambaliyar ruwa</t>
  </si>
  <si>
    <t>${w_arrest} = 1</t>
  </si>
  <si>
    <t>166. Do you or another member of your household own land that is currently not used for agriculture, outside of your current home?</t>
  </si>
  <si>
    <t>Drought</t>
  </si>
  <si>
    <t>166. Est-ce que vous ou un autre membre de votre ménage possédez des terres qui ne sont actuellement pas utilisées pour l'agriculture, en dehors de votre domicile actuel ?</t>
  </si>
  <si>
    <t>Sécheresse</t>
  </si>
  <si>
    <t>166. Shin kai ko wani na gidanku kuna da wasu hilaye wanda ba na noma ba bancin gidanku da kuke ciki a halin yanzu?</t>
  </si>
  <si>
    <t>Fari</t>
  </si>
  <si>
    <t>w_actions</t>
  </si>
  <si>
    <t>167. In the past three months, what is the total revenue from rent of land or other property in CFA?</t>
  </si>
  <si>
    <t>167. Au cours des trois derniers mois, quel a été le revenu total provenant de la location d'un terrain ou d'une autre propriété en CFA?</t>
  </si>
  <si>
    <t>167. A cikin watanni uku da suka gabata, menene jimillar kuɗin da aka samu ta hanyar hayan filaye ko wasu kadarori (a sefa)?</t>
  </si>
  <si>
    <t>Pest infestation/crop or livestock disease</t>
  </si>
  <si>
    <t>w_actions_note</t>
  </si>
  <si>
    <t>Infestation des ravageurs/maladie des cultures ou du bétail</t>
  </si>
  <si>
    <t>Bannar kwari / amfanin gona ko cututtukan dabbobi</t>
  </si>
  <si>
    <t>188. Now if you will permit me, I need to ask some more questions about your relationship with your husband. Does he ever?</t>
  </si>
  <si>
    <t>188. Maintenant, si vous me le permettez, je dois poser quelques questions supplémentaires sur votre relation avec votre mari. Est-ce qu'il a jamais?</t>
  </si>
  <si>
    <t>188. Yanzu idan za ki ba ni izini, Ina bukatar yin wasu tambayoyi game da dangantakarki da mijinki. Ko ya taba?</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</si>
  <si>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</si>
  <si>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</si>
  <si>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t>Divorce or abandonment by husband</t>
  </si>
  <si>
    <t>Divorce ou abandon par le mari</t>
  </si>
  <si>
    <t>Saki ko miji ya tsere ya bar mata</t>
  </si>
  <si>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</si>
  <si>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</si>
  <si>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</si>
  <si>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</si>
  <si>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w_humiliate</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</si>
  <si>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</si>
  <si>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189. Say or do something to humiliate you in front of others</t>
  </si>
  <si>
    <t>Cut-off or decrease of remittances to household</t>
  </si>
  <si>
    <t>Manque ou insuffisance des envois de fonds au ménage</t>
  </si>
  <si>
    <t>189. Dit ou fait quelque chose pour vous humilier devant les autres</t>
  </si>
  <si>
    <t>Rashi ko rage kuɗaɗen da ake turawa gida</t>
  </si>
  <si>
    <t>189. Fadi ko yin wani abu don wulaƙanta ku a gaban wasu</t>
  </si>
  <si>
    <t>Unexpected increase in price of food/other essential commodity</t>
  </si>
  <si>
    <t>Augmentation inattendue du prix des aliments/autres produits essentiels</t>
  </si>
  <si>
    <t>Hawan ba zata na farashin abinci/sauran kayan da ake buƙata</t>
  </si>
  <si>
    <t>w_threaten</t>
  </si>
  <si>
    <t>190. Threaten you or someone close to you with harm</t>
  </si>
  <si>
    <t>190. Vous menacer vous-même ou quelqu'un proche de vous à vous faire du mal</t>
  </si>
  <si>
    <t>190. Yi muku barazana ko wani na kusa da ku da cutarwa</t>
  </si>
  <si>
    <t>Unexpected decrease in price of commodity/product you sell</t>
  </si>
  <si>
    <t>Baisse inattendue du prix de la marchandise/du produit que vous vendez</t>
  </si>
  <si>
    <t>Faɗuwar ba zata na farashin kayayyaki/abubuwan da kuke saidawa</t>
  </si>
  <si>
    <t>w_push_shake</t>
  </si>
  <si>
    <t>191. Push you shake you or throw something at you</t>
  </si>
  <si>
    <t>191. Vous pousser, vous secouer ou jeter quelque chose sur vous</t>
  </si>
  <si>
    <t>191. Tura ku girgiza ku ko jefar da wani abu bisanku</t>
  </si>
  <si>
    <t>w_slap_twist</t>
  </si>
  <si>
    <t>192. Slap you or twist your arm</t>
  </si>
  <si>
    <t>192. Vous gifler ou vous tordre le bras</t>
  </si>
  <si>
    <t>192. Mari ko murɗa hannunku</t>
  </si>
  <si>
    <t>95. I will now ask you about meals people in your household have consumed in the past 7 days.</t>
  </si>
  <si>
    <t>95. Je vais maintenant vous poser des questions sur les repas que les membres de votre ménage ont consommé au cours des 7 derniers jours.</t>
  </si>
  <si>
    <t>95. Yanzu zan tambaye ku bisa abincin da mutanen gidanku suka ci a cikin kwanaki 7 da suka wuce.</t>
  </si>
  <si>
    <t>cons_month</t>
  </si>
  <si>
    <t>Education (children, excluding school fees)</t>
  </si>
  <si>
    <t>w_punch</t>
  </si>
  <si>
    <t>Education (enfants, hors frais de scolarité)</t>
  </si>
  <si>
    <t>193. Punch you with his fist or with something that could hurt you</t>
  </si>
  <si>
    <t>Tarbiya (yara, ban da kuɗin makaranta)</t>
  </si>
  <si>
    <t>193. Vous frapper avec son poing ou avec quelque chose qui pourrait vous blesser</t>
  </si>
  <si>
    <t>193. Yi muku naushi da hannu ko da wani abu da zai iya cutar da ku</t>
  </si>
  <si>
    <t>Education (adults, including vocational training)</t>
  </si>
  <si>
    <t>Éducation (adultes, y compris la formation professionnelle)</t>
  </si>
  <si>
    <t>Ilimi (manya, gami da koyar da sana'a)</t>
  </si>
  <si>
    <t>w_kick</t>
  </si>
  <si>
    <t>194. Kick you or drag you</t>
  </si>
  <si>
    <t>194. Vous donner un coup de pied ou vous traîner</t>
  </si>
  <si>
    <t>194. Habre ku ko jan ku</t>
  </si>
  <si>
    <t>96. In the last 7 days, have adults gone a whole day without meals?</t>
  </si>
  <si>
    <t>96. Au cours des 7 derniers jours, des adultes sont-ils restés une journée entière sans manger de repas ?</t>
  </si>
  <si>
    <t>Healthcare</t>
  </si>
  <si>
    <t>96. A cikin kwanaki 7 da suka wuce, ko manya gidanku sun zauna tsawon wuni guda basu ci abinci ba?</t>
  </si>
  <si>
    <t>Soins de santé</t>
  </si>
  <si>
    <t>Kiwon lafiya</t>
  </si>
  <si>
    <t>Ceremonies</t>
  </si>
  <si>
    <t>Cérémonies</t>
  </si>
  <si>
    <t>bukukuwa</t>
  </si>
  <si>
    <t>w_strangle_burn</t>
  </si>
  <si>
    <t>195. Try to strangle you or burn you</t>
  </si>
  <si>
    <t>195. Essayer de vous étrangler ou de vous brûler</t>
  </si>
  <si>
    <t>195. Yi ƙoƙarin shake ku ko kona ku</t>
  </si>
  <si>
    <t>Clothes + shoes</t>
  </si>
  <si>
    <t>Vêtements + chaussures</t>
  </si>
  <si>
    <t>Tufafi + takalma</t>
  </si>
  <si>
    <t>w_threaten_weapon</t>
  </si>
  <si>
    <t>196. threaten you with a knife, gun, or other type of weapon</t>
  </si>
  <si>
    <t>97. 151a Tsawon kwanaki nawa?</t>
  </si>
  <si>
    <t>196. Vous menacer avec un couteau, une arme à feu ou tout autre type d'arme</t>
  </si>
  <si>
    <t>196. yi muku barazana da wuka, bindiga, ko wani makami daban</t>
  </si>
  <si>
    <t>. &gt;= 0 and . &lt;= 7</t>
  </si>
  <si>
    <t>${w_adults_skip_days} = 1</t>
  </si>
  <si>
    <t>w_attack_weapon</t>
  </si>
  <si>
    <t>197. attack you with a knife, gun, or other type of weapon</t>
  </si>
  <si>
    <t>197. Vous attaquer avec un couteau, une arme à feu ou tout autre type d'arme</t>
  </si>
  <si>
    <t>197. Kawo muku hari da wuka, bindiga, ko wani makami daban</t>
  </si>
  <si>
    <t>cons_week</t>
  </si>
  <si>
    <t>Food (for household members)</t>
  </si>
  <si>
    <t>98. In the last 7 days, have adults cut the size of meals or skipped meals?</t>
  </si>
  <si>
    <t>Nourriture (pour les membres du ménage)</t>
  </si>
  <si>
    <t>98. Au cours des 7 derniers jours, les adultes ont-ils réduit la taille de leur repas ou les ont-ils sauté?</t>
  </si>
  <si>
    <t>Abinci (ga mutanen gida)</t>
  </si>
  <si>
    <t>98. A cikin kwanaki 7 na ƙarshe, ko manyan gidanku sun rage yawan abincin da suka saba ci ko sun tsallake shi?</t>
  </si>
  <si>
    <t>w_sexual_assault</t>
  </si>
  <si>
    <t>198. force you to perform sexual acts with him even when you did not want to</t>
  </si>
  <si>
    <t>198. vous forcer à accomplir des actes sexuels avec lui même lorsque vous ne le vouliez pas</t>
  </si>
  <si>
    <t>198. tilasta muku ka yin jima'i da shi ko da ba ki da buƙata</t>
  </si>
  <si>
    <t>Mobile phone credit + charging</t>
  </si>
  <si>
    <t>Crédit mobile + recharge</t>
  </si>
  <si>
    <t>Kuɗin /kiredin kira a salula + caji</t>
  </si>
  <si>
    <t>w_actions_otherhh</t>
  </si>
  <si>
    <t>Do other members of your household ever threaten you with violence or acted violently toward you?</t>
  </si>
  <si>
    <t>Fuel for home/ cooking (i.e. lighting, electricity, firewood)</t>
  </si>
  <si>
    <t>D'autres membres de votre menage vous ont-ils déjà menacée de violence ou agi de manière violente à votre égard ?</t>
  </si>
  <si>
    <t>Combustible pour la maison/la cuisine (c.-à-d. éclairage, électricité, bois de chauffage)</t>
  </si>
  <si>
    <t>Makamashi na gidan don / dafa abinci ( haske gida , wutar lantarki, itacen jin wuta)</t>
  </si>
  <si>
    <t>Ko wasu ƴan gidanku sun taɓa yi muku barazana da tashin hankali ko kuma sun yi muku tashin hankali?</t>
  </si>
  <si>
    <t>99. Tsawon kwana nawa?</t>
  </si>
  <si>
    <t>${w_adults_skip_meals} = 1</t>
  </si>
  <si>
    <t>Fuel for vehicles</t>
  </si>
  <si>
    <t>Carburant pour véhicules</t>
  </si>
  <si>
    <t>Man fetur/isansi na mota</t>
  </si>
  <si>
    <t>Transportation fare (taxi, moto taxi)</t>
  </si>
  <si>
    <t>Frais de transport (taxi, moto taxi)</t>
  </si>
  <si>
    <t>Kuɗin (taxi, kabu- kabu )</t>
  </si>
  <si>
    <t>Water (to drink)</t>
  </si>
  <si>
    <t>Eau (à boire)</t>
  </si>
  <si>
    <t>100. In the past week how many days have adults in your household consumed animal protein (including fish, meat, poultry)?</t>
  </si>
  <si>
    <t>Ruwa (don sha)</t>
  </si>
  <si>
    <t>100. Au cours des 7 derniers jours, combien de fois les adultes de votre ménage ont-ils consommé des protéines animales (y compris poisson, viande, volaille) ?</t>
  </si>
  <si>
    <t>100. A cikin kwanaki 7 da suka wuce sau nawa manyan gidanku suka ci abinci masu gina jiki kamar su kifi ko nama ko kaji?</t>
  </si>
  <si>
    <t>182. How much in total did members of your household receive from people out of Niger?</t>
  </si>
  <si>
    <t>182. Combien au total les membres de votre ménage ont-ils reçu des personnes qui ne sont pas au Niger ?</t>
  </si>
  <si>
    <t>182. Nawa ne yan gidanku ya samu daga mutanen da ke zaune a ƙasar waje ba Nijar ba?</t>
  </si>
  <si>
    <t>101. In the last 7 days, have children (&lt;14) gone a whole day without meals?</t>
  </si>
  <si>
    <t>101. Au cours des 7 derniers jours, des enfants (&lt;14) ont-ils passé une journée entière sans manger de repas ?</t>
  </si>
  <si>
    <t>101. A cikin kwana 7 na ƙarshe, ko yara ƴan ƙasa da shekara goma sha huɗu sun zauna tsawon wuni guda ba su ci da abinci ba?</t>
  </si>
  <si>
    <t>w_allowance</t>
  </si>
  <si>
    <t>support</t>
  </si>
  <si>
    <t>203. What is the first name of ${hoh_hhtext}?</t>
  </si>
  <si>
    <t>203. Quel est le prenom de cette personne ${hoh_hhtextfrench} ?</t>
  </si>
  <si>
    <t>203. Menene sunan ${hoh_hhtexthausa}?</t>
  </si>
  <si>
    <t>w_allowance_husband</t>
  </si>
  <si>
    <t>Does your husband provide you with money to buy food or other necessary items for the household?</t>
  </si>
  <si>
    <t>Votre mari vous donne-t-il de l’argent pour acheter de la nourriture ou d’autres articles de première nécessité pour le ménage ?</t>
  </si>
  <si>
    <t>Ko mijinki yana ba ki kuɗi don sayen abinci ko wasu abubuwan da ake bukata a gidan?</t>
  </si>
  <si>
    <t>Action Pour le Bien-Être (APBE)</t>
  </si>
  <si>
    <t>102. How many days?</t>
  </si>
  <si>
    <t>102. Pendant combien de jours?</t>
  </si>
  <si>
    <t>102. 154a Tsawon kwanaki nawa?</t>
  </si>
  <si>
    <t>${w_child_skip_days} = 1</t>
  </si>
  <si>
    <t>ADKOUL</t>
  </si>
  <si>
    <t>w_allowance_amt</t>
  </si>
  <si>
    <t>What was the amount in CFA you received the last time you were given this allowance?</t>
  </si>
  <si>
    <t>Quel était le montant en francs CFA que vous avez reçu la dernière fois que vous avez reçu cette allocation ?</t>
  </si>
  <si>
    <t>Nawa ne a kuɗin CFA abinda kika karɓa na ƙarshe lokacin da aka ba ki wannan alawus ɗin?</t>
  </si>
  <si>
    <t>AND</t>
  </si>
  <si>
    <t>w_allowance_permission</t>
  </si>
  <si>
    <t>103. In the last 7 days, have children (&lt;14) cut the size of meals or skipped meals?</t>
  </si>
  <si>
    <t>Do you need permission from your husband or another family member to make purchases with this money?</t>
  </si>
  <si>
    <t>103. Au cours des 7 derniers jours, des enfants (&lt;14) ont-ils réduit la taille de leurs repas ou les ont-ils sauté?</t>
  </si>
  <si>
    <t>Avez-vous besoin de la permission de votre mari ou d’un autre membre de votre famille pour faire des achats avec cet argent ?</t>
  </si>
  <si>
    <t>103. A cikin kwanaki 7 na ƙarshe, suna da yara (&lt;14) sun rage yawan abinci ko sun rasa gaba ɗaya?</t>
  </si>
  <si>
    <t>ANIMAS SUTURA</t>
  </si>
  <si>
    <t>Ko kina da buƙatar izinin mijinki ko wani ƴan gidanku don yin sayayya da wannan kuɗin?</t>
  </si>
  <si>
    <t>Assainissement Total Piloté par la Communauté (ATPC)</t>
  </si>
  <si>
    <t>w_allowance_freedom</t>
  </si>
  <si>
    <t>If a wife has earned some money, does she have the right to buy clothing for herself or her children without asking the permission of her husband?</t>
  </si>
  <si>
    <t>Si une femme a gagné de l’argent, a-t-elle le droit d’acheter des vêtements pour elle-même ou ses enfants sans demander la permission de son mari ?</t>
  </si>
  <si>
    <t>Idan mace ta sami kuɗi, shin tana da ikon sayen tufafi ga kanta ko ƴaƴanta ba tare da neman izinin mijinta ba?</t>
  </si>
  <si>
    <t>CADEV</t>
  </si>
  <si>
    <t>104. How many days?</t>
  </si>
  <si>
    <t>104. Pendant combien de jours?</t>
  </si>
  <si>
    <t>104. 155a Tsawon kwana nawa?</t>
  </si>
  <si>
    <t>${w_child_skip_meals} = 1</t>
  </si>
  <si>
    <t>CŒUR CITOYEN</t>
  </si>
  <si>
    <t>Concern</t>
  </si>
  <si>
    <t>105. In the past week how many days have children in your household consumed animal protein (inlcuding fish, meat, poultry)?</t>
  </si>
  <si>
    <t>105. Au cours des 7 derniers jours, combien de fois les enfants de votre ménage ont-ils consommé des protéines animales (y compris poisson, viande, volaille) ?</t>
  </si>
  <si>
    <t>105. A cikin kwanaki 7 da suka gabata sau nawa yara a cikin gidanku suka ci abinci masu gina jiki kamar su kifi, nama, kaji ?</t>
  </si>
  <si>
    <t>190. How much did your household send to people elsewhere in Niger?</t>
  </si>
  <si>
    <t>190. Combien votre ménage a-t-il envoyé à des personnes qui sont quelque part au Niger ?</t>
  </si>
  <si>
    <t>190. Nawa ne gidanku ya aikawa mutanen da ke wasu wurare a Nijar?</t>
  </si>
  <si>
    <t>w_enum_note</t>
  </si>
  <si>
    <t>CRA</t>
  </si>
  <si>
    <t>199. Enumerator: THANK THE RESPONDENT FOR HER COOPERATION AND REASSURE HER ABOUT THE CONFIDENTIALITY OF HER ANSWERS.</t>
  </si>
  <si>
    <t>199. Enquêteur : REMERCIER LA RÉPONDANTE POUR SA COOPÉRATION ET LA RASSURER SUR LA CONFIDENTIALITÉ DE SES RÉPONSES.</t>
  </si>
  <si>
    <t>199. Ɗan bincike: Ka gode wa mai bada amsa bisa haɗin kai da kuma ka tabbatar mata game da kiyaye SIRRIN HIRAR A KA YI DA ITA.</t>
  </si>
  <si>
    <t>The settings worksheet</t>
  </si>
  <si>
    <t>FAO</t>
  </si>
  <si>
    <t>192. Specify other transfer method</t>
  </si>
  <si>
    <t>Filets Sociaux</t>
  </si>
  <si>
    <t>192. Précisez la méthode du transfert</t>
  </si>
  <si>
    <t>192. Wani daban a Bayyana</t>
  </si>
  <si>
    <t>speedcheck_w_end</t>
  </si>
  <si>
    <t>This worksheet contains overall settings for your form, all specified in the second row of the worksheet. When you download a form template from your SurveyCTO server, these settings will be pre-filled for you.</t>
  </si>
  <si>
    <t>180. In the past three months, did ${hoh_member_act_name} earn money from any other activity?</t>
  </si>
  <si>
    <t>180. Au cours des trois derniers mois, ${hoh_member_act_name} a-t-il gagné de l'argent grâce à une autre activité ?</t>
  </si>
  <si>
    <t>180. A cikin watanni uku da suka gabata, ${hoh_member_act_name} ya samu kuɗi daga yin wani aiki?</t>
  </si>
  <si>
    <t>dur_w</t>
  </si>
  <si>
    <t>FIM</t>
  </si>
  <si>
    <t>181. What was the activity?</t>
  </si>
  <si>
    <t>181. Quelle était l'activité ?</t>
  </si>
  <si>
    <t>181. Menene aikin?</t>
  </si>
  <si>
    <t>106. Has your household spent money on the following types of expenses in the past month?</t>
  </si>
  <si>
    <t>106. Votre ménage a-t-il dépensé de l'argent pour les types de dépenses suivants au cours du dernier mois ?</t>
  </si>
  <si>
    <t>106. Shin gidanku ya kashe kuɗi akan irin waɗannan abubuwan a cikin watan da ya gabata?</t>
  </si>
  <si>
    <t>not(selected(., '0') and count-selected(.)&gt; 1)</t>
  </si>
  <si>
    <t>FIM (Fondation Issoufou Mahamadou)</t>
  </si>
  <si>
    <t>speedcheck_hoh_start</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</si>
  <si>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</si>
  <si>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196. Specify other transfer method</t>
  </si>
  <si>
    <t>196. Precisez la methode du transfert</t>
  </si>
  <si>
    <t>196. Wani daban a Bayyana</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</si>
  <si>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</si>
  <si>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</si>
  <si>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hoh_questions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</si>
  <si>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</si>
  <si>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</si>
  <si>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</si>
  <si>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HoH Questionnaire</t>
  </si>
  <si>
    <t>not(selected(${w_monthly_consumption_any}, '0'))</t>
  </si>
  <si>
    <t>hoh_note</t>
  </si>
  <si>
    <t>count-selected(${w_monthly_consumption_any})</t>
  </si>
  <si>
    <t>200. HoH Questions</t>
  </si>
  <si>
    <t>GIEEN</t>
  </si>
  <si>
    <t>Help topic: Hiding forms during testing</t>
  </si>
  <si>
    <t>hhmembers</t>
  </si>
  <si>
    <t>Help topic: Updating an existing form</t>
  </si>
  <si>
    <t>choice-label(${w_monthly_consumption_any}, selected-at(${w_monthly_consumption_any}, index()-1))</t>
  </si>
  <si>
    <t>hoh_roster_label</t>
  </si>
  <si>
    <t>GIZ/ProEmploi</t>
  </si>
  <si>
    <t>Create line separate list of hh members</t>
  </si>
  <si>
    <t>hoh_hhmem_index</t>
  </si>
  <si>
    <t>107. How much did your household spend on ${w_item} in the past month (in CFA)?</t>
  </si>
  <si>
    <t>107. Combien votre ménage a-t-il dépensé pour ${w_item} au cours du dernier mois (en CFA) ?</t>
  </si>
  <si>
    <t>107. Nawa ne (a CFA) gidanku ya kashe akan ${w_item} cikin watan da ya gabata ?</t>
  </si>
  <si>
    <t>206. ${hoh_roster_name}
Sex: ${hoh_roster_sex}
Age: ${hoh_roster_age}</t>
  </si>
  <si>
    <t>hoh_hhmem_name</t>
  </si>
  <si>
    <t>Mercy Corps</t>
  </si>
  <si>
    <t>. &gt;= 0</t>
  </si>
  <si>
    <t>207. Is ${hoh_roster_name} a Nigerien national?</t>
  </si>
  <si>
    <t>207. ${hoh_roster_name} est-il un citoyen(ne) du Niger ?</t>
  </si>
  <si>
    <t>207. Ko ${hoh_roster_name} ɗan ƙasar Nijar ne?</t>
  </si>
  <si>
    <t>hoh_hhmem_age</t>
  </si>
  <si>
    <t>208. Where are they a cititzen of?</t>
  </si>
  <si>
    <t xml:space="preserve">208. </t>
  </si>
  <si>
    <t>hoh_hhmem_sex</t>
  </si>
  <si>
    <t>NAZARI</t>
  </si>
  <si>
    <t>209. Please enter the nationality of ${hoh_roster_name}</t>
  </si>
  <si>
    <t xml:space="preserve">209. </t>
  </si>
  <si>
    <t>hoh_hhmem</t>
  </si>
  <si>
    <t>210. Is ${hoh_roster_name} still a member of this household?</t>
  </si>
  <si>
    <t>210. ${hoh_roster_name} est-il toujours membre de ce ménage ?</t>
  </si>
  <si>
    <t>210. Ko suna yana cikin ƴan gidan nan?</t>
  </si>
  <si>
    <t>211. Why are they not a member of this household?</t>
  </si>
  <si>
    <t>211. Pourquoi ne font-ils pas partie de ce ménage ?</t>
  </si>
  <si>
    <t>211. Me ya sa ba su cikin ƴan gidan nan ?</t>
  </si>
  <si>
    <t>hoh_roster_list</t>
  </si>
  <si>
    <t>Organisation International pour la Migration (OIM)</t>
  </si>
  <si>
    <t>108. Has your household spent money on the following types of expenses in the past week?</t>
  </si>
  <si>
    <t>108. Votre ménage a-t-il dépensé de l'argent pour les types de dépenses suivants au cours de la semaine dernière ?</t>
  </si>
  <si>
    <t>108. Ko a gidanku an kashe kuɗi akan ire iren waɗannan abubuwan a cikin satin da ya gabata?</t>
  </si>
  <si>
    <t>212. Other, specify:</t>
  </si>
  <si>
    <t>212. Autre précisez:</t>
  </si>
  <si>
    <t>212. Sauran, bayar da cikakkun bayanai:</t>
  </si>
  <si>
    <t>speedcheck_hoh_rosternew_start</t>
  </si>
  <si>
    <t>213. Enumerator: Record any details about the death of the family member</t>
  </si>
  <si>
    <t>213. Enqueteur: Veuillez noter toute information pertinente concernant le décès</t>
  </si>
  <si>
    <t>hoh_definition_note</t>
  </si>
  <si>
    <t>201. A household is a group of people, related or unrelated, who live together in the same housing, pool their resources together, share their meals and recognize the authority of the same one person who is the head of household.</t>
  </si>
  <si>
    <t>201. Un ménage est l’ensemble des personnes apparentées ou non qui vivent habituellement dans un même logement, mettent en commun leurs ressources, partagent leurs repas, et reconnaissent l’autorité d’une seule et même personne appelée chef de ménage.</t>
  </si>
  <si>
    <t>201. Gida shine mutanen da ko dangi ko a'a wanda suke rayuwa cikin gida guda, sun sa dukiyar su tare, suna cin abinci tare, kuma sun yarda da shugabancin mutum ɗaya wanda a ke ce ma mai gida.</t>
  </si>
  <si>
    <t>PARIS</t>
  </si>
  <si>
    <t>not(selected(${w_weekly_consumption_any}, '0'))</t>
  </si>
  <si>
    <t>count-selected(${w_weekly_consumption_any})</t>
  </si>
  <si>
    <t>PASAN</t>
  </si>
  <si>
    <t>hoh_new_hh_mems</t>
  </si>
  <si>
    <t>202. Are there new members in the household since we last spoke to you? For reference, these are the members you mentioned:
 ${hoh_roster_list}</t>
  </si>
  <si>
    <t>202. Y a-t-il de nouveaux membres dans le foyer depuis notre dernière conversation ? Pour référence, voici les membres que vous avez mentionnés : 
 ${hoh_roster_list}</t>
  </si>
  <si>
    <t>202. Shin akwai sabbin membobi a gidan tun da muka yi magana da ku a ƙarshe? Don tunani, waɗannan su ne membobin da ka ambata: 
 ${hoh_roster_list}</t>
  </si>
  <si>
    <t>hoh_new_hh_mems_num</t>
  </si>
  <si>
    <t>203. How many?</t>
  </si>
  <si>
    <t>203. Combien?</t>
  </si>
  <si>
    <t>203. Nawa?</t>
  </si>
  <si>
    <t>PASEC</t>
  </si>
  <si>
    <t>choice-label(${w_weekly_consumption_any}, selected-at(${w_weekly_consumption_any}, index()-1))</t>
  </si>
  <si>
    <t>hoh_roster_new</t>
  </si>
  <si>
    <t>Add new members to existing roster</t>
  </si>
  <si>
    <t>211. Please enter the nationality of ${hoh_roster_name}</t>
  </si>
  <si>
    <t>211. Veuillez saisir la nationalité de ${hoh_roster_name}</t>
  </si>
  <si>
    <t>211. Da fatan za a shigar da ƙasar ${hoh_roster_name}</t>
  </si>
  <si>
    <t>hoh_hhindex</t>
  </si>
  <si>
    <t>Index</t>
  </si>
  <si>
    <t>109. How much did your household spend on ${w_item_week} in the past week (in CFA)?</t>
  </si>
  <si>
    <t>109. Combien votre ménage a-t-il dépensé en ${w_item_week} la semaine dernière (en CFA) ?</t>
  </si>
  <si>
    <t>109. Nawa ne gidan ku ya kashe (a CFA) a ${w_item_week} satin da ya gabata ?</t>
  </si>
  <si>
    <t>212. Is ${hoh_roster_name} still a member of this household?</t>
  </si>
  <si>
    <t>212. ${hoh_roster_name} est-il toujours membre de ce ménage ?</t>
  </si>
  <si>
    <t>212. Ko suna yana cikin ƴan gidan nan?</t>
  </si>
  <si>
    <t>PECAP</t>
  </si>
  <si>
    <t>hoh_hhtext</t>
  </si>
  <si>
    <t>PICAD</t>
  </si>
  <si>
    <t>hoh_hhtextfrench</t>
  </si>
  <si>
    <t>hoh_hhtexthausa</t>
  </si>
  <si>
    <t>PICCT</t>
  </si>
  <si>
    <t>hoh_hhname</t>
  </si>
  <si>
    <t>Name</t>
  </si>
  <si>
    <t>hoh_new_mem_name_last</t>
  </si>
  <si>
    <t>204. What is the last name of ${hoh_hhtext}?</t>
  </si>
  <si>
    <t>204. Quel est le nom de ${hoh_hhtextfrench} ?</t>
  </si>
  <si>
    <t>204. Menene sunan uban ${hoh_hhtexthausa}?</t>
  </si>
  <si>
    <t>PLAN Niger</t>
  </si>
  <si>
    <t>hoh_new_mem_name_first</t>
  </si>
  <si>
    <t>110. For tabaski (2025), did your household purchase any of the following?</t>
  </si>
  <si>
    <t>205. What is the first name of ${hoh_hhtext}?</t>
  </si>
  <si>
    <t>110. Pour la Tabaski (2025), votre menage a-t-il acheté l'un des articles suivants ?</t>
  </si>
  <si>
    <t>205. Quel est le prenom de cette personne ${hoh_hhtextfrench} ?</t>
  </si>
  <si>
    <t>110. Don sallar laiya (2025), gidanku sun sayi ɗaya daga cikin waɗannan abubuwan ?</t>
  </si>
  <si>
    <t>205. Menene sunan ${hoh_hhtexthausa}?</t>
  </si>
  <si>
    <t>PRADEL</t>
  </si>
  <si>
    <t>PRAPS</t>
  </si>
  <si>
    <t>219. What country is ${hoh_roster_name} currently living in?</t>
  </si>
  <si>
    <t>219. Dans quel pays vit actuellement ${hoh_roster_name} ?</t>
  </si>
  <si>
    <t>219. A cikin wace kasa ce ${hoh_roster_name} yake zaune a yanzu?</t>
  </si>
  <si>
    <t>hoh_new_mem_name</t>
  </si>
  <si>
    <t>111. Clothing</t>
  </si>
  <si>
    <t>111. Vêtements</t>
  </si>
  <si>
    <t>PRODAF</t>
  </si>
  <si>
    <t>111. Tufafi</t>
  </si>
  <si>
    <t>select_one relation</t>
  </si>
  <si>
    <t>hoh_new_mem_relation</t>
  </si>
  <si>
    <t>206. What is ${hoh_new_mem_name}'s relationship to you, the household head?</t>
  </si>
  <si>
    <t>206. Quelle est la relation entre ${hoh_new_mem_name} et vous, le chef de ménage ?</t>
  </si>
  <si>
    <t>206. Menene alaƙa tsakanin ${hoh_new_mem_name} da, mai gida?</t>
  </si>
  <si>
    <t>Programme Alimentaire Mondial (PAM)</t>
  </si>
  <si>
    <t>select_one sex</t>
  </si>
  <si>
    <t>hoh_new_mem_sex</t>
  </si>
  <si>
    <t>207. What is ${hoh_new_mem_name}'s sex?</t>
  </si>
  <si>
    <t>207. Quel est le sexe de ${hoh_new_mem_name} ?</t>
  </si>
  <si>
    <t>Programme pour la promotion de l'éductaion (PPE)</t>
  </si>
  <si>
    <t>207. Menene jinsin ${hoh_new_mem_name}?</t>
  </si>
  <si>
    <t>112. Sheep</t>
  </si>
  <si>
    <t>112. Mouton</t>
  </si>
  <si>
    <t>112. Rago</t>
  </si>
  <si>
    <t>PROGRES</t>
  </si>
  <si>
    <t>hoh_new_mem_age</t>
  </si>
  <si>
    <t>208. What is ${hoh_new_mem_name}'s age?</t>
  </si>
  <si>
    <t>208. Quel âge a ${hoh_new_mem_name} ?</t>
  </si>
  <si>
    <t>208. ${hoh_new_mem_name} Shekarun shi/ta nawa?</t>
  </si>
  <si>
    <t>Projet LIRE</t>
  </si>
  <si>
    <t>113. Goat</t>
  </si>
  <si>
    <t>113. Chèvre</t>
  </si>
  <si>
    <t>113. Akuya</t>
  </si>
  <si>
    <t>Projet Pôles Ruraux (PPR)</t>
  </si>
  <si>
    <t>speedcheck_hoh_rosternew_end</t>
  </si>
  <si>
    <t>PROMAP-ADKOUL</t>
  </si>
  <si>
    <t>REVE</t>
  </si>
  <si>
    <t>114. Poultry</t>
  </si>
  <si>
    <t>114. Volaille</t>
  </si>
  <si>
    <t>114. Kaji/zabi</t>
  </si>
  <si>
    <t>dur_hoh_rosternew</t>
  </si>
  <si>
    <t>SNV</t>
  </si>
  <si>
    <t>TATTALI IYALI</t>
  </si>
  <si>
    <t>hoh_hhmembers_new</t>
  </si>
  <si>
    <t>hoh_roster_note</t>
  </si>
  <si>
    <t>209. I want to ask a few questions about the members of your household who are currently residing here.</t>
  </si>
  <si>
    <t>209. Je veux poser quelques questions sur les membres de votre ménage qui résident actuellement ici.</t>
  </si>
  <si>
    <t>UNICEF</t>
  </si>
  <si>
    <t>209. Ina so in muku ƴan tambayoyi bisa yan gidanku da ke zaune a gida a yanzu.</t>
  </si>
  <si>
    <t>Union Internationale pour la Conservation de la Nature (UICN)</t>
  </si>
  <si>
    <t>WHH</t>
  </si>
  <si>
    <t>229. Is ${hoh_roster_name} currently enrolled in school?</t>
  </si>
  <si>
    <t>229. Est-ce que ${hoh_roster_name} est actuellement inscrit à l'école ?</t>
  </si>
  <si>
    <t>229. Ko ${hoh_roster_name} yana yin lakwal a halin yanzu?</t>
  </si>
  <si>
    <t>hoh_roster</t>
  </si>
  <si>
    <t>Roster</t>
  </si>
  <si>
    <t>Word Vision</t>
  </si>
  <si>
    <t>speedcheck_hoh_roster_start</t>
  </si>
  <si>
    <t>ZARES</t>
  </si>
  <si>
    <t>hoh_roster_index</t>
  </si>
  <si>
    <t>hoh_roster_name_cases</t>
  </si>
  <si>
    <t>Member name from case management</t>
  </si>
  <si>
    <t>mig_countries</t>
  </si>
  <si>
    <t>hoh_roster_age_cases</t>
  </si>
  <si>
    <t>Member age from case management</t>
  </si>
  <si>
    <t>115. Since our last in person interview (in , was your household negatively affected by any of the following types of events?</t>
  </si>
  <si>
    <t>115. Despuis notre dernière enquête en personne (mai/juin 2024), votre ménage a-t-il été affecté négativement par l'un des types d'événements suivants ?</t>
  </si>
  <si>
    <t>115. Tun daga tun bayan hirar mu ta ƙarshe a gaba da gaba (Mayu/Yuni 2024), ko gidanku ya fuskanci wani daga cikin matsaloli nan masu zuwa? Zaɓi duk abin da ya dace</t>
  </si>
  <si>
    <t>Select all that apply</t>
  </si>
  <si>
    <t>Sélectionnez tout ce qui s'y rapporte</t>
  </si>
  <si>
    <t>Zaɓi duk abin da ya dace</t>
  </si>
  <si>
    <t>hoh_roster_sex_cases</t>
  </si>
  <si>
    <t>Member sex from case management</t>
  </si>
  <si>
    <t>not(selected(., '0') and count-selected(.) &gt; 1)</t>
  </si>
  <si>
    <t>hoh_roster_new_index</t>
  </si>
  <si>
    <t>hoh_roster_name_new</t>
  </si>
  <si>
    <t>New member name (only populated if no more members to enumerate in the cases data)</t>
  </si>
  <si>
    <t>220. In the past three months did your household make a significant investment or improvement in the house you reside in?</t>
  </si>
  <si>
    <t>116. Please briefly describe the event(s) that negatveily affected your household</t>
  </si>
  <si>
    <t>220. &lt;b&gt; Au cours des trois derniers mois&lt;/b&gt;, votre ménage a-t-il fait un investissement important ou des améliorations dans la maison que vous habitez ?</t>
  </si>
  <si>
    <t>116. Veuillez décrire brièvement le/les événement(s) qui ont eu des effets négatifs sur votre ménage au cours des 3 derniers mois</t>
  </si>
  <si>
    <t>220. A cikin watanni uku da suka wuce, gidanku ya saka wani babban jari ko ya gyara gidan da kuke zaune?</t>
  </si>
  <si>
    <t>116. Da fatan za ku yi taƙaitaccen bayani a kan abin da ya shafi gidan ku</t>
  </si>
  <si>
    <t>hoh_roster_age_new</t>
  </si>
  <si>
    <t>New member age</t>
  </si>
  <si>
    <t>selected(${w_emergency}, '-777')</t>
  </si>
  <si>
    <t>221. Build additional rooms</t>
  </si>
  <si>
    <t>221. Construire des chambres supplémentaires</t>
  </si>
  <si>
    <t>221. Ginin ƙarin ɗakuna</t>
  </si>
  <si>
    <t>hoh_roster_sex_new</t>
  </si>
  <si>
    <t>New member sex</t>
  </si>
  <si>
    <t>hoh_roster_name</t>
  </si>
  <si>
    <t>not(selected(${w_emergency}, '0'))</t>
  </si>
  <si>
    <t>count-selected(${hoh_emergency})</t>
  </si>
  <si>
    <t>hoh_roster_age</t>
  </si>
  <si>
    <t>hoh_roster_sex</t>
  </si>
  <si>
    <t>hoh_info</t>
  </si>
  <si>
    <t>210. ${hoh_roster_name}
 Sex: ${hoh_roster_sex}
 Age: ${hoh_roster_age}</t>
  </si>
  <si>
    <t>if(selected-at(${w_emergency}, index()-1) = '-777', ${w_emergency_o}, choice-label(${w_emergency}, selected-at(${w_emergency}, index()-1)))</t>
  </si>
  <si>
    <t>hoh_nationality</t>
  </si>
  <si>
    <t>211. Is ${hoh_roster_name} a Nigerien national?</t>
  </si>
  <si>
    <t>211. ${hoh_roster_name} est-il un citoyen(ne) du Niger ?</t>
  </si>
  <si>
    <t>211. Ko ${hoh_roster_name} ɗan ƙasar Nijar ne?</t>
  </si>
  <si>
    <t>hoh_nationality_country</t>
  </si>
  <si>
    <t>212. Where are they a cititzen of?</t>
  </si>
  <si>
    <t>212. D'où sont-ils citoyens ?</t>
  </si>
  <si>
    <t>212. Ƴan wace ƙasa ce?</t>
  </si>
  <si>
    <t>hoh_nationality_country_o</t>
  </si>
  <si>
    <t>213. Please enter the nationality of ${hoh_roster_name}</t>
  </si>
  <si>
    <t>213. Veuillez saisir la nationalité de ${hoh_roster_name}</t>
  </si>
  <si>
    <t>213. Da fatan za a shigar da ƙasar ${hoh_roster_name}</t>
  </si>
  <si>
    <t>hoh_roster_in</t>
  </si>
  <si>
    <t>214. Is ${hoh_roster_name} still a member of this household?</t>
  </si>
  <si>
    <t>214. ${hoh_roster_name} est-il toujours membre de ce ménage ?</t>
  </si>
  <si>
    <t>214. Ko suna yana cikin ƴan gidan nan?</t>
  </si>
  <si>
    <t>117. In response to ${w_emergency_name}, did you or your household take the following actions?</t>
  </si>
  <si>
    <t>117. En réponse à ${w_emergency_name}, avez-vous vous ou votre ménage pris les mesures suivantes ??</t>
  </si>
  <si>
    <t>117. Dangance da ${w_emergency_name}, ku ko ƴan gindanku kun ɗauki waɗannan matakai?</t>
  </si>
  <si>
    <t>select_one whyno_in</t>
  </si>
  <si>
    <t>hoh_roster_notin_why</t>
  </si>
  <si>
    <t>215. Why are they not a member of this household?</t>
  </si>
  <si>
    <t>215. Pourquoi ne font-ils pas partie de ce ménage ?</t>
  </si>
  <si>
    <t>215. Me ya sa ba su cikin ƴan gidan nan ?</t>
  </si>
  <si>
    <t>hoh_roster_notin_why_o</t>
  </si>
  <si>
    <t>216. Other, specify:</t>
  </si>
  <si>
    <t>216. Autre précisez:</t>
  </si>
  <si>
    <t>216. Sauran, bayar da cikakkun bayanai:</t>
  </si>
  <si>
    <t>hoh_roster_notin_death_rel</t>
  </si>
  <si>
    <t>Please indicate the relation of this member to ${pm_name}</t>
  </si>
  <si>
    <t>Veuillez indiquer la relation de ce membre avec ${pm_name}</t>
  </si>
  <si>
    <t>Da fatan za a nuna alakar wannan memba zuwa ${pm_name}</t>
  </si>
  <si>
    <t>118. Sell assets?</t>
  </si>
  <si>
    <t>118. Vendre des actifs</t>
  </si>
  <si>
    <t>118. Saida kadarori</t>
  </si>
  <si>
    <t>hoh_roster_notin_death</t>
  </si>
  <si>
    <t>217. Enumerator: Record any details about the death of the family member</t>
  </si>
  <si>
    <t>217. Enqueteur: Veuillez noter toute information pertinente concernant le décès</t>
  </si>
  <si>
    <t>hoh_living_in_hh</t>
  </si>
  <si>
    <t>218. Is ${hoh_roster_name} currently living in your household?</t>
  </si>
  <si>
    <t>218. Est-ce que ${hoh_roster_name} vit actuellement dans votre ménage ?</t>
  </si>
  <si>
    <t>218. Ko ${hoh_roster_name} yana zaune a gidanku a halin yanzu ?</t>
  </si>
  <si>
    <t>hoh_in_niger</t>
  </si>
  <si>
    <t>219. Is ${hoh_roster_name} currently living in Niger?</t>
  </si>
  <si>
    <t>219. Est-ce que ${hoh_roster_name} vit actuellement au Niger ?</t>
  </si>
  <si>
    <t>219. Ko ${hoh_roster_name} yana zaune a Nijar a halin yanzu?</t>
  </si>
  <si>
    <t>119. Borrow money?</t>
  </si>
  <si>
    <t>119. Emprunter de l'argent</t>
  </si>
  <si>
    <t>119. Bashin kuɗi</t>
  </si>
  <si>
    <t>hoh_in_niger_region</t>
  </si>
  <si>
    <t>220. What region is ${hoh_roster_name} currently living in?</t>
  </si>
  <si>
    <t>220. Dans quelle région vit actuellement ${hoh_roster_name} ?</t>
  </si>
  <si>
    <t>220. A cikin wace jaha ce ${hoh_roster_name} yake zaune a yanzu?</t>
  </si>
  <si>
    <t>travel</t>
  </si>
  <si>
    <t>bus</t>
  </si>
  <si>
    <t>select_one countries</t>
  </si>
  <si>
    <t>hoh_out_niger</t>
  </si>
  <si>
    <t>bas</t>
  </si>
  <si>
    <t>221. What country is ${hoh_roster_name} currently living in?</t>
  </si>
  <si>
    <t>221. Dans quel pays vit actuellement ${hoh_roster_name} ?</t>
  </si>
  <si>
    <t>221. A cikin wace kasa ce ${hoh_roster_name} yake zaune a yanzu?</t>
  </si>
  <si>
    <t>120. Spend your savings?</t>
  </si>
  <si>
    <t>120. Utiliser votre épargne</t>
  </si>
  <si>
    <t>120. Kashe kuɗin ajiyar ku</t>
  </si>
  <si>
    <t>taxi</t>
  </si>
  <si>
    <t>Taxi</t>
  </si>
  <si>
    <t>hoh_out_niger_o</t>
  </si>
  <si>
    <t>222. Specify other</t>
  </si>
  <si>
    <t>222. Autre à préciser</t>
  </si>
  <si>
    <t>222. Wani daban a Bayyana</t>
  </si>
  <si>
    <t>on foot</t>
  </si>
  <si>
    <t>à pied</t>
  </si>
  <si>
    <t>a kafa</t>
  </si>
  <si>
    <t>hoh_out_town</t>
  </si>
  <si>
    <t>223. Enumerator: Select town</t>
  </si>
  <si>
    <t>223. Enquêteur : Sélectionnez la ville</t>
  </si>
  <si>
    <t>223. Ɗan bincike: Zaɓi gari</t>
  </si>
  <si>
    <t>motorcycle</t>
  </si>
  <si>
    <t>moto</t>
  </si>
  <si>
    <t>babur</t>
  </si>
  <si>
    <t>hoh_out_town_o</t>
  </si>
  <si>
    <t>224. Specify other</t>
  </si>
  <si>
    <t>224. Autre à préciser</t>
  </si>
  <si>
    <t>224. Wani daban a Bayyana</t>
  </si>
  <si>
    <t>121. Reduce spending on food or change your food consumption?</t>
  </si>
  <si>
    <t>121. Réduire les dépenses alimentaires ou changé des habitudes de consommation ?</t>
  </si>
  <si>
    <t>121. Rage kashe kuɗi akan abinci ko canza abincin da ku ka saba ci?</t>
  </si>
  <si>
    <t>hoh_mem_in_hh</t>
  </si>
  <si>
    <t>246. In ${hoh_failed_country}, what was the name of the city or town that ${hoh_roster_name} planned to move to?</t>
  </si>
  <si>
    <t xml:space="preserve">246. </t>
  </si>
  <si>
    <t>hoh_illness_limit</t>
  </si>
  <si>
    <t>225. Does ${hoh_roster_name} currently suffer from any illness or disability that limits their ability to travel or work?</t>
  </si>
  <si>
    <t>225. Est-ce que ${hoh_roster_name} souffre actuellement d'une maladie ou d'un handicap qui limite sa capacité à voyager ou à travailler ?</t>
  </si>
  <si>
    <t>225. ko a halin yanzu ${hoh_roster_name} yana da rashin lafiya ko naƙasa wanda ke iya hanashi zuwa balaguro ko yin aiki?</t>
  </si>
  <si>
    <t>reason_nowork</t>
  </si>
  <si>
    <t>Health reasons</t>
  </si>
  <si>
    <t>Raisons de santé</t>
  </si>
  <si>
    <t>Dalilan lafiya</t>
  </si>
  <si>
    <t>hoh_illness_limit_type</t>
  </si>
  <si>
    <t>226. What illness limits ${hoh_roster_name} in this way?</t>
  </si>
  <si>
    <t>Studies / school</t>
  </si>
  <si>
    <t>226. Quelle maladie limite ${hoh_roster_name} de cette manière ?</t>
  </si>
  <si>
    <t>Études / école</t>
  </si>
  <si>
    <t>226. Wace rashin lafiya ke tsaida ${hoh_roster_name} ta haka ?</t>
  </si>
  <si>
    <t>Karatu / makaranta</t>
  </si>
  <si>
    <t>hoh_illness_limit_type_o</t>
  </si>
  <si>
    <t>Took time off for leisure</t>
  </si>
  <si>
    <t>227. Other, specify:</t>
  </si>
  <si>
    <t>A pris du temps pour les loisirs</t>
  </si>
  <si>
    <t>227. Autre précisez:</t>
  </si>
  <si>
    <t>Ya ɗauki lokaci don nashaɗi</t>
  </si>
  <si>
    <t>227. Sauran, bayar da cikakkun bayanai:</t>
  </si>
  <si>
    <t>hoh_any_children</t>
  </si>
  <si>
    <t>228. Does ${hoh_roster_name} have children?</t>
  </si>
  <si>
    <t>228. Est-ce que ${hoh_roster_name} a des enfants ?</t>
  </si>
  <si>
    <t>228. ko ${hoh_roster_name} yana da yara?</t>
  </si>
  <si>
    <t>Could not find work</t>
  </si>
  <si>
    <t>Je n'ai pas trouvé de travail</t>
  </si>
  <si>
    <t>Ban samu aiki ba</t>
  </si>
  <si>
    <t>${w_emerg_sell} = 1 or ${w_emerg_borrow} = 1 or ${w_emerg_spend} = 1</t>
  </si>
  <si>
    <t>hoh_children</t>
  </si>
  <si>
    <t>229. How many children is ${hoh_roster_name} responsible for?</t>
  </si>
  <si>
    <t>229. De combien d'enfants ${hoh_roster_name} est-il responsable ?</t>
  </si>
  <si>
    <t>229. Yara nawa ne ${hoh_roster_name} yake ɗauke da Nauyinsu?</t>
  </si>
  <si>
    <t>select_one education</t>
  </si>
  <si>
    <t>hoh_education</t>
  </si>
  <si>
    <t>122. For ${w_emergency_name}
 What was the value of the following in CFA?</t>
  </si>
  <si>
    <t>230. What is the highest level of education that ${hoh_roster_name} has completed?</t>
  </si>
  <si>
    <t>122. Par rapport à ${w_emergency_name}
 Quelle était la valeur des éléments suivantes en CFA?</t>
  </si>
  <si>
    <t>230. Quel est le plus haut niveau d'études atteint par ${hoh_roster_name} ?</t>
  </si>
  <si>
    <t>230. Menene mafi girman mastayin ilimi da ${hoh_roster_name} ya kai?</t>
  </si>
  <si>
    <t>122. Game da ${w_emergency_name}
 Nawa ne kimar waɗannan abubuwan a kuɗin CFA?</t>
  </si>
  <si>
    <t>docs</t>
  </si>
  <si>
    <t>hoh_attending_school</t>
  </si>
  <si>
    <t>231. Is ${hoh_roster_name} currently enrolled in school?</t>
  </si>
  <si>
    <t>231. Est-ce que ${hoh_roster_name} est actuellement inscrit à l'école ?</t>
  </si>
  <si>
    <t>231. Ko ${hoh_roster_name} yana yin lakwal a halin yanzu?</t>
  </si>
  <si>
    <t>select_one schools</t>
  </si>
  <si>
    <t>hoh_school_type</t>
  </si>
  <si>
    <t>232. What kind of school is ${hoh_roster_name} enrolled in?</t>
  </si>
  <si>
    <t>Birth certificate</t>
  </si>
  <si>
    <t>Extrait de naissance</t>
  </si>
  <si>
    <t>232. Dans quel type d'école est inscrit ${hoh_roster_name} ?</t>
  </si>
  <si>
    <t>Takardar shaidar haihuwa</t>
  </si>
  <si>
    <t>232. Wace irin makaranta aka rubuta ${hoh_roster_name}?</t>
  </si>
  <si>
    <t>123. Assets you sold</t>
  </si>
  <si>
    <t>123. Les actifs que vous avez vendus</t>
  </si>
  <si>
    <t>123. Kadarorin da kuka saida</t>
  </si>
  <si>
    <t>Assets include animals, food stock</t>
  </si>
  <si>
    <t>Par exemple, des animaux, vos stocks alimentaires</t>
  </si>
  <si>
    <t>Kadarorin sun haɗa da dabbobi, ajiyar abinci</t>
  </si>
  <si>
    <t>Passport</t>
  </si>
  <si>
    <t>Passeport</t>
  </si>
  <si>
    <t>Fasfo</t>
  </si>
  <si>
    <t>${w_emerg_sell} = 1</t>
  </si>
  <si>
    <t>hoh_school_cost</t>
  </si>
  <si>
    <t>233. What is the cost of school fees for the current academic year in CFA?</t>
  </si>
  <si>
    <t>233. Quel est le coût des frais de scolarité pour l'année scolaire en cours (en CFA) ?</t>
  </si>
  <si>
    <t>233. Nawa ne kuɗin makaranta na wannan shekarar (a sefa)?</t>
  </si>
  <si>
    <t>National ID card</t>
  </si>
  <si>
    <t>Carte d'identité nationale</t>
  </si>
  <si>
    <t>Katin ID na kasa</t>
  </si>
  <si>
    <t>hoh_school_absent_health</t>
  </si>
  <si>
    <t>234. In the past month (four weeks) how many days has ${hoh_roster_name} missed school for health reasons?</t>
  </si>
  <si>
    <t>234. Au cours du dernier mois (quatre semaines), combien de jours ${hoh_roster_name} a-t-il manqué l'école pour des raisons de santé ?</t>
  </si>
  <si>
    <t>Vaccine booklet</t>
  </si>
  <si>
    <t>Carnet de vaccins</t>
  </si>
  <si>
    <t>234. A cikin watan da ya gabata (sati hudu), kwanaki nawa ${hoh_roster_name} yayi fashin zuwa makaranta saboda wata rishin lafiya?</t>
  </si>
  <si>
    <t>Littafin rigakafi</t>
  </si>
  <si>
    <t>124. Loan(s) you took</t>
  </si>
  <si>
    <t>124. Les prêt(s) que vous avez contracté</t>
  </si>
  <si>
    <t>124. Bashin da kuka ɗauka</t>
  </si>
  <si>
    <t>ECOWAS ID card</t>
  </si>
  <si>
    <t>Carte d'identité CEDEAO</t>
  </si>
  <si>
    <t>Katin ID na ECOWAS</t>
  </si>
  <si>
    <t>hoh_school_absent_work</t>
  </si>
  <si>
    <t>235. In the past month (four weeks) how many days has ${hoh_roster_name} missed school for work or other reasons?</t>
  </si>
  <si>
    <t>235. Au cours du dernier mois (quatre semaines), combien de jours ${hoh_roster_name} a-t-il manqué l'école pour le travail ou pour d'autres raisons ?</t>
  </si>
  <si>
    <t>235. A cikin watan da ya gabata (makonni hudu), kwanaki nawa ${hoh_roster_name} yayi fashin makaranta saboda aiki ko wasu dalilai?</t>
  </si>
  <si>
    <t>${w_emerg_borrow} = 1</t>
  </si>
  <si>
    <t>Travel visa</t>
  </si>
  <si>
    <t>Visa de voyage</t>
  </si>
  <si>
    <t>Visa ta balaguro</t>
  </si>
  <si>
    <t>hoh_married</t>
  </si>
  <si>
    <t>236. Is ${hoh_roster_name} married?</t>
  </si>
  <si>
    <t>236. Est-ce que ${hoh_roster_name} est marié ?</t>
  </si>
  <si>
    <t>236. Ko ${hoh_roster_name} yanada aure?</t>
  </si>
  <si>
    <t>125. Savings you spent?</t>
  </si>
  <si>
    <t>125. L'épargne que vous avez utilisé</t>
  </si>
  <si>
    <t>125. Ajiyar da kuka kashe</t>
  </si>
  <si>
    <t>${w_emerg_spend} = 1</t>
  </si>
  <si>
    <t>hoh_wives</t>
  </si>
  <si>
    <t>237. How many wives does ${hoh_new_mem_name} have?</t>
  </si>
  <si>
    <t>237. Combien de femmes a ${hoh_roster_name} ?</t>
  </si>
  <si>
    <t>237. Mata nawa ${hoh_roster_name} yake da su?</t>
  </si>
  <si>
    <t>245. For ${hoh_emergency_name}
What was the value of the following in CFA?</t>
  </si>
  <si>
    <t>245. Par rapport à ${hoh_emergency_name}
Quelle était la valeur des éléments suivantes en CFA?</t>
  </si>
  <si>
    <t>245. Game da ${hoh_emergency_name}
 Nawa ne kimar waɗannan abubuwan a kuɗin CFA?</t>
  </si>
  <si>
    <t>hoh_past_migration</t>
  </si>
  <si>
    <t>Past Migration</t>
  </si>
  <si>
    <t>246. Assets you sold</t>
  </si>
  <si>
    <t>246. Les actifs que vous avez vendus</t>
  </si>
  <si>
    <t>246. Kadarorin da kuka saida</t>
  </si>
  <si>
    <t>travail domestique</t>
  </si>
  <si>
    <t>hoh_past_migration_note</t>
  </si>
  <si>
    <t>238. We would now like to ask you about the migration history of ${hoh_roster_name}.</t>
  </si>
  <si>
    <t>238. Nous aimerions maintenant vous poser des questions sur l'historique de migration de ${hoh_roster_name}.</t>
  </si>
  <si>
    <t>238. Yanzu muna so mu tambaye ka tarihin zuwa biɗa na ${hoh_roster_name}.</t>
  </si>
  <si>
    <t>hoh_mem_migrate</t>
  </si>
  <si>
    <t>239. Since ${period}, has ${hoh_roster_name} spent more than a week (7 days) away from home?</t>
  </si>
  <si>
    <t>239. Depuis cette ${period_french}, ${hoh_roster_name} a-t-il passé plus d'une semaine (7 jours) loin de chez lui ?</t>
  </si>
  <si>
    <t>239. Tun wancan ${period_hausa}, ${hoh_roster_name} ya shafe fiye da mako guda (kwana 7) baya gida?</t>
  </si>
  <si>
    <t>126. I would like to ask your opinion about a several different topics. There are no right answers to these questions, we just want to understand what you think.</t>
  </si>
  <si>
    <t>select_multiple countries</t>
  </si>
  <si>
    <t>126. J'aimerais vous demander votre avis sur plusieurs sujets différents. Il n'y a pas de bonnes réponses à ces questions, nous voulons juste comprendre ce que vous pensez.</t>
  </si>
  <si>
    <t>hoh_dest_country</t>
  </si>
  <si>
    <t>126. Ina so in tambayi ra'ayin ku game bisa batutuwa daban-daban. Babu amsoshin da suka dace ga waɗannan tambayoyin, muna son mu fafimci ra'ayinki ne kawai.</t>
  </si>
  <si>
    <t>240. Since ${period}, in which of the following countries has ${hoh_roster_name} spent more than one week? Select all that apply</t>
  </si>
  <si>
    <t>240. Depuis cette ${period_french}, dans lequel des pays suivants hoh_roster_name a-t-il passé plus d'une semaine ? Sélectionnez tout ce qui s'y rapporte</t>
  </si>
  <si>
    <t>240. Tun daga wancan ${period_hausa}, a cikin waɗanne ƙasashe ne ${hoh_roster_name} ya shafe fiye da mako ɗaya? Zaɓi duk abin da ya dace</t>
  </si>
  <si>
    <t>hoh_dest_country_o</t>
  </si>
  <si>
    <t>241. Specify other</t>
  </si>
  <si>
    <t>241. Autre à préciser</t>
  </si>
  <si>
    <t>241. Wani daban a Bayyana</t>
  </si>
  <si>
    <t>hoh_dom_mig_ind</t>
  </si>
  <si>
    <t>hoh_border_cross_ind</t>
  </si>
  <si>
    <t>nopay</t>
  </si>
  <si>
    <t>Family business / land</t>
  </si>
  <si>
    <t>Entreprise familiale / terre</t>
  </si>
  <si>
    <t>Kasuwancin iyali / ƙasa</t>
  </si>
  <si>
    <t>253. Now I will ask you about how your household manages its resources.</t>
  </si>
  <si>
    <t>253. Je vais maintenant vous demander comment votre ménage gère ses ressources.</t>
  </si>
  <si>
    <t>253. Yanzu zan tambaye ku yadda gidanku yake sarrafa dukiyoyinshi.</t>
  </si>
  <si>
    <t>hoh_border_cross_ecowas_ind</t>
  </si>
  <si>
    <t>Excludes Burkina Faso and Mali</t>
  </si>
  <si>
    <t>Employer refused to pay me</t>
  </si>
  <si>
    <t>L'employeur a refusé de me payer</t>
  </si>
  <si>
    <t>Mai gida ya ƙi biya na</t>
  </si>
  <si>
    <t>254. Do you or another member of the household own this house?</t>
  </si>
  <si>
    <t>254. Est-ce que vous ou un autre membre du ménage êtes propriétaire de cette maison ?</t>
  </si>
  <si>
    <t>127. I would like to ask you about how decisions are made in your household. Please tell me to what degree does your opinion matter in decisions related to the following topics:</t>
  </si>
  <si>
    <t>254. Shin wannan gidan mallakarku ne kai ko wani dan cikin gidan ?</t>
  </si>
  <si>
    <t>127. Je voudrais vous poser quelques quetions sur la prise de décision dans votre ménage, dans quelle mesure votre opinion compte-t-elle dans les décisions liées aux sujets suivants :</t>
  </si>
  <si>
    <t>127. Ina son in tambaye ku yadda ake yanke hukunci a gidanku. Da fatan za ku gaya mani matsayin ra'ayinku a yanke shawara bisa abubuwa masu zuwa:</t>
  </si>
  <si>
    <t>hoh_num_dest_country</t>
  </si>
  <si>
    <t>Paid out debt through work</t>
  </si>
  <si>
    <t>Rembourser la dette par le travail</t>
  </si>
  <si>
    <t>Biyan bashi ta hanyar aiki</t>
  </si>
  <si>
    <t>255. What is your best estimate of the value of your home in CFA?</t>
  </si>
  <si>
    <t>255. Quelle est votre meilleure estimation de la valeur de votre maison en CFA ?</t>
  </si>
  <si>
    <t>255. A ganinka wannan gidan aƙalla ya yi nawa a kudin CFA ?</t>
  </si>
  <si>
    <t>speedcheck_hoh_rosterdest_start</t>
  </si>
  <si>
    <t>Self-employed but did not earn profit</t>
  </si>
  <si>
    <t>Indépendant mais n'a pas réalisé de profit</t>
  </si>
  <si>
    <t>Mai aikin kansa amma bai samu riba ba</t>
  </si>
  <si>
    <t>256. Does your household own the following goods?</t>
  </si>
  <si>
    <t>256. Votre ménage possède-t-il les biens suivants ?</t>
  </si>
  <si>
    <t>256. Ko gidanku na da kadarori masu zuwa?</t>
  </si>
  <si>
    <t>hoh_countries</t>
  </si>
  <si>
    <t>Countries</t>
  </si>
  <si>
    <t>Apprenticeship</t>
  </si>
  <si>
    <t>Apprentissage</t>
  </si>
  <si>
    <t>Koyo</t>
  </si>
  <si>
    <t>257. Does your household own any of the following types of livestock?</t>
  </si>
  <si>
    <t>257. Votre ménage possède-t-il l'un des types de bétail suivants ?</t>
  </si>
  <si>
    <t>257. ko gidanku yana da ɗaya daga cikin irin wadannan dabbobi?</t>
  </si>
  <si>
    <t>128. How to use money that you earn</t>
  </si>
  <si>
    <t>hoh_destinations_index</t>
  </si>
  <si>
    <t>Repeat Group Index</t>
  </si>
  <si>
    <t>128. Comment utiliser l'argent que vous gagnez</t>
  </si>
  <si>
    <t>128. Yadda ake amfani da kuɗin da kuke samu</t>
  </si>
  <si>
    <t>254. In the last 7 days, have adults gone a whole day without meals?</t>
  </si>
  <si>
    <t>254. Au cours des 7 derniers jours, des adultes sont-ils restés une journée entière sans manger de repas ?</t>
  </si>
  <si>
    <t>254. A cikin kwanaki 7 da suka wuce, ko manya gidanku sun zauna tsawon wuni guda basu ci abinci ba?</t>
  </si>
  <si>
    <t>hoh_dest_index</t>
  </si>
  <si>
    <t>Country Index</t>
  </si>
  <si>
    <t>hoh_destination</t>
  </si>
  <si>
    <t>Country Name</t>
  </si>
  <si>
    <t>select_multiple towns</t>
  </si>
  <si>
    <t>hoh_dest_town</t>
  </si>
  <si>
    <t>242. In ${hoh_destination}, what was the name of the city or town that ${hoh_roster_name} moved to?</t>
  </si>
  <si>
    <t>242. À ${hoh_destination}, quel était le nom de la ville dans laquelle ${hoh_roster_name} il a séjourné ?</t>
  </si>
  <si>
    <t>242. A ${hoh_destination}, menene sunan birnin da ${hoh_roster_name} ya zauna?</t>
  </si>
  <si>
    <t>129. Daily household expenses (Less than 500 CFA)</t>
  </si>
  <si>
    <t>129. Dépenses quotidiennes du ménage (Moins de 500 CFA)</t>
  </si>
  <si>
    <t>129. Kashe Kuɗin gidan na yau da kullum ( Kasa da dala ɗari CFA 500)</t>
  </si>
  <si>
    <t>employer</t>
  </si>
  <si>
    <t>Self-employed</t>
  </si>
  <si>
    <t>Travailleur indépendant</t>
  </si>
  <si>
    <t>Aikin-kai</t>
  </si>
  <si>
    <t>hoh_dest_town_o</t>
  </si>
  <si>
    <t>243. Specify other</t>
  </si>
  <si>
    <t>243. Autre à préciser</t>
  </si>
  <si>
    <t>243. Wani daban a Bayyana</t>
  </si>
  <si>
    <t>Employed by individual</t>
  </si>
  <si>
    <t>Employé par un particulier</t>
  </si>
  <si>
    <t>Mutum wani mutum mai gida</t>
  </si>
  <si>
    <t>Employed by private businesss</t>
  </si>
  <si>
    <t>Employé par des entreprises privées</t>
  </si>
  <si>
    <t>Yin aiki da kamfanoni masu zaman kansu</t>
  </si>
  <si>
    <t>select_multiple region</t>
  </si>
  <si>
    <t>130. Household purchases (over 500 CFA)</t>
  </si>
  <si>
    <t xml:space="preserve">hoh_dest_region </t>
  </si>
  <si>
    <t>130. Achats du ménage (plus de 500 CFA)</t>
  </si>
  <si>
    <t>244. In ${hoh_destination}, what was the name of the region that ${hoh_roster_name} moved to?</t>
  </si>
  <si>
    <t>130. Sayayya na gida (sama da dala ɗari CFA 500)</t>
  </si>
  <si>
    <t>244. Dans ${hoh_destination}, quel était le nom de la région vers laquelle ${hoh_roster_name} a été déplacé ?</t>
  </si>
  <si>
    <t>244. A ${hoh_destination}, menene sunan yankin da ${hoh_roster_name} ya koma?</t>
  </si>
  <si>
    <t>Employed by public sector</t>
  </si>
  <si>
    <t>Employé par le secteur public</t>
  </si>
  <si>
    <t>Ma'aikaci na gwamnati</t>
  </si>
  <si>
    <t>hoh_dest_region_o</t>
  </si>
  <si>
    <t>245. Specify other</t>
  </si>
  <si>
    <t>245. Autre à préciser</t>
  </si>
  <si>
    <t>245. Wani daban a Bayyana</t>
  </si>
  <si>
    <t>purpose</t>
  </si>
  <si>
    <t>For work</t>
  </si>
  <si>
    <t>Pour le travail</t>
  </si>
  <si>
    <t>Don aiki</t>
  </si>
  <si>
    <t>131. What to do if someone in your household falls ill</t>
  </si>
  <si>
    <t>131. Que faire si un membre de votre ménage tombe malade</t>
  </si>
  <si>
    <t>hoh_dest_frequency</t>
  </si>
  <si>
    <t>131. Abin da za'a yi idan wani a cikin gidanku ya kamu da rashin lafiya</t>
  </si>
  <si>
    <t>246. How many times did ${hoh_roster_name} travel to ${hoh_destination} since ${period}?</t>
  </si>
  <si>
    <t>246. Combien de fois ${hoh_roster_name} s'est-il rendu à ${hoh_destination} depuis la ${period_french}?</t>
  </si>
  <si>
    <t>For social reasons (visit family/friends, attend ceremony)</t>
  </si>
  <si>
    <t>246. Sau nawa ${hoh_roster_name} yayi tafiya zuwa ${hoh_destination} tun daga wancan ${period_hausa}?</t>
  </si>
  <si>
    <t>Pour des raisons sociales (visiter famille/amis, assister à une cérémonie)</t>
  </si>
  <si>
    <t>Don dalilai na zamantakewa (ziyarci dangi/abokai, halartar bikin)</t>
  </si>
  <si>
    <t>Accompany/reunify with spouse</t>
  </si>
  <si>
    <t>Accompagner/réunifier avec le conjoint</t>
  </si>
  <si>
    <t>Rakiya/sake haduwa da miji</t>
  </si>
  <si>
    <t>Other Countries</t>
  </si>
  <si>
    <t>For studies</t>
  </si>
  <si>
    <t>Pour les études</t>
  </si>
  <si>
    <t>Domin karatu</t>
  </si>
  <si>
    <t>260. Now we'll talk about your households' agricultural and and animal husbandry activities. 
Let's starting with the most recent agricultural season</t>
  </si>
  <si>
    <t>260. Maintenant, nous allons parler des activités agricoles et d'élevage de votre ménage.
Commençons par la dernière saison agricole</t>
  </si>
  <si>
    <t>260. Yanzu za mu yi hira bisa aikin noma da kiwo na gidanku.</t>
  </si>
  <si>
    <t>speedcheck_hoh_rosterdest_end</t>
  </si>
  <si>
    <t>For medical reasons</t>
  </si>
  <si>
    <t>Pour des raisons médicales</t>
  </si>
  <si>
    <t>261. Thinking of all the agricultural land your household owned, rented or and had access to during the last agricultural season, please estimate its total size in hectres</t>
  </si>
  <si>
    <t>261. En pensant à toutes les terres agricoles que votre ménage possédait, louait ou auxquelles il avait accès au cours de la dernière saison agricole, veuillez estimer leur superficie totale en hectares</t>
  </si>
  <si>
    <t>261. A ganinka da gonakan da kuka mallaka da na haya da na aro wanda kuka noma a bana sun kai eka nawa?</t>
  </si>
  <si>
    <t>132. Whether children attend school or not</t>
  </si>
  <si>
    <t>132. Que les enfants soient scolarisés ou non</t>
  </si>
  <si>
    <t>dur_hoh_rosterdest</t>
  </si>
  <si>
    <t>132. Ko za'a rubuta yara makaranta ko a'a</t>
  </si>
  <si>
    <t>Transit (on my way somewhere else)</t>
  </si>
  <si>
    <t>Transit (en route ailleurs)</t>
  </si>
  <si>
    <t>262. How much of this land (in hectares) do you or another member of your household own?</t>
  </si>
  <si>
    <t>Tafiya (a kan hanya ta zuwa wani wuri)</t>
  </si>
  <si>
    <t>262. Quelle superficie de cette terre (en hectares) vous ou un autre membre de votre ménage possédez?</t>
  </si>
  <si>
    <t>262. Eka nawa ne mallakinku cikin wadannan gonakin, ku ko wani ɗan gidanku?</t>
  </si>
  <si>
    <t>hoh_failed_prep</t>
  </si>
  <si>
    <t>247. Since ${period}, was there ever a time when ${hoh_roster_name} planned to migrate but then had to cancel their plans?</t>
  </si>
  <si>
    <t>other</t>
  </si>
  <si>
    <t>247. Depuis cette ${period_french}, y a-t-il déjà eu un moment où ${hoh_roster_name} avait prévu de migrer mais a ensuite dû annuler ses projets ?</t>
  </si>
  <si>
    <t>autre</t>
  </si>
  <si>
    <t>247. Tun daga ${period_hausa}, ko akwai lokacin da ${hoh_roster_name} ya shirya zuwa biɗa amma sai ya soke shirinshi?</t>
  </si>
  <si>
    <t>hoh_failed_prep_country</t>
  </si>
  <si>
    <t>248. Where did they plan to migrate?</t>
  </si>
  <si>
    <t>248. Où envisageait-il de migrer ?</t>
  </si>
  <si>
    <t>248. Zuwa ina ya shirya zuwa biɗar?</t>
  </si>
  <si>
    <t>133. Whether you will migrate to find work or stay at home</t>
  </si>
  <si>
    <t>133. Si vous migrez pour trouver du travail ou rester à la maison</t>
  </si>
  <si>
    <t>133. Ko za ku yi tahiya wurin biɗa ko za ku zauna a gida</t>
  </si>
  <si>
    <t>hoh_failed_prep_country_o</t>
  </si>
  <si>
    <t>249. Specify other</t>
  </si>
  <si>
    <t>249. Autre à préciser</t>
  </si>
  <si>
    <t>249. Wani daban a Bayyana</t>
  </si>
  <si>
    <t>stay</t>
  </si>
  <si>
    <t>Home (owned by own household)</t>
  </si>
  <si>
    <t>Maison (appartenant à son propre ménage)</t>
  </si>
  <si>
    <t>Gida (mallakar gidan kansa)</t>
  </si>
  <si>
    <t>hoh_failed_repeat</t>
  </si>
  <si>
    <t>Failed Migrations</t>
  </si>
  <si>
    <t>266. How much did you pay to rent this land during the last agricultural season (in CFA)?</t>
  </si>
  <si>
    <t>266. A combien avez-vous loué ce terrain (en CFA) au cours de la dernière saison agricole ?</t>
  </si>
  <si>
    <t>266. A nawa kuka yi hayar wannan gonar a lokacin noman da ta wuce (a sefa)?</t>
  </si>
  <si>
    <t>hoh_failed_index</t>
  </si>
  <si>
    <t>267. Now we will focus on agricultural activities during last agricultural season</t>
  </si>
  <si>
    <t>Home of friends/familiy (no cost)</t>
  </si>
  <si>
    <t>267. Maintenant, nous allons nous concentrer sur les activités agricoles au cours de la dernière saison agricole</t>
  </si>
  <si>
    <t>Maison d'amis/famille (sans frais)</t>
  </si>
  <si>
    <t>267. Yanzu za mu maida hankali kan ayyukan noma a lokacin damanar da ta wuce</t>
  </si>
  <si>
    <t>Gidan abokai/iyali (ba farashi)</t>
  </si>
  <si>
    <t>hoh_failed_country_index</t>
  </si>
  <si>
    <t>268. Which of the following crops did your household grow during the last agricultural season?</t>
  </si>
  <si>
    <t>268. Laquelle des cultures suivantes votre ménage a-t-il cultivées au cours de la dernière saison agricole ?</t>
  </si>
  <si>
    <t>268. Wanne daga cikin waɗannan amfanin gidanku ya noma a damanar da ta gabata?</t>
  </si>
  <si>
    <t>hoh_failed_country</t>
  </si>
  <si>
    <t>Rented accomodation alone</t>
  </si>
  <si>
    <t>Logement loué seul</t>
  </si>
  <si>
    <t>Gidan haya shi kaɗai</t>
  </si>
  <si>
    <t>hoh_failed_town</t>
  </si>
  <si>
    <t>250. In ${hoh_failed_country}, what was the name of the city or town that ${hoh_roster_name} planned to move to?</t>
  </si>
  <si>
    <t>250. Dans ${hoh_failed_country}, quel était le nom de la ville ou du village vers lequel ${hoh_roster_name} prévoyait de voyager ?</t>
  </si>
  <si>
    <t>250. A ƙasar ${hoh_failed_country}, menene sunan birni ko garin da sunan ${hoh_roster_name} yayi shirin zuwa?</t>
  </si>
  <si>
    <t>Rented accomodation with others</t>
  </si>
  <si>
    <t>Logement en location avec d'autres</t>
  </si>
  <si>
    <t>Hayar gida tare da wasu</t>
  </si>
  <si>
    <t>hoh_failed_town_o</t>
  </si>
  <si>
    <t>251. Specify other</t>
  </si>
  <si>
    <t>251. Autre à préciser</t>
  </si>
  <si>
    <t>251. Wani daban a Bayyana</t>
  </si>
  <si>
    <t>Street</t>
  </si>
  <si>
    <t>Rue</t>
  </si>
  <si>
    <t>Titi</t>
  </si>
  <si>
    <t>134. Can you make your own decisions, without the input of anyone else if you want to regarding:</t>
  </si>
  <si>
    <t>134. Pouvez-vous prendre vos propres décisions, sans l'intervention de quelqu'un d'autre, si vous le souhaitez concernant :</t>
  </si>
  <si>
    <t>134. Za ku iya yanke shawara da kanku, ba tare da sa bakin wani ba idan kuna so dangance da:</t>
  </si>
  <si>
    <t xml:space="preserve">hoh_failed_region </t>
  </si>
  <si>
    <t>385. In ${hoh_failed_country}, what was the name of the region that ${hoh_roster_name} planned to move to?</t>
  </si>
  <si>
    <t>385. Dans ${hoh_failed_country}, quel était le nom de la région dans laquelle ${hoh_roster_name} prévoyait de voyager ?</t>
  </si>
  <si>
    <t>385. A kasar ${hoh_failed_country}, menene sunan yankin da sunan ${hoh_roster_name} ya shirya zuwa?</t>
  </si>
  <si>
    <t>Shelter (mosque, association)</t>
  </si>
  <si>
    <t>Abri (mosquée, association)</t>
  </si>
  <si>
    <t>Matsuguni (masallaci, ƙungiya)</t>
  </si>
  <si>
    <t>hoh_failed_region_o</t>
  </si>
  <si>
    <t>253. Specify other</t>
  </si>
  <si>
    <t>253. Autre à préciser</t>
  </si>
  <si>
    <t>253. Wani daban a Bayyana</t>
  </si>
  <si>
    <t>135. How to use money that you earn</t>
  </si>
  <si>
    <t>hoh_failed_prep_count</t>
  </si>
  <si>
    <t>135. Comment utiliser l'argent que vous gagnez</t>
  </si>
  <si>
    <t>254. How many times did they plan to migrate to ${hoh_failed_country} and fail?</t>
  </si>
  <si>
    <t>254. Combien de fois ont-ils prévu de migrer vers ${hoh_failed_country} et ont-ils échoué ?</t>
  </si>
  <si>
    <t>135. Yadda ake amfani da kuɗin da kuke samu</t>
  </si>
  <si>
    <t>254. Sau nawa ya shirya zuwa ƙasar ${hoh_failed_country} kuma ya kasa?</t>
  </si>
  <si>
    <t>Hotel</t>
  </si>
  <si>
    <t>Hôtel</t>
  </si>
  <si>
    <t>Otal</t>
  </si>
  <si>
    <t>select_multiple fail_reason</t>
  </si>
  <si>
    <t>hoh_failed_prep_reason</t>
  </si>
  <si>
    <t>255. Why did they change their plans?</t>
  </si>
  <si>
    <t>255. Pourquoi a-t-il changé son plan?</t>
  </si>
  <si>
    <t>255. Me yasa ya fasa tafiyar?</t>
  </si>
  <si>
    <t>hoh_failed_prep_reason_o</t>
  </si>
  <si>
    <t>Employer provided room</t>
  </si>
  <si>
    <t>256. Specify other reason</t>
  </si>
  <si>
    <t>256. Précisez une autre raison</t>
  </si>
  <si>
    <t>Chambre fournie par l'employeur</t>
  </si>
  <si>
    <t>256. Baiyana wani dalili daban</t>
  </si>
  <si>
    <t>Maigida ya ba da daki</t>
  </si>
  <si>
    <t>136. Daily household expenses (less than 500 CFA)</t>
  </si>
  <si>
    <t>136. Dépenses quotidiennes du ménage (moins de 500 CFA)</t>
  </si>
  <si>
    <t>136. Kashe Kuɗin gida na yau da kullum ( Kasa da dala ɗari CFA 500)</t>
  </si>
  <si>
    <t>272. Specify other unit:</t>
  </si>
  <si>
    <t>272. Spécifiez une autre unité :</t>
  </si>
  <si>
    <t>272. Baiyana wani amfanin gonar daban:</t>
  </si>
  <si>
    <t>speedcheck_hoh_roster_end</t>
  </si>
  <si>
    <t>137. Household purchases (over 500 CFA)</t>
  </si>
  <si>
    <t>137. Achats du ménage (plus de 500 CFA)</t>
  </si>
  <si>
    <t>137. Sayayya na gida (sama da dala ɗari CFA 500)</t>
  </si>
  <si>
    <t>dur_hoh_roster</t>
  </si>
  <si>
    <t>138. What job you do</t>
  </si>
  <si>
    <t>138. Quel travail tu fais</t>
  </si>
  <si>
    <t>271. Specify other:</t>
  </si>
  <si>
    <t>138. Wane aiki kuke yi</t>
  </si>
  <si>
    <t>271. Précisez la culture</t>
  </si>
  <si>
    <t>271. Baiyana wani abu daban:</t>
  </si>
  <si>
    <t>275. How many ${hoh_crop_unit_name}s of ${hoh_crop_name} did your household consume?</t>
  </si>
  <si>
    <t>275. Quelle quantité (${hoh_crop_unit_name}) de ${hoh_crop_name} votre ménage a-t-il consommé ?</t>
  </si>
  <si>
    <t>275. Nawa yawan ${hoh_crop_unit_name} na ${hoh_crop_name} gidanku ya cinye?</t>
  </si>
  <si>
    <t>hoh_members_above_7</t>
  </si>
  <si>
    <t>Members 7+</t>
  </si>
  <si>
    <t>Membres 7+</t>
  </si>
  <si>
    <t>Membobi 7+</t>
  </si>
  <si>
    <t>276. The amount you have left (${hoh_qty_left}) is negative. Please return and revise your responses.</t>
  </si>
  <si>
    <t xml:space="preserve">276. </t>
  </si>
  <si>
    <t>hoh_members_living_in_hh</t>
  </si>
  <si>
    <t>139. Whether you will migrate to find work</t>
  </si>
  <si>
    <t>139. Si vous migrez pour trouver du travail</t>
  </si>
  <si>
    <t>139. Ko za ku yi tahiya don neman aiki</t>
  </si>
  <si>
    <t>Members Living in HH</t>
  </si>
  <si>
    <t>277. Based on your responses, you had ${hoh_qty_left} ${hoh_crop_unit_name} left over. Does this sound correct?</t>
  </si>
  <si>
    <t xml:space="preserve">277. </t>
  </si>
  <si>
    <t>hoh_members_in_hh</t>
  </si>
  <si>
    <t>hoh_dom_mig</t>
  </si>
  <si>
    <t>hoh_border_cross</t>
  </si>
  <si>
    <t>283.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</si>
  <si>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283.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</si>
  <si>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283.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</si>
  <si>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hoh_border_cross_ecowas</t>
  </si>
  <si>
    <t>hoh_mig_any</t>
  </si>
  <si>
    <t>comprehension</t>
  </si>
  <si>
    <t>Did not understand</t>
  </si>
  <si>
    <t>N'a pas compris</t>
  </si>
  <si>
    <t>Bai gane ba</t>
  </si>
  <si>
    <t>w_discuss_group</t>
  </si>
  <si>
    <t>Understood somewhat</t>
  </si>
  <si>
    <t>Un peu compris</t>
  </si>
  <si>
    <t>Ya gane ɗan kadan</t>
  </si>
  <si>
    <t>hoh_hh_resources</t>
  </si>
  <si>
    <t>Household Resources</t>
  </si>
  <si>
    <t>Understood well</t>
  </si>
  <si>
    <t>Bien compris</t>
  </si>
  <si>
    <t>Ya gane sosai</t>
  </si>
  <si>
    <t>143. I am now going to mention some things that husband and wives sometimes speak about. Please tell me if you and your spouse talk about these things</t>
  </si>
  <si>
    <t>hoh_hh_resources_note</t>
  </si>
  <si>
    <t>143. Je vais maintenant mentionner certaines choses dont les maris et les femmes parlent parfois. Veuillez me dire si vous et votre conjoint parlez de ces choses</t>
  </si>
  <si>
    <t>257. Now I will ask you about how your household manages its resources.</t>
  </si>
  <si>
    <t>143. Yanzu zan ambaci wasu abubuwa da mata da miji suke magana akai. Don Allah ku gaya mini idan ku da mijinku kuna magana a kan waɗannan abubuwan</t>
  </si>
  <si>
    <t>257. Je vais maintenant vous demander comment votre ménage gère ses ressources.</t>
  </si>
  <si>
    <t>257. Yanzu zan tambaye ku yadda gidanku yake sarrafa dukiyoyinshi.</t>
  </si>
  <si>
    <t>hoh_own_home</t>
  </si>
  <si>
    <t>present</t>
  </si>
  <si>
    <t>258. Do you or another member of the household own this house?</t>
  </si>
  <si>
    <t>258. Est-ce que vous ou un autre membre du ménage êtes propriétaire de cette maison ?</t>
  </si>
  <si>
    <t>Alone</t>
  </si>
  <si>
    <t>Seul</t>
  </si>
  <si>
    <t>Shi kaɗai</t>
  </si>
  <si>
    <t>258. Shin wannan gidan mallakarku ne kai ko wani dan cikin gidan ?</t>
  </si>
  <si>
    <t>With spouse only</t>
  </si>
  <si>
    <t>Avec conjoint seulement</t>
  </si>
  <si>
    <t>Tare da mata kawai</t>
  </si>
  <si>
    <t>hoh_home_value</t>
  </si>
  <si>
    <t>259. What is your best estimate of the value of your home in CFA?</t>
  </si>
  <si>
    <t>259. Quelle est votre meilleure estimation de la valeur de votre maison en CFA ?</t>
  </si>
  <si>
    <t>259. A ganinka wannan gidan aƙalla ya yi nawa a kudin CFA ?</t>
  </si>
  <si>
    <t>With household members</t>
  </si>
  <si>
    <t>Avec les membres du ménage</t>
  </si>
  <si>
    <t>Tare da yan gida</t>
  </si>
  <si>
    <t>select_multiple assets</t>
  </si>
  <si>
    <t>hoh_durable_asset</t>
  </si>
  <si>
    <t>260. Does your household own the following goods?</t>
  </si>
  <si>
    <t>260. Votre ménage possède-t-il les biens suivants ?</t>
  </si>
  <si>
    <t>260. Ko gidanku na da kadarori masu zuwa?</t>
  </si>
  <si>
    <t>With non-household members</t>
  </si>
  <si>
    <t>Avec des non-membres du ménage</t>
  </si>
  <si>
    <t>Tare da wadanda ba ƴan gida ba</t>
  </si>
  <si>
    <t>select_multiple livestock</t>
  </si>
  <si>
    <t>hoh_livestock_any</t>
  </si>
  <si>
    <t>261. Does your household own any of the following types of livestock?</t>
  </si>
  <si>
    <t>261. Votre ménage possède-t-il l'un des types de bétail suivants ?</t>
  </si>
  <si>
    <t>261. ko gidanku yana da ɗaya daga cikin irin wadannan dabbobi?</t>
  </si>
  <si>
    <t>speedcheck_hoh_livestock_start</t>
  </si>
  <si>
    <t>hoh_livestock</t>
  </si>
  <si>
    <t>Assets</t>
  </si>
  <si>
    <t>Actifs</t>
  </si>
  <si>
    <t>Kadara</t>
  </si>
  <si>
    <t>paytype</t>
  </si>
  <si>
    <t>Cash</t>
  </si>
  <si>
    <t>Especes</t>
  </si>
  <si>
    <t>283. We want to understand how many days people worked in your fields and who did this work.</t>
  </si>
  <si>
    <t>283. Nous voulons comprendre combien de jours des gens ont travaillé dans vos champs et qui a fait ce travail.</t>
  </si>
  <si>
    <t>Kuɗi fari</t>
  </si>
  <si>
    <t>283. Muna son mu fahimci kwanaki nawa mutane suka yi aiki a gonakinku da kuma wanda ya yi wannan aikin.</t>
  </si>
  <si>
    <t>hoh_livestock_name</t>
  </si>
  <si>
    <t xml:space="preserve">Asset Name </t>
  </si>
  <si>
    <t>Nom de l'actif</t>
  </si>
  <si>
    <t>Sunan kadara</t>
  </si>
  <si>
    <t>284. Think about the last agricultural season. How many weeks were people working in your fields? This includes work by people who are members of your household and those who are not members of your household.</t>
  </si>
  <si>
    <t>284. Pensez à la dernière saison agricole. Combien de semaines au total les gens ont-ils travaillé dans vos champs ? Cela inclut le travail des personnes qui sont membres de votre ménage et celles qui ne le sont pas.</t>
  </si>
  <si>
    <t>284. Ku tuna da lokacin noma na ƙarshe. Makonni nawa mutane ke aiki a filayenku? Wannan ya haɗa da aikin mutanen da ke cikin gidanku da waɗanda ba ƴan gidanku ba ne.</t>
  </si>
  <si>
    <t>hoh_livestock_own</t>
  </si>
  <si>
    <t>262. How many ${hoh_livestock_name} does your household own?</t>
  </si>
  <si>
    <t>262. Combien de ${hoh_livestock_name} votre ménage possède-t-il ?</t>
  </si>
  <si>
    <t>In-kind</t>
  </si>
  <si>
    <t>Nature</t>
  </si>
  <si>
    <t>262. ${hoh_livestock_name} Nawa gidan ku ya mallaka ?</t>
  </si>
  <si>
    <t>Wani kaya</t>
  </si>
  <si>
    <t>hoh_livestock_value</t>
  </si>
  <si>
    <t>263. How much is ${hoh_livestock_name} worth in CFA?</t>
  </si>
  <si>
    <t>263. Combien vaut ${hoh_livestock_name} en CFA ?</t>
  </si>
  <si>
    <t>263. Nawa ne kuɗin ${hoh_livestock_name} a sefa?</t>
  </si>
  <si>
    <t>144. Things that happen at work or in the fields?</t>
  </si>
  <si>
    <t>144. Des choses qui se passent au travail ou dans les champs ?</t>
  </si>
  <si>
    <t>144. Abubuwan da ke faruwa a wurin aiki ko a gona?</t>
  </si>
  <si>
    <t>benefits</t>
  </si>
  <si>
    <t>282. Fertilizer</t>
  </si>
  <si>
    <t>Housing</t>
  </si>
  <si>
    <t>282. Engrais</t>
  </si>
  <si>
    <t>282. Takin zamani</t>
  </si>
  <si>
    <t>Logement</t>
  </si>
  <si>
    <t>Gidaje</t>
  </si>
  <si>
    <t>speedcheck_hoh_livestock_end</t>
  </si>
  <si>
    <t>283. Renting machines and tools (i.e. for plowing or spraying)</t>
  </si>
  <si>
    <t>283. Location de machines et d'outils (c'est-à-dire pour labourer ou pulvériser)</t>
  </si>
  <si>
    <t>283. Hayar injina da kayan aiki ( don noma ko feshi)</t>
  </si>
  <si>
    <t>dur_hoh_livestock</t>
  </si>
  <si>
    <t>Food</t>
  </si>
  <si>
    <t>Nourriture</t>
  </si>
  <si>
    <t>Abinci</t>
  </si>
  <si>
    <t>145. Things that happen in the community?</t>
  </si>
  <si>
    <t>145. Des choses qui se passent dans la communauté ?</t>
  </si>
  <si>
    <t>145. Abubuwan da ke faruwa a cikin al'umma?</t>
  </si>
  <si>
    <t>speedcheck_hoh_land_start</t>
  </si>
  <si>
    <t>287.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</si>
  <si>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287.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</si>
  <si>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287. Idan ba za mu iya samun ku ba, ko za ku iya ba mu suna da lambar wayar wani wanda ba na gidanku ba da za mu iya kira don neman lambar ku?
 Za mu kirayi mutumen ne kawai idan bamu sameku ba bayan kira biyu zuwa uku, hakan zai taimaka mana ci gaba da tuntuɓar ku.</t>
  </si>
  <si>
    <t>hoh_agriculture_note</t>
  </si>
  <si>
    <t>264. Now we'll talk about your households' agricultural and and animal husbandry activities. 
 Let's starting with the most recent agricultural season</t>
  </si>
  <si>
    <t>264. Maintenant, nous allons parler des activités agricoles et d'élevage de votre ménage.
 Commençons par la dernière saison agricole</t>
  </si>
  <si>
    <t>264. Yanzu za mu yi hira bisa aikin noma da kiwo na gidanku.</t>
  </si>
  <si>
    <t>Phone Credit</t>
  </si>
  <si>
    <t>Crédit téléphonique</t>
  </si>
  <si>
    <t>Kuɗin kira/Kiredi</t>
  </si>
  <si>
    <t>hoh_land_access_amt</t>
  </si>
  <si>
    <t>265. Thinking of all the agricultural land your household owned, rented or and had access to during the last agricultural season, please estimate its total size in hectres</t>
  </si>
  <si>
    <t>265. En pensant à toutes les terres agricoles que votre ménage possédait, louait ou auxquelles il avait accès au cours de la dernière saison agricole, veuillez estimer leur superficie totale en hectares</t>
  </si>
  <si>
    <t>146. Who to vote for in local elections?</t>
  </si>
  <si>
    <t>265. A ganinka da gonakan da kuka mallaka da na haya da na aro wanda kuka noma a bana sun kai eka nawa?</t>
  </si>
  <si>
    <t>146. Pour qui voter aux élections municipales ?</t>
  </si>
  <si>
    <t>146. Wanene za'a zaɓa a zaɓen ƙananan hukumomi?</t>
  </si>
  <si>
    <t>hoh_own_hectares</t>
  </si>
  <si>
    <t>266. How much of this land (in hectares) do you or another member of your household own?</t>
  </si>
  <si>
    <t>266. Quelle superficie de cette terre (en hectares) vous ou un autre membre de votre ménage possédez?</t>
  </si>
  <si>
    <t>266. Eka nawa ne mallakinku cikin wadannan gonakin, ku ko wani ɗan gidanku?</t>
  </si>
  <si>
    <t>hoh_land_sold</t>
  </si>
  <si>
    <t>267. How much of this land, if any have you sold in the past year?</t>
  </si>
  <si>
    <t>267. Quelle superficie de ce terrain, si c'est déjà arrivé, avez-vous vendu au cours de l'année écoulée ?</t>
  </si>
  <si>
    <t>267. Eka nawa ne kuka saida, idan ya taɓa faruwa, a cikin shekarar da ta gabata?</t>
  </si>
  <si>
    <t>147. How to you invest your money such as whether to improve your house</t>
  </si>
  <si>
    <t>147. Comment investir votre argent, par exemple pour améliorer votre maison</t>
  </si>
  <si>
    <t>147. Yadda za ku kashe kuɗin ku, kamar gyaran gidanku</t>
  </si>
  <si>
    <t>hoh_land_purchased</t>
  </si>
  <si>
    <t>268. How much of this land, if any have you purchased in the past year?</t>
  </si>
  <si>
    <t>268. Quelle superficie de ce terrain, si c'est déjà arrivé, avez-vous acheté au cours de la dernière année ?</t>
  </si>
  <si>
    <t>268. Eka nawa ne kuka saye, idan ya faru, a cikin shekarar da ta gabata?</t>
  </si>
  <si>
    <t>hoh_rent_land</t>
  </si>
  <si>
    <t>269. How much of this land (in hectares) did you rent during the last agricultural season?</t>
  </si>
  <si>
    <t>269. Quelle superficie de cette terre (en hectares) avez-vous louée au cours de la dernière saison agricole ?</t>
  </si>
  <si>
    <t>269. Eka nawa ne kuka yi haya a lokacin noman da ta wuce?</t>
  </si>
  <si>
    <t>hoh_rent_land_amt</t>
  </si>
  <si>
    <t>270. How much did you pay to rent this land during the last agricultural season (in CFA)?</t>
  </si>
  <si>
    <t>270. A combien avez-vous loué ce terrain (en CFA) au cours de la dernière saison agricole ?</t>
  </si>
  <si>
    <t>270. A nawa kuka yi hayar wannan gonar a lokacin noman da ta wuce (a sefa)?</t>
  </si>
  <si>
    <t>148. Family planning (when to have children)</t>
  </si>
  <si>
    <t>experience</t>
  </si>
  <si>
    <t>148. Planification familiale (quand avoir des enfants)</t>
  </si>
  <si>
    <t>148. Tsarin iyali (lokacin ɗaukan ciki)</t>
  </si>
  <si>
    <t>No did not experience</t>
  </si>
  <si>
    <t>Non je n'ai pas fait l'expérience</t>
  </si>
  <si>
    <t>A'a ban taɓa godawa ba</t>
  </si>
  <si>
    <t>speedcheck_hoh_land_end</t>
  </si>
  <si>
    <t>290. How many days did each laborer work in your fields?</t>
  </si>
  <si>
    <t>290. Combien de jours chaque ouvrier a-t-il travaillé dans vos champs ?</t>
  </si>
  <si>
    <t>290. Kwanaki nawa kowane ma'aikaci yayi aiki a gonakinku?</t>
  </si>
  <si>
    <t>dur_hoh_land</t>
  </si>
  <si>
    <t>291. What was the daily wage you paid for people to work in your fields, or how much would you pay in CFA?</t>
  </si>
  <si>
    <t>291. Quel était le salaire journalier que vous payiez pour que les gens travaillent dans vos champs, ou combien paieriez-vous en CFA ?</t>
  </si>
  <si>
    <t>291. Nawa ne kuke biyan waɗanda suka yi aiki a gonakinku a dukkan wuni a sefa ?</t>
  </si>
  <si>
    <t>Threatened</t>
  </si>
  <si>
    <t>hoh_last_season_note</t>
  </si>
  <si>
    <t>Menacé</t>
  </si>
  <si>
    <t>271. Now we will focus on agricultural activities during last agricultural season</t>
  </si>
  <si>
    <t>Barazana</t>
  </si>
  <si>
    <t>271. Maintenant, nous allons nous concentrer sur les activités agricoles au cours de la dernière saison agricole</t>
  </si>
  <si>
    <t>271. Yanzu za mu maida hankali kan ayyukan noma a lokacin damanar da ta wuce</t>
  </si>
  <si>
    <t>149. Children’s enrollment in school</t>
  </si>
  <si>
    <t>149. Scolarisation des enfants</t>
  </si>
  <si>
    <t>149. Shigar da yara makaranta</t>
  </si>
  <si>
    <t>select_multiple crops</t>
  </si>
  <si>
    <t>hoh_crops</t>
  </si>
  <si>
    <t>272. Which of the following crops did your household grow during the last agricultural season?</t>
  </si>
  <si>
    <t>272. Laquelle des cultures suivantes votre ménage a-t-il cultivées au cours de la dernière saison agricole ?</t>
  </si>
  <si>
    <t>272. Wanne daga cikin waɗannan amfanin gidanku ya noma a damanar da ta gabata?</t>
  </si>
  <si>
    <t>Experienced</t>
  </si>
  <si>
    <t>Vécu</t>
  </si>
  <si>
    <t>Kwarewa</t>
  </si>
  <si>
    <t>hoh_crops_o</t>
  </si>
  <si>
    <t>273. Specify other:</t>
  </si>
  <si>
    <t>273. Précisez la culture</t>
  </si>
  <si>
    <t>273. Baiyana wani abu daban:</t>
  </si>
  <si>
    <t>150. The age at which your daughters should marry</t>
  </si>
  <si>
    <t>150. Âge auquel vos filles devraient se marier</t>
  </si>
  <si>
    <t>150. Shekarar da ƴaƴanku mata zasu yin aure</t>
  </si>
  <si>
    <t>speedcheck_hoh_cropsinfo_start</t>
  </si>
  <si>
    <t>294. Have any family members worked as a day labor in fields for someone else?</t>
  </si>
  <si>
    <t>294. Pensez à tout membre de votre ménage, y-a t-il des membres de votre ménage qui ont travaillé comme journaliers dans le champs de quelqu'un d'autre ?</t>
  </si>
  <si>
    <t>294. Ko wani ɗan gidanku ya yi aiki a matsayin ɗan barema a gonar wani?</t>
  </si>
  <si>
    <t>hoh_crops_info</t>
  </si>
  <si>
    <t>Crops - ${hoh_crop_name}</t>
  </si>
  <si>
    <t>Cultures - ${hoh_crop_name}</t>
  </si>
  <si>
    <t>amfanin gona - ${hoh_crop_name}</t>
  </si>
  <si>
    <t>289. The following questions about agricultural labor are for the last agricultural season (last 180 days).</t>
  </si>
  <si>
    <t xml:space="preserve">289. </t>
  </si>
  <si>
    <t>hoh_crop_name</t>
  </si>
  <si>
    <t>Crop Name</t>
  </si>
  <si>
    <t>Nom de la culture</t>
  </si>
  <si>
    <t>Sunan amfanin gona</t>
  </si>
  <si>
    <t>290. Did you hire anyone outside of your household to work in your fields?</t>
  </si>
  <si>
    <t>290. Avez-vous embauché quelqu'un en dehors de votre ménage pour travailler dans vos champs ?</t>
  </si>
  <si>
    <t>290. Ko kun ɗauki wani dan barema da ba ɗan gidanku ba don yin aiki a gonakinku?</t>
  </si>
  <si>
    <t>hoh_crop_desc</t>
  </si>
  <si>
    <t>151. Do you and your spouse ever disagree about any of these topics?</t>
  </si>
  <si>
    <t>151. Vous et votre conjoint avez-vous déjà eu un désaccord sur ces sujets ?</t>
  </si>
  <si>
    <t>151. Ko ke da mijnki kun taɓa samun saɓani game da waɗannan batutuwa?</t>
  </si>
  <si>
    <t>291. How many different people did you hire people to work in your fields?</t>
  </si>
  <si>
    <t>291. Combien de personnes avez-vous embauchées pour travailler dans vos champs ?</t>
  </si>
  <si>
    <t>291. Mutane nawa kuka ɗauka don yin aiki a gonakinku?</t>
  </si>
  <si>
    <t>hoh_crop_quantity</t>
  </si>
  <si>
    <t>274. How much of ${hoh_crop_name} did your household produce?</t>
  </si>
  <si>
    <t>274. Quelle quantité de ${hoh_crop_name} votre ménage a-t-il produit ?</t>
  </si>
  <si>
    <t>274. ${hoh_crop_name} Nawa gidanku ya samu?</t>
  </si>
  <si>
    <t>select_one unit</t>
  </si>
  <si>
    <t>hoh_crop_unit</t>
  </si>
  <si>
    <t>275. Select crop unit for ${hoh_crop_name}</t>
  </si>
  <si>
    <t>275. Sélectionnez l'unité de culture pour ${hoh_crop_name}</t>
  </si>
  <si>
    <t>275. Zaɓi amfanin gonar don ${hoh_crop_name}</t>
  </si>
  <si>
    <t>health</t>
  </si>
  <si>
    <t>Very poor</t>
  </si>
  <si>
    <t>Très faible</t>
  </si>
  <si>
    <t>Babu kyau</t>
  </si>
  <si>
    <t>296. What was the daily wage paid to ${hoh_paid_name} working as a day laborer for someone else in CFA?</t>
  </si>
  <si>
    <t>296. Quel était le salaire journalier payé à ${hoh_paid_name} travaillant comme journalier pour quelqu'un d'autre en CFA ?</t>
  </si>
  <si>
    <t>296. Nawa biyan ${hoh_paid_name} na wuni a lokacin da yake barema a gonar wani a sefa?</t>
  </si>
  <si>
    <t>hoh_crop_unit_o</t>
  </si>
  <si>
    <t>276. Specify other unit:</t>
  </si>
  <si>
    <t>276. Spécifiez une autre unité :</t>
  </si>
  <si>
    <t>276. Baiyana wani amfanin gonar daban:</t>
  </si>
  <si>
    <t>Poor</t>
  </si>
  <si>
    <t>Faible</t>
  </si>
  <si>
    <t>Babu kyau sosai</t>
  </si>
  <si>
    <t>hoh_crop_unit_name</t>
  </si>
  <si>
    <t>Unit Name</t>
  </si>
  <si>
    <t>152. Do these conversations ever get contentious?</t>
  </si>
  <si>
    <t>152. Ces conversations deviennent-elles parfois controversées ?</t>
  </si>
  <si>
    <t>152. Ko waɗannan hirarrakin sun taɓa zama sabani?</t>
  </si>
  <si>
    <t>Neither good nor poor</t>
  </si>
  <si>
    <t>Ni bonne ni faible</t>
  </si>
  <si>
    <t>Ba mai kyau ba kuma ba maras kyau ba</t>
  </si>
  <si>
    <t>hoh_qty_sold</t>
  </si>
  <si>
    <t>277. What quantity (${hoh_crop_unit_name}) of ${hoh_crop_name} did your household sell since the last harvest?</t>
  </si>
  <si>
    <t>277. Quelle quantité (${hoh_crop_unit_name}) de ${hoh_crop_name} votre ménage a-t-il vendu depuis la dernière récolte ?</t>
  </si>
  <si>
    <t>277. Nawa ne yawan (${hoh_crop_unit_name}) na ${hoh_crop_name} gidanku ya saida tun daga kaka na ƙarshe?</t>
  </si>
  <si>
    <t>Good</t>
  </si>
  <si>
    <t>Bonne</t>
  </si>
  <si>
    <t>Da kyau</t>
  </si>
  <si>
    <t>hoh_price_sold</t>
  </si>
  <si>
    <t>278. What was the price per ${hoh_crop_unit_name} of ${hoh_crop_name} you sold in CFA?</t>
  </si>
  <si>
    <t>278. Quel était le prix unitaire (${hoh_crop_unit_name}) de ${hoh_crop_name} que vous avez vendu en CFA ?</t>
  </si>
  <si>
    <t>278. Nawa farashin kowane ${hoh_crop_unit_name} na ${hoh_crop_name} da kuka saida a CFA?</t>
  </si>
  <si>
    <t>153. Do you avoid talking with your husband about certain topics due to fear about how your husband would respond?</t>
  </si>
  <si>
    <t>153. Évitez-vous d'aborder certains sujets avec votre mari par crainte de sa réaction ?</t>
  </si>
  <si>
    <t>153. Ko kina gujewa yin magana da mijinki akan wasu batutuwa saboda tsoron yadda zai mayar miki da maganar ?</t>
  </si>
  <si>
    <t>hoh_qty_consume</t>
  </si>
  <si>
    <t>279. How many ${hoh_crop_unit_name}s of ${hoh_crop_name} did your household consume?</t>
  </si>
  <si>
    <t>279. Quelle quantité (${hoh_crop_unit_name}) de ${hoh_crop_name} votre ménage a-t-il consommé ?</t>
  </si>
  <si>
    <t>279. Nawa yawan ${hoh_crop_unit_name} na ${hoh_crop_name} gidanku ya cinye?</t>
  </si>
  <si>
    <t>Very good</t>
  </si>
  <si>
    <t>Très bonne</t>
  </si>
  <si>
    <t>Da kyau sosai</t>
  </si>
  <si>
    <t>hoh_price_consume</t>
  </si>
  <si>
    <t>280. If you were to sell the ${hoh_crop_name} that you consumed, what would be the price per ${hoh_crop_unit_name} in CFA?</t>
  </si>
  <si>
    <t>542. Si vous devriez vendre les ${hoh_crop_name} que vous avez consommés, quel serait le prix par ${hoh_crop_unit_name} en CFA ?</t>
  </si>
  <si>
    <t>542. Idan za ku sayar da ${hoh_crop_name} da kuka cinye, nawa zaku iya sayar da $ {hoh_crop_unit_name} a CFA?</t>
  </si>
  <si>
    <t>hoh_qty_left</t>
  </si>
  <si>
    <t>154. What topics do you avoid?</t>
  </si>
  <si>
    <t>154. Quels sujets évitez-vous ?</t>
  </si>
  <si>
    <t>299. What was the approximate value of ${hoh_ag_exp_other_name} in CFA?</t>
  </si>
  <si>
    <t>154. Wadanne batutuwa kuke gujewa?</t>
  </si>
  <si>
    <t>299. Quelle était la valeur approximative de ${hoh_ag_exp_other_name} en CFA ?</t>
  </si>
  <si>
    <t>299. Nawa farashin ${hoh_ag_exp_other_name} a wacan lokacin a sefa?</t>
  </si>
  <si>
    <t>hoh_qty_left_over</t>
  </si>
  <si>
    <t>281. The amount you have left (${hoh_qty_left}) is negative. Please return and revise your responses.</t>
  </si>
  <si>
    <t>281. Le montant qu'il vous reste (${hoh_qty_left}) est négatif. Veuillez revenir et réviser vos réponses.</t>
  </si>
  <si>
    <t>281. jimillar kuɗin da suka saura (${hoh_qty_left}) maras kyau ne. Da fatan za a dawo a sake duba amsoshin.</t>
  </si>
  <si>
    <t>${w_spouse_avoid} = 1</t>
  </si>
  <si>
    <t>hoh_qty_left_confirm</t>
  </si>
  <si>
    <t>282. Based on your responses, you had ${hoh_qty_left} ${hoh_crop_unit_name} left over. Does this sound correct?</t>
  </si>
  <si>
    <t>282. D'après vos réponses, il vous restait ${hoh_qty_left} ${hoh_crop_unit_name}. Est-ce que cela semble correct ?</t>
  </si>
  <si>
    <t>282. Dangane da amsoshinku, kuna da sauran ${hoh_qty_left} ${hoh_crop_unit_name}. Ko wannan yayi daidai?</t>
  </si>
  <si>
    <t>155. Specify other</t>
  </si>
  <si>
    <t>155. Autre à préciser</t>
  </si>
  <si>
    <t>155. Wani daban a Bayyana</t>
  </si>
  <si>
    <t>hoh_price_left</t>
  </si>
  <si>
    <t>542. If you were to sell the ${hoh_crop_name} that you had left over, what would be the price per ${hoh_crop_unit_name} in CFA?</t>
  </si>
  <si>
    <t>542. Si vous deviez vendre les ${hoh_crop_name} qui vous reste, quel serait le prix par ${hoh_crop_unit_name} en CFA ?</t>
  </si>
  <si>
    <t>542. Idan za ku sayar da ${hoh_crop_name} da ya muku saura, zaku iya sayar da $ {hoh_crop_unit_name} a CFA?</t>
  </si>
  <si>
    <t>selected(${w_spouse_avoid_topics}, '-777')</t>
  </si>
  <si>
    <t>hoh_crop_revenue</t>
  </si>
  <si>
    <t>156. I will read you several statements. Please tell me the extent do you agree/disagree with each:</t>
  </si>
  <si>
    <t>156. Je vais vous lire plusieurs déclarations. Veuillez me dire dans quelle mesure êtes-vous d'accord/pas d'accord avec chacun :</t>
  </si>
  <si>
    <t>156. Zan karanta muku maganganu da yawa. Da fatan za a gaya mini iya yarda/rishin yarda da kowanne:</t>
  </si>
  <si>
    <t>For each of the statements listed below, please indicate whether you agree strongly, agree, disagree, or disagree strongly with it.</t>
  </si>
  <si>
    <t>Crops</t>
  </si>
  <si>
    <t>Pour chacun des énoncés énumérés ci-dessous, veuillez indiquer si vous êtes tout à fait d'accord, d'accord, en désaccord ou tout à fait en désaccord avec celui-ci.</t>
  </si>
  <si>
    <t>Cultures</t>
  </si>
  <si>
    <t>Cikin waɗannan maganganun da za'a zana sai ka bada amsa idan ka yarda sosai, ka yarda, baka yarda ba, baka yarda ba sam sam da shi.</t>
  </si>
  <si>
    <t>amfanin gona</t>
  </si>
  <si>
    <t>309. Enumerator: Record any comments on the survey</t>
  </si>
  <si>
    <t>309. Enquêteur : Veuillez noter vos commentaires si vous en avez</t>
  </si>
  <si>
    <t xml:space="preserve">309. </t>
  </si>
  <si>
    <t>hh_agr_expenses</t>
  </si>
  <si>
    <t>Household Agriculture Expenses</t>
  </si>
  <si>
    <t>Dépenses agricoles du ménage</t>
  </si>
  <si>
    <t>Kashe kashen kuɗin aikin gona na gida</t>
  </si>
  <si>
    <t>hoh_spend_ag</t>
  </si>
  <si>
    <t>283. How much did your household spend on the following types of expenses during the last agricultural season in CFA?</t>
  </si>
  <si>
    <t>283. Combien votre ménage a-t-il dépensé pour les types de dépenses suivantes au cours de la dernière saison agricole (en CFA) ?</t>
  </si>
  <si>
    <t>283. Nawa ne gidanku ya kashe akan waɗannan abubuwan a lokacin noman da ya wuce (a sefa)?</t>
  </si>
  <si>
    <t>157. I must always respect decisions taken by my household even if you do not agree</t>
  </si>
  <si>
    <t>157. Je dois toujours respecter les décisions prises par mon ménage même si je ne suis pas d'accord</t>
  </si>
  <si>
    <t>157. Dole ne in mutunta shawarar da gidanmu ya yanke ko da ba ra'ayina ba ne</t>
  </si>
  <si>
    <t>hoh_spend_seeds</t>
  </si>
  <si>
    <t>284. Seeds</t>
  </si>
  <si>
    <t>284. Semences</t>
  </si>
  <si>
    <t>284. Iri</t>
  </si>
  <si>
    <t>158. I should always sacrifice my personal needs and wants to satisfy my parents.</t>
  </si>
  <si>
    <t>158. Je devrais toujours sacrifier mes besoins personnels et vouloir satisfaire mes parents.</t>
  </si>
  <si>
    <t>158. Dole ne ko yaushe in sadaukar da bukatuna na kaina don in gamsar da iyayena.</t>
  </si>
  <si>
    <t>hoh_spend_fert</t>
  </si>
  <si>
    <t>285. Fertilizer</t>
  </si>
  <si>
    <t>285. Engrais</t>
  </si>
  <si>
    <t>285. Takin zamani</t>
  </si>
  <si>
    <t>hoh_spend_rent</t>
  </si>
  <si>
    <t>286. Renting machines and tools (i.e. for plowing or spraying)</t>
  </si>
  <si>
    <t>286. Location de machines et d'outils (c'est-à-dire pour labourer ou pulvériser)</t>
  </si>
  <si>
    <t>286. Hayar injina da kayan aiki ( don noma ko feshi)</t>
  </si>
  <si>
    <t>159. If I had an emergency that required 5,000 CFA urgently (within 3 days), I would be able to find the money.</t>
  </si>
  <si>
    <t>159. Si j'avais une urgence qui nécessitait 5 000 CFA en urgence (dans les 3 jours), je serais capable de trouver l'argent.</t>
  </si>
  <si>
    <t>159. Idan ina da biƙatar gaggawa na 5,000 CFA (a cikin kwanaki 3), zan iya samun kuɗin.</t>
  </si>
  <si>
    <t>hoh_spend_water</t>
  </si>
  <si>
    <t>287. Water</t>
  </si>
  <si>
    <t>287. Eau</t>
  </si>
  <si>
    <t>287. Ruwa</t>
  </si>
  <si>
    <t>Dépenses agricoles des ménages</t>
  </si>
  <si>
    <t>Kashe-kashen kuɗin aikin gona na gida</t>
  </si>
  <si>
    <t>speedcheck_hoh_cropsinfo_end</t>
  </si>
  <si>
    <t>160. What type of person would you go to first for this money?</t>
  </si>
  <si>
    <t>160. Vers quel type de personne iriez-vous en premier pour cet argent ?</t>
  </si>
  <si>
    <t>160. Wane irin mutum ne za ku fara zuwa wurin shi don wannan kuɗin?</t>
  </si>
  <si>
    <t>dur_hoh_cropsinfo</t>
  </si>
  <si>
    <t>302. How many ${hoh_livestock_act_name} did you buy?</t>
  </si>
  <si>
    <t>302. Au cours des trois derniers mois, combien de ${hoh_livestock_act_name} avez-vous acheté ?</t>
  </si>
  <si>
    <t>302. ${hoh_livestock_act_name} Nawa kuka saye?</t>
  </si>
  <si>
    <t>161. Specify your relationship with this person</t>
  </si>
  <si>
    <t>161. Précisez votre relation avec cette personne</t>
  </si>
  <si>
    <t>161. Faɗi dangantakar ku da wannan mutumen</t>
  </si>
  <si>
    <t>${w_emergency_who} = -777</t>
  </si>
  <si>
    <t>303. How many ${hoh_livestock_act_name} did you sell?</t>
  </si>
  <si>
    <t>303. Au cours des trois derniers mois, combien de ${hoh_livestock_act_name} avez-vous vendu ?</t>
  </si>
  <si>
    <t>303. ${hoh_livestock_act_name} nawa kuka saida?</t>
  </si>
  <si>
    <t>speedcheck_hoh_labor_start</t>
  </si>
  <si>
    <t>304. How many ${hoh_livestock_act_name} did you consume?</t>
  </si>
  <si>
    <t>304. Au cours des trois derniers mois, combien de ${hoh_livestock_act_name} avez-vous consommé ?</t>
  </si>
  <si>
    <t>304. ${hoh_livestock_act_name} Nawa kuka cinye ?</t>
  </si>
  <si>
    <t>hoh_work_note</t>
  </si>
  <si>
    <t>288. We want to understand how many days people worked in your fields and who did this work.</t>
  </si>
  <si>
    <t>162. The next set of questions are about your opinions regarding the roles that women and men play</t>
  </si>
  <si>
    <t>288. Nous voulons comprendre combien de jours des gens ont travaillé dans vos champs et qui a fait ce travail.</t>
  </si>
  <si>
    <t>162. La prochaine série de questions porte sur vos opinions concernant les rôles que jouent les femmes et les hommes</t>
  </si>
  <si>
    <t>288. Muna son mu fahimci kwanaki nawa mutane suka yi aiki a gonakinku da kuma wanda ya yi wannan aikin.</t>
  </si>
  <si>
    <t>162. Tambayoyi na gaba sun ta'allaƙa ne da ra'ayoyin ku game da rawar da mata da maza suke takawa.</t>
  </si>
  <si>
    <t>hoh_weeks_labor</t>
  </si>
  <si>
    <t>289. Think about the last agricultural season. How many weeks were people working in your fields? This includes work by people who are members of your household and those who are not members of your household.</t>
  </si>
  <si>
    <t>289. Pensez à la dernière saison agricole. Combien de semaines au total les gens ont-ils travaillé dans vos champs ? Cela inclut le travail des personnes qui sont membres de votre ménage et celles qui ne le sont pas.</t>
  </si>
  <si>
    <t>289. Ku tuna da lokacin noma na ƙarshe. Makonni nawa mutane ke aiki a filayenku? Wannan ya haɗa da aikin mutanen da ke cikin gidanku da waɗanda ba ƴan gidanku ba ne.</t>
  </si>
  <si>
    <t>163. How often, if ever do you talk about the role of women in society with other people?</t>
  </si>
  <si>
    <t>163. À quelle fréquence, si jamais cela est arrivé, parlez-vous du rôle des femmes dans la société avec d'autres personnes ?</t>
  </si>
  <si>
    <t>163. Sau nawa, idan ya na faruwa, kuke yin magana game da taka rawan mata a cikin al'umma tare da sauran mutane?</t>
  </si>
  <si>
    <t>hoh_days_labor</t>
  </si>
  <si>
    <t>290. Think about a typical week during the last agricultural season. How many days were people working in your fields? This includes work by people who are members of your household and those who are not members of your household.</t>
  </si>
  <si>
    <t>290. Pensez à une semaine typique au cours de la dernière saison agricole. Combien de jours les gens ont-ils travaillé dans vos champs par semaine ? Cela inclut le travail des personnes qui sont membres de votre ménage et celles qui ne le sont pas.</t>
  </si>
  <si>
    <t>290. Ku tuna da mako guda na lokacin damana ta ƙarshe. Kwanaki nawa mutane suke aiki a gonkinku a cikin kowane sati? Wannan ya haɗa da aikin mutanen da ke cikin gidan ku da waɗanda ba 'yan gidan ku ba ne.</t>
  </si>
  <si>
    <t>agree_likert</t>
  </si>
  <si>
    <t>Strongly Disagree</t>
  </si>
  <si>
    <t>164. In your opinion, how much influence a wife should have over the following decisions within a couple?</t>
  </si>
  <si>
    <t>302. Total income: ${hoh_total_income}
Does this seem right?</t>
  </si>
  <si>
    <t>Pas du tout d'accord</t>
  </si>
  <si>
    <t>164. Selon vous, quelle influence une épouse devrait-elle avoir sur les décisions suivantes au sein d'un couple ?</t>
  </si>
  <si>
    <t>302. Revenu total : ${hoh_total_income}
 Cela vous semble-t-il juste ?</t>
  </si>
  <si>
    <t>Ban yarda ba sam sam</t>
  </si>
  <si>
    <t>164. A ra'ayinka, wane tasiri mace ya kamata ta yi bisa yanke shawarwari da zan zana a tsakanin ta da mijinta?</t>
  </si>
  <si>
    <t>302. Jimillar kuɗin shiga: ${hoh_total_income}
 ko kuna ganin hakan yayi daidai?</t>
  </si>
  <si>
    <t>hoh_hh_labor</t>
  </si>
  <si>
    <t>Household Members Working</t>
  </si>
  <si>
    <t>Membres actifs du ménage</t>
  </si>
  <si>
    <t>Ƴan gida masu Ƙarhin aiki</t>
  </si>
  <si>
    <t>303. Now we'll ask about income generating activity from animal husbandry in the past three months</t>
  </si>
  <si>
    <t>303. Maintenant, nous allons poser des questions sur l'activité génératrice de revenus liée à l'élevage au cours des trois derniers mois</t>
  </si>
  <si>
    <t>303. Yanzu za mu yi hira game da ayyukan samar da kuɗaɗen shiga na kiwo a cikin watanni uku da suka gabata</t>
  </si>
  <si>
    <t>hoh_labor_index</t>
  </si>
  <si>
    <t>Disagree</t>
  </si>
  <si>
    <t>Pas D'accord</t>
  </si>
  <si>
    <t>Ban yarda ba</t>
  </si>
  <si>
    <t>307. How many days did people in your household work to care for your animals in a typical week in the past three months?</t>
  </si>
  <si>
    <t>307. Dans les trois derniers mois, au cours d'une semaine normale, combien de jours les membres de votre ménage ont-ils travaillé pour s'occuper de vos animaux ?</t>
  </si>
  <si>
    <t>307. A cikin watanni uku da suka wuce, kwana nawa a cikin sati mutanen gidanku suka yi aiki don kula da bisashenku?</t>
  </si>
  <si>
    <t>hoh_labor_name</t>
  </si>
  <si>
    <t>Household Name</t>
  </si>
  <si>
    <t>Nom du ménage</t>
  </si>
  <si>
    <t>Sunan gida</t>
  </si>
  <si>
    <t>165. Daily household expenses (Less than 500 CFA)</t>
  </si>
  <si>
    <t>165. Dépenses quotidiennes du ménage (Moins de 500 CFA)</t>
  </si>
  <si>
    <t>165. Kashe kashen kuɗin gida na yau da kullun ( Kasa da dala ɗari CFA 500)</t>
  </si>
  <si>
    <t>308. In the past three months, did you hire anyone outside your household to care for your animals?</t>
  </si>
  <si>
    <t>308. Au cours des trois derniers mois, avez-vous embauché quelqu'un en dehors de votre ménage pour s'occuper de vos animaux ?</t>
  </si>
  <si>
    <t>308. A cikin watanni uku da suka wuce, Ko kun ɗauki wani wanda ba ɗan gidanku ba don kula da dabbobinku?</t>
  </si>
  <si>
    <t>Neither agree nor disagree</t>
  </si>
  <si>
    <t>hoh_ag_days_member</t>
  </si>
  <si>
    <t>Ni d'accord ni en désaccord</t>
  </si>
  <si>
    <t>291. Can you estimate how many days during the last agricultural season did ${hoh_labor_name} work in field?</t>
  </si>
  <si>
    <t>Babu yarda ko rashin yarda</t>
  </si>
  <si>
    <t>291. Pouvez-vous estimer combien de jours au cours de la dernière saison agricole ${hoh_labor_name} a-t-il travaillé dans les champs ?</t>
  </si>
  <si>
    <t>291. Za ku iya ƙiyasin kwanaki nawa a lokacin noman da ya gabata ${hoh_labor_name} ya yi aikin a noma?</t>
  </si>
  <si>
    <t>Agree</t>
  </si>
  <si>
    <t>D'accord</t>
  </si>
  <si>
    <t>Na yarda</t>
  </si>
  <si>
    <t>166. Household purchases worth more than 500 CFA</t>
  </si>
  <si>
    <t>166. Achats des ménages d'une valeur supérieure à 500 CFA</t>
  </si>
  <si>
    <t>166. Siyayyar gida na sama da dala ɗari 500 CFA</t>
  </si>
  <si>
    <t>Strongly Agree</t>
  </si>
  <si>
    <t>Totalement d'accord</t>
  </si>
  <si>
    <t>hoh_hire_note</t>
  </si>
  <si>
    <t>Na yarda sosai</t>
  </si>
  <si>
    <t>292. The following questions about agricultural labor are for the last agricultural season (last 180 days).</t>
  </si>
  <si>
    <t>292. Les questions suivantes sur le travail agricole concernent la dernière saison agricole (180 derniers jours).\</t>
  </si>
  <si>
    <t>292. Tambayoyi masu zuwa game da aikin noma na ƙarshe ne (kwanaki 180 na ƙarshe).</t>
  </si>
  <si>
    <t>167. Family planning (how many children to have)</t>
  </si>
  <si>
    <t>167. Planification familiale (combien d'enfants avoir)</t>
  </si>
  <si>
    <t>167. Tsarin iyali (ƴaƴa nawa za a haifa)</t>
  </si>
  <si>
    <t>hoh_hire_ag</t>
  </si>
  <si>
    <t>293. Did you hire anyone outside of your household to work in your fields?</t>
  </si>
  <si>
    <t>293. Avez-vous embauché quelqu'un en dehors de votre ménage pour travailler dans vos champs ?</t>
  </si>
  <si>
    <t>293. Ko kun ɗauki wani dan barema da ba ɗan gidanku ba don yin aiki a gonakinku?</t>
  </si>
  <si>
    <t>hoh_hire_ag_num</t>
  </si>
  <si>
    <t>294. How many different people did you hire people to work in your fields?</t>
  </si>
  <si>
    <t>294. Combien de personnes avez-vous embauchées pour travailler dans vos champs ?</t>
  </si>
  <si>
    <t>294. Mutane nawa kuka ɗauka don yin aiki a gonakinku?</t>
  </si>
  <si>
    <t>worries</t>
  </si>
  <si>
    <t>Not at all worried</t>
  </si>
  <si>
    <t>168. Whether the husband will migrate to find work</t>
  </si>
  <si>
    <t>Pas du tout inquiet</t>
  </si>
  <si>
    <t>168. Si le mari va migrer pour trouver du travail</t>
  </si>
  <si>
    <t>Ba damuwa ko kadan</t>
  </si>
  <si>
    <t>168. Ko miji zai yi tahiya don neman aiki</t>
  </si>
  <si>
    <t>hoh_hire_ag_days</t>
  </si>
  <si>
    <t>295. How many days did each laborer work in your fields?</t>
  </si>
  <si>
    <t>295. Combien de jours chaque ouvrier a-t-il travaillé dans vos champs ?</t>
  </si>
  <si>
    <t>295. Kwanaki nawa kowane ma'aikaci yayi aiki a gonakinku?</t>
  </si>
  <si>
    <t>Not very worried</t>
  </si>
  <si>
    <t>hoh_hire_ag_wage</t>
  </si>
  <si>
    <t>Pas très inquiet</t>
  </si>
  <si>
    <t>296. What was the daily wage you paid for people to work in your fields, or how much would you pay in CFA?</t>
  </si>
  <si>
    <t>296. Quel était le salaire journalier que vous payiez pour que les gens travaillent dans vos champs, ou combien paieriez-vous en CFA ?</t>
  </si>
  <si>
    <t>Ba damuwa sosai</t>
  </si>
  <si>
    <t>296. Nawa ne kuke biyan waɗanda suka yi aiki a gonakinku a dukkan wuni a sefa ?</t>
  </si>
  <si>
    <t>169. Who to vote for in local elections?</t>
  </si>
  <si>
    <t>169. Pour qui voter aux élections municipales ?</t>
  </si>
  <si>
    <t>169. Wanene za'a zaɓa a zaɓen ƙananan hukumomi?</t>
  </si>
  <si>
    <t>hoh_total_paid</t>
  </si>
  <si>
    <t>Calculate total, you paid X amount, is this correct? 
Sold - investments - paid for day labor</t>
  </si>
  <si>
    <t>Somewhat worried</t>
  </si>
  <si>
    <t>Calculez le total, vous avez payé X montant, est-ce correct ?
 Vendu - investissements - payé pour le travail journalier</t>
  </si>
  <si>
    <t>Un peu inquiet</t>
  </si>
  <si>
    <t>Kayi lissafin jimillar, kun biya kuɗin X, ko daidai ne?
  An saida - zuba jari - biya ga aikin wuni</t>
  </si>
  <si>
    <t>Dan damuwa</t>
  </si>
  <si>
    <t>170. To whom your daughter should marry?</t>
  </si>
  <si>
    <t>Very worried</t>
  </si>
  <si>
    <t>170. Avec qui votre fille devrait-elle se marier ?</t>
  </si>
  <si>
    <t>Très inquiet</t>
  </si>
  <si>
    <t>170. Wa ya kamata ƴarku ta aura?</t>
  </si>
  <si>
    <t>Damuwa sosai</t>
  </si>
  <si>
    <t>hoh_confirm_total</t>
  </si>
  <si>
    <t>297. Thinking of your expenses related to labor and investment in your fields during the last agricultural season, you spent a total of ${hoh_total_paid} in CFA, is this correct?</t>
  </si>
  <si>
    <t>297. Pour toutes les dépenses pour vos champs dont nous avons parlé, vous avez payé ${hoh_total_paid} en CFA, est-ce correct ?</t>
  </si>
  <si>
    <t>297. Ku tuna da dukkan kuɗaɗen da kuka kashe a kan aikin gona a lokacin aikin noma na ƙarshe, kun kashe jimillar ${hoh_total_paid} a CFA, wannan daidai ne?</t>
  </si>
  <si>
    <t>hoh_paid_ag_note</t>
  </si>
  <si>
    <t>171. The age your daughter should marry?</t>
  </si>
  <si>
    <t>298. Now we'll ask about any work by members of your household in fields owned by other people.</t>
  </si>
  <si>
    <t>171. Âge auquel vos filles devraient se marier</t>
  </si>
  <si>
    <t>298. Nous allons maintenant poser des questions sur tout travail effectué par des membres de votre ménage dans des champs appartenant à d'autres personnes.</t>
  </si>
  <si>
    <t>171. Shekarar da ƴaƴanku mata zasu yin aure</t>
  </si>
  <si>
    <t>298. Yanzu za mu yi tambayoyi game da duk wani aiki da ƴan gidanku suka yi a gonakin wasu mutane.</t>
  </si>
  <si>
    <t>state_likert</t>
  </si>
  <si>
    <t>Strongly agree with Statement 1</t>
  </si>
  <si>
    <t>Tout à fait d'accord avec l'énoncé 1</t>
  </si>
  <si>
    <t>Amincewa sosai da Bayanin 1</t>
  </si>
  <si>
    <t>hoh_members_paid_ag</t>
  </si>
  <si>
    <t>299. Have any family members worked as a day labor in fields for someone else?</t>
  </si>
  <si>
    <t>299. Pensez à tout membre de votre ménage, y-a t-il des membres de votre ménage qui ont travaillé comme journaliers dans le champs de quelqu'un d'autre ?</t>
  </si>
  <si>
    <t>299. Ko wani ɗan gidanku ya yi aiki a matsayin ɗan barema a gonar wani?</t>
  </si>
  <si>
    <t>172. Children's enrollment in school</t>
  </si>
  <si>
    <t>172. Inscription des enfants à l'école</t>
  </si>
  <si>
    <t>172. Rubuta yara a makaranta</t>
  </si>
  <si>
    <t>speedcheck_hoh_labor_end</t>
  </si>
  <si>
    <t>Agree with Statement 1</t>
  </si>
  <si>
    <t>D'accord avec l'énoncé 1</t>
  </si>
  <si>
    <t>Amincewa da Bayanin 1</t>
  </si>
  <si>
    <t>dur_hoh_labor</t>
  </si>
  <si>
    <t>Agree with Statement 2</t>
  </si>
  <si>
    <t>D'accord avec l'énoncé 2</t>
  </si>
  <si>
    <t>Amincewa da Bayanin 2</t>
  </si>
  <si>
    <t>173. Imagine one of your daughters wanted to marry someone of a different religious faith, would you give them your permission?</t>
  </si>
  <si>
    <t>173. Imaginez qu'une de vos filles veuille épouser quelqu'un d'une confession religieuse différente, leur donneriez-vous votre permission ?</t>
  </si>
  <si>
    <t>173. Ku ƙaddara da wata ɗiyarku ta na son ta auri wani mai bin wani addini daban, za ku bada izininku?</t>
  </si>
  <si>
    <t>speedcheck_hoh_paid_start</t>
  </si>
  <si>
    <t>320. What type of business is this?</t>
  </si>
  <si>
    <t>320. Quel type d'entreprise est-ce?</t>
  </si>
  <si>
    <t>320. Wane irin kasuwanci ne?</t>
  </si>
  <si>
    <t>hoh_hh_paid</t>
  </si>
  <si>
    <t>Household Day Laborers</t>
  </si>
  <si>
    <t>Travaileurs journaliers</t>
  </si>
  <si>
    <t>Masu aikin wuni</t>
  </si>
  <si>
    <t>Strongly agree with Statement 2</t>
  </si>
  <si>
    <t>Tout à fait d'accord avec l'énoncé 2</t>
  </si>
  <si>
    <t>174. Imagine one of your sons wanted to marry someone of a different religious faith, would you give them your permission?</t>
  </si>
  <si>
    <t>174. Imaginez que l'un de vos fils veuille épouser quelqu'un d'une confession religieuse différente, leur donneriez-vous votre permission ?</t>
  </si>
  <si>
    <t>174. Ku ƙaddara da wani ɗanku ya na son ya auri wata ƴa mai bin wani addini daban, za ku bada izininku?</t>
  </si>
  <si>
    <t>hoh_paid_name</t>
  </si>
  <si>
    <t>hoh_paid_age</t>
  </si>
  <si>
    <t>315. In a typical week, how many days did they do this job?</t>
  </si>
  <si>
    <t>315. Au cours d'une semaine normale, combien de jours ont-ils fait ce travail ?</t>
  </si>
  <si>
    <t>315. A cikin mako, kwana nawa suka yi wannan aikin?</t>
  </si>
  <si>
    <t>hoh_paid_ag</t>
  </si>
  <si>
    <t>300. Can you estimate how many days ${hoh_paid_name} worked as a day laborer in the fields for someone else?</t>
  </si>
  <si>
    <t>300. Pouvez-vous estimer combien de jours ${hoh_paid_name} a travaillé comme journalier dans les champs d'autres personnes ?</t>
  </si>
  <si>
    <t>300. Za ku iya misalta ko wuni nawa ${hoh_paid_name} yayi aiki a matsayin ma'aikacin barema a gonar wasu mutane?</t>
  </si>
  <si>
    <t>175. Imagine one of your daughters wanted to marry someone of a different ethnic group, would you give them your permission?</t>
  </si>
  <si>
    <t>statement</t>
  </si>
  <si>
    <t>175. Imaginez qu'une de vos filles veuille épouser quelqu'un d'un groupe ethnique différent, leur donneriez-vous votre permission ?</t>
  </si>
  <si>
    <t>175. Ku ƙaddara da wata ɗiyarka tana son ta auri ɗan wata kabila daban, za ku bada izininka?</t>
  </si>
  <si>
    <t>Statement 1</t>
  </si>
  <si>
    <t>Énoncé 1</t>
  </si>
  <si>
    <t>Bayanin 1</t>
  </si>
  <si>
    <t>hoh_paid_ag_wage</t>
  </si>
  <si>
    <t>301. What was the daily wage paid to ${hoh_paid_name} working as a day laborer for someone else in CFA?</t>
  </si>
  <si>
    <t>301. Quel était le salaire journalier payé à ${hoh_paid_name} travaillant comme journalier pour quelqu'un d'autre en CFA ?</t>
  </si>
  <si>
    <t>301. Nawa biyan ${hoh_paid_name} na wuni a lokacin da yake barema a gonar wani a sefa?</t>
  </si>
  <si>
    <t>Statement 2</t>
  </si>
  <si>
    <t>Énoncé 2</t>
  </si>
  <si>
    <t>Bayanin 2</t>
  </si>
  <si>
    <t>hoh_paid_ag_total</t>
  </si>
  <si>
    <t>paid_ag * paid_ag_wage</t>
  </si>
  <si>
    <t>payé_ag * payé_ag_wage</t>
  </si>
  <si>
    <t>biya_ag * biya_ag_wage</t>
  </si>
  <si>
    <t>318. Do you or another member of your household own land that is currently not used for agriculture, outside of your current home?</t>
  </si>
  <si>
    <t>318. Est-ce que vous ou un autre membre de votre ménage possédez des terres qui ne sont actuellement pas utilisées pour l'agriculture, en dehors de votre domicile actuel ?</t>
  </si>
  <si>
    <t>318. Shin kai ko wani na gidanku kuna da wasu hilaye wanda ba na noma ba bancin gidanku da kuke ciki a halin yanzu?</t>
  </si>
  <si>
    <t>176. Imagine one of your sons wanted to marry someone of a different ethnic group, would you give them your permission?</t>
  </si>
  <si>
    <t>176. Imaginez que l'un de vos fils veuille épouser quelqu'un d'un groupe ethnique différent, leur donneriez-vous votre permission ?</t>
  </si>
  <si>
    <t>176. Ku ƙaddara da wani ɗanku ya na son ya auri wani ɗan wata ƙabila daban, za ku bada izininka?</t>
  </si>
  <si>
    <t>319. In the past three months, what is the total revenue from rent of land or other property in CFA?</t>
  </si>
  <si>
    <t>319. Au cours des trois derniers mois, quel a été le revenu total provenant de la location d'un terrain ou d'une autre propriété en CFA?</t>
  </si>
  <si>
    <t>319. A cikin watanni uku da suka gabata, menene jimillar kuɗin da aka samu ta hanyar hayan filaye ko wasu kadarori (a sefa)?</t>
  </si>
  <si>
    <t>Statement 3</t>
  </si>
  <si>
    <t>speedcheck_hoh_paid_end</t>
  </si>
  <si>
    <t>Énoncé 3</t>
  </si>
  <si>
    <t>Bayanin 3</t>
  </si>
  <si>
    <t>320. In the past three months, what is the total value of interest from loans you have given to others in CFA?</t>
  </si>
  <si>
    <t>320. Au cours des trois derniers mois, quelle est la valeur totale des intérêts des prêts que vous avez accordés à d'autres en CFA?</t>
  </si>
  <si>
    <t>320. A cikin watanni uku da suka gabata, nawa ne jimillar kudin ruwan basussuka da kuka baiwa wasu (a sefa)?</t>
  </si>
  <si>
    <t>dur_hoh_paid</t>
  </si>
  <si>
    <t>hoh_ag_exp_other</t>
  </si>
  <si>
    <t>302. Thinking about the last agricultural season, did you need to pay other expenses we did not ask you about?</t>
  </si>
  <si>
    <t>302. En pensant à la dernière saison agricole, avez-vous dû faire d'autres dépenses dont nous n'avons pas parlé ?</t>
  </si>
  <si>
    <t>302. A tunaninka a lokacin noman da ya gabata, akwai wasu kashe kashen kuɗi da kuka yi wanda ba mu yi zancen su ba?</t>
  </si>
  <si>
    <t>177. Please tell me the degree to which you agree or disagree with the following statements.</t>
  </si>
  <si>
    <t>177. Veuillez me dire dans quelle mesure vous êtes d'accord ou pas d'accord avec les énoncés suivants.</t>
  </si>
  <si>
    <t>177. Yanzu ina son ku gaya mini har zuwa wane matsayi kuka yarda ko baku yarda ba da waɗannan maganganun da zan zana muku.</t>
  </si>
  <si>
    <t>hoh_ag_exp_other_name</t>
  </si>
  <si>
    <t>303. What was the expense?</t>
  </si>
  <si>
    <t>303. Quelle était la dépense ?</t>
  </si>
  <si>
    <t>303. wane kashe kuɗi ne ?</t>
  </si>
  <si>
    <t>save_or_share</t>
  </si>
  <si>
    <t>1. Save the surplus for the future</t>
  </si>
  <si>
    <t>1. Économisez le surplus pour l'avenir</t>
  </si>
  <si>
    <t>hoh_ag_exp_other_amt</t>
  </si>
  <si>
    <t>1. Ajiyar ƙarin don gaba</t>
  </si>
  <si>
    <t>304. What was the approximate value of ${hoh_ag_exp_other_name} in CFA?</t>
  </si>
  <si>
    <t>304. Quelle était la valeur approximative de ${hoh_ag_exp_other_name} en CFA ?</t>
  </si>
  <si>
    <t>304. Nawa farashin ${hoh_ag_exp_other_name} a wacan lokacin a sefa?</t>
  </si>
  <si>
    <t>178. Middle school education for males is more important than middle school education for females.</t>
  </si>
  <si>
    <t>178. L'enseignement secondaire pour les hommes est plus important que l'enseignement secondaire pour les femmes.</t>
  </si>
  <si>
    <t>178. Ilimin koleji ga maza yana da mahimmanci fiye da ilimin koleji ga mata.</t>
  </si>
  <si>
    <t>2. Share its surplus with less fortunate households in the village</t>
  </si>
  <si>
    <t>hoh_income1</t>
  </si>
  <si>
    <t>Total wages from outside ag work</t>
  </si>
  <si>
    <t>2. Partager son surplus avec les ménages moins fortunés du village</t>
  </si>
  <si>
    <t>2. Raba ƙarin da sauran gidaje marasa galihu a garin</t>
  </si>
  <si>
    <t>321. Does anyone in the household fully, or partly own and operate an income generating activity that is not farming or herding? (i.e. a shop where you sell goods, restaurant, butcher shop)?</t>
  </si>
  <si>
    <t>321. Quelqu'un dans le ménage possède-t-il entièrement ou partiellement une activité génératrice de revenus autre que l'agriculture ou l'élevage ? (C'est-à-dire un magasin où vous vendez des marchandises, un restaurant, une boucherie) ?</t>
  </si>
  <si>
    <t>321. Ko akwai wani ɗan gidanku mai sana'a wanda jarin gaba daya nashi ko na hadin gwiwa ne banda noma da kiyo? ( kantin saida kaya, gidan abinci, fawa)?</t>
  </si>
  <si>
    <t>hoh_income2</t>
  </si>
  <si>
    <t>Total sales of own crops (not incl. own consumption)</t>
  </si>
  <si>
    <t>322. What type of business is this?</t>
  </si>
  <si>
    <t>322. Quel type d'entreprise est-ce?</t>
  </si>
  <si>
    <t>322. Wane irin kasuwanci ne?</t>
  </si>
  <si>
    <t>hoh_income3</t>
  </si>
  <si>
    <t>Wages paid for work on own farm</t>
  </si>
  <si>
    <t>179. Women and men should have equal rights to their inheritance (Women should not be denied their right)</t>
  </si>
  <si>
    <t>179. Les femmes et les hommes devraient avoir des droits égaux à l'héritage (les femmes ne devraient pas être privées de leur droit)</t>
  </si>
  <si>
    <t>179. Ya kamata mata da maza su samu haƙƙi daidai akan gado (Bai Kamata a hana ma mata haƙƙinsu ba)</t>
  </si>
  <si>
    <t>323. Specify other</t>
  </si>
  <si>
    <t>323. Autre à préciser :</t>
  </si>
  <si>
    <t>323. Baiyana wani abu daban:</t>
  </si>
  <si>
    <t>hoh_income4</t>
  </si>
  <si>
    <t>Cost of seed</t>
  </si>
  <si>
    <t>327. Thinking about all of the the expenses from this business, what was the total amount of money you spent on costs related to this business in the last three months?</t>
  </si>
  <si>
    <t>327. Pense à toutes les dépenses de cette entreprise, quel a été le montant total que vous avez dépensé pour les coûts liés à cette entreprise au cours des trois derniers mois ?</t>
  </si>
  <si>
    <t>327. Tuna da dukkan kuɗin da aka kashe don wannan kasuwancin, nawa ne jimillar kuɗin da kuka kashe a kan wannan kasuwancin a cikin watanni uku da suka wuce?</t>
  </si>
  <si>
    <t>hoh_income5</t>
  </si>
  <si>
    <t>Cost of fertilizer</t>
  </si>
  <si>
    <t>attitude</t>
  </si>
  <si>
    <t>1. The entire way our society is organized must be radically changed by revolutionary action</t>
  </si>
  <si>
    <t>1. Toute la manière dont notre société est organisée doit être radicalement changée par l'action révolutionnaire</t>
  </si>
  <si>
    <t>1. Dukkanin yadda al'ummarmu take da tsari dole ne a canza su ta hanyar juyin juya hali</t>
  </si>
  <si>
    <t>180. A woman can reject a marriage that her family chose for her without her consent</t>
  </si>
  <si>
    <t>180. Une femme peut refuser un mariage que sa famille a choisi pour elle sans son consentement</t>
  </si>
  <si>
    <t>180. Mace za ta iya ƙin auren da danginta suka zaɓa mata idan bata yarda ba</t>
  </si>
  <si>
    <t>hoh_income6</t>
  </si>
  <si>
    <t>Cost of machinery</t>
  </si>
  <si>
    <t>325. How many people outside of your household do you employ in this business?</t>
  </si>
  <si>
    <t>325. Combien de personnes en dehors de votre ménage employez-vous dans cette entreprise ?</t>
  </si>
  <si>
    <t>325. Mutane nawa ne kuka dauka aiki banda ƴan gidan a wannan kasuwancin?</t>
  </si>
  <si>
    <t>hoh_income7</t>
  </si>
  <si>
    <t>2. Our society must be gradually improved by reforms</t>
  </si>
  <si>
    <t>Cost of water</t>
  </si>
  <si>
    <t>2. Notre société doit être progressivement améliorée par des réformes</t>
  </si>
  <si>
    <t>2. Dole ne a inganta al'ummarmu a hankali ta hanyar gyara</t>
  </si>
  <si>
    <t>326. How much do you pay per day for people to work in this business in CFA?</t>
  </si>
  <si>
    <t>326. Combien payez-vous par jour pour que les gens travaillent dans cette entreprise (en CFA) ?</t>
  </si>
  <si>
    <t>326. Nawa kuke biyan su a wuni (a sefa) ?</t>
  </si>
  <si>
    <t>hoh_income8</t>
  </si>
  <si>
    <t>Cost of other expenses</t>
  </si>
  <si>
    <t>hoh_total_income</t>
  </si>
  <si>
    <t>total_income_confirm</t>
  </si>
  <si>
    <t>305. Total income: ${hoh_total_income}
 Does this seem right?</t>
  </si>
  <si>
    <t>305. Revenu total : ${hoh_total_income}
 Cela vous semble-t-il juste ?</t>
  </si>
  <si>
    <t>305. Jimillar kuɗin shiga: ${hoh_total_income}
 ko kuna ganin hakan yayi daidai?</t>
  </si>
  <si>
    <t>181. Women and men should have equal rights in making the decision to divorce.</t>
  </si>
  <si>
    <t>181. Les femmes et les hommes devraient avoir des droits égaux dans la décision de divorcer.</t>
  </si>
  <si>
    <t>181. Yakamata a ce mata da maza suna da haƙƙi daidai wajen yanke shawarar rabuwar aure.</t>
  </si>
  <si>
    <t>3. Our present society must be valiantly defended against all subversive forces</t>
  </si>
  <si>
    <t>3. Notre société actuelle doit être vaillamment défendue contre toutes les forces subversives</t>
  </si>
  <si>
    <t>3. Dole ne al'ummarmu ta yanzu ta kasance da jajircewa wajen kare kai daga duk wani yunkuri na zagon kasa</t>
  </si>
  <si>
    <t>livestock_act_note</t>
  </si>
  <si>
    <t>306. Now we'll ask about income generating activity from animal husbandry in the past six months</t>
  </si>
  <si>
    <t>182. The law should not allow a man to marry more than one woman.</t>
  </si>
  <si>
    <t>182. La loi ne devrait pas permettre à un homme d'épouser plus d'une femme.</t>
  </si>
  <si>
    <t>182. Yakamata doka ta hana ma namiji ya auri fiye da mace ɗaya.</t>
  </si>
  <si>
    <t>customs</t>
  </si>
  <si>
    <t>speedcheck_hoh_livestockact_start</t>
  </si>
  <si>
    <t>1. I feel constrained by the number of customs and habits that exist in my society</t>
  </si>
  <si>
    <t>1. Je me sens contraint par le nombre des us et coutumes qui existent dans ma société</t>
  </si>
  <si>
    <t>1. Ina jin takura da yawan al'adu da dabi'un da ke cikin al'ummata</t>
  </si>
  <si>
    <t>330. In the past three months, did ${hoh_member_act_name} earn money from any other activity?</t>
  </si>
  <si>
    <t>330. Au cours des trois derniers mois, ${hoh_member_act_name} a-t-il gagné de l'argent grâce à une autre activité ?</t>
  </si>
  <si>
    <t>330. A cikin watanni uku da suka gabata, ${hoh_member_act_name} ya samu kuɗi daga yin wani aiki?</t>
  </si>
  <si>
    <t>2. There are not enough customs and habits in my society to guide me</t>
  </si>
  <si>
    <t>hoh_livestock_activity</t>
  </si>
  <si>
    <t>2. Il n'y a pas assez des us et coutumes dans ma société pour me guider</t>
  </si>
  <si>
    <t>2. Babu isassun al'adu da ɗabi'a a cikin al'ummata da za su jagorance ni</t>
  </si>
  <si>
    <t>Livestock Activity</t>
  </si>
  <si>
    <t>Activité d'élevage</t>
  </si>
  <si>
    <t>Ayyukan kiwo</t>
  </si>
  <si>
    <t>327. In a typical week during the past three months, how many days did ${hoh_biz_name} work in the household business?</t>
  </si>
  <si>
    <t>327. Au cours d'une semaine normale au cours des trois derniers mois, combien de jours ${hoh_biz_name} a-t-il travaillé dans l'entreprise familiale ?</t>
  </si>
  <si>
    <t>327. Kwanaki nawa a cikin kowane mako guda a cikin watanni uku da suka gabata, ${hoh_biz_name} yayi aiki a cikin kasuwancin gida?</t>
  </si>
  <si>
    <t>3. There are just about the right amount of customs and habits in my society</t>
  </si>
  <si>
    <t>3. Il y a à peu près ce qu'il faut des us et coutumes dans ma société</t>
  </si>
  <si>
    <t>3. Akwai daidai adadin al'adu da halaye a cikin al'ummata</t>
  </si>
  <si>
    <t>hoh_livestock_act_name</t>
  </si>
  <si>
    <t>183. In your opinion, is a husband justified in hitting or beating his wife if:</t>
  </si>
  <si>
    <t>183. A votre avis, est-il justifié pour un mari de frapper ou de battre sa femme si :</t>
  </si>
  <si>
    <t>183. A ganinku, ko ya cancanta miji ya bugi matarshi ko ya bata kashi idan:</t>
  </si>
  <si>
    <t>332. Specify the activity</t>
  </si>
  <si>
    <t>332. Précisez l'activité</t>
  </si>
  <si>
    <t>332. Baiyana aikin</t>
  </si>
  <si>
    <t>hoh_livestock_bought</t>
  </si>
  <si>
    <t>307. How many ${hoh_livestock_act_name} did you buy?</t>
  </si>
  <si>
    <t>husbandwife</t>
  </si>
  <si>
    <t>184. She neglects the children</t>
  </si>
  <si>
    <t>184. Elle néglige les enfants</t>
  </si>
  <si>
    <t>184. Ta yi sakaci da yara</t>
  </si>
  <si>
    <t>hoh_livestock_bought_val</t>
  </si>
  <si>
    <t>308. How much did you buy ${hoh_livestock_act_name} for in CFA?</t>
  </si>
  <si>
    <t>570. Pour combien avez-vous acheté ${hoh_livestock_act_name} en CFA ?</t>
  </si>
  <si>
    <t>570. A nawa kuka sayi ${hoh_livestock_act_name} a kuɗin CFA?</t>
  </si>
  <si>
    <t>185. She argues with him</t>
  </si>
  <si>
    <t>185. Elle se dispute avec lui</t>
  </si>
  <si>
    <t>185. Ta yi mishi gardama</t>
  </si>
  <si>
    <t>hoh_livestock_sold</t>
  </si>
  <si>
    <t>309. How many ${hoh_livestock_act_name} did you sell?</t>
  </si>
  <si>
    <t>186. She refuses to pray</t>
  </si>
  <si>
    <t>186. Elle refuse de prier</t>
  </si>
  <si>
    <t>186. Ta ƙi yin sallah</t>
  </si>
  <si>
    <t>hoh_livestock_sold_val</t>
  </si>
  <si>
    <t>310. How much did you sell ${hoh_livestock_act_name} for in CFA?</t>
  </si>
  <si>
    <t>572. Pour combien avez-vous vendu ${hoh_livestock_act_name} en CFA ?</t>
  </si>
  <si>
    <t>572. Nawa kuka sayar da ${hoh_livestock_act_name} a kuɗin CFA?</t>
  </si>
  <si>
    <t>187. She burns the food</t>
  </si>
  <si>
    <t>187. Elle brûle la nourriture</t>
  </si>
  <si>
    <t>187. Ta ƙona abincin</t>
  </si>
  <si>
    <t>hoh_livestock_consumed</t>
  </si>
  <si>
    <t>311. How many ${hoh_livestock_act_name} did you consume?</t>
  </si>
  <si>
    <t>hoh_livestock_consumed_val</t>
  </si>
  <si>
    <t>312. If you were to sell the ${hoh_livestock_act_name} you consumed, how much would you sell them for in CFA?</t>
  </si>
  <si>
    <t>574. Si vous devriez vendre les ${hoh_livestock_act_name} que vous avez consommés, à combien les vendriez-vous en CFA ?</t>
  </si>
  <si>
    <t>574. Idan za ku sayar da ${hoh_livestock_act_name} da kuka cinye, nawa za ku sayar da su a CFA?</t>
  </si>
  <si>
    <t>188. I've asked you a lot of questions about your life since our last in person interview (May/June 2024) in order to better understand your experiences. Is there anything else that has happened recently to you that has changed your life in an important way?</t>
  </si>
  <si>
    <t>188. Je vous ai posé beaucoup de questions sur votre vie depuis notre dernière enquête en personne (mai/juin 2024) écoulée afin de mieux comprendre vos expériences. Y a-t-il autre chose qui vous est arrivé récemment qui a changé votre vie de manière importante ?</t>
  </si>
  <si>
    <t>188. Na yi muku tambayoyi da yawa game da rayuwarku Tun daga tun bayan hirar mu ta ƙarshe a gaba da gaba (Mayu/Yuni 2024) suka wuce don in gane yanda kuke tahiyar rayuwarku. Ko akwai wani abu da ya faru da ku cikin kwanan nan wanda ya kawo wani mahimmin canji ga rayuwarku ?</t>
  </si>
  <si>
    <t>Enqueteur : ne pas lire les options, code basé sur la réponse</t>
  </si>
  <si>
    <t>Ɗan bincike: kar ka zana zaɓuɓɓuka, lambar na amsar</t>
  </si>
  <si>
    <t>331. We have discussed work done by members of your household in agriculture, in husbandry, in a business owned by your family.</t>
  </si>
  <si>
    <t>331. Nous avons discuté du travail effectué par les membres de votre ménage dans l'agriculture, l'élevage, dans une entreprise appartenant à votre famille.</t>
  </si>
  <si>
    <t>331. “Mun tattauna bisa ayyukan da ƴan gidanku suka yi a harakar noma da kiwo, kasuwancin da ƴan gidanku suka mallaka.</t>
  </si>
  <si>
    <t>189. Enumerator: Briefly summarize the changes described by the respondent</t>
  </si>
  <si>
    <t>189. Enquêteur : Résumez brièvement les changements décrits par le répondant</t>
  </si>
  <si>
    <t>189. Ɗan bincike: A taƙaice rubuta canje-canjen da mai bada amsa ya gaya maka</t>
  </si>
  <si>
    <t>hoh_livestock_expend</t>
  </si>
  <si>
    <t>313. In the past six months, how much did you spend on food and health expense for all of your animals (in CFA)?</t>
  </si>
  <si>
    <t>Au cours des six derniers mois, combien avez-vous dépensé en nourriture et en soins pour tous vos animaux (en CFA) ?</t>
  </si>
  <si>
    <t>A cikin watanni shida da suka gabata, nawa kuka kashe akan abinci da kuɗin kiwon lafiya ga dukan dabbobinku (a cikin CFA)?</t>
  </si>
  <si>
    <t>selected(${w_other_changes}, '-777')</t>
  </si>
  <si>
    <t>hoh_typical_week_note</t>
  </si>
  <si>
    <t>314. When thinking about the past six months, I would like to ask you about how many days a typical week people in your household worked. We know people may work more during some weeks rather than others, please think about what happens during most weeks.</t>
  </si>
  <si>
    <t>En pensant aux six derniers mois, j'aimerais vous demander combien de jours par semaine les membres de votre menage ont travaillé en moyenne. Nous savons que certaines personnes travaillent plus certaines semaines que d'autres ; pensez donc à ce qui se passe la plupart du temps.</t>
  </si>
  <si>
    <t>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t>
  </si>
  <si>
    <t>hoh_livestock_days_member</t>
  </si>
  <si>
    <t>315. How many days did people in your household work to care for your animals in a typical week in the past six months?</t>
  </si>
  <si>
    <t>Au cours des six derniers mois, combien de jours de travail les membres de votre menage ont-ils consacrés à vos animaux par semaine ?</t>
  </si>
  <si>
    <t>A cikin watanni shida da suka gabata, kwana nawa mutanen gidanku suka yi aiki don kula da dabbobinku a cikin mako guda ?</t>
  </si>
  <si>
    <t>hoh_hire_livestock</t>
  </si>
  <si>
    <t>316. In the past six months, did you hire anyone outside your household to care for your animals?</t>
  </si>
  <si>
    <t>Au cours des six derniers mois, avez-vous embauché une personne extérieure à votre foyer pour s'occuper de vos animaux ?</t>
  </si>
  <si>
    <t>A cikin wata shida da suka gabata, ko kun dauki hayar wani wanda ba ɗan gidanku ba don kula da dabbobinku?</t>
  </si>
  <si>
    <t>hoh_hire_livestock_days</t>
  </si>
  <si>
    <t>317. In the last six months, for how many weeks did you hire people to care for your livestock?</t>
  </si>
  <si>
    <t>Au cours des six derniers mois, pendant combien de semaines avez-vous embauché des personnes pour s'occuper de votre bétail ?</t>
  </si>
  <si>
    <t>A cikin watanni shida da suka gabata, tsawon makonni nawa kuka dauki hayar mutane don kula da dabbobinku?</t>
  </si>
  <si>
    <t xml:space="preserve">${speedcheck_w_nothoh_end} - ${speedcheck_w_nothoh_start} </t>
  </si>
  <si>
    <t>hoh_hire_livestock_wage</t>
  </si>
  <si>
    <t>318. What was the weekly wage paid to people who care for your animals, or how much would you pay in CFA?</t>
  </si>
  <si>
    <t>318. Quel était les frais hebdomadaire payés aux personnes qui s'occupent de vos animaux, ou combien paieriez-vous en CFA ?</t>
  </si>
  <si>
    <t>318. 105 a. Nawa albashin mako-mako na wannan mutanen da ke kula da dabbobinku a CFA?</t>
  </si>
  <si>
    <t>hoh_hire_livestock_total</t>
  </si>
  <si>
    <t>190. Now I would like to ask you questions about some other important aspects of a woman's life. I know that some of these questions are very personal. Let me assure you that your answers are completely confidential and will not be told to anyone.
 In the past six months has your husband or another member of your household prevented you from</t>
  </si>
  <si>
    <t>190. « J’aimerais maintenant vous poser des questions sur d’autres aspects importants de la vie d’une femme. Je sais que certaines de ces questions sont très personnelles. Soyez assurée que vos réponses resteront entièrement confidentielles et ne seront révélées à personne. 
 Au cours des six derniers mois, votre mari ou un autre membre de votre foyer vous a-t-il empêchée de… »</t>
  </si>
  <si>
    <t>190. Yanzu ina son in yi muku tambayoyi game da wasu muhimman al'amura na rayuwar mace, na san cewa wasu daga cikin tambayoyin na sirri ne, Amma ina tabbatar muku cewa zamu sirrin amsoshin ku kuma ba za a gaya wa kowa ba. 
 A cikin wata shida mijinki ko wani dan gidanki ya hana ki</t>
  </si>
  <si>
    <t>hoh_livestock_total_confirm</t>
  </si>
  <si>
    <t>319. You paid ${hoh_hire_livestock_total} in CFA for people to care for your animals, is this correct?</t>
  </si>
  <si>
    <t>319. Vous avez payé ${hoh_hire_livestock_total} (en CFA) aux personnes qui s'occupent de vos animaux, est-ce exact ?</t>
  </si>
  <si>
    <t>319. ${hoh_hire_livestock_total} (a sefa) kuka biya, ko daidai ne?</t>
  </si>
  <si>
    <t>191. visiting your family or friends?</t>
  </si>
  <si>
    <t>191. rendre visite à votre famille ou à vos amis ?</t>
  </si>
  <si>
    <t>191. ziyartar danginku ko abokananku?</t>
  </si>
  <si>
    <t>hoh_paid_livestock</t>
  </si>
  <si>
    <t>320. In the past six months, did any member of your household care for livestock owned by other people?</t>
  </si>
  <si>
    <t>453. Au cours des six derniers mois, un membre de votre menage a-t-il pris soin du bétail appartenant à d'autres personnes ?</t>
  </si>
  <si>
    <t>453. A cikin wata shida da suka wuce, akwai wani daga cikin ƴan gidan ku da ya kula da dabbobin wasu mutane?</t>
  </si>
  <si>
    <t>192. working outside the household?</t>
  </si>
  <si>
    <t>192. travailler en dehors du ménage ?</t>
  </si>
  <si>
    <t>192. aiki a wajen gidanku?</t>
  </si>
  <si>
    <t>hoh_paid_livestock_days</t>
  </si>
  <si>
    <t>321. In a typical week, how many days did they do this job?</t>
  </si>
  <si>
    <t>321. Au cours d'une semaine normale, combien de jours ont-ils fait ce travail ?</t>
  </si>
  <si>
    <t>321. A cikin mako, kwana nawa suka yi wannan aikin?</t>
  </si>
  <si>
    <t>hoh_paid_livestock_wage</t>
  </si>
  <si>
    <t>322. What was the daily wage paid to household members who cared for livestock owned by other people?</t>
  </si>
  <si>
    <t>322. Quel étaient les frais journaliers payés aux membres de votre ménage qui s'occupent des animaux du bétail appartenant à d'autres personnes en CFA ?</t>
  </si>
  <si>
    <t>322. Nawa ne biyan wuni na ƴan gida masu kula da dabbobin wasu mutane (a kuɗin CFA)?</t>
  </si>
  <si>
    <t>hoh_other_income_note</t>
  </si>
  <si>
    <t>323. Now we will ask about other forms of income people in your household may have earned in the past six months.</t>
  </si>
  <si>
    <t>hoh_own_other</t>
  </si>
  <si>
    <t>324. Do you or another member of your household own land that is currently not used for agriculture, outside of your current home?</t>
  </si>
  <si>
    <t>324. Est-ce que vous ou un autre membre de votre ménage possédez des terres qui ne sont actuellement pas utilisées pour l'agriculture, en dehors de votre domicile actuel ?</t>
  </si>
  <si>
    <t>324. Shin kai ko wani na gidanku kuna da wasu hilaye wanda ba na noma ba bancin gidanku da kuke ciki a halin yanzu?</t>
  </si>
  <si>
    <t>hoh_earn_rent</t>
  </si>
  <si>
    <t>325. In the past six months, what is the total revenue from rent of land or other property in CFA?</t>
  </si>
  <si>
    <t>Au cours des six derniers mois, quel a été le montant total des revenus locatifs de terres ou d'autres biens en CFA ?</t>
  </si>
  <si>
    <t>A cikin watanni shida da suka gabata, nawa ne jimillar kuɗaɗen da kuka samu daga hayar filaye ko wasu kadarori a CFA?</t>
  </si>
  <si>
    <t>hoh_earn_interest</t>
  </si>
  <si>
    <t>326. In the past six months, what is the total value of interest from loans you have given to others in CFA?</t>
  </si>
  <si>
    <t>Au cours des six derniers mois, quel a été le montant total des intérêts des prêts que vous avez accordés à d'autres en CFA ?</t>
  </si>
  <si>
    <t>A cikin watanni shida da suka gabata, nawa ne jimillar ribar da kuka samu daga rancen da kuka bai wa wasu a CFA?</t>
  </si>
  <si>
    <t>speedcheck_hoh_livestockact_end</t>
  </si>
  <si>
    <t>338. In the past three months, have you or anyone in your household received money from someone who is not a member of your household and who lives elsewhere in Niger (outside your village)?</t>
  </si>
  <si>
    <t>338. Au cours des trois derniers mois, vous ou un membre de votre ménage avez reçu &lt;b&gt;de l'argent&lt;/b&gt; d'une personne qui n'est pas membre de votre ménage et qui habite &lt;b&gt;ailleurs au Niger&lt;/b&gt; (en dehors de votre village)?</t>
  </si>
  <si>
    <t>338. A cikin watanni uku da suka wuce, kai ko ɗan gidanku kun samu kuɗi daga wani da ba ɗan gidanku ba wanda yake zaune a wani gari a Nijar (wajen kauyenku)?</t>
  </si>
  <si>
    <t>dur_hoh_livestockact</t>
  </si>
  <si>
    <t>193. The next set of questions are for married women only</t>
  </si>
  <si>
    <t>339. How much in total did members of your household receive from people elsewhere in Niger (in CFA)?</t>
  </si>
  <si>
    <t>339. Combien au total les membres de votre ménage ont-ils reçu des personnes qui sont quelques part au Niger (en USD)?</t>
  </si>
  <si>
    <t>339. Nawa ne ƴan gidanku suka samu daga wasu matanen da ke wani gari a Nijar (in CFA)?</t>
  </si>
  <si>
    <t>340. How was this money transmitted to your household?</t>
  </si>
  <si>
    <t>340. Comment cet argent a-t-il été envoyé à votre ménage ?</t>
  </si>
  <si>
    <t>340. Ta wace hanya aka aikawa gidanku wannan kuɗin ?</t>
  </si>
  <si>
    <t>speedcheck_hoh_biz_start</t>
  </si>
  <si>
    <t>194. When two people marry or live together, they share both good and bad moments. In your relationship with your husband/partner do the following happen frequently, only sometimes, or never?</t>
  </si>
  <si>
    <t>194. Lorsque deux personnes se marient ou vivent ensemble, elles partagent de bons et de mauvais moments. Dans votre relation avec votre mari/partenaire, les situations suivantes se produisent-elles a quelle frequence?</t>
  </si>
  <si>
    <t>194. Idan mutum biyu suka yi aure ko suna zaune tare, suna raba lokutta masu daɗi da marasa daɗi. A cikin zamantakewarku da mijinki/abokin zaman, ko waɗannan abubuwan suna faruwa kai-aka?</t>
  </si>
  <si>
    <t>341. Specify other transfer method</t>
  </si>
  <si>
    <t>341. Précisez la méthode du transfert</t>
  </si>
  <si>
    <t>341. Wani daban a Bayyana</t>
  </si>
  <si>
    <t>hoh_own_biz</t>
  </si>
  <si>
    <t>327. Does anyone in the household fully, or partly own and operate an income generating activity that is not farming or herding? (i.e. a shop where you sell goods, restaurant, butcher shop)?</t>
  </si>
  <si>
    <t>327. Quelqu'un dans le ménage possède-t-il entièrement ou partiellement une activité génératrice de revenus autre que l'agriculture ou l'élevage ? (C'est-à-dire un magasin où vous vendez des marchandises, un restaurant, une boucherie) ?</t>
  </si>
  <si>
    <t>327. Ko akwai wani ɗan gidanku mai sana'a wanda jarin gaba daya nashi ko na hadin gwiwa ne banda noma da kiyo? ( kantin saida kaya, gidan abinci, fawa)?</t>
  </si>
  <si>
    <t>195. He is affectionnate with you</t>
  </si>
  <si>
    <t>195. Il est affectueux avec vous</t>
  </si>
  <si>
    <t>195. Yana nuna muku soyayya</t>
  </si>
  <si>
    <t>select_one activities</t>
  </si>
  <si>
    <t>hoh_biz_type</t>
  </si>
  <si>
    <t>328. What type of business is this?</t>
  </si>
  <si>
    <t>328. Quel type d'entreprise est-ce?</t>
  </si>
  <si>
    <t>328. Wane irin kasuwanci ne?</t>
  </si>
  <si>
    <t>196. He respects you and your wishes</t>
  </si>
  <si>
    <t>hoh_biz_type_o</t>
  </si>
  <si>
    <t>196. Il vous respecte et respecte vos souhaits</t>
  </si>
  <si>
    <t>329. Specify other</t>
  </si>
  <si>
    <t>196. Yana girmama ku kuma ya na girmama buƙatuntu</t>
  </si>
  <si>
    <t>329. Autre à préciser :</t>
  </si>
  <si>
    <t>329. Baiyana wani abu daban:</t>
  </si>
  <si>
    <t>hoh_biz_type_name</t>
  </si>
  <si>
    <t>hoh_biz_loc</t>
  </si>
  <si>
    <t>330. Do you have a permanent location (i.e. building)?</t>
  </si>
  <si>
    <t>330. Avez-vous un emplacement permanent (c'est-à-dire un bâtiment) ?</t>
  </si>
  <si>
    <t>330. Kuna da wurin dindindin (kamar gini)?</t>
  </si>
  <si>
    <t>Only wife decides</t>
  </si>
  <si>
    <t>Seule la femme décide</t>
  </si>
  <si>
    <t>Mace ce kawai ta yanke shawara</t>
  </si>
  <si>
    <t>hoh_biz_employ</t>
  </si>
  <si>
    <t>331. How many people outside of your household do you employ in this business?</t>
  </si>
  <si>
    <t>331. Combien de personnes en dehors de votre ménage employez-vous dans cette entreprise ?</t>
  </si>
  <si>
    <t>331. Mutane nawa ne kuka dauka aiki banda ƴan gidan a wannan kasuwancin?</t>
  </si>
  <si>
    <t>197. Now I am going to ask you about some situations which happen to some women. Please tell me if these apply to your relationship with your husband?</t>
  </si>
  <si>
    <t>197. Maintenant, je vais vous poser des questions sur certaines situations qui arrivent à certaines femmes. Veuillez me dire si cela s'applique à votre relation avec votre mari ?</t>
  </si>
  <si>
    <t>197. To, yanzu zan tambaye ku game da wasu al’amura da suke faruwa ga wasu mata. Ko kun gaya mini idan waɗannan sun shafi zamantakewarku da mijinku?</t>
  </si>
  <si>
    <t>hoh_biz_wage</t>
  </si>
  <si>
    <t>332. How much do you pay per day for people to work in this business in CFA?</t>
  </si>
  <si>
    <t>332. Combien payez-vous par jour pour que les gens travaillent dans cette entreprise (en CFA) ?</t>
  </si>
  <si>
    <t>332. Nawa kuke biyan su a wuni (a sefa) ?</t>
  </si>
  <si>
    <t>Somewhat more than the husband</t>
  </si>
  <si>
    <t>Un peu plus que le mari</t>
  </si>
  <si>
    <t>Da ɗan fiye da mijin</t>
  </si>
  <si>
    <t>198. He does not trust your fidelty</t>
  </si>
  <si>
    <t>198. Il est jaloux et vous montre qu'il n’a pas confiance en vous ?</t>
  </si>
  <si>
    <t>198. Yana zargin ku kullum da nuna rashin yarda?</t>
  </si>
  <si>
    <t>hoh_biz_days_total</t>
  </si>
  <si>
    <t>Equal to husband</t>
  </si>
  <si>
    <t>Members in Business</t>
  </si>
  <si>
    <t>199. He (does/did) not permit you to meet your girl friends?</t>
  </si>
  <si>
    <t>Égal au mari</t>
  </si>
  <si>
    <t>199. Il ne vous a pas permis de rencontrer vos copines ?</t>
  </si>
  <si>
    <t>199. Bai baku izinin ganin ƙawayenku ba?</t>
  </si>
  <si>
    <t>Daidai da miji</t>
  </si>
  <si>
    <t>Somewhat less than husband</t>
  </si>
  <si>
    <t>Un peu moins que le mari</t>
  </si>
  <si>
    <t>Kasan miji</t>
  </si>
  <si>
    <t>200. He (tries/tried) to limit your contact with your family?</t>
  </si>
  <si>
    <t>200. Il essaie de limiter vos contacts avec votre famille ?</t>
  </si>
  <si>
    <t>200. Ya na ƙoƙarin ya rage hulɗarku da danginku?</t>
  </si>
  <si>
    <t>hoh_biz_index</t>
  </si>
  <si>
    <t>Only husband decides</t>
  </si>
  <si>
    <t>Seul le mari décide</t>
  </si>
  <si>
    <t>Miji ne kawai ya yanke shawara</t>
  </si>
  <si>
    <t>351. What was the value of the goods members of your household receive from people out of Niger?</t>
  </si>
  <si>
    <t>351. Quel était la valeur au totale des biens que les membres de votre ménage ont reçu des personnes qui ne sont pas au Niger ?</t>
  </si>
  <si>
    <t>351. Nawa kimar kayan da ƴan gidanku suka samo daga mutanen da ke zaune a ƙasar waje ba Nijar ba?</t>
  </si>
  <si>
    <t>hoh_biz_name</t>
  </si>
  <si>
    <t>201. He expects you to ask his permission before seeking health care for yourself?</t>
  </si>
  <si>
    <t>201. Il s’attend à ce que vous demandiez sa permission avant de chercher à obtenir des soins de santé pour vous-même ?</t>
  </si>
  <si>
    <t>201. Yana tsammanin ki nemi izininshi kafin ki nemi lafiyar kanka?</t>
  </si>
  <si>
    <t>352. How were these goods transmitted to your household?</t>
  </si>
  <si>
    <t>352. Comment ces biens ont-ils été envoyé à votre ménage ?</t>
  </si>
  <si>
    <t>352. Ta yaya aka aika waɗannan kayan zuwa gidanku?</t>
  </si>
  <si>
    <t>hoh_biz_age</t>
  </si>
  <si>
    <t>353. Specify other transfer method</t>
  </si>
  <si>
    <t>353. Précisez la méthode du transfert</t>
  </si>
  <si>
    <t>353. Wani daban a Bayyana</t>
  </si>
  <si>
    <t>hoh_biz_days</t>
  </si>
  <si>
    <t>333. In a typical week during the past six months, how many days did ${hoh_biz_name} work in the household business?</t>
  </si>
  <si>
    <t>Au cours d'une semaine normale dans les six derniers mois, combien de jours ${hoh_biz_name} a-t-il travaillé dans l'entreprise familiale ?</t>
  </si>
  <si>
    <t>A cikin mako guda a cikin watanni shida da suka gabata, kwanaki nawa ${hoh_biz_name} yayi aiki a cikin kasuwancin gida?</t>
  </si>
  <si>
    <t>202. He expects you to ask his permission before seeking health care for your children?</t>
  </si>
  <si>
    <t>202. S’attend-il à ce que vous demandiez sa permission avant de consulter pour vos enfants ?</t>
  </si>
  <si>
    <t>202. Yana tsammanin ki nemi izininshi kafin ki nemi lafiyar yaranku?</t>
  </si>
  <si>
    <t>355. How much did your household send to people elsewhere in Niger?</t>
  </si>
  <si>
    <t>355. Combien votre ménage a-t-il envoyé à des personnes qui sont quelque part au Niger ?</t>
  </si>
  <si>
    <t>355. Nawa ne gidanku ya aikawa mutanen da ke wasu wurare a Nijar?</t>
  </si>
  <si>
    <t>live_home</t>
  </si>
  <si>
    <t>speedcheck_hoh_biz_end</t>
  </si>
  <si>
    <t>Will surely live at home</t>
  </si>
  <si>
    <t>Est presque sûr de toujours habiter ici</t>
  </si>
  <si>
    <t>Tabbas zai rayu a gida</t>
  </si>
  <si>
    <t>203. He does things to scare or intimidate you (e.g. by the way he looked at you, by yelling and smashing things)?</t>
  </si>
  <si>
    <t>203. Il agit pour vous effrayer ou vous intimider (par exemple, par son regard, en criant et en cassant des objets) ?</t>
  </si>
  <si>
    <t>203. Yana yin abubuwa don ya firgitar ko ya tsoratar da ku (misali ta hanyar harare, ta hanyar ihu da fasa abubuwa)?</t>
  </si>
  <si>
    <t>dur_hoh_biz</t>
  </si>
  <si>
    <t>357. Specify other transfer method</t>
  </si>
  <si>
    <t>357. Précisez la méthode du transfert</t>
  </si>
  <si>
    <t>357. Wani daban a Bayyana</t>
  </si>
  <si>
    <t>hoh_biz_revenue</t>
  </si>
  <si>
    <t>334. Thinking about all of the revenues from this business in the past six months, what was the total amount of money coming in from this business in the last six months?</t>
  </si>
  <si>
    <t>En considérant tous les revenus de cette entreprise au cours des six derniers mois, quel a été le montant total des rentrées d'argent provenant de cette entreprise au cours des six derniers mois ?</t>
  </si>
  <si>
    <t>Idan aka yi la’akari da dukkan kuɗaɗen shiga da aka samu daga wannan sana’ar a cikin watanni shida da suka gabata, nawa ne yawan kuɗaɗen da aka samu daga wannan sana’ar a cikin watanni shida da suka gabata?</t>
  </si>
  <si>
    <t>Very likely to live at home</t>
  </si>
  <si>
    <t>Est probable de toujours habiter ici'</t>
  </si>
  <si>
    <t>hoh_biz_expense</t>
  </si>
  <si>
    <t>335. Thinking about all of the the expenses from this business, what was the total amount of money you spent on costs related to this business in the last six months?</t>
  </si>
  <si>
    <t>En considérant toutes les dépenses de cette entreprise, quel a été le montant total des dépenses liées à cette entreprise au cours des six derniers mois ?</t>
  </si>
  <si>
    <t>Idan aka yi la’akari da duk abin da aka kashe daga wannan kasuwancin, nawa ne jimlar kuɗin da kuka kashe akan farashi mai alaƙa da wannan kasuwancin a cikin watanni shida da suka gabata?</t>
  </si>
  <si>
    <t>Yiwuwar zama a gida</t>
  </si>
  <si>
    <t>hoh_biz_income</t>
  </si>
  <si>
    <t>360. How were these goods transmitted to the recipient?</t>
  </si>
  <si>
    <t>360. Comment ces biens ont-ils été envoyé au destinataire ?</t>
  </si>
  <si>
    <t>360. Ta yaya aka aika waɗannan kayayyaki zuwa ga mai karɓa?</t>
  </si>
  <si>
    <t>hoh_biz_income_confirm</t>
  </si>
  <si>
    <t>336. Thinking about all the revenue and expense related to this business during the past six months, you said that the net income from this business for your household is ${hoh_biz_income}. Is that correct?</t>
  </si>
  <si>
    <t>More likely than not to live at home</t>
  </si>
  <si>
    <t>En considérant tous les revenus et dépenses liés à cette entreprise au cours des six derniers mois, vous avez indiqué que le revenu net de votre menage s'élevait à ${hoh_biz_income}. Est-ce exact ?</t>
  </si>
  <si>
    <t>Plus probable de toujours habiter ici qu'ailleurs</t>
  </si>
  <si>
    <t>Idan aka yi la'akari da duk kuɗaɗen shiga da kashewa da suka shafi wannan kasuwancin a cikin watanni shida da suka gabata, kun ce yawan kuɗin da aka samu daga wannan kasuwancin na gidan ku shine ${hoh_biz_income}. Shin hakan daidai ne?</t>
  </si>
  <si>
    <t>Mafi kusantar zama a gida</t>
  </si>
  <si>
    <t>hoh_members_other_activity_note</t>
  </si>
  <si>
    <t>337. We have discussed work done by members of your household in agriculture, in husbandry, in a business owned by your family.</t>
  </si>
  <si>
    <t>337. Nous avons discuté du travail effectué par les membres de votre ménage dans l'agriculture, l'élevage, dans une entreprise appartenant à votre famille.</t>
  </si>
  <si>
    <t>337. “Mun tattauna bisa ayyukan da ƴan gidanku suka yi a harakar noma da kiwo, kasuwancin da ƴan gidanku suka mallaka.</t>
  </si>
  <si>
    <t>More likely than not to live elsewhere</t>
  </si>
  <si>
    <t>Plus probable d'habiter ailleurs qu'ici</t>
  </si>
  <si>
    <t>Mai yuwuwa fiye da kada ku zauna a wani wuri</t>
  </si>
  <si>
    <t>204. Now if you will permit me, I need to ask some more questions about your relationship with your husband. Does he ever?</t>
  </si>
  <si>
    <t>204. Maintenant, si vous me le permettez, je dois poser quelques questions supplémentaires sur votre relation avec votre mari. Est-ce qu'il a jamais?</t>
  </si>
  <si>
    <t>204. Yanzu idan za ki ba ni izini, Ina bukatar yin wasu tambayoyi game da dangantakarki da mijinki. Ko ya taba?</t>
  </si>
  <si>
    <t>speedcheck_hoh_memact_start</t>
  </si>
  <si>
    <t>363. How much did your household send to people people out of Niger?</t>
  </si>
  <si>
    <t>363. Combien votre ménage a-t-il envoyé à d'autres personnes qui sont quelque part hors du Niger ?</t>
  </si>
  <si>
    <t>363. Nawa gidanku ya aikawa wasu mutane da ke wani wuri ba a Nijar ba?</t>
  </si>
  <si>
    <t>Very likely to live elsewhere</t>
  </si>
  <si>
    <t>hoh_member_activity</t>
  </si>
  <si>
    <t>Est probable d'habiter ailleurs</t>
  </si>
  <si>
    <t>Outside Activities</t>
  </si>
  <si>
    <t>Activités extérieures</t>
  </si>
  <si>
    <t>Yiwuwar zama wani wuri</t>
  </si>
  <si>
    <t>Ayyukan da ba na gida ba</t>
  </si>
  <si>
    <t>364. How did you transmit the money to the recipient?</t>
  </si>
  <si>
    <t>364. Comment avez-vous transmis l'argent au destinataire ?</t>
  </si>
  <si>
    <t>364. Ta wace hanya kuka aika kuɗin ga mai karɓa?</t>
  </si>
  <si>
    <t>205. Say or do something to humiliate you in front of others</t>
  </si>
  <si>
    <t>205. Dit ou fait quelque chose pour vous humilier devant les autres</t>
  </si>
  <si>
    <t>hoh_member_act_index</t>
  </si>
  <si>
    <t>205. Fadi ko yin wani abu don wulaƙanta ku a gaban wasu</t>
  </si>
  <si>
    <t>365. Specify other transfer method</t>
  </si>
  <si>
    <t>365. Precisez la methode du transfert</t>
  </si>
  <si>
    <t>365. Wani daban a Bayyana</t>
  </si>
  <si>
    <t>hoh_member_act_name</t>
  </si>
  <si>
    <t>366. In the past three months, have you or anyone in your household shared or sent goods (payment in kind) to someone who is not a member of your household and who lives in a foreign country (outside of Niger)?</t>
  </si>
  <si>
    <t>Will surely live elsewhere</t>
  </si>
  <si>
    <t>366. Au cours des trois derniers mois, vous ou quelqu'un de votre ménage avez-vous partagé ou envoyé &lt;b&gt;des biens&lt;/b&gt; (paiement en nature) à quelqu'un qui n'est pas membre de votre ménage et qui habite &lt;b&gt;à l'extérieur du Niger&lt;/b&gt; (dans un autre pays) ?</t>
  </si>
  <si>
    <t>366. A cikin watanni uku da suka wuce, kai ko wani a cikin gidanku kun bada ko kun aika kaya (a matsayin biya) ga wanda ba ɗan gidanku ba da ke zaune a wajen Nijar (a wata kasa)?</t>
  </si>
  <si>
    <t>Est presque sûr d'habiter ailleurs</t>
  </si>
  <si>
    <t>Tabbas zai rayu a wani wuri</t>
  </si>
  <si>
    <t>hoh_member_other_activity</t>
  </si>
  <si>
    <t>338. In the past six months, did ${hoh_member_act_name} earn money from any other activity?</t>
  </si>
  <si>
    <t>Au cours des six derniers mois, ${hoh_member_act_name} a-t-il gagné de l'argent grâce à une autre activité ?</t>
  </si>
  <si>
    <t>A cikin watanni shida da suka gabata, ${hoh_member_act_name} ya sami kuɗi daga wani aiki daban ?</t>
  </si>
  <si>
    <t>206. Threaten you or someone close to you with harm</t>
  </si>
  <si>
    <t>206. Vous menacer vous-même ou quelqu'un proche de vous à vous faire du mal</t>
  </si>
  <si>
    <t>206. Yi muku barazana ko wani na kusa da ku da cutarwa</t>
  </si>
  <si>
    <t>hoh_member_other_act</t>
  </si>
  <si>
    <t>339. What was the activity?</t>
  </si>
  <si>
    <t>339. Quelle était l'activité ?</t>
  </si>
  <si>
    <t>339. Menene aikin?</t>
  </si>
  <si>
    <t>207. Push you shake you or throw something at you</t>
  </si>
  <si>
    <t>207. Vous pousser, vous secouer ou jeter quelque chose sur vous</t>
  </si>
  <si>
    <t>207. Tura ku girgiza ku ko jefar da wani abu bisanku</t>
  </si>
  <si>
    <t>hoh_member_other_activity_o</t>
  </si>
  <si>
    <t>340. Specify the activity</t>
  </si>
  <si>
    <t>340. Précisez l'activité</t>
  </si>
  <si>
    <t>340. Baiyana aikin</t>
  </si>
  <si>
    <t>live_away</t>
  </si>
  <si>
    <t>Will surely live in Niger</t>
  </si>
  <si>
    <t>Est presque sûr de toujours habiter au Niger</t>
  </si>
  <si>
    <t>Tabbas ya fi son ya zauna ya rayu a Nijar</t>
  </si>
  <si>
    <t>hoh_member_other_activity_name</t>
  </si>
  <si>
    <t>208. Slap you or twist your arm</t>
  </si>
  <si>
    <t>208. Vous gifler ou vous tordre le bras</t>
  </si>
  <si>
    <t>208. Mari ko murɗa hannunku</t>
  </si>
  <si>
    <t>370. In the past three months, have you received support from any of the following sources?</t>
  </si>
  <si>
    <t>370. Au cours des trois derniers mois, avez-vous reçu de l'aide de l'une des sources suivantes ?</t>
  </si>
  <si>
    <t>370. A cikin watanni uku da suka wuce, kun samu taimako daga ɗayan waɗannan hanyoyin?</t>
  </si>
  <si>
    <t>hoh_member_other_amt</t>
  </si>
  <si>
    <t>341. How much does ${hoh_member_act_name} earn from this activity during an average week (that they are engaged in ${hoh_member_other_activity_name})?</t>
  </si>
  <si>
    <t>Very likely to live in Niger</t>
  </si>
  <si>
    <t>341. Combien ${hoh_member_act_name} gagne-t-il grâce à cette activité au cours d'une semaine en moyenne (pendant laquelle il est engagé comme ${hoh_member_other_activity_name}) ?</t>
  </si>
  <si>
    <t>Est probable de toujours habiter au Niger</t>
  </si>
  <si>
    <t>341. A takaice nawa ${hoh_member_act_name} yake samu daga wannan aiki a cikin sati (a lokacin da suke cikin aikin ${hoh_member_other_activity_name})?</t>
  </si>
  <si>
    <t>Ya fi son sosai ya zauna ya rayu a Nijar</t>
  </si>
  <si>
    <t>hoh_member_other_weeks</t>
  </si>
  <si>
    <t>342. Think about the past six months how many weeks did they engage in ${hoh_member_other_activity_name}?</t>
  </si>
  <si>
    <t>Pensez aux six derniers mois, combien de semaines ont-ils consacrées à ${hoh_member_other_activity_name} ?</t>
  </si>
  <si>
    <t>More likely than not to live in Niger</t>
  </si>
  <si>
    <t>Ku tuna da lokacin da ${hoh_member_other_activity_name} a watanni shida da suka gabata tsawon makonni nawa suka yi wannan aikin ?</t>
  </si>
  <si>
    <t>Plus probable de toujours habiter au Niger qu'ailleurs</t>
  </si>
  <si>
    <t>209. Punch you with his fist or with something that could hurt you</t>
  </si>
  <si>
    <t>Ya fi son zama a Nijar fiye da wani wuri</t>
  </si>
  <si>
    <t>209. Vous frapper avec son poing ou avec quelque chose qui pourrait vous blesser</t>
  </si>
  <si>
    <t>209. Yi muku naushi da hannu ko da wani abu da zai iya cutar da ku</t>
  </si>
  <si>
    <t>hoh_member_contribute</t>
  </si>
  <si>
    <t>343. Can you estimate how much ${hoh_member_act_name} contributes to the household common pot in a typical week (excluding labor) including both cash and in goods?</t>
  </si>
  <si>
    <t>343. Pouvez-vous estimer la contribution de ${hoh_member_act_name} au fond commun du ménage au cours d'une semaine normale (hors main-d'œuvre), y compris en espèces et en nature ?</t>
  </si>
  <si>
    <t>343. Ko za ku iya kimanta gudunmawar kuɗi da kaya da ${hoh_member_act_name} ya kawo gidan a cikin sati guda (banda aiki)?</t>
  </si>
  <si>
    <t>More likely than not to live in another country</t>
  </si>
  <si>
    <t>Plus probable d'habiter ailleurs que Niger</t>
  </si>
  <si>
    <t>Ya fi son sosai ya zauna ya rayu a wani wuri</t>
  </si>
  <si>
    <t>210. Kick you or drag you</t>
  </si>
  <si>
    <t>210. Vous donner un coup de pied ou vous traîner</t>
  </si>
  <si>
    <t>210. Habre ku ko jan ku</t>
  </si>
  <si>
    <t>381. In the past 3 months did you make any investments to improve the productivity of your land?</t>
  </si>
  <si>
    <t>381. Au cours des 3 derniers mois, avez-vous fait des investissements pour améliorer la productivité de votre terre ?</t>
  </si>
  <si>
    <t>381. A cikin watanni 3 da suka gabata, kun zuba kudi don inganta samun amfanin gonakinku?</t>
  </si>
  <si>
    <t>speedcheck_hoh_memact_end</t>
  </si>
  <si>
    <t>Very likely to live in another country</t>
  </si>
  <si>
    <t>382. Specify improvement to land</t>
  </si>
  <si>
    <t>382. Précisez les améliorations de votre terre que vous avez fait</t>
  </si>
  <si>
    <t>382. Ku bayyana kuɗin da kuka kashe don haɓɓaka gonarku</t>
  </si>
  <si>
    <t>dur_hoh_memact</t>
  </si>
  <si>
    <t>383. Now I will ask you about different ways your household may use money that you earn.</t>
  </si>
  <si>
    <t>383. Je vais maintenant vous poser des questions sur les différentes façons dont votre ménage peut utiliser l'argent que vous gagnez.</t>
  </si>
  <si>
    <t>383. Yanzu zan yi muku tambayoyi game hanyoyi daban-daban da gidanku ke iya amfani da su don kashe kuɗin da yake samu.</t>
  </si>
  <si>
    <t>Will surely live in another country</t>
  </si>
  <si>
    <t>211. Try to strangle you or burn you</t>
  </si>
  <si>
    <t>211. Essayer de vous étrangler ou de vous brûler</t>
  </si>
  <si>
    <t>384. Does your household currently have any savings that you keep in any of the following ways?</t>
  </si>
  <si>
    <t>Tabbas ya zauna ya rayu a wani wuri</t>
  </si>
  <si>
    <t>384. Votre ménage dispose-t-il actuellement d'économies que vous conservez de l'une des manières suivantes ?</t>
  </si>
  <si>
    <t>211. Yi ƙoƙarin shake ku ko kona ku</t>
  </si>
  <si>
    <t>384. Ko a halin yanzu gidanku na da ajiyar kuɗi daga ɗaya a cikin wanɗannan dubaru?</t>
  </si>
  <si>
    <t>hoh_remittance_qs</t>
  </si>
  <si>
    <t>Questions about remittances</t>
  </si>
  <si>
    <t>speedcheck_hoh_remit_start</t>
  </si>
  <si>
    <t>212. threaten you with a knife, gun, or other type of weapon</t>
  </si>
  <si>
    <t>212. Vous menacer avec un couteau, une arme à feu ou tout autre type d'arme</t>
  </si>
  <si>
    <t>212. yi muku barazana da wuka, bindiga, ko wani makami daban</t>
  </si>
  <si>
    <t>select_multiple money_transfer</t>
  </si>
  <si>
    <t>hoh_remit_pm_method</t>
  </si>
  <si>
    <t>Depuis la Tabaski de l'année dernière (2024), votre menage a-t-il reçu de l'argent de ${pm_name} en dehors de votre village par les moyens suivants ?</t>
  </si>
  <si>
    <t>Tun layya ta bara (2024), ko ƴan gidanku sun karɓi kuɗi daga ${pm_name} daga wajen ƙauyenku ta hanyoyi masu zuwa?</t>
  </si>
  <si>
    <t>school_prefer_son</t>
  </si>
  <si>
    <t>Strongly prefer sons complete koranic school</t>
  </si>
  <si>
    <t>Préfère fortement que les fils terminent l'école coranique</t>
  </si>
  <si>
    <t>Ya fi son sosai ƴaƴa maza su kammala karatun ƙur'ani</t>
  </si>
  <si>
    <t>hoh_remit_pm_amt</t>
  </si>
  <si>
    <t>How much have you received from ${pm_name} (in CFA) since tabaski last year?</t>
  </si>
  <si>
    <t>Combien avez-vous reçu de ${pm_name} (en francs CFA) depuis la Tabaski de l'année dernière?</t>
  </si>
  <si>
    <t>Nawa kuka karɓa daga ${pm_name} (a ​​kuɗin CFA) tun tabaski bara?</t>
  </si>
  <si>
    <t>213. attack you with a knife, gun, or other type of weapon</t>
  </si>
  <si>
    <t>Somewhat prefer sons complete koranic school</t>
  </si>
  <si>
    <t>213. Vous attaquer avec un couteau, une arme à feu ou tout autre type d'arme</t>
  </si>
  <si>
    <t>213. Kawo muku hari da wuka, bindiga, ko wani makami daban</t>
  </si>
  <si>
    <t>Préfère un peu que les fils terminent l'école coranique</t>
  </si>
  <si>
    <t>Ya ɗan fi son ƴaƴa maza su kammala karatun ƙur'ani</t>
  </si>
  <si>
    <t>hoh_remit_hh_method</t>
  </si>
  <si>
    <t>Since Tabaski of last year (2024), has your household received money from other members (not including ${pm_name}) from locations outside your village through the following methods?</t>
  </si>
  <si>
    <t>Depuis la Tabaski de l'année dernière (2024), votre menage a-t-il reçu de l'argent d'autres personnes (hors ${pm_name}) provenant de lieux extérieurs à votre village par les moyens suivants ?</t>
  </si>
  <si>
    <t>Tun daga laiya na shekarar bara (2024), ƴan gidan ku sun karɓi kuɗi daga wasu mutanin (ba tare da ${pm_name} ba) daga wajen ƙauyenku ta hanyoyi masu zuwa?</t>
  </si>
  <si>
    <t>hoh_remit_hh_amt</t>
  </si>
  <si>
    <t>How much have you received from other members of the household (in CFA)?</t>
  </si>
  <si>
    <t>Combien avez-vous reçu d'autres membres du menage (en francs CFA) depuis la Tabaski de l'année dernière?</t>
  </si>
  <si>
    <t>Nawa kuka karɓa daga sauran membobin gidan (a cikin CFA) tun tabaski bara?</t>
  </si>
  <si>
    <t>Indifferent between completion of koranic school or bacalaureat</t>
  </si>
  <si>
    <t>Indifférent entre l'achèvement de l'école coranique et de l'école formelle jusqu'au baccalauréat</t>
  </si>
  <si>
    <t>Babu zaɓi tsakanin kammala karatun kur'ani ko boko har zuwa Bak</t>
  </si>
  <si>
    <t>214. force you to perform sexual acts with him even when you did not want to</t>
  </si>
  <si>
    <t>214. vous forcer à accomplir des actes sexuels avec lui même lorsque vous ne le vouliez pas</t>
  </si>
  <si>
    <t>214. tilasta muku ka yin jima'i da shi ko da ba ki da buƙata</t>
  </si>
  <si>
    <t>hoh_remit_rec_niger</t>
  </si>
  <si>
    <t>${w_shm_home} = 0 and ${w_pm_home} = 0</t>
  </si>
  <si>
    <t>344. In the past six months, have you or anyone in your household received money from someone who is not a member of your household and who lives elsewhere in Niger (outside your village)?</t>
  </si>
  <si>
    <t>Au cours des six derniers mois, avez-vous, vous ou un membre de votre menage, reçu de l'argent d'une personne extérieure à votre menage et résidant ailleurs au Niger (hors de votre village) ?</t>
  </si>
  <si>
    <t>A cikin watanni shida da suka gabata, kai ko wani a cikin gidan ku kun karɓi kuɗi daga wanda ba ɗan gidanku ba ne kuma yana zaune a wani wuri a Nijar (a wajen ƙauyenku)?</t>
  </si>
  <si>
    <t>Somewhat prefer sons complete bacalaureat</t>
  </si>
  <si>
    <t>Préfère un peu que les fils terminent l'école jusqu'au bac</t>
  </si>
  <si>
    <t>Ya ɗan fi son ƴaƴa maza su kammala karatun boko har zuwa Bak</t>
  </si>
  <si>
    <t>hoh_remit_rec_niger_amt</t>
  </si>
  <si>
    <t>345. How much in total did members of your household receive from people elsewhere in Niger (in CFA)?</t>
  </si>
  <si>
    <t>345. Combien au total les membres de votre ménage ont-ils reçu des personnes qui sont quelques part au Niger (en USD)?</t>
  </si>
  <si>
    <t>345. Nawa ne ƴan gidanku suka samu daga wasu matanen da ke wani gari a Nijar (in CFA)?</t>
  </si>
  <si>
    <t>215. Do other members of your household ever threaten you with violence or acted violently toward you?</t>
  </si>
  <si>
    <t>215. D'autres membres de votre menage vous ont-ils déjà menacée de violence ou agi de manière violente à votre égard ?</t>
  </si>
  <si>
    <t>215. Ko wasu ƴan gidanku sun taɓa yi muku barazana da tashin hankali ko kuma sun yi muku tashin hankali?</t>
  </si>
  <si>
    <t>This can include your own family or your in-laws</t>
  </si>
  <si>
    <t>hoh_remit_rec_niger_how</t>
  </si>
  <si>
    <t>Strongly prefer sons complete bacalaureat</t>
  </si>
  <si>
    <t>346. How was this money transmitted to your household?</t>
  </si>
  <si>
    <t>Il peut s'agir de votre propre famille ou de vos beaux-parents.</t>
  </si>
  <si>
    <t>Préfère fortement que les garçons termnent l'école jusqu'au baccalauréat</t>
  </si>
  <si>
    <t>346. Comment cet argent a-t-il été envoyé à votre ménage ?</t>
  </si>
  <si>
    <t>Zai iya kasancewa ƴan gidanku ko ƴan gidan surukanku</t>
  </si>
  <si>
    <t>Ya fi son sosai ƴaƴa maza su kammala karatun boko har zuwa Bak</t>
  </si>
  <si>
    <t>346. Ta wace hanya aka aikawa gidanku wannan kuɗin ?</t>
  </si>
  <si>
    <t>hoh_remit_rec_niger_how_o</t>
  </si>
  <si>
    <t>347. Specify other transfer method</t>
  </si>
  <si>
    <t>347. Précisez la méthode du transfert</t>
  </si>
  <si>
    <t>347. Wani daban a Bayyana</t>
  </si>
  <si>
    <t>hoh_goods_rec_niger</t>
  </si>
  <si>
    <t>348. In the past six months, have you or anyone in your household received goods (payment in kind) from someone who is not a member of your household and who lives elsewhere in Niger (outside your village)?</t>
  </si>
  <si>
    <t>Au cours des six derniers mois, avez-vous, vous ou un membre de votre foyer, reçu des biens (paiement en nature) d'une personne extérieure à votre menage et résidant ailleurs au Niger (hors de votre village) ?</t>
  </si>
  <si>
    <t>A cikin watanni shida da suka gabata, kai ko wani a cikin gidan ku kun karɓi kaya (biya daga kaya) daga wanda ba ɗan gidanku ba ne kuma yana zaune a wani wuri a Nijar (a wajen ƙauyenku)?</t>
  </si>
  <si>
    <t>hoh_goods_rec_niger_amt</t>
  </si>
  <si>
    <t>349. What was the value of the goods members of your household receive from people elsewhere in Niger (in CFA)?</t>
  </si>
  <si>
    <t>349. Quel était la valeur au totale des biens que les membres de votre ménage ont reçu des personnes qui sont quelques part au Niger 
 (en USD)?</t>
  </si>
  <si>
    <t>work_prefer_son</t>
  </si>
  <si>
    <t>349. Nawa kimar kayayyakin da ƴan gidanku suka karba daga wasu mutane a wasu wurare a Nijar (in CFA)?</t>
  </si>
  <si>
    <t>Strongly prefer sons stay and work the land</t>
  </si>
  <si>
    <t>Préfère fortement que les fils restent et travaillent la terre</t>
  </si>
  <si>
    <t>Ya fi so sosai ƴaƴa maza su zauna su yi aikin gona</t>
  </si>
  <si>
    <t>select_multiple goods_transfer</t>
  </si>
  <si>
    <t>hoh_goods_rec_niger_how</t>
  </si>
  <si>
    <t>350. How were these goods transmitted to your household?</t>
  </si>
  <si>
    <t>350. Comment ces biens ont-ils été envoyé à votre ménage ?</t>
  </si>
  <si>
    <t>350. Ta yaya aka aika waɗannan kayayyakin zuwa gidanku?</t>
  </si>
  <si>
    <t>Somewhat prefer sons stay and work the land</t>
  </si>
  <si>
    <t>Préfère un peu que les fils restent et travaillent la terre</t>
  </si>
  <si>
    <t>Ya ɗan fi son ƴaƴa maza su zauna su yi aikin gona</t>
  </si>
  <si>
    <t>hoh_goods_rec_niger_how_o</t>
  </si>
  <si>
    <t>351. Specify other transfer method</t>
  </si>
  <si>
    <t>351. Précisez la méthode du transfert</t>
  </si>
  <si>
    <t>351. Wani daban a Bayyana</t>
  </si>
  <si>
    <t>hoh_remit_rec_out</t>
  </si>
  <si>
    <t>352. In the past six months, have you or anyone in your household received money from someone who is not a member of your household and who lives in a foreign country (outside of Niger)?</t>
  </si>
  <si>
    <t>Indifferent between sons staying and leaving</t>
  </si>
  <si>
    <t>Au cours des six derniers mois, avez-vous, ou un membre de votre menage, reçu de l'argent d'une personne extérieure à votre menage et résidant à l'étranger (hors du Niger) ?</t>
  </si>
  <si>
    <t>A cikin watanni shida da suka gabata, kai ko wani a cikin gidanku ya sami kuɗi daga wani wanda ba dan gidan ku ba kuma yana zaune a wata ƙasa (wajen Nijar)?</t>
  </si>
  <si>
    <t>Indifférent entre les fils restent travailler la terre et partent en ville</t>
  </si>
  <si>
    <t>Bashi da zaɓi tsakanin ƴaƴa su zauna su yi aikin gona da su je birni</t>
  </si>
  <si>
    <t>hoh_remit_rec_out_amt</t>
  </si>
  <si>
    <t>353. How much in total did members of your household receive from people out of Niger?</t>
  </si>
  <si>
    <t>353. Combien au total les membres de votre ménage ont-ils reçu des personnes qui ne sont pas au Niger ?</t>
  </si>
  <si>
    <t>Somewhat prefer sons go to a city to find professional opportunities</t>
  </si>
  <si>
    <t>353. Nawa ne yan gidanku ya samu daga mutanen da ke zaune a ƙasar waje ba Nijar ba?</t>
  </si>
  <si>
    <t>Préfère un peu que les fils aillent en ville pour trouver des opportunités professionnelles</t>
  </si>
  <si>
    <t>Ya ɗan fi son ƴaƴa maza su je birni don neman sana'a</t>
  </si>
  <si>
    <t>216. Does your husband provide you with money to buy food or other necessary items for the household?</t>
  </si>
  <si>
    <t>216. Votre mari vous donne-t-il de l’argent pour acheter de la nourriture ou d’autres articles de première nécessité pour le ménage ?</t>
  </si>
  <si>
    <t>216. Ko mijinki yana ba ki kuɗi don sayen abinci ko wasu abubuwan da ake bukata a gidan?</t>
  </si>
  <si>
    <t>hoh_remit_rec_out_how</t>
  </si>
  <si>
    <t>354. How was this money transmitted to your household?</t>
  </si>
  <si>
    <t>354. Comment cet argent a-t-il été envoyé à votre ménage ?</t>
  </si>
  <si>
    <t>354. Ta wace hanya aka aikawa gidanku wannan kuɗin ?</t>
  </si>
  <si>
    <t>Strongly prefer sons go to a city to find professional opportunities</t>
  </si>
  <si>
    <t>Préfère fortement que les fils partent en ville pour trouver des opportunités professionnelles</t>
  </si>
  <si>
    <t>Ya fi so sosai ƴaƴa maza su je birni don neman sana'a</t>
  </si>
  <si>
    <t>hoh_remit_rec_out_how_o</t>
  </si>
  <si>
    <t>355. Specify other transfer method</t>
  </si>
  <si>
    <t>355. Précisez la méthode du transfert</t>
  </si>
  <si>
    <t>355. Wani daban a Bayyana</t>
  </si>
  <si>
    <t>217. What was the amount in CFA you received the last time you were given this allowance?</t>
  </si>
  <si>
    <t>217. Quel était le montant en francs CFA que vous avez reçu la dernière fois que vous avez reçu cette allocation ?</t>
  </si>
  <si>
    <t>217. Nawa ne a kuɗin CFA abinda kika karɓa na ƙarshe lokacin da aka ba ki wannan alawus ɗin?</t>
  </si>
  <si>
    <t>hoh_goods_rec_out</t>
  </si>
  <si>
    <t>356. In the past six months, have you or anyone in your household received goods (payment in kind) from someone who is not a member of your household and who lives in a foreign country (outside of Niger)?</t>
  </si>
  <si>
    <t>Au cours des six derniers mois, avez-vous, vous ou un membre de votre menage, reçu des biens (paiement en nature) d'une personne extérieure à votre menage et résidant à l'étranger (hors du Niger) ?</t>
  </si>
  <si>
    <t>A cikin watanni shida da suka gabata, kai ko wani a cikin gidanku ya sami kaya (biyan daga kaya ) daga wanda ba ɗan gidanku ba ne kuma yana zaune a wata ƙasa (wajen Nijar)?</t>
  </si>
  <si>
    <t>.&gt;0</t>
  </si>
  <si>
    <t>${w_allowance_husband}=1</t>
  </si>
  <si>
    <t>school_prefer_d</t>
  </si>
  <si>
    <t>hoh_goods_rec_out_amt</t>
  </si>
  <si>
    <t>Strongly prefer daughters complete koranic school</t>
  </si>
  <si>
    <t>357. What was the value of the goods members of your household receive from people out of Niger?</t>
  </si>
  <si>
    <t>Préfère fortement que les filles terminent l'école coranique</t>
  </si>
  <si>
    <t>357. Quel était la valeur au totale des biens que les membres de votre ménage ont reçu des personnes qui ne sont pas au Niger ?</t>
  </si>
  <si>
    <t>Ya fi son sosai ƴaƴa mata su kammala karatun ƙur'ani</t>
  </si>
  <si>
    <t>357. Nawa kimar kayan da ƴan gidanku suka samo daga mutanen da ke zaune a ƙasar waje ba Nijar ba?</t>
  </si>
  <si>
    <t>218. Do you need permission from your husband or another family member to make purchases with this money?</t>
  </si>
  <si>
    <t>218. Avez-vous besoin de la permission de votre mari ou d’un autre membre de votre famille pour faire des achats avec cet argent ?</t>
  </si>
  <si>
    <t>218. Ko kina da buƙatar izinin mijinki ko wani ƴan gidanku don yin sayayya da wannan kuɗin?</t>
  </si>
  <si>
    <t>Somewhat prefer daughters complete koranic school</t>
  </si>
  <si>
    <t>Préfére un peu que les filles terminent l'école coranique</t>
  </si>
  <si>
    <t>hoh_goods_rec_out_how</t>
  </si>
  <si>
    <t>358. How were these goods transmitted to your household?</t>
  </si>
  <si>
    <t>Ya ɗan fi son ƴaƴa mata su kammala karatun ƙur'ani</t>
  </si>
  <si>
    <t>358. Comment ces biens ont-ils été envoyé à votre ménage ?</t>
  </si>
  <si>
    <t>358. Ta yaya aka aika waɗannan kayan zuwa gidanku?</t>
  </si>
  <si>
    <t>hoh_goods_rec_out_how_o</t>
  </si>
  <si>
    <t>Indifférent entre l'achèvement de l'école coranique et le baccalauréat</t>
  </si>
  <si>
    <t>359. Specify other transfer method</t>
  </si>
  <si>
    <t>359. Précisez la méthode du transfert</t>
  </si>
  <si>
    <t>359. Wani daban a Bayyana</t>
  </si>
  <si>
    <t>219. If a wife has earned some money, does she have the right to buy clothing for herself or her children without asking the permission of her husband?</t>
  </si>
  <si>
    <t>219. Si une femme a gagné de l’argent, a-t-elle le droit d’acheter des vêtements pour elle-même ou ses enfants sans demander la permission de son mari ?</t>
  </si>
  <si>
    <t>219. Idan mace ta sami kuɗi, shin tana da ikon sayen tufafi ga kanta ko ƴaƴanta ba tare da neman izinin mijinta ba?</t>
  </si>
  <si>
    <t>hoh_remit_send_niger</t>
  </si>
  <si>
    <t>360. In the past six months, have you or anyone in your household shared or sent money to someone who is not a member of your household and who lives elsewhere in Niger (outside your village)?</t>
  </si>
  <si>
    <t>Au cours des six derniers mois, avez-vous, vous ou un membre de votre menage, partagé ou envoyé de l'argent à une personne extérieure à votre menage et résidant ailleurs à l'intérieur du Niger (hors de votre village) ?</t>
  </si>
  <si>
    <t>A cikin watanni shida da suka gabata, kai ko wani a cikin gidanku kun aika kudi ga wanda ba an gidanku ba kuma yana zaune a wani wuri a Nijar (a wajen kauyenku)?</t>
  </si>
  <si>
    <t>Somewhat prefer daughters complete bacalaureat</t>
  </si>
  <si>
    <t>Préfère un peu que les filles terminent l'école jusqu'au bac</t>
  </si>
  <si>
    <t>Ya ɗan fi son ƴaƴa mata su kammala karatun boko har zuwa Bak</t>
  </si>
  <si>
    <t>hoh_remit_send_niger_amt</t>
  </si>
  <si>
    <t>361. How much did your household send to people elsewhere in Niger?</t>
  </si>
  <si>
    <t>361. Combien votre ménage a-t-il envoyé à des personnes qui sont quelque part au Niger ?</t>
  </si>
  <si>
    <t>361. Nawa ne gidanku ya aikawa mutanen da ke wasu wurare a Nijar?</t>
  </si>
  <si>
    <t>Strongly prefer daughters complete bacalaureat</t>
  </si>
  <si>
    <t>Préfére fortement que les filles terminent l'école jusqu'au bac</t>
  </si>
  <si>
    <t>Ya fi son sosai ƴaƴa mata su kammala karatun boko har zuwa Bak</t>
  </si>
  <si>
    <t>hoh_remit_send_niger_how</t>
  </si>
  <si>
    <t>362. How did you transmit the money to the recipient?</t>
  </si>
  <si>
    <t>362. Comment avez-vous envoyé l'argent au destinataire ?</t>
  </si>
  <si>
    <t>362. Ta wace hanya kuka aika kuɗin ga mai karɓa?</t>
  </si>
  <si>
    <t>hoh_remit_send_niger_how_o</t>
  </si>
  <si>
    <t>363. Specify other transfer method</t>
  </si>
  <si>
    <t>363. Précisez la méthode du transfert</t>
  </si>
  <si>
    <t>363. Wani daban a Bayyana</t>
  </si>
  <si>
    <t>hoh_goods_send_niger</t>
  </si>
  <si>
    <t>364. In the past six months, have you or anyone in your household shared or sent goods (payment in kind) to someone who is not a member of your household and who lives elsewhere in Niger (outside your village)?</t>
  </si>
  <si>
    <t>Au cours des six derniers mois, avez-vous, ou un membre de votre foyer, partagé ou envoyé des biens (paiement en nature) à une personne extérieure à votre foyer et résidant ailleurs au Niger (hors de votre village) ?</t>
  </si>
  <si>
    <t>work_prefer_d</t>
  </si>
  <si>
    <t>A cikin watanni shida da suka gabata, kai ko wani a cikin gidanku kun aika kaya (biya daga kaya) ga wanda ba ɗan gidanku ba kuma yana zaune a wani wuri a Nijar (wajen ƙauyenku)?</t>
  </si>
  <si>
    <t>Strongly prefer daughters stay and work the land</t>
  </si>
  <si>
    <t>Préfère fortement que les filles restent et travaillent la terre</t>
  </si>
  <si>
    <t>Ya fi so sosai ƴaƴa mata su zauna su yi aikin gona</t>
  </si>
  <si>
    <t>w_prices_note</t>
  </si>
  <si>
    <t>Now, we will ask you about prices of the following goods in the market in your home village (${locality_name}). Please respond with your best estimate.</t>
  </si>
  <si>
    <t>Nous allons maintenant vous interroger sur les prix des produits suivants sur le marché. Veuillez nous donner votre meilleure estimation.</t>
  </si>
  <si>
    <t>Yanzu, za mu tambaye ku game da farashin kayayyaki masu zuwa a kasuwa a ƙauyenku (${locality_name}). Da fatan za a amsa da mafi kyawun ƙimar ku.</t>
  </si>
  <si>
    <t>hoh_goods_send_niger_amt</t>
  </si>
  <si>
    <t>Somewhat prefer daughters stay and work the land</t>
  </si>
  <si>
    <t>Préfère un peu que les filles restent et travaillent la terre</t>
  </si>
  <si>
    <t>Ya ɗan fi son ƴaƴa mata su zauna su yi aikin gona</t>
  </si>
  <si>
    <t>365. What was the value of the goods members of your household sent to people elsewhere in Niger?</t>
  </si>
  <si>
    <t>365. Quel était la valeur au totale des biens que les membres de votre ménage ont envoyé aux personnes qui sont quelques part au Niger ?</t>
  </si>
  <si>
    <t>365. Nawa ne kimar kayan da ƴan gidanku suka aika wa mutane a wasu wurare a cikin Nijar?</t>
  </si>
  <si>
    <t>Indifferent between daughters staying and leaving</t>
  </si>
  <si>
    <t>Indifférent entre les filles qui restent travailler la terre et partent en ville</t>
  </si>
  <si>
    <t>w_mkt_items</t>
  </si>
  <si>
    <t>Items</t>
  </si>
  <si>
    <t>hoh_goods_send_niger_how</t>
  </si>
  <si>
    <t>366. How were these goods transmitted to the recipient?</t>
  </si>
  <si>
    <t>366. Comment ces biens ont-ils été envoyé au destinataire ?</t>
  </si>
  <si>
    <t>"Huile de cuisson (1 litre), Sugar (1 kg), Sorgo (1 tia), Millet (1 tia), Riz (1 kg), la viande de vache (1 kg)"</t>
  </si>
  <si>
    <t>366. Ta yaya aka aika waɗannan kayayyaki zuwa ga mai karɓa?</t>
  </si>
  <si>
    <t>Somewhat prefer daughters go to a city to find professional opportunities</t>
  </si>
  <si>
    <t>hoh_goods_send_niger_how_o</t>
  </si>
  <si>
    <t>367. Specify other transfer method</t>
  </si>
  <si>
    <t>367. Precisez la methode du transfert</t>
  </si>
  <si>
    <t>367. Wani daban a Bayyana</t>
  </si>
  <si>
    <t>w_mkt_cond</t>
  </si>
  <si>
    <t>Post-Coup Market Conditions</t>
  </si>
  <si>
    <t>Préfèrent un peu que les filles aillent en ville pour trouver des opportunités professionnelles</t>
  </si>
  <si>
    <t>Ya ɗan fi son ƴaƴa mata su je birni don neman sana'a</t>
  </si>
  <si>
    <t>hoh_remit_send_out</t>
  </si>
  <si>
    <t>368. In the past six months, have you or anyone in your household shared or sent money to someone who is not a member of your household and who lives in a foreign country (outside of Niger)?</t>
  </si>
  <si>
    <t>Au cours des six derniers mois, avez-vous, ou un membre de votre foyer, partagé ou envoyé de l'argent à une personne extérieure à votre foyer et résidant à l'étranger (hors du Niger) ?</t>
  </si>
  <si>
    <t>A cikin watanni shida da suka gabata, kai ko wani a cikin gidanku kun raba ko aika kudi ga wanda ba dan gidanku ba kuma yana zaune a wata kasa (wajen Nijar)?</t>
  </si>
  <si>
    <t>Strongly prefer daughters go to a city to find professional opportunities</t>
  </si>
  <si>
    <t>Préfère fortement que les filles aillent en ville pour trouver des opportunités professionnelles</t>
  </si>
  <si>
    <t>Ya fi so sosai ƴaƴa mata su je birni don neman sana'a</t>
  </si>
  <si>
    <t>hoh_remit_send_out_amt</t>
  </si>
  <si>
    <t>369. How much did your household send to people people out of Niger?</t>
  </si>
  <si>
    <t>w_mkt_cond_item</t>
  </si>
  <si>
    <t>369. Combien votre ménage a-t-il envoyé à d'autres personnes qui sont quelque part hors du Niger ?</t>
  </si>
  <si>
    <t>${w_item_name}</t>
  </si>
  <si>
    <t>369. Nawa gidanku ya aikawa wasu mutane da ke wani wuri ba a Nijar ba?</t>
  </si>
  <si>
    <t>hoh_remit_send_out_how</t>
  </si>
  <si>
    <t>370. How did you transmit the money to the recipient?</t>
  </si>
  <si>
    <t>370. Comment avez-vous transmis l'argent au destinataire ?</t>
  </si>
  <si>
    <t>370. Ta wace hanya kuka aika kuɗin ga mai karɓa?</t>
  </si>
  <si>
    <t>hoh_remit_send_out_how_o</t>
  </si>
  <si>
    <t>371. Specify other transfer method</t>
  </si>
  <si>
    <t>371. Precisez la methode du transfert</t>
  </si>
  <si>
    <t>371. Wani daban a Bayyana</t>
  </si>
  <si>
    <t>ethnicity</t>
  </si>
  <si>
    <t>w_item_name</t>
  </si>
  <si>
    <t>Arab</t>
  </si>
  <si>
    <t>hoh_goods_send_out</t>
  </si>
  <si>
    <t>Arabe</t>
  </si>
  <si>
    <t>372. In the past six months, have you or anyone in your household shared or sent goods (payment in kind) to someone who is not a member of your household and who lives in a foreign country (outside of Niger)?</t>
  </si>
  <si>
    <t>Au cours des six derniers mois, avez-vous, ou un membre de votre foyer, partagé ou envoyé des biens (paiement en nature) à une personne extérieure à votre foyer et résidant à l'étranger (hors du Niger) ?</t>
  </si>
  <si>
    <t>Balarabe</t>
  </si>
  <si>
    <t>A cikin watanni shida da suka gabata, kai ko wani a cikin gidanku kun aika kaya (biya daga kaya) ga wanda ba ɗan gidanku ba kuma yana zaune a wata ƙasa (a wajen Nijar)?</t>
  </si>
  <si>
    <t>item-at(',', ${w_mkt_items}, index()-1)</t>
  </si>
  <si>
    <t>hoh_goods_send_out_amt</t>
  </si>
  <si>
    <t>373. What was the value of the goods members of your household sent to people out of Niger?</t>
  </si>
  <si>
    <t>373. Quel était le valeur au total des biens que les membres de votre ménage ont envoyé aux personnes qui sont quelques part hors du Niger ?</t>
  </si>
  <si>
    <t>373. Nawa ne kimar kayan da ƴan gidanku suka aikawa wasu mutane da ke wani wuri ba a Nijar ba?</t>
  </si>
  <si>
    <t>Djerma/Songhai</t>
  </si>
  <si>
    <t>Ba zabarme/ba songaye</t>
  </si>
  <si>
    <t>w_item_price</t>
  </si>
  <si>
    <t>What is the price of ${w_item_name} today (in CFA)?</t>
  </si>
  <si>
    <t>Quel est le prix de ${w_item_name} aujourd'hui (en CFA)?</t>
  </si>
  <si>
    <t>Nawa ne farashin ${w_item_name} yau (a cikin CFA)?</t>
  </si>
  <si>
    <t>If don't know, enter -999</t>
  </si>
  <si>
    <t>Si la réponse est "Ne sait pas", saisissez -999</t>
  </si>
  <si>
    <t>. &gt; 0 or . = -999</t>
  </si>
  <si>
    <t>hoh_goods_send_out_how</t>
  </si>
  <si>
    <t>374. How were these goods transmitted to the recipient?</t>
  </si>
  <si>
    <t>374. Comment ces biens ont-ils été envoyé au destinataire ?</t>
  </si>
  <si>
    <t>374. Ta yaya aka aika waɗannan kayayyaki zuwa ga mai karɓa?</t>
  </si>
  <si>
    <t>Gourmantche</t>
  </si>
  <si>
    <t>hoh_goods_send_out_how_o</t>
  </si>
  <si>
    <t>375. Specify other transfer method</t>
  </si>
  <si>
    <t>375. Precisez la methode du transfert</t>
  </si>
  <si>
    <t>Ba gurme</t>
  </si>
  <si>
    <t>375. Wani daban a Bayyana</t>
  </si>
  <si>
    <t>select_multiple support</t>
  </si>
  <si>
    <t>hoh_receive_support</t>
  </si>
  <si>
    <t>376. In the past six months, have you received support from any of the following sources?</t>
  </si>
  <si>
    <t>Au cours des six derniers mois, avez-vous reçu une aide de l'une des sources suivantes ?</t>
  </si>
  <si>
    <t>A cikin watanni shida da suka gabata, kun sami tallafi daga ɗayan waɗannan kafofin?</t>
  </si>
  <si>
    <t>hoh_receive_support_amt</t>
  </si>
  <si>
    <t>377. How much did ou receive from all the sources combined?</t>
  </si>
  <si>
    <t>377. Combien avez-vous reçu de toutes les sources confondues ?</t>
  </si>
  <si>
    <t>377. Nawa kuka samu daga duk hanyoyin shiga gaba ɗayan su?</t>
  </si>
  <si>
    <t>Haoussa</t>
  </si>
  <si>
    <t>Ba haushe</t>
  </si>
  <si>
    <t>hoh_income_gifts</t>
  </si>
  <si>
    <t>378. In addition to the transfers we just discussed, what is the total value of income from charity or gifts your household has received &lt;b&gt;in the past six months&lt;/b&gt; in CFA?</t>
  </si>
  <si>
    <t>Outre les transferts que nous venons d'évoquer, quel est le montant total des revenus provenant d'œuvres caritatives ou de dons que votre ménage a reçus &lt;b&gt;au cours des six derniers mois&lt;/b&gt; en francs CFA ?</t>
  </si>
  <si>
    <t>Bancin aiken kuɗi da muka tattauna yanzu, nawa ne jimillar kuɗin da kuka samu na taimako ko kyaututtukan &lt;b&gt;a cikin watanni shida da suka gabata a CFA?</t>
  </si>
  <si>
    <t>Kanouri-Manga</t>
  </si>
  <si>
    <t>Kanouri/ Ba mange</t>
  </si>
  <si>
    <t>220. Enumerator: THANK THE RESPONDENT FOR HER COOPERATION AND REASSURE HER ABOUT THE CONFIDENTIALITY OF HER ANSWERS.</t>
  </si>
  <si>
    <t>220. Enquêteur : REMERCIER LA RÉPONDANTE POUR SA COOPÉRATION ET LA RASSURER SUR LA CONFIDENTIALITÉ DE SES RÉPONSES.</t>
  </si>
  <si>
    <t>220. Ɗan bincike: Ka gode wa mai bada amsa bisa haɗin kai da kuma ka tabbatar mata game da kiyaye SIRRIN HIRAR A KA YI DA ITA.</t>
  </si>
  <si>
    <t>speedcheck_hoh_remit_end</t>
  </si>
  <si>
    <t>Peul</t>
  </si>
  <si>
    <t>Ba fullace</t>
  </si>
  <si>
    <t>dur_hoh_remit</t>
  </si>
  <si>
    <t>407. I will now ask you about meals people in your household have consumed in the past 7 days.</t>
  </si>
  <si>
    <t>407. Je vais maintenant vous poser des questions sur les repas que les membres de votre ménage ont consommé au cours des 7 derniers jours.</t>
  </si>
  <si>
    <t>407. Yanzu zan tambaye ku bisa abincin da mutanen gidanku suka ci a cikin kwanaki 7 da suka wuce.</t>
  </si>
  <si>
    <t>Touareg</t>
  </si>
  <si>
    <t>Bouzou/Ba abzine</t>
  </si>
  <si>
    <t>Toubou</t>
  </si>
  <si>
    <t>Ba Tube</t>
  </si>
  <si>
    <t>speedcheck_hoh_homeimprove_start</t>
  </si>
  <si>
    <t>hoh_improve</t>
  </si>
  <si>
    <t>Improvements</t>
  </si>
  <si>
    <t>Améliorations</t>
  </si>
  <si>
    <t>Ingantawa</t>
  </si>
  <si>
    <t>400. Loan(s) you took</t>
  </si>
  <si>
    <t>400. Les prêt(s) que vous avez contracté</t>
  </si>
  <si>
    <t>400. Bashin da kuka ɗauka</t>
  </si>
  <si>
    <t>hoh_improve_home</t>
  </si>
  <si>
    <t>379. In the past six months did your household make a significant investment or improvement in the house you reside in?</t>
  </si>
  <si>
    <t>Au cours des six derniers mois, votre ménage a-t-il réalisé un investissement ou une amélioration significative dans la maison que vous occupez ?</t>
  </si>
  <si>
    <t>A cikin watanni shida da suka gabata, an yi wasu kashe kashen kuɗi don gyara gidan ku wanda kuke zaune a ciki?</t>
  </si>
  <si>
    <t>hoh_improve_add_rooms</t>
  </si>
  <si>
    <t>380. Build additional rooms</t>
  </si>
  <si>
    <t>380. Construire des chambres supplémentaires</t>
  </si>
  <si>
    <t>380. Ginin ƙarin ɗakuna</t>
  </si>
  <si>
    <t>vax</t>
  </si>
  <si>
    <t>Babu ko ɗaya</t>
  </si>
  <si>
    <t>hoh_improve_floors</t>
  </si>
  <si>
    <t>381. Improve floors</t>
  </si>
  <si>
    <t>381. Améliorer les sols</t>
  </si>
  <si>
    <t>381. Inganta filalayen gida</t>
  </si>
  <si>
    <t xml:space="preserve">${speedcheck_w_end} - ${speedcheck_w_start} </t>
  </si>
  <si>
    <t>hoh_improve_walls</t>
  </si>
  <si>
    <t>382. Improve walls</t>
  </si>
  <si>
    <t>382. Réfectionner les murs</t>
  </si>
  <si>
    <t>Yellow Fever</t>
  </si>
  <si>
    <t>382. gyara katangun gida</t>
  </si>
  <si>
    <t>Farar masara</t>
  </si>
  <si>
    <t>hoh_improve_roof</t>
  </si>
  <si>
    <t>383. Improve roof</t>
  </si>
  <si>
    <t>383. Réfectionner le toit</t>
  </si>
  <si>
    <t>383. gyara rufin gida</t>
  </si>
  <si>
    <t>Meningitis</t>
  </si>
  <si>
    <t>Sankarau</t>
  </si>
  <si>
    <t>hoh_improve_o</t>
  </si>
  <si>
    <t>384. Other improvement</t>
  </si>
  <si>
    <t>384. Autre amélioration</t>
  </si>
  <si>
    <t>384. Wasu gyare gyare daban</t>
  </si>
  <si>
    <t>COVID-19</t>
  </si>
  <si>
    <t>COVID 19</t>
  </si>
  <si>
    <t>CUTAR COVID 19</t>
  </si>
  <si>
    <t>402. Now I would like to ask you about any money that you and your family owe to other people; money you have borrowed from people outside your household.</t>
  </si>
  <si>
    <t>402. Maintenant, je voudrais vous poser des questions sur l'argent que vous et votre ménage devez à d'autres personnes ; l'argent que vous avez emprunté à des personnes extérieures à votre ménage.</t>
  </si>
  <si>
    <t>402. Yanzu ina son in tambaye ku game da duk wani kuɗin da ku da ƴan gidanku kuka ɗauko daga wajen wasu mutane; kuɗin da kuka aro daga mutane wanda ba ƴan gidanku ba.</t>
  </si>
  <si>
    <t>hoh_improve_other</t>
  </si>
  <si>
    <t>385. Specify other improvement (i.e. connect to electricity, build latrine)</t>
  </si>
  <si>
    <t>385. Précisez les autres améliorations (c.-à-d. connecter de l'électricité, construire des latrines)</t>
  </si>
  <si>
    <t>385. Baiyana wasu abubuwan ingantawa (kamar sa wutar lantarki, gina salga (masai ) )</t>
  </si>
  <si>
    <t>Polio</t>
  </si>
  <si>
    <t>Cutar shan inna</t>
  </si>
  <si>
    <t>hoh_improve_home_amt</t>
  </si>
  <si>
    <t>386. Approximately how much did all of these investments together cost in CFA?</t>
  </si>
  <si>
    <t>386. Combien ont coûté approximativement tous ces investissements (en CFA) ?</t>
  </si>
  <si>
    <t>386. Aƙalla nawa aka kashe akan waɗannan ayyukan a sefa?</t>
  </si>
  <si>
    <t>Tuberculosis</t>
  </si>
  <si>
    <t>Babban tari</t>
  </si>
  <si>
    <t>(${w_shm_home} = -999 or (${w_shm_home} = 0 and ${w_shm_home_2w} &lt; 1)) and (${w_pm_home} = -999 or (${w_pm_home} = 0 and ${w_pm_home_2w} &lt; 1))</t>
  </si>
  <si>
    <t>hoh_improve_business</t>
  </si>
  <si>
    <t>387. In the past six months did you make any investments in your non-agricultural business?</t>
  </si>
  <si>
    <t>Au cours des six derniers mois, avez-vous investi dans votre entreprise non agricole ?</t>
  </si>
  <si>
    <t>A cikin watanni shida da suka gabata kun saka wani jari a cikin kasuwancin ku wanda ba na noma ba?</t>
  </si>
  <si>
    <t>hoh_improve_business_o</t>
  </si>
  <si>
    <t>388. Specify the improvement to your business</t>
  </si>
  <si>
    <t>388. Précisez les investissements que vous avez fait dans votre entreprise</t>
  </si>
  <si>
    <t>388. Ku bayyana kuɗin da kuka kashe don haɓɓaka kasuwancin ku</t>
  </si>
  <si>
    <t>221. HoH Questions</t>
  </si>
  <si>
    <t>hoh_improve_land</t>
  </si>
  <si>
    <t>389. In the past six months did you make any investments to improve the productivity of your land?</t>
  </si>
  <si>
    <t>Au cours des six derniers mois, avez-vous investi pour améliorer la productivité de vos terres ?</t>
  </si>
  <si>
    <t>A cikin watanni shida da suka gabata kun yi wasu kashe kashen kuɗi don inganta samun amfani a gonakin ku?</t>
  </si>
  <si>
    <t>languages</t>
  </si>
  <si>
    <t>hoh_improve_land_other</t>
  </si>
  <si>
    <t>French</t>
  </si>
  <si>
    <t>390. Specify improvement to land</t>
  </si>
  <si>
    <t>Français</t>
  </si>
  <si>
    <t>390. Précisez les améliorations de votre terre que vous avez fait</t>
  </si>
  <si>
    <t>Faransanci</t>
  </si>
  <si>
    <t>390. Ku bayyana kuɗin da kuka kashe don haɓɓaka gonarku</t>
  </si>
  <si>
    <t>speedcheck_hoh_homeimprove_end</t>
  </si>
  <si>
    <t>419. How much did your household spend on ${hoh_item} in the past month (in CFA)?</t>
  </si>
  <si>
    <t>419. Combien votre ménage a-t-il dépensé pour ${hoh_item} au cours du dernier mois (en CFA) ?</t>
  </si>
  <si>
    <t>419. Nawa ne (a CFA) gidanku ya kashe akan ${hoh_item} cikin watan da ya gabata ?</t>
  </si>
  <si>
    <t>dur_hoh_homeimprove</t>
  </si>
  <si>
    <t>Arabic</t>
  </si>
  <si>
    <t>arabe</t>
  </si>
  <si>
    <t>Larabci</t>
  </si>
  <si>
    <t>speedcheck_hoh_savings_start</t>
  </si>
  <si>
    <t>420. Has your household spent money on the following types of expenses in the past week?</t>
  </si>
  <si>
    <t>420. Votre ménage a-t-il dépensé de l'argent pour les types de dépenses suivants au cours de la semaine dernière ?</t>
  </si>
  <si>
    <t>420. Ko gidanku sun kashe kuɗi akan ire iren waɗannan abubuwan a cikin satin da ya gabata?</t>
  </si>
  <si>
    <t>hoh_use_money_note</t>
  </si>
  <si>
    <t>391. Now I will ask you about different ways your household may use money that you earn.</t>
  </si>
  <si>
    <t>391. Je vais maintenant vous poser des questions sur les différentes façons dont votre ménage peut utiliser l'argent que vous gagnez.</t>
  </si>
  <si>
    <t>Haussa</t>
  </si>
  <si>
    <t>391. Yanzu zan yi muku tambayoyi game hanyoyi daban-daban da gidanku ke iya amfani da su don kashe kuɗin da yake samu.</t>
  </si>
  <si>
    <t>Hausa</t>
  </si>
  <si>
    <t>Songhai</t>
  </si>
  <si>
    <t>Songhaï</t>
  </si>
  <si>
    <t>Songhai/ zabarmanci</t>
  </si>
  <si>
    <t>hoh_savings_type</t>
  </si>
  <si>
    <t>392. Does your household currently have any savings that you keep in any of the following ways?</t>
  </si>
  <si>
    <t>392. Votre ménage dispose-t-il actuellement d'économies que vous conservez de l'une des manières suivantes ?</t>
  </si>
  <si>
    <t>392. Ko a halin yanzu gidanku na da ajiyar kuɗi daga ɗaya a cikin wanɗannan dubaru?</t>
  </si>
  <si>
    <t>Tamasheq</t>
  </si>
  <si>
    <t>Buzanci</t>
  </si>
  <si>
    <t>hoh_savings_type_o</t>
  </si>
  <si>
    <t>pulldata('baseline_ids_el', 'hhmembers', 'hh_id', ${hh_id})</t>
  </si>
  <si>
    <t>393. Specify other:</t>
  </si>
  <si>
    <t>393. Autre a préciser :</t>
  </si>
  <si>
    <t>393. Baiyana wani abu daban:</t>
  </si>
  <si>
    <t>Fulfulde</t>
  </si>
  <si>
    <t>Hillanci/Fulatanci</t>
  </si>
  <si>
    <t>hoh_savings_amt</t>
  </si>
  <si>
    <t>412. In the last 7 days, have adults cut the size of meals or skipped meals?</t>
  </si>
  <si>
    <t>412. Au cours des 7 derniers jours, les adultes ont-ils réduit la taille de leur repas ou les ont-ils sauté?</t>
  </si>
  <si>
    <t>412. A cikin kwanaki 7 na ƙarshe, ko manyan gidanku sun rage yawan abincin da suka saba ci ko sun tsallake shi?</t>
  </si>
  <si>
    <t>hoh_savings_code</t>
  </si>
  <si>
    <t>Kanuri</t>
  </si>
  <si>
    <t>Kanuri /Barbarci</t>
  </si>
  <si>
    <t>413. How many days?</t>
  </si>
  <si>
    <t>413. Pendant combien de jours?</t>
  </si>
  <si>
    <t>413. Tsawon kwanaki nawa?</t>
  </si>
  <si>
    <t>hoh_savings_name</t>
  </si>
  <si>
    <t>Sunan irin tanadi</t>
  </si>
  <si>
    <t>${hhmembers}</t>
  </si>
  <si>
    <t>414. In the past week how many days have adults in your household consumed animal protein (including fish, meat, poultry)?</t>
  </si>
  <si>
    <t>414. Au cours des 7 derniers jours, combien de fois les adultes de votre ménage ont-ils consommé des protéines animales (y compris poisson, viande, volaille) ?</t>
  </si>
  <si>
    <t>414. A cikin kwanaki 7 da suka wuce sau nawa manyan gidanku suka ci abinci masu gina jiki kamar su kifi ko nama ko kaji?</t>
  </si>
  <si>
    <t>Gourmanchema</t>
  </si>
  <si>
    <t>hoh_savings_type_amt</t>
  </si>
  <si>
    <t>Gourmanci</t>
  </si>
  <si>
    <t>394. Please share with us your best estimate of the value in CFA ${hoh_savings_name}</t>
  </si>
  <si>
    <t>394. Veuillez nous dire votre meilleure estimation de la valeur en CFA ${hoh_savings_name}</t>
  </si>
  <si>
    <t>394. Da fatan zaku baiyana mini yawan kuɗin a tsammaninku ${hoh_savings_name} a CFA</t>
  </si>
  <si>
    <t>Tebu</t>
  </si>
  <si>
    <t>Tubanci</t>
  </si>
  <si>
    <t>hoh_savings_interest</t>
  </si>
  <si>
    <t>395. Do you earn interest on this money ${hoh_savings_name}?</t>
  </si>
  <si>
    <t>395. Gagnez-vous des intérêts sur cet argent ${hoh_savings_name} ?</t>
  </si>
  <si>
    <t>395. Kuna samun kudin ruwa akan wannan kuɗin ${hoh_savings_name}?</t>
  </si>
  <si>
    <t>English</t>
  </si>
  <si>
    <t>Anglais</t>
  </si>
  <si>
    <t>Turanci</t>
  </si>
  <si>
    <t xml:space="preserve">                          </t>
  </si>
  <si>
    <t>Dioula</t>
  </si>
  <si>
    <t>pulldata('baseline_ids_el', concat('hhname', ${hoh_hhmem_index}), 'hh_id', ${hh_id})</t>
  </si>
  <si>
    <t>speedcheck_hoh_savings_end</t>
  </si>
  <si>
    <t>Bambara</t>
  </si>
  <si>
    <t>dur_hoh_savings</t>
  </si>
  <si>
    <t>Bamiléké</t>
  </si>
  <si>
    <t>hoh_savings_total</t>
  </si>
  <si>
    <t>pulldata('baseline_ids_el', concat('hhage', ${hoh_hhmem_index}), 'hh_id', ${hh_id})</t>
  </si>
  <si>
    <t>426. Poultry</t>
  </si>
  <si>
    <t>426. Volaille</t>
  </si>
  <si>
    <t>426. Kaji</t>
  </si>
  <si>
    <t>hoh_savings_confirm</t>
  </si>
  <si>
    <t>396. Total savings: ${hoh_savings_total}: Does this look correct?</t>
  </si>
  <si>
    <t>Chinese</t>
  </si>
  <si>
    <t>396. Économies totales : ${hoh_savings_total} : cela vous semble correct ?</t>
  </si>
  <si>
    <t>Chinois</t>
  </si>
  <si>
    <t>396. Jimillar ajiya: ${hoh_savings_total}: kuna ganin ​​wannan yayi daidai?</t>
  </si>
  <si>
    <t>Canis</t>
  </si>
  <si>
    <t>pulldata('baseline_ids_el', concat('hhsex', ${hoh_hhmem_index}), 'hh_id', ${hh_id})</t>
  </si>
  <si>
    <t>hoh_emergency</t>
  </si>
  <si>
    <t>397. During ${period}, was your household negatively affected by any of the following types of events?</t>
  </si>
  <si>
    <t>397. Au cours de ${period_french}, votre ménage a-t-il été affecté négativement par l'un des types d'événements suivants ?</t>
  </si>
  <si>
    <t>397. A lokacin ${period_hausa}, ko gidanku ya fuskanci wani daga cikin matsaloli nan masu zuwa? Zaɓi duk abin da ya dace</t>
  </si>
  <si>
    <t>hoh_emergency_o</t>
  </si>
  <si>
    <t>398. Please briefly describe the event(s) that negatveily affected your household</t>
  </si>
  <si>
    <t>398. Veuillez décrire brièvement le/les événement(s) qui ont eu des effets négatifs sur votre ménage au cours des 3 derniers mois</t>
  </si>
  <si>
    <t>398. Da fatan za ku yi taƙaitaccen bayani a kan abin da ya shafi gidan ku</t>
  </si>
  <si>
    <t>concat(${hoh_hhmem_name}, ' (age: ', ${hoh_hhmem_age}, ', sex: ', ${hoh_hhmem_sex}, ')')</t>
  </si>
  <si>
    <t>transmit</t>
  </si>
  <si>
    <t>speedcheck_hoh_emerg_start</t>
  </si>
  <si>
    <t>hoh_emerg_resp</t>
  </si>
  <si>
    <t>hoh_emergency_name</t>
  </si>
  <si>
    <t>hoh_emerg_yes</t>
  </si>
  <si>
    <t>421. How much did your household spend on ${hoh_item} in the past month (in CFA)?</t>
  </si>
  <si>
    <t>421. Combien votre ménage a-t-il dépensé pour ${hoh_item} au cours du dernier mois (en CFA) ?</t>
  </si>
  <si>
    <t>421. Nawa ne (a CFA) gidanku ya kashe akan ${hoh_item} cikin watan da ya gabata ?</t>
  </si>
  <si>
    <t>hoh_emerg_note</t>
  </si>
  <si>
    <t>399. In response to ${hoh_emergency_name}, did you or your household take the following actions?</t>
  </si>
  <si>
    <t>399. En réponse à ${hoh_emergency_name}, avez-vous vous ou votre ménage pris les mesures suivantes ??</t>
  </si>
  <si>
    <t>399. Dangance da ${hoh_emergency_name}, ku ko ƴan gindanku kun ɗauki waɗannan matakai?</t>
  </si>
  <si>
    <t>Ta hanyar wayar hannu</t>
  </si>
  <si>
    <t>join(linebreak(), ${hoh_hhmem})</t>
  </si>
  <si>
    <t>hoh_emerg_sell</t>
  </si>
  <si>
    <t>400. Sell assets?</t>
  </si>
  <si>
    <t>400. Vendre des actifs</t>
  </si>
  <si>
    <t>400. Saida kadarori</t>
  </si>
  <si>
    <t>hoh_emerg_borrow</t>
  </si>
  <si>
    <t>401. Borrow money?</t>
  </si>
  <si>
    <t>401. Emprunter de l'argent</t>
  </si>
  <si>
    <t>401. Bashin kuɗi</t>
  </si>
  <si>
    <t>hoh_emerg_spend</t>
  </si>
  <si>
    <t>402. Spend your savings?</t>
  </si>
  <si>
    <t>402. Utiliser votre épargne</t>
  </si>
  <si>
    <t>402. Kashe kuɗin ajiyar ku</t>
  </si>
  <si>
    <t>hoh_emerg_consume</t>
  </si>
  <si>
    <t>403. Reduce spending on food or change your food consumption?</t>
  </si>
  <si>
    <t>403. Réduire les dépenses alimentaires ou changé des habitudes de consommation ?</t>
  </si>
  <si>
    <t>403. Rage kashe kuɗi akan abinci ko canza abincin?</t>
  </si>
  <si>
    <t>222. A household is a group of people, related or unrelated, who live together in the same housing, pool their resources together, share their meals and recognize the authority of the same one person who is the head of household.</t>
  </si>
  <si>
    <t>222. Un ménage est l’ensemble des personnes apparentées ou non qui vivent habituellement dans un même logement, mettent en commun leurs ressources, partagent leurs repas, et reconnaissent l’autorité d’une seule et même personne appelée chef de ménage.</t>
  </si>
  <si>
    <t>222. Gida shine mutanen da ko dangi ko a'a wanda suke rayuwa cikin gida guda, sun sa dukiyar su tare, suna cin abinci tare, kuma sun yarda da shugabancin mutum ɗaya wanda a ke ce ma mai gida.</t>
  </si>
  <si>
    <t>428. What is the phone number where we can reach you?</t>
  </si>
  <si>
    <t>428. Quel est le numéro de téléphone auquel nous pouvons vous joindre?</t>
  </si>
  <si>
    <t>428. Wace lambar waya ce zamu iya samun ku da ita?</t>
  </si>
  <si>
    <t>hoh_emerg_amt</t>
  </si>
  <si>
    <t>429. I am going to read back the phone number you just shared with me. Can you confirm this is your primary phone number? ${primary_phone}</t>
  </si>
  <si>
    <t>429. Je vais relire le numéro de téléphone que vous venez de me donner. Pouvez-vous confirmer qu'il s'agit de votre numéro de téléphone principal ? ${primary_phone}</t>
  </si>
  <si>
    <t>429. Zan sake karanta lambar wayar da kuka bani. Zaku iya tabbatar mini da wannan itace lambar wayarku ta farko? ${primary_phone}</t>
  </si>
  <si>
    <t>hoh_emerg_note2</t>
  </si>
  <si>
    <t>404. For ${hoh_emergency_name}
 What was the value of the following in CFA?</t>
  </si>
  <si>
    <t>404. Par rapport à ${hoh_emergency_name}
 Quelle était la valeur des éléments suivantes en CFA?</t>
  </si>
  <si>
    <t>404. Game da ${hoh_emergency_name}
 Nawa ne kimar waɗannan abubuwan a kuɗin CFA?</t>
  </si>
  <si>
    <t>223. Are there new members in the household since we last spoke to you? For reference, these are the members you mentioned:
 ${hoh_roster_list}</t>
  </si>
  <si>
    <t>223. Y a-t-il de nouveaux membres dans le foyer depuis notre dernière conversation ? Pour référence, voici les membres que vous avez mentionnés : 
 ${hoh_roster_list}</t>
  </si>
  <si>
    <t>223. Shin akwai sabbin membobi a gidan tun da muka yi magana da ku a ƙarshe? Don tunani, waɗannan su ne membobin da ka ambata: 
 ${hoh_roster_list}</t>
  </si>
  <si>
    <t>On dit que la personne n'est plus un membre du menage s'il ne fait plus parti du menage et il n'a pas l'intention d'y revenir. On considere un membre qui est parti en exode avec l'intention d'y revenir comme membre du menage.</t>
  </si>
  <si>
    <t>Sai ace mutum ba dan gidan ba ne idan ba ya cikin gidan kuma ba yada niyyar komawa. Dan gida wanda ya fita zuwa bida da niyyar komawa ana ɗaukarshi ɗan gidan.</t>
  </si>
  <si>
    <t>changes</t>
  </si>
  <si>
    <t>No change</t>
  </si>
  <si>
    <t>Pas de changement</t>
  </si>
  <si>
    <t>Babu canji</t>
  </si>
  <si>
    <t>hoh_emerg_sell_amt</t>
  </si>
  <si>
    <t>405. Assets you sold</t>
  </si>
  <si>
    <t>405. Les actifs que vous avez vendus</t>
  </si>
  <si>
    <t>405. Kadarorin da kuka saida</t>
  </si>
  <si>
    <t>hoh_emerg_borrow_amt</t>
  </si>
  <si>
    <t>406. Loan(s) you took</t>
  </si>
  <si>
    <t>406. Les prêt(s) que vous avez contracté</t>
  </si>
  <si>
    <t>406. Bashin da kuka ɗauka</t>
  </si>
  <si>
    <t>Respondent got married</t>
  </si>
  <si>
    <t>Le répondant s'est marié</t>
  </si>
  <si>
    <t>224. How many?</t>
  </si>
  <si>
    <t>Mai bada amsa yana da aure</t>
  </si>
  <si>
    <t>224. Combien?</t>
  </si>
  <si>
    <t>224. Nawa?</t>
  </si>
  <si>
    <t>hoh_emerg_spend_amt</t>
  </si>
  <si>
    <t>407. Savings you spent?</t>
  </si>
  <si>
    <t>407. L'épargne que vous avez utilisé</t>
  </si>
  <si>
    <t>407. Ajiyar da kuka kashe</t>
  </si>
  <si>
    <t>Please enter a number greater than 0!</t>
  </si>
  <si>
    <t>${hoh_new_hh_mems} = 1</t>
  </si>
  <si>
    <t>Respondent divorced</t>
  </si>
  <si>
    <t>Le répondant a divorcé</t>
  </si>
  <si>
    <t>Mai bada amsa gobro ne</t>
  </si>
  <si>
    <t>428. Poultry</t>
  </si>
  <si>
    <t>428. Volaille</t>
  </si>
  <si>
    <t>428. Kaji</t>
  </si>
  <si>
    <t>435. Please tell me the phone number you use for Whatsapp</t>
  </si>
  <si>
    <t>435. Veuillez me dire le numéro de téléphone que vous utilisez pour Whatsapp</t>
  </si>
  <si>
    <t>435. Don Allah ku gaya mini lambar wayar da kuke amfani da ita don yin Whatsapp</t>
  </si>
  <si>
    <t>speedcheck_hoh_emerg_end</t>
  </si>
  <si>
    <t>Respondent had new baby (self or spouse)</t>
  </si>
  <si>
    <t>La répondante a eu un nouveau bébé (elle-même ou son conjoint)</t>
  </si>
  <si>
    <t>Mai bada amsa tanada jariri ita da kanta ko kishiyarta</t>
  </si>
  <si>
    <t>436. I am going read back the phone number you just shared with me as your Whatsapp number. Is this the phone number you use for whatsapp? ${phone_whatsapp_number}</t>
  </si>
  <si>
    <t>436. Je vais relire le numéro de téléphone que vous nous avez donné comme votre numéro Whatsapp. Est-ce le numéro de téléphone que vous utilisez pour WhatsApp ? ${phone_whatsapp_number}</t>
  </si>
  <si>
    <t>436. Zan sake karanta lambar wayar da kuka bani a zaman lambar Whatsapp dinku. Wannan shine lambar wayar da kuke amfani da ita don yin whatsapp? ${phone_whatsapp_number}</t>
  </si>
  <si>
    <t>dur_hoh_emerg</t>
  </si>
  <si>
    <t>437. Please go back and correct the number.</t>
  </si>
  <si>
    <t>437. Veuillez revenir en arrière pour corriger le numéro.</t>
  </si>
  <si>
    <t>437. Da fatan za ka koma baya ka gyara lambar.</t>
  </si>
  <si>
    <t>speedcheck_hoh_credit_start</t>
  </si>
  <si>
    <t>${hoh_new_hh_mems_num}</t>
  </si>
  <si>
    <t>Death of respondent's child</t>
  </si>
  <si>
    <t>Décès de l'enfant du répondant</t>
  </si>
  <si>
    <t>Mutuwar ɗan mai bada amsa</t>
  </si>
  <si>
    <t>438. Do you have other phone numbers that you use regularly (i.e. other phone carriers)?</t>
  </si>
  <si>
    <t>438. Avez-vous d'autres numéros de téléphone que vous utilisez régulièrement (c'est-à-dire d'autres opérateurs téléphoniques) ?</t>
  </si>
  <si>
    <t>438. Ko kuna da wasu lambobin waya waɗanda kuke amfani da su kai-akai (layin wasu gidan wayar salula)?</t>
  </si>
  <si>
    <t>hoh_owe_note</t>
  </si>
  <si>
    <t>408. Now I would like to ask you about any money that you and your family owe to other people; money you have borrowed from people outside your household.</t>
  </si>
  <si>
    <t>408. Maintenant, je voudrais vous poser des questions sur l'argent que vous et votre ménage devez à d'autres personnes ; l'argent que vous avez emprunté à des personnes extérieures à votre ménage.</t>
  </si>
  <si>
    <t>408. Yanzu ina son in tambaye ku game da duk wani kuɗin da ku da ƴan gidanku kuka ɗauko daga wajen wasu mutane; kuɗin da kuka aro daga mutane wanda ba ƴan gidanku ba.</t>
  </si>
  <si>
    <t>Death of household head</t>
  </si>
  <si>
    <t>Décès du chef de famille</t>
  </si>
  <si>
    <t>Mutuwar maigida</t>
  </si>
  <si>
    <t>hoh_credit_refuse</t>
  </si>
  <si>
    <t>409. In the last six months did you or a member of your household try to secure a loan from any source but were refused?</t>
  </si>
  <si>
    <t>Au cours des six derniers mois, vous ou un membre de votre ménage avez-vous tenté d'obtenir un prêt, quelle qu'en soit la source, mais votre demande a été refusée ?</t>
  </si>
  <si>
    <t>A cikin watanni shida da suka gabata kai ko wani dan gidan ku kun yi ƙoƙarin samun bashi daga kowace hanya amma an ƙi a baku ?</t>
  </si>
  <si>
    <t>Death of other household member</t>
  </si>
  <si>
    <t>Décès d'un autre membre du ménage</t>
  </si>
  <si>
    <t>Mutuwar wani ɗan gida</t>
  </si>
  <si>
    <t>hoh_credit_refuse_amt</t>
  </si>
  <si>
    <t>410. What was the value of the loan in CFA?</t>
  </si>
  <si>
    <t>410. Quelle était la valeur du prêt en CFA?</t>
  </si>
  <si>
    <t>410. Nawa ne yawan kuɗin bashin a sefa?</t>
  </si>
  <si>
    <t>Loss of land/housing</t>
  </si>
  <si>
    <t>Perte de terrain/logement</t>
  </si>
  <si>
    <t>Badda gonaki/gidaje</t>
  </si>
  <si>
    <t>concat("new member ", ${hoh_hhindex})</t>
  </si>
  <si>
    <t>hoh_borrow_total</t>
  </si>
  <si>
    <t>411. Think about all the people you or members of your household owe money, including recent loans, what is the total value your household owes (in CFA)?</t>
  </si>
  <si>
    <t>411. Pensez à toutes les personnes que vous ou les membres de votre ménage devez de l'argent, y compris les prêts récents, quelle est la valeur totale que votre ménage doit (en CFA) ?</t>
  </si>
  <si>
    <t>411. Ku tuna da duk mutanen da ke bin da ƴan gidanku kuɗi, dukan basussuka sabi da tsohi, nawa jimillar kuɗin a ke bin gidanku (a kuɗin sefa CFA)?</t>
  </si>
  <si>
    <t>hoh_borrow_ppm</t>
  </si>
  <si>
    <t>674. Do you know if a loan was given to your household by a household that participated in the TSARI training program?</t>
  </si>
  <si>
    <t>Savez-vous si un prêt a été accordé à votre ménage par un ménage ayant participé au programme de formation TSARI ?</t>
  </si>
  <si>
    <t>Shin ko kun san ko gidan ku ya karɓi bashi daga wani gida da ke cikin shirin TSARI ?</t>
  </si>
  <si>
    <t>concat("nouveau membre ", ${hoh_hhindex})</t>
  </si>
  <si>
    <t>hoh_transfer_village</t>
  </si>
  <si>
    <t>675. In the past six months, have you or anyone in your household received money or goods from someone who is not a member of your household and lives in your village in Niger?</t>
  </si>
  <si>
    <t>Au cours des six derniers mois, vous ou un membre de votre ménage avez-vous reçu de l'argent ou des biens d'une personne extérieure à votre ménage et vivant dans votre village au Niger ?</t>
  </si>
  <si>
    <t>A cikin watanni shida da suka gabata, kai ko wani a cikin gidan ku kun karbi kudi ko kaya daga wani wanda ba ɗan gidanku ba ne kuma yana zaune a kauyenku a Nijar?</t>
  </si>
  <si>
    <t>hoh_transfer_village_ppm</t>
  </si>
  <si>
    <t>fail_reason</t>
  </si>
  <si>
    <t>676. Do you know if the person who gave your hosuehold money was from a household that participated in the TSARI training program?</t>
  </si>
  <si>
    <t>Savez-vous si la personne qui a donné de l'argent à votre ménage était issue d'un ménage ayant participé au programme de formation TSARI ?</t>
  </si>
  <si>
    <t>Insufficient funds</t>
  </si>
  <si>
    <t>Shin kun san ko mutumin da ya bada kuɗin ga gidan ku ko ya fito daga gidajen da suka shiga cikin shirin horon TSARI ne?</t>
  </si>
  <si>
    <t>Fonds insuffisants</t>
  </si>
  <si>
    <t>Rashin isassun kudade</t>
  </si>
  <si>
    <t>concat("sabon memba ", ${hoh_hhindex})</t>
  </si>
  <si>
    <t>speedcheck_hoh_credit_end</t>
  </si>
  <si>
    <t>443. What is the first name of this person</t>
  </si>
  <si>
    <t>443. Quel est le prénom de cette personne</t>
  </si>
  <si>
    <t>Needed to stay home to help household (e.g., on farm)</t>
  </si>
  <si>
    <t>443. Menene sunan wannan mutumen?</t>
  </si>
  <si>
    <t>Nécessité de rester à la maison pour aider le ménage (par exemple, à la ferme)</t>
  </si>
  <si>
    <t>dur_hoh_credit</t>
  </si>
  <si>
    <t>Ana buƙatar zama a gida don taimakawa gida (misali, a gona)</t>
  </si>
  <si>
    <t>speedcheck_hoh_foodinsec_start</t>
  </si>
  <si>
    <t>hoh_meals_note</t>
  </si>
  <si>
    <t>415. I will now ask you about meals people in your household have consumed in the past 7 days.</t>
  </si>
  <si>
    <t>Insecurity/decided it was not safe to migrate</t>
  </si>
  <si>
    <t>415. Je vais maintenant vous poser des questions sur les repas que les membres de votre ménage ont consommé au cours des 7 derniers jours.</t>
  </si>
  <si>
    <t>Insécurité/décide qu'il n'était pas garanti de voyager</t>
  </si>
  <si>
    <t>415. Yanzu zan tambaye ku bisa abincin da mutanen gidanku suka ci a cikin kwanaki 7 da suka wuce.</t>
  </si>
  <si>
    <t>Rashin tsaro/yanke shawarar bai kamata ya tafi nema ba</t>
  </si>
  <si>
    <t>225. What is the last name of ${hoh_hhtext}?</t>
  </si>
  <si>
    <t>225. Quel est le nom de ${hoh_hhtextfrench} ?</t>
  </si>
  <si>
    <t>225. Menene sunan uban ${hoh_hhtexthausa}?</t>
  </si>
  <si>
    <t>hoh_adults_skip_days</t>
  </si>
  <si>
    <t>416. In the last 7 days, have adults gone a whole day without meals?</t>
  </si>
  <si>
    <t>416. Au cours des 7 derniers jours, des adultes sont-ils restés une journée entière sans manger de repas ?</t>
  </si>
  <si>
    <t>Too much concern about finding a job or housing in destination</t>
  </si>
  <si>
    <t>416. A cikin kwanaki 7 da suka wuce, ko manya gidanku sun zauna tsawon wuni guda basu ci abinci ba?</t>
  </si>
  <si>
    <t>Trop d'inquiétudes pour trouver un emploi ou un logement dans la destination</t>
  </si>
  <si>
    <t>Damuwa da yawa game da tabbacin samun aiki ko matsuguni a inda za'a je</t>
  </si>
  <si>
    <t>hoh_adults_skip_days_num</t>
  </si>
  <si>
    <t>417. How many days?</t>
  </si>
  <si>
    <t>417. Pendant combien de jours?</t>
  </si>
  <si>
    <t>417. 151a Tsawon kwanaki nawa?</t>
  </si>
  <si>
    <t>Sickness</t>
  </si>
  <si>
    <t>Maladie</t>
  </si>
  <si>
    <t>Rashin lafiya</t>
  </si>
  <si>
    <t>226. What is the first name of ${hoh_hhtext}?</t>
  </si>
  <si>
    <t>226. Quel est le prenom de cette personne ${hoh_hhtextfrench} ?</t>
  </si>
  <si>
    <t>226. Menene sunan ${hoh_hhtexthausa}?</t>
  </si>
  <si>
    <t>hoh_adults_skip_meals</t>
  </si>
  <si>
    <t>418. In the last 7 days, have adults cut the size of meals or skipped meals?</t>
  </si>
  <si>
    <t>418. Au cours des 7 derniers jours, les adultes ont-ils réduit la taille de leur repas ou les ont-ils sauté?</t>
  </si>
  <si>
    <t>418. A cikin kwanaki 7 na ƙarshe, ko manyan gidanku sun rage yawan abincin da suka saba ci ko sun tsallake shi?</t>
  </si>
  <si>
    <t>hoh_adults_skip_meal_num</t>
  </si>
  <si>
    <t>419. How many days?</t>
  </si>
  <si>
    <t>419. Pendant combien de jours?</t>
  </si>
  <si>
    <t>419. Tsawon kwanaki nawa?</t>
  </si>
  <si>
    <t>Decided to stay home for studies/training</t>
  </si>
  <si>
    <t>A décidé de rester à la maison pour des études/une formation</t>
  </si>
  <si>
    <t>Yanke shawarar zama a gida don karatu / horo</t>
  </si>
  <si>
    <t>hoh_adult_protein</t>
  </si>
  <si>
    <t>420. In the past week how many days have adults in your household consumed animal protein (including fish, meat, poultry)?</t>
  </si>
  <si>
    <t>420. Au cours des 7 derniers jours, combien de fois les adultes de votre ménage ont-ils consommé des protéines animales (y compris poisson, viande, volaille) ?</t>
  </si>
  <si>
    <t>420. A cikin kwanaki 7 da suka wuce sau nawa manyan gidanku suka ci abinci masu gina jiki kamar su kifi ko nama ko kaji?</t>
  </si>
  <si>
    <t>Parents/household refused permission</t>
  </si>
  <si>
    <t>Les parents/le ménage ont refusé l'autorisation</t>
  </si>
  <si>
    <t>Iyaye/masu gida sun ƙi bada izini</t>
  </si>
  <si>
    <t>hoh_child_skip_days</t>
  </si>
  <si>
    <t>421. In the last 7 days, have children (&lt;14) gone a whole day without meals?</t>
  </si>
  <si>
    <t>421. Au cours des 7 derniers jours, des enfants (&lt;14) ont-ils passé une journée entière sans manger de repas ?</t>
  </si>
  <si>
    <t>421. A cikin kwanaki 7 na ƙarshe, ko yara ƴan ƙasa da shekara goma sha huɗu sun zauna tsawon wuni guda ba su ci da abinci ba?</t>
  </si>
  <si>
    <t>hoh_child_skip_days_num</t>
  </si>
  <si>
    <t>422. How many days?</t>
  </si>
  <si>
    <t>422. Pendant combien de jours?</t>
  </si>
  <si>
    <t>422. 154a Tsawon kwanaki nawa?</t>
  </si>
  <si>
    <t>hoh_child_skip_meals</t>
  </si>
  <si>
    <t>423. In the last 7 days, have children (&lt;14) cut the size of meals or skipped meals?</t>
  </si>
  <si>
    <t>423. Au cours des 7 derniers jours, des enfants (&lt;14) ont-ils réduit la taille de leurs repas ou les ont-ils sauté?</t>
  </si>
  <si>
    <t>concat(${hoh_new_mem_name_first}, ' ', ${hoh_new_mem_name_last})</t>
  </si>
  <si>
    <t>423. A cikin kwanaki 7 na ƙarshe, suna da yara (&lt;14) sun rage yawan abinci ko sun rasa gaba ɗaya?</t>
  </si>
  <si>
    <t>Ne sait pas</t>
  </si>
  <si>
    <t>hoh_child_skip_meals_num</t>
  </si>
  <si>
    <t>424. How many days?</t>
  </si>
  <si>
    <t>424. Pendant combien de jours?</t>
  </si>
  <si>
    <t>424. 155a Tsawon kwanaki nawa?</t>
  </si>
  <si>
    <t>227. What is ${hoh_new_mem_name}'s relationship to you, the household head?</t>
  </si>
  <si>
    <t>227. Quelle est la relation entre ${hoh_new_mem_name} et vous, le chef de ménage ?</t>
  </si>
  <si>
    <t>227. Menene alaƙa tsakanin ${hoh_new_mem_name} da, mai gida?</t>
  </si>
  <si>
    <t>enquêteur : ne pas lire les options, code basé sur la réponse</t>
  </si>
  <si>
    <t>hoh_child_protein</t>
  </si>
  <si>
    <t>425. In the past week how many days have children in your household consumed animal protein (inlcuding fish, meat, poultry)?</t>
  </si>
  <si>
    <t>425. Au cours des 7 derniers jours, combien de fois les enfants de votre ménage ont-ils consommé des protéines animales (y compris poisson, viande, volaille) ?</t>
  </si>
  <si>
    <t>425. A cikin kwanaki 7 da suka gabata sau nawa yara a cikin gidanku suka ci abinci masu gina jiki kamar su kifi, nama, kaji ?</t>
  </si>
  <si>
    <t>speedcheck_hoh_foodinsec_end</t>
  </si>
  <si>
    <t>opinion_important</t>
  </si>
  <si>
    <t>440. Do you have other phone numbers that you use regularly (i.e. other phone carriers)?</t>
  </si>
  <si>
    <t>440. Avez-vous d'autres numéros de téléphone que vous utilisez régulièrement (c'est-à-dire d'autres opérateurs téléphoniques) ?</t>
  </si>
  <si>
    <t>Doesn't matter at all</t>
  </si>
  <si>
    <t>440. Ko kuna da wasu lambobin waya waɗanda kuke amfani da su kai-akai (layin wasu gidan wayar salula)?</t>
  </si>
  <si>
    <t>Pas du tout important</t>
  </si>
  <si>
    <t>Babu muhimmanci ko kadan</t>
  </si>
  <si>
    <t>dur_hoh_foodinsec</t>
  </si>
  <si>
    <t>228. What is ${hoh_new_mem_name}'s sex?</t>
  </si>
  <si>
    <t>228. Quel est le sexe de ${hoh_new_mem_name} ?</t>
  </si>
  <si>
    <t>228. Menene jinsin ${hoh_new_mem_name}?</t>
  </si>
  <si>
    <t>441. How many other additional phone numbers?</t>
  </si>
  <si>
    <t>441. Y-a t-il d'autres numéros de téléphone supplémentaires ?</t>
  </si>
  <si>
    <t>441. 220 a. Ko akwai ƙarin wasu lambobin waya?</t>
  </si>
  <si>
    <t>454. What is ${secondary_name2}'s relationship to you?</t>
  </si>
  <si>
    <t>454. Quelle est la relation entre ${secondary_name2} et vous ?</t>
  </si>
  <si>
    <t>454. Menene alaƙar ku da ${secondary_name2} ?</t>
  </si>
  <si>
    <t>hoh_consumption</t>
  </si>
  <si>
    <t>matters somewhat</t>
  </si>
  <si>
    <t>Assez important</t>
  </si>
  <si>
    <t>Da muhimmanci kadan</t>
  </si>
  <si>
    <t>442. What are these additional phone numbers?</t>
  </si>
  <si>
    <t>442. Quels sont les numéros de téléphone supplémentaires ?</t>
  </si>
  <si>
    <t>442. Waɗannene ƙarin lambobin wayan?</t>
  </si>
  <si>
    <t>229. What is ${hoh_new_mem_name}'s age?</t>
  </si>
  <si>
    <t>229. Quel âge a ${hoh_new_mem_name} ?</t>
  </si>
  <si>
    <t>speedcheck_hoh_cons_start</t>
  </si>
  <si>
    <t>229. ${hoh_new_mem_name} Shekarun shi/ta nawa?</t>
  </si>
  <si>
    <t>. &gt;= 0 and . &lt; 100</t>
  </si>
  <si>
    <t>456. Please go back and correct the name and phone number.</t>
  </si>
  <si>
    <t>456. Veuillez revenir en arrière et corriger le nom et le numéro de téléphone.</t>
  </si>
  <si>
    <t>456. Da fatan za ka koma baya ka gyara suna da lambar waya.</t>
  </si>
  <si>
    <t>hoh_monthly_consumption_any</t>
  </si>
  <si>
    <t>426. Has your household spent money on the following types of expenses in the past month?</t>
  </si>
  <si>
    <t>426. Votre ménage a-t-il dépensé de l'argent pour les types de dépenses suivants au cours du dernier mois ?</t>
  </si>
  <si>
    <t>426. Shin gidanku ya kashe kuɗi akan irin waɗannan abubuwan a cikin watan da ya gabata?</t>
  </si>
  <si>
    <t>Matters a lot</t>
  </si>
  <si>
    <t>Très important</t>
  </si>
  <si>
    <t>Da muhimmanci sosai</t>
  </si>
  <si>
    <t xml:space="preserve">${speedcheck_hoh_rosternew_end} - ${speedcheck_hoh_rosternew_start} </t>
  </si>
  <si>
    <t>if(${hoh_new_hh_mems} = 0, ${hhmembers}, ${hhmembers} + ${hoh_new_hh_mems_num})</t>
  </si>
  <si>
    <t>230. I want to ask a few questions about the members of your household who are currently residing here.</t>
  </si>
  <si>
    <t>230. Je veux poser quelques questions sur les membres de votre ménage qui résident actuellement ici.</t>
  </si>
  <si>
    <t>230. Ina so in muku ƴan tambayoyi bisa yan gidanku da ke zaune a gida a yanzu.</t>
  </si>
  <si>
    <t>${hoh_hhmembers_new}</t>
  </si>
  <si>
    <t>pulldata('baseline_ids_el', concat('hhname', ${hoh_roster_index}), 'hh_id', ${hh_id})</t>
  </si>
  <si>
    <t>pulldata('baseline_ids_el', concat('hhage', ${hoh_roster_index}), 'hh_id', ${hh_id})</t>
  </si>
  <si>
    <t>pulldata('baseline_ids_el', concat('hhsex', ${hoh_roster_index}), 'hh_id', ${hh_id})</t>
  </si>
  <si>
    <t>empty(${hoh_roster_name_cases})</t>
  </si>
  <si>
    <t xml:space="preserve">${hoh_roster_index} - ${hhmembers} </t>
  </si>
  <si>
    <t>indexed-repeat(${hoh_new_mem_name}, ${hoh_roster_new}, ${hoh_roster_new_index})</t>
  </si>
  <si>
    <t>indexed-repeat(${hoh_new_mem_age}, ${hoh_roster_new}, ${hoh_roster_new_index})</t>
  </si>
  <si>
    <t>if(indexed-repeat(${hoh_new_mem_sex}, ${hoh_roster_new}, ${hoh_roster_new_index}) = 1, 'Male', 'Female')</t>
  </si>
  <si>
    <t>if(empty(${hoh_roster_name_cases}), ${hoh_roster_name_new}, ${hoh_roster_name_cases})</t>
  </si>
  <si>
    <t>if(empty(${hoh_roster_name_cases}), ${hoh_roster_age_new}, ${hoh_roster_age_cases})</t>
  </si>
  <si>
    <t>if(empty(${hoh_roster_name_cases}), ${hoh_roster_sex_new}, ${hoh_roster_sex_cases})</t>
  </si>
  <si>
    <t>231. ${hoh_roster_name}
 Sex: ${hoh_roster_sex}
 Age: ${hoh_roster_age}</t>
  </si>
  <si>
    <t>232. Is ${hoh_roster_name} a Nigerien national?</t>
  </si>
  <si>
    <t>232. ${hoh_roster_name} est-il un citoyen(ne) du Niger ?</t>
  </si>
  <si>
    <t>232. Ko ${hoh_roster_name} ɗan ƙasar Nijar ne?</t>
  </si>
  <si>
    <t>233. Where are they a cititzen of?</t>
  </si>
  <si>
    <t>233. D'où sont-ils citoyens ?</t>
  </si>
  <si>
    <t>233. Ƴan wace ƙasa ce?</t>
  </si>
  <si>
    <t>${hoh_nationality} = 0</t>
  </si>
  <si>
    <t>filter != 0</t>
  </si>
  <si>
    <t>234. Please enter the nationality of ${hoh_roster_name}</t>
  </si>
  <si>
    <t>234. Veuillez saisir la nationalité de ${hoh_roster_name}</t>
  </si>
  <si>
    <t>234. Da fatan za a shigar da ƙasar ${hoh_roster_name}</t>
  </si>
  <si>
    <t>${hoh_nationality_country} = -777</t>
  </si>
  <si>
    <t>235. Is ${hoh_roster_name} still a member of this household?</t>
  </si>
  <si>
    <t>235. ${hoh_roster_name} est-il toujours membre de ce ménage ?</t>
  </si>
  <si>
    <t>235. Ko suna yana cikin ƴan gidan nan?</t>
  </si>
  <si>
    <t>not(empty(${hoh_roster_name_cases}))</t>
  </si>
  <si>
    <t>236. Why are they not a member of this household?</t>
  </si>
  <si>
    <t>236. Pourquoi ne font-ils pas partie de ce ménage ?</t>
  </si>
  <si>
    <t>236. Me ya sa ba su cikin ƴan gidan nan ?</t>
  </si>
  <si>
    <t xml:space="preserve">${hoh_roster_in} = 0 </t>
  </si>
  <si>
    <t>hoh_cons_month</t>
  </si>
  <si>
    <t>237. Other, specify:</t>
  </si>
  <si>
    <t>237. Autre précisez:</t>
  </si>
  <si>
    <t>237. Sauran, bayar da cikakkun bayanai:</t>
  </si>
  <si>
    <t>458. Please go back and enter a new phone number.</t>
  </si>
  <si>
    <t>selected(${hoh_roster_notin_why}, '-777')</t>
  </si>
  <si>
    <t>458. Veuillez ressaisir le numéro</t>
  </si>
  <si>
    <t xml:space="preserve">458. </t>
  </si>
  <si>
    <t>hoh_item</t>
  </si>
  <si>
    <t>444. What is the last name of this person</t>
  </si>
  <si>
    <t>444. Quel est le nom de cette personne</t>
  </si>
  <si>
    <t>444. Menene sunan uban wannan mutumen?</t>
  </si>
  <si>
    <t>hoh_monthly_consumption_amt</t>
  </si>
  <si>
    <t>unavail_why</t>
  </si>
  <si>
    <t>427. How much did your household spend on ${hoh_item} in the past month (in CFA)?</t>
  </si>
  <si>
    <t>427. Combien votre ménage a-t-il dépensé pour ${hoh_item} au cours du dernier mois (en CFA) ?</t>
  </si>
  <si>
    <t>427. Nawa ne (a CFA) gidanku ya kashe akan ${hoh_item} cikin watan da ya gabata ?</t>
  </si>
  <si>
    <t>238. Please indicate the relation of this member to ${pm_name}</t>
  </si>
  <si>
    <t>238. Veuillez indiquer la relation de ce membre avec ${pm_name}</t>
  </si>
  <si>
    <t>238. Da fatan za a nuna alakar wannan memba zuwa ${pm_name}</t>
  </si>
  <si>
    <t>Sick</t>
  </si>
  <si>
    <t>Malade</t>
  </si>
  <si>
    <t>selected(${hoh_roster_notin_why}, '4')</t>
  </si>
  <si>
    <t>Rishin lafia</t>
  </si>
  <si>
    <t>hoh_weekly_consumption_any</t>
  </si>
  <si>
    <t>428. Has your household spent money on the following types of expenses in the past week?</t>
  </si>
  <si>
    <t>428. Votre ménage a-t-il dépensé de l'argent pour les types de dépenses suivants au cours de la semaine dernière ?</t>
  </si>
  <si>
    <t>428. Ko gidanku sun kashe kuɗi akan ire iren waɗannan abubuwan a cikin satin da ya gabata?</t>
  </si>
  <si>
    <t>239. Enumerator: Record any details about the death of the family member</t>
  </si>
  <si>
    <t>239. Enqueteur: Veuillez noter toute information pertinente concernant le décès</t>
  </si>
  <si>
    <t>ya rasou</t>
  </si>
  <si>
    <t>hoh_cons_week</t>
  </si>
  <si>
    <t>446. What is their phone number?</t>
  </si>
  <si>
    <t>446. Quel est leur numéro de téléphone?</t>
  </si>
  <si>
    <t>446. Menene lambar wayarsu?</t>
  </si>
  <si>
    <t>240. Is ${hoh_roster_name} currently living in your household?</t>
  </si>
  <si>
    <t>saki</t>
  </si>
  <si>
    <t>240. Est-ce que ${hoh_roster_name} vit actuellement dans votre ménage ?</t>
  </si>
  <si>
    <t>hoh_item_week</t>
  </si>
  <si>
    <t>240. Ko ${hoh_roster_name} yana zaune a gidanku a halin yanzu ?</t>
  </si>
  <si>
    <t>${hoh_roster_in} = 1</t>
  </si>
  <si>
    <t>447. What is ${secondary_name1}'s relationship to you?</t>
  </si>
  <si>
    <t>447. Quelle est la relation entre ${secondary_name1} et vous ?</t>
  </si>
  <si>
    <t>447. Menene alaƙar ku da ${secondary_name1} ?</t>
  </si>
  <si>
    <t>hoh_weekly_consumption_amt</t>
  </si>
  <si>
    <t>429. How much did your household spend on ${hoh_item_week} in the past week (in CFA)?</t>
  </si>
  <si>
    <t>429. Combien votre ménage a-t-il dépensé en ${hoh_item_week} la semaine dernière (en CFA) ?</t>
  </si>
  <si>
    <t>429. Nawa ne gidan ku ya kashe (a CFA) a ${hoh_item_week} satin da ya gabata ?</t>
  </si>
  <si>
    <t>Away from home</t>
  </si>
  <si>
    <t>Exode</t>
  </si>
  <si>
    <t>tabarada</t>
  </si>
  <si>
    <t>241. Is ${hoh_roster_name} currently living in Niger?</t>
  </si>
  <si>
    <t>241. Est-ce que ${hoh_roster_name} vit actuellement au Niger ?</t>
  </si>
  <si>
    <t>241. Ko ${hoh_roster_name} yana zaune a Nijar a halin yanzu?</t>
  </si>
  <si>
    <t>449. Please go back and correct the name and phone number.</t>
  </si>
  <si>
    <t>${hoh_living_in_hh} = 0</t>
  </si>
  <si>
    <t>449. Veuillez revenir en arrière et corriger le nom et le numéro de téléphone.</t>
  </si>
  <si>
    <t>449. Da fatan za ka koma baya don ka gyara suna da lambar waya.</t>
  </si>
  <si>
    <t>hoh_tabaski</t>
  </si>
  <si>
    <t>Visited another village</t>
  </si>
  <si>
    <t>Rendu visite dans un autre village</t>
  </si>
  <si>
    <t>450. I am going to call this phone number to confirm it is correct. [Enumerator: Did the phone ring?]</t>
  </si>
  <si>
    <t>Ya ziyarci wani kauye</t>
  </si>
  <si>
    <t>450. Je vais appeler ce numéro de téléphone pour confirmer qu'il est correct. [Enquêteur : Le téléphone a-t-il sonné ?]</t>
  </si>
  <si>
    <t>450. Zan kirayi wannan lambar wayar don tabbatar da daidai ce. [Ɗan bincike: Wayar ta yi ƙara?]</t>
  </si>
  <si>
    <t>hoh_purchase</t>
  </si>
  <si>
    <t>430. For Tabaski, did your household purchase any of the following?</t>
  </si>
  <si>
    <t>430. Pour le Tabaski, votre ménage a-t-il acheté l'un des produits suivants ?</t>
  </si>
  <si>
    <t>Don sallar laiya, gidanku ya sayi ɗaya daga cikin waɗannan?</t>
  </si>
  <si>
    <t>242. What region is ${hoh_roster_name} currently living in?</t>
  </si>
  <si>
    <t>242. Dans quelle région vit actuellement ${hoh_roster_name} ?</t>
  </si>
  <si>
    <t>242. A cikin wace jaha ce ${hoh_roster_name} yake zaune a yanzu?</t>
  </si>
  <si>
    <t>${hoh_in_niger} = 1</t>
  </si>
  <si>
    <t>hoh_purchase_clothing</t>
  </si>
  <si>
    <t>431. Clothing</t>
  </si>
  <si>
    <t>431. Vêtements</t>
  </si>
  <si>
    <t>431. Tufafi</t>
  </si>
  <si>
    <t>hoh_purchase_sheep</t>
  </si>
  <si>
    <t>432. Sheep</t>
  </si>
  <si>
    <t>432. Mouton</t>
  </si>
  <si>
    <t>432. Rago</t>
  </si>
  <si>
    <t>hoh_purchase_goat</t>
  </si>
  <si>
    <t>433. Goat</t>
  </si>
  <si>
    <t>243. What country is ${hoh_roster_name} currently living in?</t>
  </si>
  <si>
    <t>433. Chèvre</t>
  </si>
  <si>
    <t>433. Akuya</t>
  </si>
  <si>
    <t>243. Dans quel pays vit actuellement ${hoh_roster_name} ?</t>
  </si>
  <si>
    <t>243. A cikin wace kasa ce ${hoh_roster_name} yake zaune a yanzu?</t>
  </si>
  <si>
    <t>${hoh_in_niger} = 0</t>
  </si>
  <si>
    <t>hoh_purchase_poultry</t>
  </si>
  <si>
    <t>topics</t>
  </si>
  <si>
    <t>434. Poultry</t>
  </si>
  <si>
    <t>434. Volaille</t>
  </si>
  <si>
    <t>434. Kaji</t>
  </si>
  <si>
    <t>Work in the fields</t>
  </si>
  <si>
    <t>Travail des champs</t>
  </si>
  <si>
    <t>Yin aiki a cikin gonaki</t>
  </si>
  <si>
    <t>filter != 1 and filter != 2</t>
  </si>
  <si>
    <t>464. That is the end of the survey. Thank you for your time.</t>
  </si>
  <si>
    <t>464. C'est la fin de l'enquête. Merci pour votre temps.</t>
  </si>
  <si>
    <t>464. Karshen tambayoyin kenan. Na gode da lokacin da kuka bani.</t>
  </si>
  <si>
    <t>244. Specify other</t>
  </si>
  <si>
    <t>244. Autre à préciser</t>
  </si>
  <si>
    <t>244. Wani daban a Bayyana</t>
  </si>
  <si>
    <t>Things that happen in the community?</t>
  </si>
  <si>
    <t>Des choses qui se passent dans la communauté ?</t>
  </si>
  <si>
    <t>Abubuwan da ke faruwa a cikin al'umma?</t>
  </si>
  <si>
    <t>speedcheck_hoh_cons_end</t>
  </si>
  <si>
    <t>${hoh_out_niger} = -777</t>
  </si>
  <si>
    <t>Who to vote for in local elections?</t>
  </si>
  <si>
    <t>Pour qui voter aux élections locales ?</t>
  </si>
  <si>
    <t>Wanene za'a zaba a zaben kananan hukumomi?</t>
  </si>
  <si>
    <t>dur_hoh_cons</t>
  </si>
  <si>
    <t>245. Enumerator: Select town</t>
  </si>
  <si>
    <t>245. Enquêteur : Sélectionnez la ville</t>
  </si>
  <si>
    <t>245. Ɗan bincike: Zaɓi gari</t>
  </si>
  <si>
    <t>search('towns', 'matches', 'country_id', ${hoh_out_niger})</t>
  </si>
  <si>
    <t>How to you invest your money such as whether to improve your house</t>
  </si>
  <si>
    <t>Comment investir votre argent, par exemple pour améliorer votre maison ?</t>
  </si>
  <si>
    <t>${hoh_in_niger} = 0 and ${hoh_out_niger} != -999</t>
  </si>
  <si>
    <t>Yadda za ku saka kuɗin don kamar gyara gidan ku</t>
  </si>
  <si>
    <t>458. Please go back and correct the name and phone number.</t>
  </si>
  <si>
    <t>458. Veuillez revenir en arrière et corriger le nom et le numéro de téléphone.</t>
  </si>
  <si>
    <t>458. Da fatan za ka koma baya ka gyara suna da lambar waya.</t>
  </si>
  <si>
    <t>speedcheck_hoh_end</t>
  </si>
  <si>
    <t>Family planning (when to have children)</t>
  </si>
  <si>
    <t>Planification familiale (quand avoir des enfants)</t>
  </si>
  <si>
    <t>Tsarin iyali (lokacin da za a haifi yara)</t>
  </si>
  <si>
    <t>246. Specify other</t>
  </si>
  <si>
    <t>459. I am going to call this phone number to confirm it is correct. [Enumerator: Did the phone ring?]</t>
  </si>
  <si>
    <t>246. Autre à préciser</t>
  </si>
  <si>
    <t>459. Je vais appeler ce numéro de téléphone pour confirmer qu'il est correct. [Enquêteur : Le téléphone a-t-il sonné ?]</t>
  </si>
  <si>
    <t>459. Zan kirayi wannan lambar wayar don tabbatar da daidai ce. [Ɗan bincike: Wayar ta yi ƙara?]</t>
  </si>
  <si>
    <t>246. Wani daban a Bayyana</t>
  </si>
  <si>
    <t>dur_hoh</t>
  </si>
  <si>
    <t>${hoh_out_town} = -777</t>
  </si>
  <si>
    <t>460. Please go back and enter a new phone number.</t>
  </si>
  <si>
    <t>460. Veuillez ressaisir le numéro</t>
  </si>
  <si>
    <t xml:space="preserve">460. </t>
  </si>
  <si>
    <t>Scolarité des enfants</t>
  </si>
  <si>
    <t>Shigar da yara a makaranta</t>
  </si>
  <si>
    <t>followup</t>
  </si>
  <si>
    <t>Follow Up Questions</t>
  </si>
  <si>
    <t>Questions de suivi</t>
  </si>
  <si>
    <t>Tambayoyi na bibiya</t>
  </si>
  <si>
    <t>${hoh_living_in_hh} = 1 or empty(${hoh_roster_name_cases})</t>
  </si>
  <si>
    <t>speedcheck_outro_start</t>
  </si>
  <si>
    <t>followup_note</t>
  </si>
  <si>
    <t>435. As I mentioned at the beginning of our interview, we would like to stay in touch with you.</t>
  </si>
  <si>
    <t>savings_reasons</t>
  </si>
  <si>
    <t>435. Comme je l'ai mentionné au début de notre entretien, nous aimerions rester en contact avec vous.</t>
  </si>
  <si>
    <t>435. Kamar yadda na faɗa a farkon hirarmu, muna son mu ci gaba da tuntuɓar ku.</t>
  </si>
  <si>
    <t>No plan</t>
  </si>
  <si>
    <t>Aucun projet</t>
  </si>
  <si>
    <t>Babu shiri</t>
  </si>
  <si>
    <t>247. Does ${hoh_roster_name} currently suffer from any illness or disability that limits their ability to travel or work?</t>
  </si>
  <si>
    <t>247. Est-ce que ${hoh_roster_name} souffre actuellement d'une maladie ou d'un handicap qui limite sa capacité à voyager ou à travailler ?</t>
  </si>
  <si>
    <t>247. ko a halin yanzu ${hoh_roster_name} yana da rashin lafiya ko naƙasa wanda ke iya hanashi zuwa balaguro ko yin aiki?</t>
  </si>
  <si>
    <t>primary_phone</t>
  </si>
  <si>
    <t>436. What is the phone number where we can reach you?</t>
  </si>
  <si>
    <t>436. Quel est le numéro de téléphone auquel nous pouvons vous joindre?</t>
  </si>
  <si>
    <t>436. Wace lambar waya ce zamu iya samun ku da ita?</t>
  </si>
  <si>
    <t>${hoh_roster_age} &gt; 7</t>
  </si>
  <si>
    <t>To make a major purchase</t>
  </si>
  <si>
    <t>Pour faire un achat important</t>
  </si>
  <si>
    <t>Don yin muhimmin sayeyya</t>
  </si>
  <si>
    <t>primary_phone_confirm</t>
  </si>
  <si>
    <t>For unforeseen expenses, emergencies</t>
  </si>
  <si>
    <t>437. I am going to read back the phone number you just shared with me. Can you confirm this is your primary phone number? ${primary_phone}</t>
  </si>
  <si>
    <t>Pour des dépenses imprévues, des urgences</t>
  </si>
  <si>
    <t>437. Je vais relire le numéro de téléphone que vous venez de me donner. Pouvez-vous confirmer qu'il s'agit de votre numéro de téléphone principal ? ${primary_phone}</t>
  </si>
  <si>
    <t>437. Zan sake karanta lambar wayar da kuka bani. Zaku iya tabbatar mini da wannan itace lambar wayarku ta farko? ${primary_phone}</t>
  </si>
  <si>
    <t>Don kashe kashen kudaden ba zata ba, na gaggawa</t>
  </si>
  <si>
    <t>248. What illness limits ${hoh_roster_name} in this way?</t>
  </si>
  <si>
    <t>248. Quelle maladie limite ${hoh_roster_name} de cette manière ?</t>
  </si>
  <si>
    <t>248. Wace rashin lafiya ke tsaida ${hoh_roster_name} ta haka ?</t>
  </si>
  <si>
    <t>primary_phone_2</t>
  </si>
  <si>
    <t>438. Please go back and correct the number.</t>
  </si>
  <si>
    <t>438. Veuillez revenir en arrière pour corriger le numéro.</t>
  </si>
  <si>
    <t>${hoh_illness_limit} = 1</t>
  </si>
  <si>
    <t>438. ko za ka koma baya ka gyara lambar.</t>
  </si>
  <si>
    <t>To build/repair a home</t>
  </si>
  <si>
    <t>Pour construire/réparer une maison</t>
  </si>
  <si>
    <t>Don ginawa/gyara gida</t>
  </si>
  <si>
    <t>select_one call</t>
  </si>
  <si>
    <t>primary_phone_test</t>
  </si>
  <si>
    <t>439. I am going to call this phone number to confirm it is correct.</t>
  </si>
  <si>
    <t>439. Je vais appeler ce numéro de téléphone pour confirmer qu'il est correct.</t>
  </si>
  <si>
    <t>439. Zan kirayi wannan lambar don tabbatar da cewa daidai ce.</t>
  </si>
  <si>
    <t>To migrate or support someone else’s migration</t>
  </si>
  <si>
    <t>Pour migrer ou soutenir la migration d'une autre personne</t>
  </si>
  <si>
    <t>Don balaguro ko tallafawa balaguron wani</t>
  </si>
  <si>
    <t>primary_phone_test_note</t>
  </si>
  <si>
    <t>249. Other, specify:</t>
  </si>
  <si>
    <t>440. Please go back and enter a new phone number.</t>
  </si>
  <si>
    <t>249. Autre précisez:</t>
  </si>
  <si>
    <t>440. Veuillez revenir en arrière pour entrer un nouveau numéro de téléphone.</t>
  </si>
  <si>
    <t>440. Ko za ka koma baya ka shigar da sabuwar lambar waya.</t>
  </si>
  <si>
    <t>249. Sauran, bayar da cikakkun bayanai:</t>
  </si>
  <si>
    <t>selected(${hoh_illness_limit_type}, '-777')</t>
  </si>
  <si>
    <t>use_whatsapp</t>
  </si>
  <si>
    <t>441. Do you have a Whatsapp account/ phone number you use for WhatsApp?</t>
  </si>
  <si>
    <t>441. Avez-vous un compte/numéro de téléphone Whatsapp que vous utilisez pour WhatsApp ?</t>
  </si>
  <si>
    <t>441. Kuna yin WhatsApp / lambar wayar da kuke amfani da ita ta WhatsApp ce?</t>
  </si>
  <si>
    <t>To get married</t>
  </si>
  <si>
    <t>Pour se marier</t>
  </si>
  <si>
    <t>Don yin aure</t>
  </si>
  <si>
    <t>phone_whatsapp</t>
  </si>
  <si>
    <t>442. Is this the phone number you use for whatsapp?</t>
  </si>
  <si>
    <t>442. Est-ce le numéro de téléphone que vous utilisez pour WhatsApp ?</t>
  </si>
  <si>
    <t>442. Wannan ita ce lambar wayar da kuke amfani da ita don yin whatsapp?</t>
  </si>
  <si>
    <t>250. Does ${hoh_roster_name} have children?</t>
  </si>
  <si>
    <t>250. Est-ce que ${hoh_roster_name} a des enfants ?</t>
  </si>
  <si>
    <t>250. ko ${hoh_roster_name} yana da yara?</t>
  </si>
  <si>
    <t>To pay for school fees</t>
  </si>
  <si>
    <t>Pour payer les frais de scolarité</t>
  </si>
  <si>
    <t>Domin biyan kudin makaranta</t>
  </si>
  <si>
    <t>(${hoh_roster_sex} = 1 and ${hoh_roster_age} &gt; 18) or (${hoh_roster_sex} = 0 and ${hoh_roster_age} &gt; 15)</t>
  </si>
  <si>
    <t>phone_whatsapp_number</t>
  </si>
  <si>
    <t>443. Please tell me the phone number you use for Whatsapp</t>
  </si>
  <si>
    <t>443. Veuillez me dire le numéro de téléphone que vous utilisez pour Whatsapp</t>
  </si>
  <si>
    <t>443. Don Allah ku gaya mini lambar wayar da kuke amfani da ita don yin Whatsapp</t>
  </si>
  <si>
    <t>phone_whatsapp_confirm</t>
  </si>
  <si>
    <t>444. I am going read back the phone number you just shared with me as your Whatsapp number. Is this the phone number you use for whatsapp? ${phone_whatsapp_number}</t>
  </si>
  <si>
    <t>To share with immediate or extended family</t>
  </si>
  <si>
    <t>444. Je vais relire le numéro de téléphone que vous nous avez donné comme votre numéro Whatsapp. Est-ce le numéro de téléphone que vous utilisez pour WhatsApp ? ${phone_whatsapp_number}</t>
  </si>
  <si>
    <t>Pour partager avec la famille proche ou élargie</t>
  </si>
  <si>
    <t>444. Zan sake karanta lambar wayar da kuka bani a zaman lambar Whatsapp dinku. Wannan shine lambar wayar da kuke amfani da ita don yin whatsapp? ${phone_whatsapp_number}</t>
  </si>
  <si>
    <t>Don rabawa tare da dangi na kusa ko dangi na nesa</t>
  </si>
  <si>
    <t>251. How many children is ${hoh_roster_name} responsible for?</t>
  </si>
  <si>
    <t>251. De combien d'enfants ${hoh_roster_name} est-il responsable ?</t>
  </si>
  <si>
    <t>251. Yara nawa ne ${hoh_roster_name} yake ɗauke da Nauyinsu?</t>
  </si>
  <si>
    <t>${hoh_any_children}=1</t>
  </si>
  <si>
    <t>whatsapp_mismatch</t>
  </si>
  <si>
    <t>445. Please go back and correct the number.</t>
  </si>
  <si>
    <t>445. Veuillez revenir en arrière pour corriger le numéro.</t>
  </si>
  <si>
    <t>445. Da fatan za ka koma baya ka gyara lambar.</t>
  </si>
  <si>
    <t>To share with non-family members</t>
  </si>
  <si>
    <t>Pour partager avec des personnes extérieures à la famille</t>
  </si>
  <si>
    <t>Don rabawa tare da waɗanda ba dangi ba</t>
  </si>
  <si>
    <t>primary_other_phone</t>
  </si>
  <si>
    <t>446. Do you have other phone numbers that you use regularly (i.e. other phone carriers)?</t>
  </si>
  <si>
    <t>446. Avez-vous d'autres numéros de téléphone que vous utilisez régulièrement (c'est-à-dire d'autres opérateurs téléphoniques) ?</t>
  </si>
  <si>
    <t>446. Ko kuna da wasu lambobin waya waɗanda kuke amfani da su kai-akai (layin wasu gidan wayar salula)?</t>
  </si>
  <si>
    <t>252. What is the highest level of education that ${hoh_roster_name} has completed?</t>
  </si>
  <si>
    <t>252. Quel est le plus haut niveau d'études atteint par ${hoh_roster_name} ?</t>
  </si>
  <si>
    <t>252. Menene mafi girman mastayin ilimi da ${hoh_roster_name} ya kai?</t>
  </si>
  <si>
    <t>${hoh_roster_age} &gt;= 14</t>
  </si>
  <si>
    <t>To start or expand a business</t>
  </si>
  <si>
    <t>primary_other_phones</t>
  </si>
  <si>
    <t>Pour créer ou développer une entreprise</t>
  </si>
  <si>
    <t>447. How many other additional phone numbers?</t>
  </si>
  <si>
    <t>Don farawa ko fadada kasuwanci</t>
  </si>
  <si>
    <t>447. Y-a t-il d'autres numéros de téléphone supplémentaires ?</t>
  </si>
  <si>
    <t>447. 220 a. Ko akwai ƙarin wasu lambobin waya?</t>
  </si>
  <si>
    <t>other_phones</t>
  </si>
  <si>
    <t>Other Phones</t>
  </si>
  <si>
    <t>primary_other_phone_num</t>
  </si>
  <si>
    <t>448. What are these additional phone numbers?</t>
  </si>
  <si>
    <t>448. Quels sont les numéros de téléphone supplémentaires ?</t>
  </si>
  <si>
    <t>448. Waɗannene ƙarin lambobin wayan?</t>
  </si>
  <si>
    <t>253. Is ${hoh_roster_name} currently enrolled in school?</t>
  </si>
  <si>
    <t>253. Est-ce que ${hoh_roster_name} est actuellement inscrit à l'école ?</t>
  </si>
  <si>
    <t>253. Ko ${hoh_roster_name} yana yin lakwal a halin yanzu?</t>
  </si>
  <si>
    <t xml:space="preserve">(${hoh_roster_age} &gt; 4 and ${hoh_roster_age} &lt; 27) </t>
  </si>
  <si>
    <t>secondary_contact1</t>
  </si>
  <si>
    <t>449.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</si>
  <si>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449.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</si>
  <si>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449. Idan ba za mu iya samun ku ba, ko za ku iya ba mu suna da lambar wayar wani wanda ba na gidanku ba da za mu iya kira don neman lambar ku?
 Za mu kirayi mutumen ne kawai idan bamu sameku ba bayan kira biyu zuwa uku, hakan zai taimaka mana ci gaba da tuntuɓar ku.</t>
  </si>
  <si>
    <t>254. What kind of school is ${hoh_roster_name} enrolled in?</t>
  </si>
  <si>
    <t>254. Dans quel type d'école est inscrit ${hoh_roster_name} ?</t>
  </si>
  <si>
    <t>254. Wace irin makaranta aka rubuta ${hoh_roster_name}?</t>
  </si>
  <si>
    <t>secondary_name_create1</t>
  </si>
  <si>
    <t>Name of Secondary Contact 1</t>
  </si>
  <si>
    <t>${hoh_attending_school} = 1</t>
  </si>
  <si>
    <t>purchases</t>
  </si>
  <si>
    <t>secondary_name1_last</t>
  </si>
  <si>
    <t>Land</t>
  </si>
  <si>
    <t>450. What is the last name of this person</t>
  </si>
  <si>
    <t>450. Quel est le nom de cette personne</t>
  </si>
  <si>
    <t>Terre</t>
  </si>
  <si>
    <t>450. Menene sunan uban wannan mutumen?</t>
  </si>
  <si>
    <t>Ƙasa</t>
  </si>
  <si>
    <t>secondary_name1_first</t>
  </si>
  <si>
    <t>451. What is the first name of this person</t>
  </si>
  <si>
    <t>451. Quel est le prénom de cette personne</t>
  </si>
  <si>
    <t>Livestock</t>
  </si>
  <si>
    <t>451. Menene sunan wannan mutumen?</t>
  </si>
  <si>
    <t>Bétail</t>
  </si>
  <si>
    <t>Dabbobi</t>
  </si>
  <si>
    <t>255. What is the cost of school fees for the current academic year in CFA?</t>
  </si>
  <si>
    <t>255. Quel est le coût des frais de scolarité pour l'année scolaire en cours (en CFA) ?</t>
  </si>
  <si>
    <t>255. Nawa ne kuɗin makaranta na wannan shekarar (a sefa)?</t>
  </si>
  <si>
    <t xml:space="preserve">. &gt;= 0 </t>
  </si>
  <si>
    <t>${hoh_attending_school}=1</t>
  </si>
  <si>
    <t>secondary_name1</t>
  </si>
  <si>
    <t>secondary_phone1</t>
  </si>
  <si>
    <t>452. What is their phone number?</t>
  </si>
  <si>
    <t>452. Quel est leur numéro de téléphone?</t>
  </si>
  <si>
    <t>452. Menene lambar wayarsu?</t>
  </si>
  <si>
    <t>256. In the past month (four weeks) how many days has ${hoh_roster_name} missed school for health reasons?</t>
  </si>
  <si>
    <t>secondary_relation1</t>
  </si>
  <si>
    <t>256. Au cours du dernier mois (quatre semaines), combien de jours ${hoh_roster_name} a-t-il manqué l'école pour des raisons de santé ?</t>
  </si>
  <si>
    <t>453. What is ${secondary_name1}'s relationship to you?</t>
  </si>
  <si>
    <t>256. A cikin watan da ya gabata (sati hudu), kwanaki nawa ${hoh_roster_name} yayi fashin zuwa makaranta saboda wata rishin lafiya?</t>
  </si>
  <si>
    <t>453. Quelle est la relation entre ${secondary_name1} et vous ?</t>
  </si>
  <si>
    <t>453. Menene alaƙar ku da ${secondary_name1} ?</t>
  </si>
  <si>
    <t>. &gt;= 0 and . &lt;= 28</t>
  </si>
  <si>
    <t>Please enter an integer between 0 and 28 days</t>
  </si>
  <si>
    <t>secondary_phone1_confirm</t>
  </si>
  <si>
    <t>454. Just to confirm, is this the number? 
 ${secondary_name1}
 ${secondary_phone1}</t>
  </si>
  <si>
    <t>454. Juste pour confirmer, est-ce bien le numéro ?
 ${secondary_name1}
 ${secondary_phone1}</t>
  </si>
  <si>
    <t>454. Don tabbatarwa kawai, da wannan itace lambar?
 ${secondary_name1}
 ${secondary_phone1}</t>
  </si>
  <si>
    <t>secondary_phone1_note</t>
  </si>
  <si>
    <t>455. Please go back and correct the name and phone number.</t>
  </si>
  <si>
    <t>455. Veuillez revenir en arrière et corriger le nom et le numéro de téléphone.</t>
  </si>
  <si>
    <t>455. Da fatan za ka koma baya don ka gyara suna da lambar waya.</t>
  </si>
  <si>
    <t>257. In the past month (four weeks) how many days has ${hoh_roster_name} missed school for work or other reasons?</t>
  </si>
  <si>
    <t>257. Au cours du dernier mois (quatre semaines), combien de jours ${hoh_roster_name} a-t-il manqué l'école pour le travail ou pour d'autres raisons ?</t>
  </si>
  <si>
    <t>257. A cikin watan da ya gabata (makonni hudu), kwanaki nawa ${hoh_roster_name} yayi fashin makaranta saboda aiki ko wasu dalilai?</t>
  </si>
  <si>
    <t>secondary_phone1_test</t>
  </si>
  <si>
    <t>456. I am going to call this phone number to confirm it is correct. [Enumerator: Did the phone ring?]</t>
  </si>
  <si>
    <t>456. Je vais appeler ce numéro de téléphone pour confirmer qu'il est correct. [Enquêteur : Le téléphone a-t-il sonné ?]</t>
  </si>
  <si>
    <t>456. Zan kirayi wannan lambar wayar don tabbatar da daidai ce. [Ɗan bincike: Wayar ta yi ƙara?]</t>
  </si>
  <si>
    <t>secondary_phone1_test_note</t>
  </si>
  <si>
    <t>457. Please go back and enter a new phone number.</t>
  </si>
  <si>
    <t>457. Veuillez ressaisir le numéro</t>
  </si>
  <si>
    <t>457. Da fatan zaku rubuta lambar</t>
  </si>
  <si>
    <t>258. Is ${hoh_roster_name} married?</t>
  </si>
  <si>
    <t>secondary_contact2</t>
  </si>
  <si>
    <t>258. Est-ce que ${hoh_roster_name} est marié ?</t>
  </si>
  <si>
    <t>458.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</si>
  <si>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258. Ko ${hoh_roster_name} yanada aure?</t>
  </si>
  <si>
    <t>458.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</si>
  <si>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458.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</si>
  <si>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if(${hoh_roster_sex} = 1, ${hoh_roster_age} &gt;= 17, ${hoh_roster_age} &gt;= 14)</t>
  </si>
  <si>
    <t>secondary_name_create2</t>
  </si>
  <si>
    <t>Name of Secondary Contact 2</t>
  </si>
  <si>
    <t>secondary_name2_last</t>
  </si>
  <si>
    <t>459. What is the last name of this person</t>
  </si>
  <si>
    <t>459. Quel est le nom de cette personne?</t>
  </si>
  <si>
    <t>459. Menene sunan uban wannan mutumen?</t>
  </si>
  <si>
    <t>259. How many wives does ${hoh_new_mem_name} have?</t>
  </si>
  <si>
    <t>259. Combien de femmes a ${hoh_roster_name} ?</t>
  </si>
  <si>
    <t>259. Mata nawa ${hoh_roster_name} yake da su?</t>
  </si>
  <si>
    <t>. &gt; 0 and . &lt; 10</t>
  </si>
  <si>
    <t>${hoh_married} = 1 and ${hoh_roster_sex} = 1</t>
  </si>
  <si>
    <t>secondary_name2_first</t>
  </si>
  <si>
    <t>460. What is the first name of this person</t>
  </si>
  <si>
    <t>460. Quel est le prénom de cette personne?</t>
  </si>
  <si>
    <t>460. Menene sunan wannan mutumen?</t>
  </si>
  <si>
    <t>secondary_name2</t>
  </si>
  <si>
    <t>secondary_phone2</t>
  </si>
  <si>
    <t>461. What is their phone number?</t>
  </si>
  <si>
    <t>461. Quel est leur numéro de téléphone?</t>
  </si>
  <si>
    <t>461. Menene lambar wayarsu?</t>
  </si>
  <si>
    <t>secondary_relation2</t>
  </si>
  <si>
    <t>462. What is ${secondary_name2}'s relationship to you?</t>
  </si>
  <si>
    <t>462. Quelle est la relation entre ${secondary_name2} et vous ?</t>
  </si>
  <si>
    <t>462. Menene alaƙar ku da ${secondary_name2} ?</t>
  </si>
  <si>
    <t>secondary_phone2_confirm</t>
  </si>
  <si>
    <t>463. Just to confirm, is this the number? 
 ${secondary_name2}
 ${secondary_phone2}</t>
  </si>
  <si>
    <t>463. Juste pour confirmer, est-ce bien le numéro ?
 ${secondary_name2}
 ${secondary_phone2}</t>
  </si>
  <si>
    <t>463. Don tabbatar kawai, da wannan itace lambar?
 ${secondary_name2}
 ${secondary_phone2}</t>
  </si>
  <si>
    <t>secondary_phone2_note</t>
  </si>
  <si>
    <t>464. Please go back and correct the name and phone number.</t>
  </si>
  <si>
    <t>464. Veuillez revenir en arrière et corriger le nom et le numéro de téléphone.</t>
  </si>
  <si>
    <t>464. Da fatan za ka koma baya ka gyara suna da lambar waya.</t>
  </si>
  <si>
    <t>secondary_phone2_test</t>
  </si>
  <si>
    <t>465. I am going to call this phone number to confirm it is correct. [Enumerator: Did the phone ring?]</t>
  </si>
  <si>
    <t>465. Je vais appeler ce numéro de téléphone pour confirmer qu'il est correct. [Enquêteur : Le téléphone a-t-il sonné ?]</t>
  </si>
  <si>
    <t>465. Zan kirayi wannan lambar wayar don tabbatar da daidai ce. [Ɗan bincike: Wayar ta yi ƙara?]</t>
  </si>
  <si>
    <t>(${hoh_roster_in} = 1 or empty(${hoh_roster_name_cases})) and ${hoh_roster_age} &gt; 17</t>
  </si>
  <si>
    <t>secondary_phone2_test_note</t>
  </si>
  <si>
    <t>466. Please go back and enter a new phone number.</t>
  </si>
  <si>
    <t>466. Veuillez ressaisir le numéro</t>
  </si>
  <si>
    <t>466. Da fatan zaku rubuta lambar</t>
  </si>
  <si>
    <t>260. We would now like to ask you about the migration history of ${hoh_roster_name}.</t>
  </si>
  <si>
    <t>260. Nous aimerions maintenant vous poser des questions sur l'historique de migration de ${hoh_roster_name}.</t>
  </si>
  <si>
    <t>260. Yanzu muna so mu tambaye ka tarihin zuwa biɗa na ${hoh_roster_name}.</t>
  </si>
  <si>
    <t>enum_end</t>
  </si>
  <si>
    <t>Final Enumerator questions</t>
  </si>
  <si>
    <t>Questions finales de l'enquêteur</t>
  </si>
  <si>
    <t>Tambayoyin ƙarshe na ɗan bincike</t>
  </si>
  <si>
    <t>select_one interest</t>
  </si>
  <si>
    <t>resp_interest</t>
  </si>
  <si>
    <t>467. How interested was the resppondent</t>
  </si>
  <si>
    <t>467. Dans quelle mesure le répondant était-il intéressé</t>
  </si>
  <si>
    <t>467. Yaya kake ganin maida hankalin mai bada amsa yake</t>
  </si>
  <si>
    <t>select_one patient</t>
  </si>
  <si>
    <t>resp_patient</t>
  </si>
  <si>
    <t>468. How impatient was the respondent?</t>
  </si>
  <si>
    <t>468. À quel point le répondant était-il impatient ?</t>
  </si>
  <si>
    <t>468. Yaya kake ganin rashin haƙurin mai bada amsa?</t>
  </si>
  <si>
    <t>261. Since ${period}, has ${hoh_roster_name} spent more than a week (7 days) away from home?</t>
  </si>
  <si>
    <t>261. Depuis cette ${period_french}, ${hoh_roster_name} a-t-il passé plus d'une semaine (7 jours) loin de chez lui ?</t>
  </si>
  <si>
    <t>261. Tun wancan ${period_hausa}, ${hoh_roster_name} ya shafe fiye da mako guda (kwana 7) baya gida?</t>
  </si>
  <si>
    <t>select_one comprehension</t>
  </si>
  <si>
    <t>resp_understand</t>
  </si>
  <si>
    <t>469. How well did the respondent understand the questions?</t>
  </si>
  <si>
    <t>469. Dans quelle mesure le répondant a-t-il compris les questions ?</t>
  </si>
  <si>
    <t>469. Yaya kake ganin mai bada amsa ya fahimci tambayoyin?</t>
  </si>
  <si>
    <t>select_one present</t>
  </si>
  <si>
    <t>other_people</t>
  </si>
  <si>
    <t>470. Was the interview conducted in the presence of other people?</t>
  </si>
  <si>
    <t>470. L'entretien a-t-il été réalisé en présence d'autres personnes ?</t>
  </si>
  <si>
    <t>470. Ko an yi hirar ne a gaban wasu mutane?</t>
  </si>
  <si>
    <t>262. Since ${period}, in which of the following countries has ${hoh_roster_name} spent more than one week? Select all that apply</t>
  </si>
  <si>
    <t>262. Depuis cette ${period_french}, dans lequel des pays suivants hoh_roster_name a-t-il passé plus d'une semaine ? Sélectionnez tout ce qui s'y rapporte</t>
  </si>
  <si>
    <t>262. Tun daga wancan ${period_hausa}, a cikin waɗanne ƙasashe ne ${hoh_roster_name} ya shafe fiye da mako ɗaya? Zaɓi duk abin da ya dace</t>
  </si>
  <si>
    <t>comment</t>
  </si>
  <si>
    <t>471. Enumerator: Record any comments on the survey</t>
  </si>
  <si>
    <t>not(count-selected(.) &gt; 1 and selected(., '-999'))</t>
  </si>
  <si>
    <t>471. Enquêteur : Veuillez noter vos commentaires si vous en avez</t>
  </si>
  <si>
    <t>471. Ɗan bincike: Yi rikodin duk wani sharhi akan binciken</t>
  </si>
  <si>
    <t>${hoh_mem_migrate} = 1</t>
  </si>
  <si>
    <t>filter != 1</t>
  </si>
  <si>
    <t>gps</t>
  </si>
  <si>
    <t>Collect GPS</t>
  </si>
  <si>
    <t>Collecteur de GPS</t>
  </si>
  <si>
    <t>Mai daukan GPS</t>
  </si>
  <si>
    <t>263. Specify other</t>
  </si>
  <si>
    <t>263. Autre à préciser</t>
  </si>
  <si>
    <t>speedcheck_outro_end</t>
  </si>
  <si>
    <t>263. Wani daban a Bayyana</t>
  </si>
  <si>
    <t>dur_outro</t>
  </si>
  <si>
    <t>selected(${hoh_dest_country}, '-777')</t>
  </si>
  <si>
    <t>Tambayoyin ɗan bincike na ƙarshe</t>
  </si>
  <si>
    <t>thankyou</t>
  </si>
  <si>
    <t>472. That is the end of the survey. Thank you for your time.</t>
  </si>
  <si>
    <t>472. C'est la fin de l'enquête. Merci pour votre temps.</t>
  </si>
  <si>
    <t>472. Karshen tambayoyin kenan. Na gode da lokacin da kuka bani.</t>
  </si>
  <si>
    <t>if(selected(${hoh_dest_country}, '1'), 1 , 0)</t>
  </si>
  <si>
    <t>if(selected(${hoh_dest_country}, '2') or selected(${hoh_dest_country}, '3') or 
selected(${hoh_dest_country}, '4') or selected(${hoh_dest_country}, '5') or
selected(${hoh_dest_country}, '6') or selected(${hoh_dest_country}, '7') or
selected(${hoh_dest_country}, '8') or selected(${hoh_dest_country}, '9') or
selected(${hoh_dest_country}, '10') or selected(${hoh_dest_country}, '11') or
selected(${hoh_dest_country}, '12') or selected(${hoh_dest_country}, '13') or
selected(${hoh_dest_country}, '14') or selected(${hoh_dest_country}, '15') or
selected(${hoh_dest_country}, '16') or selected(${hoh_dest_country}, '17') or
selected(${hoh_dest_country}, '18') or selected(${hoh_dest_country}, '19') or
selected(${hoh_dest_country}, '20') or selected(${hoh_dest_country}, '21') or
selected(${hoh_dest_country}, '22') or selected(${hoh_dest_country}, '-777'), 1, 0)</t>
  </si>
  <si>
    <t>if(selected(${hoh_dest_country}, '3') or selected(${hoh_dest_country}, '6') or 
selected(${hoh_dest_country}, '7') or selected(${hoh_dest_country}, '9') or
selected(${hoh_dest_country}, '10') or selected(${hoh_dest_country}, '13') or
selected(${hoh_dest_country}, '14') or selected(${hoh_dest_country}, '15') or
selected(${hoh_dest_country}, '16') or selected(${hoh_dest_country}, '17') or
selected(${hoh_dest_country}, '18') or selected(${hoh_dest_country}, '19'), 1, 0)</t>
  </si>
  <si>
    <t>count-selected(${hoh_dest_country})</t>
  </si>
  <si>
    <t>not(selected(${hoh_dest_country}, '-999'))</t>
  </si>
  <si>
    <t>${hoh_num_dest_country}</t>
  </si>
  <si>
    <t>selected-at(${hoh_dest_country}, index()-1)</t>
  </si>
  <si>
    <t>if(${hoh_dest_index} = -777, ${hoh_dest_country_o}, choice-label(${hoh_dest_country}, ${hoh_dest_index}))</t>
  </si>
  <si>
    <t>264. In ${hoh_destination}, what was the name of the city or town that ${hoh_roster_name} moved to?</t>
  </si>
  <si>
    <t>264. À ${hoh_destination}, quel était le nom de la ville dans laquelle ${hoh_roster_name} il a séjourné ?</t>
  </si>
  <si>
    <t>264. A ${hoh_destination}, menene sunan birnin da ${hoh_roster_name} ya zauna?</t>
  </si>
  <si>
    <t>search('towns', 'matches', 'country_id', ${hoh_dest_index})</t>
  </si>
  <si>
    <t>not(${hoh_dest_index} = 1 or ${hoh_dest_index} = -999)</t>
  </si>
  <si>
    <t>265. Specify other</t>
  </si>
  <si>
    <t>265. Autre à préciser</t>
  </si>
  <si>
    <t>265. Wani daban a Bayyana</t>
  </si>
  <si>
    <t>selected(${hoh_dest_town}, '-777')</t>
  </si>
  <si>
    <t>266. In ${hoh_destination}, what was the name of the region that ${hoh_roster_name} moved to?</t>
  </si>
  <si>
    <t>266. Dans ${hoh_destination}, quel était le nom de la région vers laquelle ${hoh_roster_name} a été déplacé ?</t>
  </si>
  <si>
    <t>266. A ${hoh_destination}, menene sunan yankin da ${hoh_roster_name} ya koma?</t>
  </si>
  <si>
    <t>${hoh_dest_index} = 1</t>
  </si>
  <si>
    <t>267. Specify other</t>
  </si>
  <si>
    <t>267. Autre à préciser</t>
  </si>
  <si>
    <t>267. Wani daban a Bayyana</t>
  </si>
  <si>
    <t>selected(${hoh_dest_region}, '-777')</t>
  </si>
  <si>
    <t>268. How many times did ${hoh_roster_name} travel to ${hoh_destination} since ${period}?</t>
  </si>
  <si>
    <t>268. Combien de fois ${hoh_roster_name} s'est-il rendu à ${hoh_destination} depuis la ${period_french}?</t>
  </si>
  <si>
    <t>268. Sau nawa ${hoh_roster_name} yayi tafiya zuwa ${hoh_destination} tun daga wancan ${period_hausa}?</t>
  </si>
  <si>
    <t>not(selected(${hoh_dest_index}, '-999'))</t>
  </si>
  <si>
    <t xml:space="preserve">${speedcheck_hoh_rosterdest_end} - ${speedcheck_hoh_rosterdest_start} </t>
  </si>
  <si>
    <t>269. Since ${period}, was there ever a time when ${hoh_roster_name} planned to migrate but then had to cancel their plans?</t>
  </si>
  <si>
    <t>269. Depuis cette ${period_french}, y a-t-il déjà eu un moment où ${hoh_roster_name} avait prévu de migrer mais a ensuite dû annuler ses projets ?</t>
  </si>
  <si>
    <t>269. Tun daga ${period_hausa}, ko akwai lokacin da ${hoh_roster_name} ya shirya zuwa biɗa amma sai ya soke shirinshi?</t>
  </si>
  <si>
    <t>270. Where did they plan to migrate?</t>
  </si>
  <si>
    <t>270. Où envisageait-il de migrer ?</t>
  </si>
  <si>
    <t>270. Zuwa ina ya shirya zuwa biɗar?</t>
  </si>
  <si>
    <t>${hoh_failed_prep} = 1</t>
  </si>
  <si>
    <t>271. Specify other</t>
  </si>
  <si>
    <t>271. Autre à préciser</t>
  </si>
  <si>
    <t>271. Wani daban a Bayyana</t>
  </si>
  <si>
    <t>${hoh_failed_prep_country} = -777</t>
  </si>
  <si>
    <t>count-selected(${hoh_failed_prep_country})</t>
  </si>
  <si>
    <t>selected-at(${hoh_failed_prep_country}, ${hoh_failed_index}-1)</t>
  </si>
  <si>
    <t>if(${hoh_failed_country_index} = -777, ${hoh_failed_prep_country_o}, choice-label(${hoh_failed_prep_country}, ${hoh_failed_country_index}))</t>
  </si>
  <si>
    <t>272. In ${hoh_failed_country}, what was the name of the city or town that ${hoh_roster_name} planned to move to?</t>
  </si>
  <si>
    <t>272. Dans ${hoh_failed_country}, quel était le nom de la ville ou du village vers lequel ${hoh_roster_name} prévoyait de voyager ?</t>
  </si>
  <si>
    <t>272. A ƙasar ${hoh_failed_country}, menene sunan birni ko garin da sunan ${hoh_roster_name} yayi shirin zuwa?</t>
  </si>
  <si>
    <t>search('towns', 'matches', 'country_id', ${hoh_failed_country_index})</t>
  </si>
  <si>
    <t>not(${hoh_failed_country_index} = 1 or ${hoh_failed_country_index} = -999)</t>
  </si>
  <si>
    <t>273. Specify other</t>
  </si>
  <si>
    <t>273. Autre à préciser</t>
  </si>
  <si>
    <t>273. Wani daban a Bayyana</t>
  </si>
  <si>
    <t>selected(${hoh_failed_town} , '-777')</t>
  </si>
  <si>
    <t>274. In ${hoh_failed_country}, what was the name of the region that ${hoh_roster_name} planned to move to?</t>
  </si>
  <si>
    <t>274. Dans ${hoh_failed_country}, quel était le nom de la région dans laquelle ${hoh_roster_name} prévoyait de voyager ?</t>
  </si>
  <si>
    <t>274. A kasar ${hoh_failed_country}, menene sunan yankin da sunan ${hoh_roster_name} ya shirya zuwa?</t>
  </si>
  <si>
    <t>${hoh_failed_country_index} = 1</t>
  </si>
  <si>
    <t>275. Specify other</t>
  </si>
  <si>
    <t>275. Autre à préciser</t>
  </si>
  <si>
    <t>275. Wani daban a Bayyana</t>
  </si>
  <si>
    <t>selected(${hoh_failed_region}, '-777')</t>
  </si>
  <si>
    <t>276. How many times did they plan to migrate to ${hoh_failed_country} and fail?</t>
  </si>
  <si>
    <t>276. Combien de fois ont-ils prévu de migrer vers ${hoh_failed_country} et ont-ils échoué ?</t>
  </si>
  <si>
    <t>276. Sau nawa ya shirya zuwa ƙasar ${hoh_failed_country} kuma ya kasa?</t>
  </si>
  <si>
    <t>${hoh_failed_country_index} != -999</t>
  </si>
  <si>
    <t>277. Why did they change their plans?</t>
  </si>
  <si>
    <t>277. Pourquoi a-t-il changé son plan?</t>
  </si>
  <si>
    <t>277. Me yasa ya fasa tafiyar?</t>
  </si>
  <si>
    <t>278. Specify other reason</t>
  </si>
  <si>
    <t>278. Précisez une autre raison</t>
  </si>
  <si>
    <t>278. Baiyana wani dalili daban</t>
  </si>
  <si>
    <t>selected(${hoh_failed_prep_reason}, '-777')</t>
  </si>
  <si>
    <t xml:space="preserve">${speedcheck_hoh_roster_end} - ${speedcheck_hoh_roster_start} </t>
  </si>
  <si>
    <t>join-if(' ', ${hoh_roster_index}, ${hoh_roster_age} &gt;= 7)</t>
  </si>
  <si>
    <t>join-if(' ', ${hoh_roster_index}, ${hoh_living_in_hh} = 1)</t>
  </si>
  <si>
    <t>join-if(' ', ${hoh_roster_index}, ${hoh_roster_in} = 1 or empty(${hoh_roster_name_cases}))</t>
  </si>
  <si>
    <t>if(sum(${hoh_dom_mig_ind}) &gt; 0, 1, 0)</t>
  </si>
  <si>
    <t>if(sum(${hoh_border_cross_ind}) &gt; 0, 1, 0)</t>
  </si>
  <si>
    <t>if(sum(${hoh_border_cross_ecowas_ind}) &gt; 0, 1, 0)</t>
  </si>
  <si>
    <t>if(${hoh_dom_mig} = 1 or ${hoh_border_cross} = 1, 1, 0)</t>
  </si>
  <si>
    <t>279. Now I will ask you about how your household manages its resources.</t>
  </si>
  <si>
    <t>279. Je vais maintenant vous demander comment votre ménage gère ses ressources.</t>
  </si>
  <si>
    <t>279. Yanzu zan tambaye ku yadda gidanku yake sarrafa dukiyoyinshi.</t>
  </si>
  <si>
    <t>280. Do you or another member of the household own this house?</t>
  </si>
  <si>
    <t>280. Est-ce que vous ou un autre membre du ménage êtes propriétaire de cette maison ?</t>
  </si>
  <si>
    <t>280. Shin wannan gidan mallakarku ne kai ko wani dan cikin gidan ?</t>
  </si>
  <si>
    <t>281. What is your best estimate of the value of your home in CFA?</t>
  </si>
  <si>
    <t>281. Quelle est votre meilleure estimation de la valeur de votre maison en CFA ?</t>
  </si>
  <si>
    <t>281. A ganinka wannan gidan aƙalla ya yi nawa a kudin CFA ?</t>
  </si>
  <si>
    <t>${hoh_own_home} = 1</t>
  </si>
  <si>
    <t>282. Does your household own the following goods?</t>
  </si>
  <si>
    <t>282. Votre ménage possède-t-il les biens suivants ?</t>
  </si>
  <si>
    <t>282. Ko gidanku na da kadarori masu zuwa?</t>
  </si>
  <si>
    <t>283. Does your household own any of the following types of livestock?</t>
  </si>
  <si>
    <t>283. Votre ménage possède-t-il l'un des types de bétail suivants ?</t>
  </si>
  <si>
    <t>283. ko gidanku yana da ɗaya daga cikin irin wadannan dabbobi?</t>
  </si>
  <si>
    <t>not(selected(${hoh_livestock_any}, '0'))</t>
  </si>
  <si>
    <t>count-selected(${hoh_livestock_any})</t>
  </si>
  <si>
    <t>choice-label(${hoh_livestock_any}, selected-at(${hoh_livestock_any}, index()-1))</t>
  </si>
  <si>
    <t>284. How many ${hoh_livestock_name} does your household own?</t>
  </si>
  <si>
    <t>284. Combien de ${hoh_livestock_name} votre ménage possède-t-il ?</t>
  </si>
  <si>
    <t>284. ${hoh_livestock_name} Nawa gidan ku ya mallaka ?</t>
  </si>
  <si>
    <t>. &gt;= 1 and . &lt;= 1000</t>
  </si>
  <si>
    <t>285. How much is ${hoh_livestock_name} worth in CFA?</t>
  </si>
  <si>
    <t>285. Combien vaut ${hoh_livestock_name} en CFA ?</t>
  </si>
  <si>
    <t>285. Nawa ne kuɗin ${hoh_livestock_name} a sefa?</t>
  </si>
  <si>
    <t xml:space="preserve">${speedcheck_hoh_livestock_end} - ${speedcheck_hoh_livestock_start} </t>
  </si>
  <si>
    <t>286. Now we'll talk about your households' agricultural and and animal husbandry activities. 
 Let's starting with the most recent agricultural season</t>
  </si>
  <si>
    <t>286. Maintenant, nous allons parler des activités agricoles et d'élevage de votre ménage.
 Commençons par la dernière saison agricole</t>
  </si>
  <si>
    <t>286. Yanzu za mu yi hira bisa aikin noma da kiwo na gidanku.</t>
  </si>
  <si>
    <t>287. Thinking of all the agricultural land your household owned, rented or and had access to during the last agricultural season, please estimate its total size in hectres</t>
  </si>
  <si>
    <t>287. En pensant à toutes les terres agricoles que votre ménage possédait, louait ou auxquelles il avait accès au cours de la dernière saison agricole, veuillez estimer leur superficie totale en hectares</t>
  </si>
  <si>
    <t>287. A ganinka da gonakan da kuka mallaka da na haya da na aro wanda kuka noma a bana sun kai eka nawa?</t>
  </si>
  <si>
    <t>288. How much of this land (in hectares) do you or another member of your household own?</t>
  </si>
  <si>
    <t>288. Quelle superficie de cette terre (en hectares) vous ou un autre membre de votre ménage possédez?</t>
  </si>
  <si>
    <t>288. Eka nawa ne mallakinku cikin wadannan gonakin, ku ko wani ɗan gidanku?</t>
  </si>
  <si>
    <t>. &lt;= ${hoh_land_access_amt}</t>
  </si>
  <si>
    <t>289. How much of this land, if any have you sold in the past year?</t>
  </si>
  <si>
    <t>289. Quelle superficie de ce terrain, si c'est déjà arrivé, avez-vous vendu au cours de l'année écoulée ?</t>
  </si>
  <si>
    <t>289. Eka nawa ne kuka saida, idan ya taɓa faruwa, a cikin shekarar da ta gabata?</t>
  </si>
  <si>
    <t>290. How much of this land, if any have you purchased in the past year?</t>
  </si>
  <si>
    <t>290. Quelle superficie de ce terrain, si c'est déjà arrivé, avez-vous acheté au cours de la dernière année ?</t>
  </si>
  <si>
    <t>290. Eka nawa ne kuka saye, idan ya faru, a cikin shekarar da ta gabata?</t>
  </si>
  <si>
    <t>291. How much of this land (in hectares) did you rent during the last agricultural season?</t>
  </si>
  <si>
    <t>291. Quelle superficie de cette terre (en hectares) avez-vous louée au cours de la dernière saison agricole ?</t>
  </si>
  <si>
    <t>291. Eka nawa ne kuka yi haya a lokacin noman da ta wuce?</t>
  </si>
  <si>
    <t>292. How much did you pay to rent this land during the last agricultural season (in CFA)?</t>
  </si>
  <si>
    <t>292. A combien avez-vous loué ce terrain (en CFA) au cours de la dernière saison agricole ?</t>
  </si>
  <si>
    <t>292. A nawa kuka yi hayar wannan gonar a lokacin noman da ta wuce (a sefa)?</t>
  </si>
  <si>
    <t>Think about the total amount you paid to rent this land for the entire agricultural season</t>
  </si>
  <si>
    <t>Pensez au montant total que vous avez payé pour louer ce terrain pour toute la saison agricole</t>
  </si>
  <si>
    <t>Tuna da jimillar kuɗin da kuka biya don hayar wannan fili a lokacin noma</t>
  </si>
  <si>
    <t>${hoh_rent_land} &gt; 0</t>
  </si>
  <si>
    <t xml:space="preserve">${speedcheck_hoh_land_end} - ${speedcheck_hoh_land_start} </t>
  </si>
  <si>
    <t>293. Now we will focus on agricultural activities during last agricultural season</t>
  </si>
  <si>
    <t>293. Maintenant, nous allons nous concentrer sur les activités agricoles au cours de la dernière saison agricole</t>
  </si>
  <si>
    <t>293. Yanzu za mu maida hankali kan ayyukan noma a lokacin damanar da ta wuce</t>
  </si>
  <si>
    <t>294. Which of the following crops did your household grow during the last agricultural season?</t>
  </si>
  <si>
    <t>294. Laquelle des cultures suivantes votre ménage a-t-il cultivées au cours de la dernière saison agricole ?</t>
  </si>
  <si>
    <t>294. Wanne daga cikin waɗannan amfanin gidanku ya noma a damanar da ta gabata?</t>
  </si>
  <si>
    <t>not(count-selected(.) &gt; 1 and selected(., 0))</t>
  </si>
  <si>
    <t>295. Specify other:</t>
  </si>
  <si>
    <t>295. Précisez la culture</t>
  </si>
  <si>
    <t>295. Baiyana wani abu daban:</t>
  </si>
  <si>
    <t>selected(${hoh_crops}, '-777')</t>
  </si>
  <si>
    <t>${hoh_crops} != 0</t>
  </si>
  <si>
    <t>count-selected(${hoh_crops})</t>
  </si>
  <si>
    <t>if(selected-at(${hoh_crops}, index()-1) = '-777', ${hoh_crops_o}, choice-label(${hoh_crops}, selected-at(${hoh_crops}, index()-1)))</t>
  </si>
  <si>
    <t>296. How much of ${hoh_crop_name} did your household produce?</t>
  </si>
  <si>
    <t>296. Quelle quantité de ${hoh_crop_name} votre ménage a-t-il produit ?</t>
  </si>
  <si>
    <t>296. ${hoh_crop_name} Nawa gidanku ya samu?</t>
  </si>
  <si>
    <t>297. Select crop unit for ${hoh_crop_name}</t>
  </si>
  <si>
    <t>297. Sélectionnez l'unité de culture pour ${hoh_crop_name}</t>
  </si>
  <si>
    <t>297. Zaɓi amfanin gonar don ${hoh_crop_name}</t>
  </si>
  <si>
    <t>298. Specify other unit:</t>
  </si>
  <si>
    <t>298. Spécifiez une autre unité :</t>
  </si>
  <si>
    <t>298. Baiyana wani amfanin gonar daban:</t>
  </si>
  <si>
    <t>${hoh_crop_unit} = -777</t>
  </si>
  <si>
    <t>if(${hoh_crop_unit} = -777, ${hoh_crop_unit_o}, choice-label(${hoh_crop_unit}, ${hoh_crop_unit}))</t>
  </si>
  <si>
    <t>299. What quantity (${hoh_crop_unit_name}) of ${hoh_crop_name} did your household sell since the last harvest?</t>
  </si>
  <si>
    <t>299. Quelle quantité (${hoh_crop_unit_name}) de ${hoh_crop_name} votre ménage a-t-il vendu depuis la dernière récolte ?</t>
  </si>
  <si>
    <t>299. Nawa ne yawan (${hoh_crop_unit_name}) na ${hoh_crop_name} gidanku ya saida tun daga kaka na ƙarshe?</t>
  </si>
  <si>
    <t>. &lt;= ${hoh_crop_quantity}</t>
  </si>
  <si>
    <t>300. What was the price per ${hoh_crop_unit_name} of ${hoh_crop_name} you sold in CFA?</t>
  </si>
  <si>
    <t>300. Quel était le prix unitaire (${hoh_crop_unit_name}) de ${hoh_crop_name} que vous avez vendu en CFA ?</t>
  </si>
  <si>
    <t>300. Nawa farashin kowane ${hoh_crop_unit_name} na ${hoh_crop_name} da kuka saida a CFA?</t>
  </si>
  <si>
    <t>${hoh_qty_sold} &gt; 0</t>
  </si>
  <si>
    <t>301. How many ${hoh_crop_unit_name}s of ${hoh_crop_name} did your household consume?</t>
  </si>
  <si>
    <t>301. Quelle quantité (${hoh_crop_unit_name}) de ${hoh_crop_name} votre ménage a-t-il consommé ?</t>
  </si>
  <si>
    <t>301. Nawa yawan ${hoh_crop_unit_name} na ${hoh_crop_name} gidanku ya cinye?</t>
  </si>
  <si>
    <t>302. If you were to sell the ${hoh_crop_name} that you consumed, what would be the price per ${hoh_crop_unit_name} in CFA?</t>
  </si>
  <si>
    <t>302. Si vous devriez vendre les ${hoh_crop_name} que vous avez consommés, quel serait le prix par ${hoh_crop_unit_name} en CFA ?</t>
  </si>
  <si>
    <t>302. Idan za ku sayar da ${hoh_crop_name} da kuka cinye, nawa zaku iya sayar da $ {hoh_crop_unit_name} a CFA?</t>
  </si>
  <si>
    <t>${hoh_qty_consume} &gt; 0</t>
  </si>
  <si>
    <t>${hoh_crop_quantity} - ${hoh_qty_sold} - ${hoh_qty_consume}</t>
  </si>
  <si>
    <t>303. The amount you have left (${hoh_qty_left}) is negative. Please return and revise your responses.</t>
  </si>
  <si>
    <t>303. Le montant qu'il vous reste (${hoh_qty_left}) est négatif. Veuillez revenir et réviser vos réponses.</t>
  </si>
  <si>
    <t>303. jimillar kuɗin da suka saura (${hoh_qty_left}) maras kyau ne. Da fatan za a dawo a sake duba amsoshin.</t>
  </si>
  <si>
    <t>${hoh_qty_left} &lt; 0</t>
  </si>
  <si>
    <t>304. Based on your responses, you had ${hoh_qty_left} ${hoh_crop_unit_name} left over. Does this sound correct?</t>
  </si>
  <si>
    <t>304. D'après vos réponses, il vous restait ${hoh_qty_left} ${hoh_crop_unit_name}. Est-ce que cela semble correct ?</t>
  </si>
  <si>
    <t>304. Dangane da amsoshinku, kuna da sauran ${hoh_qty_left} ${hoh_crop_unit_name}. Ko wannan yayi daidai?</t>
  </si>
  <si>
    <t>${hoh_qty_left} &gt;= 0</t>
  </si>
  <si>
    <t>305. If you were to sell the ${hoh_crop_name} that you had left over, what would be the price per ${hoh_crop_unit_name} in CFA?</t>
  </si>
  <si>
    <t>305. Si vous deviez vendre les ${hoh_crop_name} qui vous reste, quel serait le prix par ${hoh_crop_unit_name} en CFA ?</t>
  </si>
  <si>
    <t>305. Idan za ku sayar da ${hoh_crop_name} da ya muku saura, zaku iya sayar da $ {hoh_crop_unit_name} a CFA?</t>
  </si>
  <si>
    <t>${hoh_qty_left} &gt; 0</t>
  </si>
  <si>
    <t>${hoh_qty_sold} * ${hoh_price_sold}</t>
  </si>
  <si>
    <t>306. How much did your household spend on the following types of expenses during the last agricultural season in CFA?</t>
  </si>
  <si>
    <t>306. Combien votre ménage a-t-il dépensé pour les types de dépenses suivantes au cours de la dernière saison agricole (en CFA) ?</t>
  </si>
  <si>
    <t>306. Nawa ne gidanku ya kashe akan waɗannan abubuwan a lokacin noman da ya wuce (a sefa)?</t>
  </si>
  <si>
    <t>307. Seeds</t>
  </si>
  <si>
    <t>307. Semences</t>
  </si>
  <si>
    <t>307. Iri</t>
  </si>
  <si>
    <t>308. Fertilizer</t>
  </si>
  <si>
    <t>308. Engrais</t>
  </si>
  <si>
    <t>308. Takin zamani</t>
  </si>
  <si>
    <t>309. Renting machines and tools (i.e. for plowing or spraying)</t>
  </si>
  <si>
    <t>309. Location de machines et d'outils (c'est-à-dire pour labourer ou pulvériser)</t>
  </si>
  <si>
    <t>309. Hayar injina da kayan aiki ( don noma ko feshi)</t>
  </si>
  <si>
    <t>310. Water</t>
  </si>
  <si>
    <t>310. Eau</t>
  </si>
  <si>
    <t>310. Ruwa</t>
  </si>
  <si>
    <t>${speedcheck_hoh_cropsinfo_end} - ${speedcheck_hoh_cropsinfo_start}</t>
  </si>
  <si>
    <t>311. We want to understand how many days people worked in your fields and who did this work.</t>
  </si>
  <si>
    <t>311. Nous voulons comprendre combien de jours des gens ont travaillé dans vos champs et qui a fait ce travail.</t>
  </si>
  <si>
    <t>311. Muna son mu fahimci kwanaki nawa mutane suka yi aiki a gonakinku da kuma wanda ya yi wannan aikin.</t>
  </si>
  <si>
    <t>312. Think about the last agricultural season. How many weeks were people working in your fields? This includes work by people who are members of your household and those who are not members of your household.</t>
  </si>
  <si>
    <t>312. Pensez à la dernière saison agricole. Combien de semaines au total les gens ont-ils travaillé dans vos champs ? Cela inclut le travail des personnes qui sont membres de votre ménage et celles qui ne le sont pas.</t>
  </si>
  <si>
    <t>312. Ku tuna da lokacin noma na ƙarshe. Makonni nawa mutane ke aiki a filayenku? Wannan ya haɗa da aikin mutanen da ke cikin gidanku da waɗanda ba ƴan gidanku ba ne.</t>
  </si>
  <si>
    <t>. &gt;= 0 and . &lt;= 26</t>
  </si>
  <si>
    <t>313. Think about a typical week during the last agricultural season. How many days were people working in your fields? This includes work by people who are members of your household and those who are not members of your household.</t>
  </si>
  <si>
    <t>313. Pensez à une semaine typique au cours de la dernière saison agricole. Combien de jours les gens ont-ils travaillé dans vos champs par semaine ? Cela inclut le travail des personnes qui sont membres de votre ménage et celles qui ne le sont pas.</t>
  </si>
  <si>
    <t>313. Ku tuna da mako guda na lokacin damana ta ƙarshe. Kwanaki nawa mutane suke aiki a gonkinku a cikin kowane sati? Wannan ya haɗa da aikin mutanen da ke cikin gidan ku da waɗanda ba 'yan gidan ku ba ne.</t>
  </si>
  <si>
    <t>count-selected(${hoh_members_above_7})</t>
  </si>
  <si>
    <t>selected-at(${hoh_members_above_7}, index()-1)</t>
  </si>
  <si>
    <t>indexed-repeat(${hoh_roster_name}, ${hoh_roster}, ${hoh_labor_index})</t>
  </si>
  <si>
    <t>314. Can you estimate how many days during the last agricultural season did ${hoh_labor_name} work in field?</t>
  </si>
  <si>
    <t>314. Pouvez-vous estimer combien de jours au cours de la dernière saison agricole ${hoh_labor_name} a-t-il travaillé dans les champs ?</t>
  </si>
  <si>
    <t>314. Za ku iya ƙiyasin kwanaki nawa a lokacin noman da ya gabata ${hoh_labor_name} ya yi aikin a noma?</t>
  </si>
  <si>
    <t>. &gt;= 0 and . &lt;= 180</t>
  </si>
  <si>
    <t>315. The following questions about agricultural labor are for the last agricultural season (last 180 days).</t>
  </si>
  <si>
    <t>315. Les questions suivantes sur le travail agricole concernent la dernière saison agricole (180 derniers jours).\</t>
  </si>
  <si>
    <t>315. Tambayoyi masu zuwa game da aikin noma na ƙarshe ne (kwanaki 180 na ƙarshe).</t>
  </si>
  <si>
    <t>316. Did you hire anyone outside of your household to work in your fields?</t>
  </si>
  <si>
    <t>316. Avez-vous embauché quelqu'un en dehors de votre ménage pour travailler dans vos champs ?</t>
  </si>
  <si>
    <t>316. Ko kun ɗauki wani dan barema da ba ɗan gidanku ba don yin aiki a gonakinku?</t>
  </si>
  <si>
    <t>${hoh_days_labor} &gt; 0</t>
  </si>
  <si>
    <t>317. How many different people did you hire people to work in your fields?</t>
  </si>
  <si>
    <t>317. Combien de personnes avez-vous embauchées pour travailler dans vos champs ?</t>
  </si>
  <si>
    <t>317. Mutane nawa kuka ɗauka don yin aiki a gonakinku?</t>
  </si>
  <si>
    <t>${hoh_hire_ag} = 1</t>
  </si>
  <si>
    <t>318. How many days did each laborer work in your fields?</t>
  </si>
  <si>
    <t>318. Combien de jours chaque ouvrier a-t-il travaillé dans vos champs ?</t>
  </si>
  <si>
    <t>318. Kwanaki nawa kowane ma'aikaci yayi aiki a gonakinku?</t>
  </si>
  <si>
    <t>319. What was the daily wage you paid for people to work in your fields, or how much would you pay in CFA?</t>
  </si>
  <si>
    <t>319. Quel était le salaire journalier que vous payiez pour que les gens travaillent dans vos champs, ou combien paieriez-vous en CFA ?</t>
  </si>
  <si>
    <t>319. Nawa ne kuke biyan waɗanda suka yi aiki a gonakinku a dukkan wuni a sefa ?</t>
  </si>
  <si>
    <t>${hoh_income3} + ${hoh_income4} + ${hoh_income5} + ${hoh_income6} + ${hoh_income7} + ${hoh_income8}</t>
  </si>
  <si>
    <t>320. Thinking of your expenses related to labor and investment in your fields during the last agricultural season, you spent a total of ${hoh_total_paid} in CFA, is this correct?</t>
  </si>
  <si>
    <t>320. Pour toutes les dépenses pour vos champs dont nous avons parlé, vous avez payé ${hoh_total_paid} en CFA, est-ce correct ?</t>
  </si>
  <si>
    <t>320. Ku tuna da dukkan kuɗaɗen da kuka kashe a kan aikin gona a lokacin aikin noma na ƙarshe, kun kashe jimillar ${hoh_total_paid} a CFA, wannan daidai ne?</t>
  </si>
  <si>
    <t>. = 1</t>
  </si>
  <si>
    <t>Veuillez revenir et corriger vos réponses aux questions 88 à 93.</t>
  </si>
  <si>
    <t>321. Now we'll ask about any work by members of your household in fields owned by other people.</t>
  </si>
  <si>
    <t>321. Nous allons maintenant poser des questions sur tout travail effectué par des membres de votre ménage dans des champs appartenant à d'autres personnes.</t>
  </si>
  <si>
    <t>321. Yanzu za mu yi tambayoyi game da duk wani aiki da ƴan gidanku suka yi a gonakin wasu mutane.</t>
  </si>
  <si>
    <t>322. Have any family members worked as a day labor in fields for someone else?</t>
  </si>
  <si>
    <t>322. Pensez à tout membre de votre ménage, y-a t-il des membres de votre ménage qui ont travaillé comme journaliers dans le champs de quelqu'un d'autre ?</t>
  </si>
  <si>
    <t>322. Ko wani ɗan gidanku ya yi aiki a matsayin ɗan barema a gonar wani?</t>
  </si>
  <si>
    <t xml:space="preserve">${speedcheck_hoh_labor_end} - ${speedcheck_hoh_labor_start} </t>
  </si>
  <si>
    <t>${hoh_members_paid_ag} = 1</t>
  </si>
  <si>
    <t>indexed-repeat(${hoh_roster_name}, ${hoh_roster}, index())</t>
  </si>
  <si>
    <t>indexed-repeat(${hoh_roster_age}, ${hoh_roster}, index())</t>
  </si>
  <si>
    <t>323. Can you estimate how many days ${hoh_paid_name} worked as a day laborer in the fields for someone else?</t>
  </si>
  <si>
    <t>323. Pouvez-vous estimer combien de jours ${hoh_paid_name} a travaillé comme journalier dans les champs d'autres personnes ?</t>
  </si>
  <si>
    <t>323. Za ku iya misalta ko wuni nawa ${hoh_paid_name} yayi aiki a matsayin ma'aikacin barema a gonar wasu mutane?</t>
  </si>
  <si>
    <t>${hoh_paid_age} &gt; 7</t>
  </si>
  <si>
    <t>324. What was the daily wage paid to ${hoh_paid_name} working as a day laborer for someone else in CFA?</t>
  </si>
  <si>
    <t>324. Quel était le salaire journalier payé à ${hoh_paid_name} travaillant comme journalier pour quelqu'un d'autre en CFA ?</t>
  </si>
  <si>
    <t>324. Nawa biyan ${hoh_paid_name} na wuni a lokacin da yake barema a gonar wani a sefa?</t>
  </si>
  <si>
    <t>${hoh_paid_ag} &gt; 0</t>
  </si>
  <si>
    <t>${hoh_paid_ag} * ${hoh_paid_ag_wage}</t>
  </si>
  <si>
    <t xml:space="preserve">${speedcheck_hoh_paid_end} - ${speedcheck_hoh_paid_start} </t>
  </si>
  <si>
    <t>325. Thinking about the last agricultural season, did you need to pay other expenses we did not ask you about?</t>
  </si>
  <si>
    <t>325. En pensant à la dernière saison agricole, avez-vous dû faire d'autres dépenses dont nous n'avons pas parlé ?</t>
  </si>
  <si>
    <t>325. A tunaninka a lokacin noman da ya gabata, akwai wasu kashe kashen kuɗi da kuka yi wanda ba mu yi zancen su ba?</t>
  </si>
  <si>
    <t>326. What was the expense?</t>
  </si>
  <si>
    <t>326. Quelle était la dépense ?</t>
  </si>
  <si>
    <t>326. wane kashe kuɗi ne ?</t>
  </si>
  <si>
    <t>${hoh_ag_exp_other}=1</t>
  </si>
  <si>
    <t>327. What was the approximate value of ${hoh_ag_exp_other_name} in CFA?</t>
  </si>
  <si>
    <t>327. Quelle était la valeur approximative de ${hoh_ag_exp_other_name} en CFA ?</t>
  </si>
  <si>
    <t>327. Nawa farashin ${hoh_ag_exp_other_name} a wacan lokacin a sefa?</t>
  </si>
  <si>
    <t>if(empty(sum(${hoh_paid_ag_total})), 0, sum(${hoh_paid_ag_total}))</t>
  </si>
  <si>
    <t>if(empty(sum(${hoh_crop_revenue})), 0, sum(${hoh_crop_revenue}))</t>
  </si>
  <si>
    <t>if(empty(${hoh_hire_ag_num}) or empty(${hoh_hire_ag_days}) or empty(${hoh_hire_ag_wage}), 0, ${hoh_hire_ag_num} * ${hoh_hire_ag_days} * ${hoh_hire_ag_wage})</t>
  </si>
  <si>
    <t>if(empty(${hoh_spend_seeds}), 0, ${hoh_spend_seeds})</t>
  </si>
  <si>
    <t>if(empty(${hoh_spend_fert}), 0, ${hoh_spend_fert})</t>
  </si>
  <si>
    <t>hoh_ramadan</t>
  </si>
  <si>
    <t>if(empty(${hoh_spend_rent}), 0, ${hoh_spend_rent})</t>
  </si>
  <si>
    <t>if(empty(${hoh_spend_water}), 0, ${hoh_spend_water})</t>
  </si>
  <si>
    <t>if(empty(${hoh_ag_exp_other_amt}), 0, ${hoh_ag_exp_other_amt})</t>
  </si>
  <si>
    <t>${hoh_income1} + ${hoh_income2}  - ${hoh_income3} - ${hoh_income4} - ${hoh_income5} - ${hoh_income6} - ${hoh_income7} - ${hoh_income8}</t>
  </si>
  <si>
    <t>328. Total income: ${hoh_total_income}
 Does this seem right?</t>
  </si>
  <si>
    <t>328. Revenu total : ${hoh_total_income}
 Cela vous semble-t-il juste ?</t>
  </si>
  <si>
    <t>328. Jimillar kuɗin shiga: ${hoh_total_income}
 ko kuna ganin hakan yayi daidai?</t>
  </si>
  <si>
    <t>Veuillez revenir et corriger vos réponses aux questions 82 à 87 et 95 à 97</t>
  </si>
  <si>
    <t>329. Now we'll ask about income generating activity from animal husbandry in the past six months</t>
  </si>
  <si>
    <t>329. Nous allons maintenant vous poser des questions sur les activités génératrices de revenus provenant de l'élevage au cours des six derniers mois.</t>
  </si>
  <si>
    <t>329. Yanzu za mu yi tambaya game da ayyukan samar da kuɗin shiga daga kiwon dabbobi a cikin watanni shida da suka gabata</t>
  </si>
  <si>
    <t>choice-label(${hoh_livestock_any}, index())</t>
  </si>
  <si>
    <t>330. How many ${hoh_livestock_act_name} did you buy?</t>
  </si>
  <si>
    <t>330. Combien de ${hoh_livestock_act_name} avez-vous acheté ?</t>
  </si>
  <si>
    <t>330. ${hoh_livestock_act_name} Nawa kuka saye?</t>
  </si>
  <si>
    <t>331. How much did you buy ${hoh_livestock_act_name} for in CFA?</t>
  </si>
  <si>
    <t>331. Pour combien avez-vous acheté ${hoh_livestock_act_name} en CFA ?</t>
  </si>
  <si>
    <t>331. A nawa kuka sayi ${hoh_livestock_act_name} a kuɗin CFA?</t>
  </si>
  <si>
    <t>You mentioned that you bought ${hoh_livestock_bought} individual ${hoh_livestock_act_name}. Please report the total price you received in CFA.</t>
  </si>
  <si>
    <t>${hoh_livestock_bought} &gt; 0</t>
  </si>
  <si>
    <t>332. How many ${hoh_livestock_act_name} did you sell?</t>
  </si>
  <si>
    <t>332. Combien de ${hoh_livestock_act_name} avez-vous vendu ?</t>
  </si>
  <si>
    <t>332. ${hoh_livestock_act_name} nawa kuka saida?</t>
  </si>
  <si>
    <t>333. How much did you sell ${hoh_livestock_act_name} for in CFA?</t>
  </si>
  <si>
    <t>333. Pour combien avez-vous vendu ${hoh_livestock_act_name} en CFA ?</t>
  </si>
  <si>
    <t>333. Nawa kuka sayar da ${hoh_livestock_act_name} a kuɗin CFA?</t>
  </si>
  <si>
    <t>You mentioned that you sold ${hoh_livestock_sold} individual ${hoh_livestock_act_name}. Please report the total amount you received in CFA.</t>
  </si>
  <si>
    <t>${hoh_livestock_sold} &gt; 0</t>
  </si>
  <si>
    <t>334. How many ${hoh_livestock_act_name} did you consume?</t>
  </si>
  <si>
    <t>334. Combien de ${hoh_livestock_act_name} avez-vous consommé ?</t>
  </si>
  <si>
    <t>334. ${hoh_livestock_act_name} Nawa kuka cinye ?</t>
  </si>
  <si>
    <t>335. If you were to sell the ${hoh_livestock_act_name} you consumed, how much would you sell them for in CFA?</t>
  </si>
  <si>
    <t>335. Si vous devriez vendre les ${hoh_livestock_act_name} que vous avez consommés, à combien les vendriez-vous en CFA ?</t>
  </si>
  <si>
    <t>335. Idan za ku sayar da ${hoh_livestock_act_name} da kuka cinye, nawa za ku sayar da su a CFA?</t>
  </si>
  <si>
    <t>You mentioned that you consumed ${hoh_livestock_consumed} individual ${hoh_livestock_act_name}. Please report the total amount you would receive in CFA.</t>
  </si>
  <si>
    <t>${hoh_livestock_consumed} &gt; 0</t>
  </si>
  <si>
    <t>336. In the past six months, how much did you spend on food and health expense for all of your animals (in CFA)?</t>
  </si>
  <si>
    <t>336. Au cours des six derniers mois, combien avez-vous dépensé en nourriture et en soins pour tous vos animaux (en CFA) ?</t>
  </si>
  <si>
    <t>336. A cikin watanni shida da suka gabata, nawa kuka kashe akan abinci da kuɗin kiwon lafiya ga dukan dabbobinku (a cikin CFA)?</t>
  </si>
  <si>
    <t>337. When thinking about the past six months, I would like to ask you about how many days a typical week people in your household worked. We know people may work more during some weeks rather than others, please think about what happens during most weeks.</t>
  </si>
  <si>
    <t>337. En pensant aux six derniers mois, j'aimerais vous demander combien de jours par semaine les membres de votre menage ont travaillé en moyenne. Nous savons que certaines personnes travaillent plus certaines semaines que d'autres ; pensez donc à ce qui se passe la plupart du temps.</t>
  </si>
  <si>
    <t>337. 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t>
  </si>
  <si>
    <t>338. How many days did people in your household work to care for your animals in a typical week in the past six months?</t>
  </si>
  <si>
    <t>338. Au cours des six derniers mois, combien de jours de travail les membres de votre menage ont-ils consacrés à vos animaux par semaine ?</t>
  </si>
  <si>
    <t>338. A cikin watanni shida da suka gabata, kwana nawa mutanen gidanku suka yi aiki don kula da dabbobinku a cikin mako guda ?</t>
  </si>
  <si>
    <t>. &lt;= 7</t>
  </si>
  <si>
    <t>339. In the past six months, did you hire anyone outside your household to care for your animals?</t>
  </si>
  <si>
    <t>339. Au cours des six derniers mois, avez-vous embauché une personne extérieure à votre foyer pour s'occuper de vos animaux ?</t>
  </si>
  <si>
    <t>339. A cikin wata shida da suka gabata, ko kun dauki hayar wani wanda ba ɗan gidanku ba don kula da dabbobinku?</t>
  </si>
  <si>
    <t>340. In the last six months, for how many weeks did you hire people to care for your livestock?</t>
  </si>
  <si>
    <t>340. Au cours des six derniers mois, pendant combien de semaines avez-vous embauché des personnes pour s'occuper de votre bétail ?</t>
  </si>
  <si>
    <t>340. A cikin watanni shida da suka gabata, tsawon makonni nawa kuka dauki hayar mutane don kula da dabbobinku?</t>
  </si>
  <si>
    <t>. &lt;= 12</t>
  </si>
  <si>
    <t>${hoh_hire_livestock} = 1</t>
  </si>
  <si>
    <t>341. What was the weekly wage paid to people who care for your animals, or how much would you pay in CFA?</t>
  </si>
  <si>
    <t>341. Quel était les frais hebdomadaire payés aux personnes qui s'occupent de vos animaux, ou combien paieriez-vous en CFA ?</t>
  </si>
  <si>
    <t>341. 105 a. Nawa albashin mako-mako na wannan mutanen da ke kula da dabbobinku a CFA?</t>
  </si>
  <si>
    <t>${hoh_hire_livestock_days} * ${hoh_hire_livestock_wage} * 12</t>
  </si>
  <si>
    <t>342. You paid ${hoh_hire_livestock_total} in CFA for people to care for your animals, is this correct?</t>
  </si>
  <si>
    <t>342. Vous avez payé ${hoh_hire_livestock_total} (en CFA) aux personnes qui s'occupent de vos animaux, est-ce exact ?</t>
  </si>
  <si>
    <t>342. ${hoh_hire_livestock_total} (a sefa) kuka biya, ko daidai ne?</t>
  </si>
  <si>
    <t>343. In the past six months, did any member of your household care for livestock owned by other people?</t>
  </si>
  <si>
    <t>343. Au cours des six derniers mois, un membre de votre menage a-t-il pris soin du bétail appartenant à d'autres personnes ?</t>
  </si>
  <si>
    <t>343. A cikin wata shida da suka wuce, akwai wani daga cikin ƴan gidan ku da ya kula da dabbobin wasu mutane?</t>
  </si>
  <si>
    <t>344. In a typical week, how many days did they do this job?</t>
  </si>
  <si>
    <t>344. Au cours d'une semaine normale, combien de jours ont-ils fait ce travail ?</t>
  </si>
  <si>
    <t>344. A cikin mako, kwana nawa suka yi wannan aikin?</t>
  </si>
  <si>
    <t>${hoh_paid_livestock} = 1</t>
  </si>
  <si>
    <t>345. What was the daily wage paid to household members who cared for livestock owned by other people?</t>
  </si>
  <si>
    <t>345. Quel étaient les frais journaliers payés aux membres de votre ménage qui s'occupent des animaux du bétail appartenant à d'autres personnes en CFA ?</t>
  </si>
  <si>
    <t>345. Nawa ne biyan wuni na ƴan gida masu kula da dabbobin wasu mutane (a kuɗin CFA)?</t>
  </si>
  <si>
    <t>346. Now we will ask about other forms of income people in your household may have earned in the past six months.</t>
  </si>
  <si>
    <t xml:space="preserve">346. </t>
  </si>
  <si>
    <t>347. Do you or another member of your household own land that is currently not used for agriculture, outside of your current home?</t>
  </si>
  <si>
    <t>347. Est-ce que vous ou un autre membre de votre ménage possédez des terres qui ne sont actuellement pas utilisées pour l'agriculture, en dehors de votre domicile actuel ?</t>
  </si>
  <si>
    <t>347. Shin kai ko wani na gidanku kuna da wasu hilaye wanda ba na noma ba bancin gidanku da kuke ciki a halin yanzu?</t>
  </si>
  <si>
    <t>348. In the past six months, what is the total revenue from rent of land or other property in CFA?</t>
  </si>
  <si>
    <t>348. Au cours des six derniers mois, quel a été le montant total des revenus locatifs de terres ou d'autres biens en CFA ?</t>
  </si>
  <si>
    <t>348. A cikin watanni shida da suka gabata, nawa ne jimillar kuɗaɗen da kuka samu daga hayar filaye ko wasu kadarori a CFA?</t>
  </si>
  <si>
    <t>${hoh_own_other} = 1</t>
  </si>
  <si>
    <t>349. In the past six months, what is the total value of interest from loans you have given to others in CFA?</t>
  </si>
  <si>
    <t>349. Au cours des six derniers mois, quel a été le montant total des intérêts des prêts que vous avez accordés à d'autres en CFA ?</t>
  </si>
  <si>
    <t>349. A cikin watanni shida da suka gabata, nawa ne jimillar ribar da kuka samu daga rancen da kuka bai wa wasu a CFA?</t>
  </si>
  <si>
    <t xml:space="preserve">${speedcheck_hoh_livestockact_end} - ${speedcheck_hoh_livestockact_start} </t>
  </si>
  <si>
    <t>350. Does anyone in the household fully, or partly own and operate an income generating activity that is not farming or herding? (i.e. a shop where you sell goods, restaurant, butcher shop)?</t>
  </si>
  <si>
    <t>350. Quelqu'un dans le ménage possède-t-il entièrement ou partiellement une activité génératrice de revenus autre que l'agriculture ou l'élevage ? (C'est-à-dire un magasin où vous vendez des marchandises, un restaurant, une boucherie) ?</t>
  </si>
  <si>
    <t>350. Ko akwai wani ɗan gidanku mai sana'a wanda jarin gaba daya nashi ko na hadin gwiwa ne banda noma da kiyo? ( kantin saida kaya, gidan abinci, fawa)?</t>
  </si>
  <si>
    <t>351. What type of business is this?</t>
  </si>
  <si>
    <t>351. Quel type d'entreprise est-ce?</t>
  </si>
  <si>
    <t>351. Wane irin kasuwanci ne?</t>
  </si>
  <si>
    <t>${hoh_own_biz} = 1</t>
  </si>
  <si>
    <t>352. Specify other</t>
  </si>
  <si>
    <t>352. Autre à préciser :</t>
  </si>
  <si>
    <t>352. Baiyana wani abu daban:</t>
  </si>
  <si>
    <t>${hoh_biz_type} = -777</t>
  </si>
  <si>
    <t>if(${hoh_biz_type} = -777, ${hoh_biz_type_o}, choice-label(${hoh_biz_type}, ${hoh_biz_type}))</t>
  </si>
  <si>
    <t>353. Do you have a permanent location (i.e. building)?</t>
  </si>
  <si>
    <t>353. Avez-vous un emplacement permanent (c'est-à-dire un bâtiment) ?</t>
  </si>
  <si>
    <t>353. Kuna da wurin dindindin (kamar gini)?</t>
  </si>
  <si>
    <t>354. How many people outside of your household do you employ in this business?</t>
  </si>
  <si>
    <t>354. Combien de personnes en dehors de votre ménage employez-vous dans cette entreprise ?</t>
  </si>
  <si>
    <t>354. Mutane nawa ne kuka dauka aiki banda ƴan gidan a wannan kasuwancin?</t>
  </si>
  <si>
    <t>355. How much do you pay per day for people to work in this business in CFA?</t>
  </si>
  <si>
    <t>355. Combien payez-vous par jour pour que les gens travaillent dans cette entreprise (en CFA) ?</t>
  </si>
  <si>
    <t>355. Nawa kuke biyan su a wuni (a sefa) ?</t>
  </si>
  <si>
    <t>${hoh_own_biz} = 1 and ${hoh_biz_employ} = 1</t>
  </si>
  <si>
    <t>count-selected(${hoh_members_in_hh})</t>
  </si>
  <si>
    <t>selected-at(${hoh_members_in_hh}, index()-1)</t>
  </si>
  <si>
    <t>indexed-repeat(${hoh_roster_name}, ${hoh_roster}, ${hoh_biz_index})</t>
  </si>
  <si>
    <t>indexed-repeat(${hoh_roster_age}, ${hoh_roster}, ${hoh_biz_index})</t>
  </si>
  <si>
    <t>356. In a typical week during the past six months, how many days did ${hoh_biz_name} work in the household business?</t>
  </si>
  <si>
    <t>356. Au cours d'une semaine normale dans les six derniers mois, combien de jours ${hoh_biz_name} a-t-il travaillé dans l'entreprise familiale ?</t>
  </si>
  <si>
    <t>356. A cikin mako guda a cikin watanni shida da suka gabata, kwanaki nawa ${hoh_biz_name} yayi aiki a cikin kasuwancin gida?</t>
  </si>
  <si>
    <t>${hoh_own_biz} = 1 and ${hoh_biz_age} &gt;= 7</t>
  </si>
  <si>
    <t xml:space="preserve">${speedcheck_hoh_biz_end} - ${speedcheck_hoh_biz_start} </t>
  </si>
  <si>
    <t>357. Thinking about all of the revenues from this business in the past six months, what was the total amount of money coming in from this business in the last six months?</t>
  </si>
  <si>
    <t>357. En considérant tous les revenus de cette entreprise au cours des six derniers mois, quel a été le montant total des rentrées d'argent provenant de cette entreprise au cours des six derniers mois ?</t>
  </si>
  <si>
    <t>357. Idan aka yi la’akari da dukkan kuɗaɗen shiga da aka samu daga wannan sana’ar a cikin watanni shida da suka gabata, nawa ne yawan kuɗaɗen da aka samu daga wannan sana’ar a cikin watanni shida da suka gabata?</t>
  </si>
  <si>
    <t>358. Thinking about all of the the expenses from this business, what was the total amount of money you spent on costs related to this business in the last six months?</t>
  </si>
  <si>
    <t>358. En considérant toutes les dépenses de cette entreprise, quel a été le montant total des dépenses liées à cette entreprise au cours des six derniers mois ?</t>
  </si>
  <si>
    <t>358. Idan aka yi la’akari da duk abin da aka kashe daga wannan kasuwancin, nawa ne jimlar kuɗin da kuka kashe akan farashi mai alaƙa da wannan kasuwancin a cikin watanni shida da suka gabata?</t>
  </si>
  <si>
    <t>${hoh_biz_revenue} - ${hoh_biz_expense}</t>
  </si>
  <si>
    <t>359. Thinking about all the revenue and expense related to this business during the past six months, you said that the net income from this business for your household is ${hoh_biz_income}. Is that correct?</t>
  </si>
  <si>
    <t>359. En considérant tous les revenus et dépenses liés à cette entreprise au cours des six derniers mois, vous avez indiqué que le revenu net de votre menage s'élevait à ${hoh_biz_income}. Est-ce exact ?</t>
  </si>
  <si>
    <t>359. Idan aka yi la'akari da duk kuɗaɗen shiga da kashewa da suka shafi wannan kasuwancin a cikin watanni shida da suka gabata, kun ce yawan kuɗin da aka samu daga wannan kasuwancin na gidan ku shine ${hoh_biz_income}. Shin hakan daidai ne?</t>
  </si>
  <si>
    <t>360. We have discussed work done by members of your household in agriculture, in husbandry, in a business owned by your family.</t>
  </si>
  <si>
    <t>360. Nous avons discuté du travail effectué par les membres de votre ménage dans l'agriculture, l'élevage, dans une entreprise appartenant à votre famille.</t>
  </si>
  <si>
    <t>360. “Mun tattauna bisa ayyukan da ƴan gidanku suka yi a harakar noma da kiwo, kasuwancin da ƴan gidanku suka mallaka.</t>
  </si>
  <si>
    <t>indexed-repeat(${hoh_roster_name}, ${hoh_roster}, ${hoh_member_act_index})</t>
  </si>
  <si>
    <t>361. In the past six months, did ${hoh_member_act_name} earn money from any other activity?</t>
  </si>
  <si>
    <t>361. Au cours des six derniers mois, ${hoh_member_act_name} a-t-il gagné de l'argent grâce à une autre activité ?</t>
  </si>
  <si>
    <t>361. A cikin watanni shida da suka gabata, ${hoh_member_act_name} ya sami kuɗi daga wani aiki daban ?</t>
  </si>
  <si>
    <t>362. What was the activity?</t>
  </si>
  <si>
    <t>362. Quelle était l'activité ?</t>
  </si>
  <si>
    <t>362. Menene aikin?</t>
  </si>
  <si>
    <t>${hoh_member_other_activity} = 1</t>
  </si>
  <si>
    <t>363. Specify the activity</t>
  </si>
  <si>
    <t>363. Précisez l'activité</t>
  </si>
  <si>
    <t>363. Baiyana aikin</t>
  </si>
  <si>
    <t>${hoh_member_other_activity} = 1 and ${hoh_member_other_act} = '-777'</t>
  </si>
  <si>
    <t>if(${hoh_member_other_act} = '-777', ${hoh_member_other_activity_o}, choice-label(${hoh_member_other_act}, ${hoh_member_other_act}))</t>
  </si>
  <si>
    <t>364. How much does ${hoh_member_act_name} earn from this activity during an average week (that they are engaged in ${hoh_member_other_activity_name})?</t>
  </si>
  <si>
    <t>364. Combien ${hoh_member_act_name} gagne-t-il grâce à cette activité au cours d'une semaine en moyenne (pendant laquelle il est engagé comme ${hoh_member_other_activity_name}) ?</t>
  </si>
  <si>
    <t>364. A takaice nawa ${hoh_member_act_name} yake samu daga wannan aiki a cikin sati (a lokacin da suke cikin aikin ${hoh_member_other_activity_name})?</t>
  </si>
  <si>
    <t>365. Think about the past six months how many weeks did they engage in ${hoh_member_other_activity_name}?</t>
  </si>
  <si>
    <t>365. Pensez aux six derniers mois, combien de semaines ont-ils consacrées à ${hoh_member_other_activity_name} ?</t>
  </si>
  <si>
    <t>365. Ku tuna da lokacin da ${hoh_member_other_activity_name} a watanni shida da suka gabata tsawon makonni nawa suka yi wannan aikin ?</t>
  </si>
  <si>
    <t>366. Can you estimate how much ${hoh_member_act_name} contributes to the household common pot in a typical week (excluding labor) including both cash and in goods?</t>
  </si>
  <si>
    <t>366. Pouvez-vous estimer la contribution de ${hoh_member_act_name} au fond commun du ménage au cours d'une semaine normale (hors main-d'œuvre), y compris en espèces et en nature ?</t>
  </si>
  <si>
    <t>366. Ko za ku iya kimanta gudunmawar kuɗi da kaya da ${hoh_member_act_name} ya kawo gidan a cikin sati guda (banda aiki)?</t>
  </si>
  <si>
    <t xml:space="preserve"> ${speedcheck_hoh_memact_end} - ${speedcheck_hoh_memact_start}</t>
  </si>
  <si>
    <t>367. Since Tabaski of last year (2024), has your household received money from ${pm_name} from locations outside your village through the following methods?</t>
  </si>
  <si>
    <t>367. Depuis la Tabaski de l'année dernière (2024), votre menage a-t-il reçu de l'argent de ${pm_name} en dehors de votre village par les moyens suivants ?</t>
  </si>
  <si>
    <t>367. Tun layya ta bara (2024), ko ƴan gidanku sun karɓi kuɗi daga ${pm_name} daga wajen ƙauyenku ta hanyoyi masu zuwa?</t>
  </si>
  <si>
    <t>If they physically brought the money with them when they returned from their trip, please select "Hand cash directly to recipient".</t>
  </si>
  <si>
    <t>S'ils ont apporté l'argent physiquement à leur retour de voyage, veuillez sélectionner « Remettre l'argent directement au bénéficiaire ».</t>
  </si>
  <si>
    <t>Idan sun zo da kuɗin tare da su a hannu lokacin da suka dawo daga tafiyarsu, sai a zaɓi "Bada kuɗi Hannu da hannu".</t>
  </si>
  <si>
    <t xml:space="preserve">
not(selected(., '0') and count-selected(.) &gt; 1)</t>
  </si>
  <si>
    <t>368. How much have you received from ${pm_name} (in CFA) since tabaski last year?</t>
  </si>
  <si>
    <t>368. Combien avez-vous reçu de ${pm_name} (en francs CFA) depuis la Tabaski de l'année dernière?</t>
  </si>
  <si>
    <t>368. Nawa kuka karɓa daga ${pm_name} (a ​​kuɗin CFA) tun tabaski bara?</t>
  </si>
  <si>
    <t>not(selected(${hoh_remit_pm_method}, '0'))</t>
  </si>
  <si>
    <t>369. Since Tabaski of last year (2024), has your household received money from other members (not including ${pm_name}) from locations outside your village through the following methods?</t>
  </si>
  <si>
    <t>369. Depuis la Tabaski de l'année dernière (2024), votre menage a-t-il reçu de l'argent d'autres personnes (hors ${pm_name}) provenant de lieux extérieurs à votre village par les moyens suivants ?</t>
  </si>
  <si>
    <t>369. Tun daga laiya na shekarar bara (2024), ƴan gidan ku sun karɓi kuɗi daga wasu mutanin (ba tare da ${pm_name} ba) daga wajen ƙauyenku ta hanyoyi masu zuwa?</t>
  </si>
  <si>
    <t>Recall that we consider the following members to be a part of your household: ${hoh_roster_list}. If they physically brought the money with them when they returned from their trip, please select "Hand cash directly to recipient".</t>
  </si>
  <si>
    <t>Nous considérons que les membres suivants font partie de votre menage : ${hoh_roster_list}. S'ils ont apporté l'argent avec eux à leur retour de voyage, veuillez sélectionner « Remettre l'argent directement au bénéficiaire ».</t>
  </si>
  <si>
    <t>Ku tuna cewa muna ɗaukar waɗannan mutanen a matsayin ƴan gidan ku: ${hoh_roster_list}. Idan sun zo da kuɗin tare da su a jiki lokacin da suka dawo daga tafiyarsu, sai a zaɓi "Karɓar kuɗin hannu da hannu".</t>
  </si>
  <si>
    <t>370. How much have you received from other members of the household (in CFA)?</t>
  </si>
  <si>
    <t>370. Combien avez-vous reçu d'autres membres du menage (en francs CFA) depuis la Tabaski de l'année dernière?</t>
  </si>
  <si>
    <t>370. Nawa kuka karɓa daga sauran membobin gidan (a cikin CFA) tun tabaski bara?</t>
  </si>
  <si>
    <t>not(selected(${hoh_remit_hh_method}, '0'))</t>
  </si>
  <si>
    <t>371. In the past six months, have you or anyone in your household received money from someone who is not a member of your household and who lives elsewhere in Niger (outside your village)?</t>
  </si>
  <si>
    <t>371. Au cours des six derniers mois, avez-vous, vous ou un membre de votre menage, reçu de l'argent d'une personne extérieure à votre menage et résidant ailleurs au Niger (hors de votre village) ?</t>
  </si>
  <si>
    <t>371. A cikin watanni shida da suka gabata, kai ko wani a cikin gidan ku kun karɓi kuɗi daga wanda ba ɗan gidanku ba ne kuma yana zaune a wani wuri a Nijar (a wajen ƙauyenku)?</t>
  </si>
  <si>
    <t>372. How much in total did members of your household receive from people elsewhere in Niger (in CFA)?</t>
  </si>
  <si>
    <t>372. Combien au total les membres de votre ménage ont-ils reçu des personnes qui sont quelques part au Niger (en USD)?</t>
  </si>
  <si>
    <t>372. Nawa ne ƴan gidanku suka samu daga wasu matanen da ke wani gari a Nijar (in CFA)?</t>
  </si>
  <si>
    <t>${hoh_remit_rec_niger} = 1</t>
  </si>
  <si>
    <t>373. How was this money transmitted to your household?</t>
  </si>
  <si>
    <t>373. Comment cet argent a-t-il été envoyé à votre ménage ?</t>
  </si>
  <si>
    <t>373. Ta wace hanya aka aikawa gidanku wannan kuɗin ?</t>
  </si>
  <si>
    <t>374. Specify other transfer method</t>
  </si>
  <si>
    <t>374. Précisez la méthode du transfert</t>
  </si>
  <si>
    <t>374. Wani daban a Bayyana</t>
  </si>
  <si>
    <t>selected(${hoh_remit_rec_niger_how}, '-777')</t>
  </si>
  <si>
    <t>375. In the past six months, have you or anyone in your household received goods (payment in kind) from someone who is not a member of your household and who lives elsewhere in Niger (outside your village)?</t>
  </si>
  <si>
    <t>375. Au cours des six derniers mois, avez-vous, vous ou un membre de votre foyer, reçu des biens (paiement en nature) d'une personne extérieure à votre menage et résidant ailleurs au Niger (hors de votre village) ?</t>
  </si>
  <si>
    <t>375. A cikin watanni shida da suka gabata, kai ko wani a cikin gidan ku kun karɓi kaya (biya daga kaya) daga wanda ba ɗan gidanku ba ne kuma yana zaune a wani wuri a Nijar (a wajen ƙauyenku)?</t>
  </si>
  <si>
    <t>376. What was the value of the goods members of your household receive from people elsewhere in Niger (in CFA)?</t>
  </si>
  <si>
    <t>376. Quel était la valeur au totale des biens que les membres de votre ménage ont reçu des personnes qui sont quelques part au Niger 
 (en USD)?</t>
  </si>
  <si>
    <t>376. Nawa kimar kayayyakin da ƴan gidanku suka karba daga wasu mutane a wasu wurare a Nijar (in CFA)?</t>
  </si>
  <si>
    <t>${hoh_goods_rec_niger} = 1</t>
  </si>
  <si>
    <t>377. How were these goods transmitted to your household?</t>
  </si>
  <si>
    <t>377. Comment ces biens ont-ils été envoyé à votre ménage ?</t>
  </si>
  <si>
    <t>377. Ta yaya aka aika waɗannan kayayyakin zuwa gidanku?</t>
  </si>
  <si>
    <t>378. Specify other transfer method</t>
  </si>
  <si>
    <t>378. Précisez la méthode du transfert</t>
  </si>
  <si>
    <t>378. Wani daban a Bayyana</t>
  </si>
  <si>
    <t>selected(${hoh_goods_rec_niger_how}, '-777')</t>
  </si>
  <si>
    <t>379. In the past six months, have you or anyone in your household received money from someone who is not a member of your household and who lives in a foreign country (outside of Niger)?</t>
  </si>
  <si>
    <t>379. Au cours des six derniers mois, avez-vous, ou un membre de votre menage, reçu de l'argent d'une personne extérieure à votre menage et résidant à l'étranger (hors du Niger) ?</t>
  </si>
  <si>
    <t>379. A cikin watanni shida da suka gabata, kai ko wani a cikin gidanku ya sami kuɗi daga wani wanda ba dan gidan ku ba kuma yana zaune a wata ƙasa (wajen Nijar)?</t>
  </si>
  <si>
    <t>380. How much in total did members of your household receive from people out of Niger?</t>
  </si>
  <si>
    <t>380. Combien au total les membres de votre ménage ont-ils reçu des personnes qui ne sont pas au Niger ?</t>
  </si>
  <si>
    <t>380. Nawa ne yan gidanku ya samu daga mutanen da ke zaune a ƙasar waje ba Nijar ba?</t>
  </si>
  <si>
    <t>${hoh_remit_rec_out} = 1</t>
  </si>
  <si>
    <t>381. How was this money transmitted to your household?</t>
  </si>
  <si>
    <t>381. Comment cet argent a-t-il été envoyé à votre ménage ?</t>
  </si>
  <si>
    <t>381. Ta wace hanya aka aikawa gidanku wannan kuɗin ?</t>
  </si>
  <si>
    <t>382. Specify other transfer method</t>
  </si>
  <si>
    <t>382. Précisez la méthode du transfert</t>
  </si>
  <si>
    <t>382. Wani daban a Bayyana</t>
  </si>
  <si>
    <t>${hoh_remit_rec_out_how} = '-777'</t>
  </si>
  <si>
    <t>383. In the past six months, have you or anyone in your household received goods (payment in kind) from someone who is not a member of your household and who lives in a foreign country (outside of Niger)?</t>
  </si>
  <si>
    <t>383. Au cours des six derniers mois, avez-vous, vous ou un membre de votre menage, reçu des biens (paiement en nature) d'une personne extérieure à votre menage et résidant à l'étranger (hors du Niger) ?</t>
  </si>
  <si>
    <t>383. A cikin watanni shida da suka gabata, kai ko wani a cikin gidanku ya sami kaya (biyan daga kaya ) daga wanda ba ɗan gidanku ba ne kuma yana zaune a wata ƙasa (wajen Nijar)?</t>
  </si>
  <si>
    <t>384. What was the value of the goods members of your household receive from people out of Niger?</t>
  </si>
  <si>
    <t>384. Quel était la valeur au totale des biens que les membres de votre ménage ont reçu des personnes qui ne sont pas au Niger ?</t>
  </si>
  <si>
    <t>384. Nawa kimar kayan da ƴan gidanku suka samo daga mutanen da ke zaune a ƙasar waje ba Nijar ba?</t>
  </si>
  <si>
    <t>${hoh_goods_rec_out} = 1</t>
  </si>
  <si>
    <t>385. How were these goods transmitted to your household?</t>
  </si>
  <si>
    <t>385. Comment ces biens ont-ils été envoyé à votre ménage ?</t>
  </si>
  <si>
    <t>385. Ta yaya aka aika waɗannan kayan zuwa gidanku?</t>
  </si>
  <si>
    <t>386. Specify other transfer method</t>
  </si>
  <si>
    <t>386. Précisez la méthode du transfert</t>
  </si>
  <si>
    <t>386. Wani daban a Bayyana</t>
  </si>
  <si>
    <t>${hoh_goods_rec_out_how} = '-777'</t>
  </si>
  <si>
    <t>387. In the past six months, have you or anyone in your household shared or sent money to someone who is not a member of your household and who lives elsewhere in Niger (outside your village)?</t>
  </si>
  <si>
    <t>387. Au cours des six derniers mois, avez-vous, vous ou un membre de votre menage, partagé ou envoyé de l'argent à une personne extérieure à votre menage et résidant ailleurs à l'intérieur du Niger (hors de votre village) ?</t>
  </si>
  <si>
    <t>387. A cikin watanni shida da suka gabata, kai ko wani a cikin gidanku kun aika kudi ga wanda ba an gidanku ba kuma yana zaune a wani wuri a Nijar (a wajen kauyenku)?</t>
  </si>
  <si>
    <t>388. How much did your household send to people elsewhere in Niger?</t>
  </si>
  <si>
    <t>388. Combien votre ménage a-t-il envoyé à des personnes qui sont quelque part au Niger ?</t>
  </si>
  <si>
    <t>388. Nawa ne gidanku ya aikawa mutanen da ke wasu wurare a Nijar?</t>
  </si>
  <si>
    <t>${hoh_remit_send_niger} = 1</t>
  </si>
  <si>
    <t>389. How did you transmit the money to the recipient?</t>
  </si>
  <si>
    <t>389. Comment avez-vous envoyé l'argent au destinataire ?</t>
  </si>
  <si>
    <t>389. Ta wace hanya kuka aika kuɗin ga mai karɓa?</t>
  </si>
  <si>
    <t>390. Specify other transfer method</t>
  </si>
  <si>
    <t>390. Précisez la méthode du transfert</t>
  </si>
  <si>
    <t>390. Wani daban a Bayyana</t>
  </si>
  <si>
    <t>selected(${hoh_remit_send_niger_how}, '-777')</t>
  </si>
  <si>
    <t>391. In the past six months, have you or anyone in your household shared or sent goods (payment in kind) to someone who is not a member of your household and who lives elsewhere in Niger (outside your village)?</t>
  </si>
  <si>
    <t>391. Au cours des six derniers mois, avez-vous, ou un membre de votre foyer, partagé ou envoyé des biens (paiement en nature) à une personne extérieure à votre foyer et résidant ailleurs au Niger (hors de votre village) ?</t>
  </si>
  <si>
    <t>391. A cikin watanni shida da suka gabata, kai ko wani a cikin gidanku kun aika kaya (biya daga kaya) ga wanda ba ɗan gidanku ba kuma yana zaune a wani wuri a Nijar (wajen ƙauyenku)?</t>
  </si>
  <si>
    <t>392. What was the value of the goods members of your household sent to people elsewhere in Niger?</t>
  </si>
  <si>
    <t>392. Quel était la valeur au totale des biens que les membres de votre ménage ont envoyé aux personnes qui sont quelques part au Niger ?</t>
  </si>
  <si>
    <t>392. Nawa ne kimar kayan da ƴan gidanku suka aika wa mutane a wasu wurare a cikin Nijar?</t>
  </si>
  <si>
    <t>${hoh_goods_send_niger} = 1</t>
  </si>
  <si>
    <t>393. How were these goods transmitted to the recipient?</t>
  </si>
  <si>
    <t>393. Comment ces biens ont-ils été envoyé au destinataire ?</t>
  </si>
  <si>
    <t>393. Ta yaya aka aika waɗannan kayayyaki zuwa ga mai karɓa?</t>
  </si>
  <si>
    <t>394. Specify other transfer method</t>
  </si>
  <si>
    <t>394. Precisez la methode du transfert</t>
  </si>
  <si>
    <t>394. Wani daban a Bayyana</t>
  </si>
  <si>
    <t>selected(${hoh_goods_send_niger_how}, '-777')</t>
  </si>
  <si>
    <t>395. In the past six months, have you or anyone in your household shared or sent money to someone who is not a member of your household and who lives in a foreign country (outside of Niger)?</t>
  </si>
  <si>
    <t>395. Au cours des six derniers mois, avez-vous, ou un membre de votre foyer, partagé ou envoyé de l'argent à une personne extérieure à votre foyer et résidant à l'étranger (hors du Niger) ?</t>
  </si>
  <si>
    <t>395. A cikin watanni shida da suka gabata, kai ko wani a cikin gidanku kun raba ko aika kudi ga wanda ba dan gidanku ba kuma yana zaune a wata kasa (wajen Nijar)?</t>
  </si>
  <si>
    <t>396. How much did your household send to people people out of Niger?</t>
  </si>
  <si>
    <t>396. Combien votre ménage a-t-il envoyé à d'autres personnes qui sont quelque part hors du Niger ?</t>
  </si>
  <si>
    <t>396. Nawa gidanku ya aikawa wasu mutane da ke wani wuri ba a Nijar ba?</t>
  </si>
  <si>
    <t>${hoh_remit_send_out} = 1</t>
  </si>
  <si>
    <t>397. How did you transmit the money to the recipient?</t>
  </si>
  <si>
    <t>397. Comment avez-vous transmis l'argent au destinataire ?</t>
  </si>
  <si>
    <t>397. Ta wace hanya kuka aika kuɗin ga mai karɓa?</t>
  </si>
  <si>
    <t>398. Specify other transfer method</t>
  </si>
  <si>
    <t>398. Precisez la methode du transfert</t>
  </si>
  <si>
    <t>398. Wani daban a Bayyana</t>
  </si>
  <si>
    <t>selected(${hoh_remit_send_out_how}, '-777')</t>
  </si>
  <si>
    <t>399. In the past six months, have you or anyone in your household shared or sent goods (payment in kind) to someone who is not a member of your household and who lives in a foreign country (outside of Niger)?</t>
  </si>
  <si>
    <t>399. Au cours des six derniers mois, avez-vous, ou un membre de votre foyer, partagé ou envoyé des biens (paiement en nature) à une personne extérieure à votre foyer et résidant à l'étranger (hors du Niger) ?</t>
  </si>
  <si>
    <t>399. A cikin watanni shida da suka gabata, kai ko wani a cikin gidanku kun aika kaya (biya daga kaya) ga wanda ba ɗan gidanku ba kuma yana zaune a wata ƙasa (a wajen Nijar)?</t>
  </si>
  <si>
    <t>400. What was the value of the goods members of your household sent to people out of Niger?</t>
  </si>
  <si>
    <t>400. Quel était le valeur au total des biens que les membres de votre ménage ont envoyé aux personnes qui sont quelques part hors du Niger ?</t>
  </si>
  <si>
    <t>400. Nawa ne kimar kayan da ƴan gidanku suka aikawa wasu mutane da ke wani wuri ba a Nijar ba?</t>
  </si>
  <si>
    <t>${hoh_goods_send_out} = 1</t>
  </si>
  <si>
    <t>401. How were these goods transmitted to the recipient?</t>
  </si>
  <si>
    <t>401. Comment ces biens ont-ils été envoyé au destinataire ?</t>
  </si>
  <si>
    <t>401. Ta yaya aka aika waɗannan kayayyaki zuwa ga mai karɓa?</t>
  </si>
  <si>
    <t>402. Specify other transfer method</t>
  </si>
  <si>
    <t>402. Precisez la methode du transfert</t>
  </si>
  <si>
    <t>402. Wani daban a Bayyana</t>
  </si>
  <si>
    <t>selected(${hoh_goods_send_out_how}, '-777')</t>
  </si>
  <si>
    <t>403. In the past six months, have you received support from any of the following sources?</t>
  </si>
  <si>
    <t>403. Au cours des six derniers mois, avez-vous reçu une aide de l'une des sources suivantes ?</t>
  </si>
  <si>
    <t>403. A cikin watanni shida da suka gabata, kun sami tallafi daga ɗayan waɗannan kafofin?</t>
  </si>
  <si>
    <t>Support could include cash, other material goods, or training.</t>
  </si>
  <si>
    <t>Le soutien peut comprendre de l'argent, d'autres biens matériels ou une formation.</t>
  </si>
  <si>
    <t>Taimako na iya haɗawa da kuɗi, wasu kayan masarufi ko horo.</t>
  </si>
  <si>
    <t>404. How much did ou receive from all the sources combined?</t>
  </si>
  <si>
    <t>404. Combien avez-vous reçu de toutes les sources confondues ?</t>
  </si>
  <si>
    <t>404. Nawa kuka samu daga duk hanyoyin shiga gaba ɗayan su?</t>
  </si>
  <si>
    <t>not(selected(${hoh_receive_support}, '0'))</t>
  </si>
  <si>
    <t>405. In addition to the transfers we just discussed, what is the total value of income from charity or gifts your household has received &lt;b&gt;in the past six months&lt;/b&gt; in CFA?</t>
  </si>
  <si>
    <t>405. Outre les transferts que nous venons d'évoquer, quel est le montant total des revenus provenant d'œuvres caritatives ou de dons que votre ménage a reçus &lt;b&gt;au cours des six derniers mois&lt;/b&gt; en francs CFA ?</t>
  </si>
  <si>
    <t>405. Bancin aiken kuɗi da muka tattauna yanzu, nawa ne jimillar kuɗin da kuka samu na taimako ko kyaututtukan &lt;b&gt;a cikin watanni shida da suka gabata a CFA?</t>
  </si>
  <si>
    <t>Enumerator: Do not include any transfer that you have already collected elsewhere in the survey</t>
  </si>
  <si>
    <t>Agent enquêteur : N'ajoutez aucun transfert que vous avez déjà collecté ailleurs dans l'enquête.</t>
  </si>
  <si>
    <t>Mai ƙididdigewa: Kada a ƙara duk wani aiken kudin da ka rigaya ka rubuta a wani wuri a cikin binciken</t>
  </si>
  <si>
    <t xml:space="preserve">${speedcheck_hoh_remit_end} - ${speedcheck_hoh_remit_start} </t>
  </si>
  <si>
    <t>406. In the past six months did your household make a significant investment or improvement in the house you reside in?</t>
  </si>
  <si>
    <t>406. Au cours des six derniers mois, votre ménage a-t-il réalisé un investissement ou une amélioration significative dans la maison que vous occupez ?</t>
  </si>
  <si>
    <t>406. A cikin watanni shida da suka gabata, an yi wasu kashe kashen kuɗi don gyara gidan ku wanda kuke zaune a ciki?</t>
  </si>
  <si>
    <t>407. Build additional rooms</t>
  </si>
  <si>
    <t>407. Construire des chambres supplémentaires</t>
  </si>
  <si>
    <t>407. Ginin ƙarin ɗakuna</t>
  </si>
  <si>
    <t>408. Improve floors</t>
  </si>
  <si>
    <t>408. Améliorer les sols</t>
  </si>
  <si>
    <t>408. Inganta filalayen gida</t>
  </si>
  <si>
    <t>409. Improve walls</t>
  </si>
  <si>
    <t>409. Réfectionner les murs</t>
  </si>
  <si>
    <t>409. gyara katangun gida</t>
  </si>
  <si>
    <t>410. Improve roof</t>
  </si>
  <si>
    <t>410. Réfectionner le toit</t>
  </si>
  <si>
    <t>410. gyara rufin gida</t>
  </si>
  <si>
    <t>411. Other improvement</t>
  </si>
  <si>
    <t>411. Autre amélioration</t>
  </si>
  <si>
    <t>411. Wasu gyare gyare daban</t>
  </si>
  <si>
    <t>412. Specify other improvement (i.e. connect to electricity, build latrine)</t>
  </si>
  <si>
    <t>412. Précisez les autres améliorations (c.-à-d. connecter de l'électricité, construire des latrines)</t>
  </si>
  <si>
    <t>412. Baiyana wasu abubuwan ingantawa (kamar sa wutar lantarki, gina salga (masai ) )</t>
  </si>
  <si>
    <t>${hoh_improve_o} = 1</t>
  </si>
  <si>
    <t>413. Approximately how much did all of these investments together cost in CFA?</t>
  </si>
  <si>
    <t>413. Combien ont coûté approximativement tous ces investissements (en CFA) ?</t>
  </si>
  <si>
    <t>413. Aƙalla nawa aka kashe akan waɗannan ayyukan a sefa?</t>
  </si>
  <si>
    <t>${hoh_improve_add_rooms} + ${hoh_improve_floors} + ${hoh_improve_walls} + ${hoh_improve_roof} + ${hoh_improve_o} &gt; 0</t>
  </si>
  <si>
    <t>414. In the past six months did you make any investments in your non-agricultural business?</t>
  </si>
  <si>
    <t>414. Au cours des six derniers mois, avez-vous investi dans votre entreprise non agricole ?</t>
  </si>
  <si>
    <t>414. A cikin watanni shida da suka gabata kun saka wani jari a cikin kasuwancin ku wanda ba na noma ba?</t>
  </si>
  <si>
    <t>415. Specify the improvement to your business</t>
  </si>
  <si>
    <t>415. Précisez les investissements que vous avez fait dans votre entreprise</t>
  </si>
  <si>
    <t>415. Ku bayyana kuɗin da kuka kashe don haɓɓaka kasuwancin ku</t>
  </si>
  <si>
    <t>${hoh_improve_business} = 1</t>
  </si>
  <si>
    <t>416. In the past six months did you make any investments to improve the productivity of your land?</t>
  </si>
  <si>
    <t>416. Au cours des six derniers mois, avez-vous investi pour améliorer la productivité de vos terres ?</t>
  </si>
  <si>
    <t>416. A cikin watanni shida da suka gabata kun yi wasu kashe kashen kuɗi don inganta samun amfani a gonakin ku?</t>
  </si>
  <si>
    <t>417. Specify improvement to land</t>
  </si>
  <si>
    <t>417. Précisez les améliorations de votre terre que vous avez fait</t>
  </si>
  <si>
    <t>417. Ku bayyana kuɗin da kuka kashe don haɓɓaka gonarku</t>
  </si>
  <si>
    <t>${hoh_improve_land} = 1</t>
  </si>
  <si>
    <t xml:space="preserve">${speedcheck_hoh_homeimprove_end} - ${speedcheck_hoh_homeimprove_start} </t>
  </si>
  <si>
    <t>418. Now I will ask you about different ways your household may use money that you earn.</t>
  </si>
  <si>
    <t>418. Je vais maintenant vous poser des questions sur les différentes façons dont votre ménage peut utiliser l'argent que vous gagnez.</t>
  </si>
  <si>
    <t>418. Yanzu zan yi muku tambayoyi game hanyoyi daban-daban da gidanku ke iya amfani da su don kashe kuɗin da yake samu.</t>
  </si>
  <si>
    <t>419. Does your household currently have any savings that you keep in any of the following ways?</t>
  </si>
  <si>
    <t>419. Votre ménage dispose-t-il actuellement d'économies que vous conservez de l'une des manières suivantes ?</t>
  </si>
  <si>
    <t>419. Ko a halin yanzu gidanku na da ajiyar kuɗi daga ɗaya a cikin wanɗannan dubaru?</t>
  </si>
  <si>
    <t>420. Specify other:</t>
  </si>
  <si>
    <t>420. Autre a préciser :</t>
  </si>
  <si>
    <t>420. Baiyana wani abu daban:</t>
  </si>
  <si>
    <t>selected(${hoh_savings_type}, '-777')</t>
  </si>
  <si>
    <t>not(selected(${hoh_savings_type}, '0'))</t>
  </si>
  <si>
    <t>count-selected(${hoh_savings_type})</t>
  </si>
  <si>
    <t>selected-at(${hoh_savings_type}, index()-1)</t>
  </si>
  <si>
    <t>if(selected-at(${hoh_savings_type}, index()-1) = '-777', ${hoh_savings_type_o}, choice-label(${hoh_savings_type}, selected-at(${hoh_savings_type}, index()-1)))</t>
  </si>
  <si>
    <t>421. Please share with us your best estimate of the value in CFA ${hoh_savings_name}</t>
  </si>
  <si>
    <t>421. Veuillez nous dire votre meilleure estimation de la valeur en CFA ${hoh_savings_name}</t>
  </si>
  <si>
    <t>421. Da fatan zaku baiyana mini yawan kuɗin a tsammaninku ${hoh_savings_name} a CFA</t>
  </si>
  <si>
    <t>422. Do you earn interest on this money ${hoh_savings_name}?</t>
  </si>
  <si>
    <t>422. Gagnez-vous des intérêts sur cet argent ${hoh_savings_name} ?</t>
  </si>
  <si>
    <t>422. Kuna samun kudin ruwa akan wannan kuɗin ${hoh_savings_name}?</t>
  </si>
  <si>
    <t>${hoh_savings_code} != 1</t>
  </si>
  <si>
    <t xml:space="preserve">${speedcheck_hoh_savings_end} - ${speedcheck_hoh_savings_start} </t>
  </si>
  <si>
    <t>sum(${hoh_savings_type_amt})</t>
  </si>
  <si>
    <t>423. Total savings: ${hoh_savings_total}: Does this look correct?</t>
  </si>
  <si>
    <t>423. Économies totales : ${hoh_savings_total} : cela vous semble correct ?</t>
  </si>
  <si>
    <t>423. Jimillar ajiya: ${hoh_savings_total}: kuna ganin ​​wannan yayi daidai?</t>
  </si>
  <si>
    <t>Veuillez revenir et corriger vos réponses aux questions 141 et 142</t>
  </si>
  <si>
    <t>424. During ${period}, was your household negatively affected by any of the following types of events?</t>
  </si>
  <si>
    <t>424. Au cours de ${period_french}, votre ménage a-t-il été affecté négativement par l'un des types d'événements suivants ?</t>
  </si>
  <si>
    <t>424. A lokacin ${period_hausa}, ko gidanku ya fuskanci wani daga cikin matsaloli nan masu zuwa? Zaɓi duk abin da ya dace</t>
  </si>
  <si>
    <t>425. Please briefly describe the event(s) that negatveily affected your household</t>
  </si>
  <si>
    <t>425. Veuillez décrire brièvement le/les événement(s) qui ont eu des effets négatifs sur votre ménage au cours des 3 derniers mois</t>
  </si>
  <si>
    <t>425. Da fatan za ku yi taƙaitaccen bayani a kan abin da ya shafi gidan ku</t>
  </si>
  <si>
    <t>selected(${hoh_emergency}, '-777')</t>
  </si>
  <si>
    <t>not(selected(${hoh_emergency}, '0'))</t>
  </si>
  <si>
    <t>if(selected-at(${hoh_emergency}, index()-1) = '-777', ${hoh_emergency_o}, choice-label(${hoh_emergency}, selected-at(${hoh_emergency}, index()-1)))</t>
  </si>
  <si>
    <t>426. In response to ${hoh_emergency_name}, did you or your household take the following actions?</t>
  </si>
  <si>
    <t>426. En réponse à ${hoh_emergency_name}, avez-vous vous ou votre ménage pris les mesures suivantes ??</t>
  </si>
  <si>
    <t>426. Dangance da ${hoh_emergency_name}, ku ko ƴan gindanku kun ɗauki waɗannan matakai?</t>
  </si>
  <si>
    <t>427. Sell assets?</t>
  </si>
  <si>
    <t>427. Vendre des actifs</t>
  </si>
  <si>
    <t>427. Saida kadarori</t>
  </si>
  <si>
    <t>428. Borrow money?</t>
  </si>
  <si>
    <t>428. Emprunter de l'argent</t>
  </si>
  <si>
    <t>428. Bashin kuɗi</t>
  </si>
  <si>
    <t>429. Spend your savings?</t>
  </si>
  <si>
    <t>429. Utiliser votre épargne</t>
  </si>
  <si>
    <t>429. Kashe kuɗin ajiyar ku</t>
  </si>
  <si>
    <t>430. Reduce spending on food or change your food consumption?</t>
  </si>
  <si>
    <t>430. Réduire les dépenses alimentaires ou changé des habitudes de consommation ?</t>
  </si>
  <si>
    <t>430. Rage kashe kuɗi akan abinci ko canza abincin?</t>
  </si>
  <si>
    <t>${hoh_emerg_sell} = 1 or ${hoh_emerg_borrow} = 1 or ${hoh_emerg_spend} = 1</t>
  </si>
  <si>
    <t>431. For ${hoh_emergency_name}
 What was the value of the following in CFA?</t>
  </si>
  <si>
    <t>431. Par rapport à ${hoh_emergency_name}
 Quelle était la valeur des éléments suivantes en CFA?</t>
  </si>
  <si>
    <t>431. Game da ${hoh_emergency_name}
 Nawa ne kimar waɗannan abubuwan a kuɗin CFA?</t>
  </si>
  <si>
    <t>432. Assets you sold</t>
  </si>
  <si>
    <t>432. Les actifs que vous avez vendus</t>
  </si>
  <si>
    <t>432. Kadarorin da kuka saida</t>
  </si>
  <si>
    <t>${hoh_emerg_sell} = 1</t>
  </si>
  <si>
    <t>433. Loan(s) you took</t>
  </si>
  <si>
    <t>433. Les prêt(s) que vous avez contracté</t>
  </si>
  <si>
    <t>433. Bashin da kuka ɗauka</t>
  </si>
  <si>
    <t>${hoh_emerg_borrow} = 1</t>
  </si>
  <si>
    <t>434. Savings you spent?</t>
  </si>
  <si>
    <t>434. L'épargne que vous avez utilisé</t>
  </si>
  <si>
    <t>434. Ajiyar da kuka kashe</t>
  </si>
  <si>
    <t>${hoh_emerg_spend} = 1</t>
  </si>
  <si>
    <t xml:space="preserve">${speedcheck_hoh_emerg_end} - ${speedcheck_hoh_emerg_start} </t>
  </si>
  <si>
    <t>435. Now I would like to ask you about any money that you and your family owe to other people; money you have borrowed from people outside your household.</t>
  </si>
  <si>
    <t>435. Maintenant, je voudrais vous poser des questions sur l'argent que vous et votre ménage devez à d'autres personnes ; l'argent que vous avez emprunté à des personnes extérieures à votre ménage.</t>
  </si>
  <si>
    <t>435. Yanzu ina son in tambaye ku game da duk wani kuɗin da ku da ƴan gidanku kuka ɗauko daga wajen wasu mutane; kuɗin da kuka aro daga mutane wanda ba ƴan gidanku ba.</t>
  </si>
  <si>
    <t>436. In the last six months did you or a member of your household try to secure a loan from any source but were refused?</t>
  </si>
  <si>
    <t>436. Au cours des six derniers mois, vous ou un membre de votre ménage avez-vous tenté d'obtenir un prêt, quelle qu'en soit la source, mais votre demande a été refusée ?</t>
  </si>
  <si>
    <t>436. A cikin watanni shida da suka gabata kai ko wani dan gidan ku kun yi ƙoƙarin samun bashi daga kowace hanya amma an ƙi a baku ?</t>
  </si>
  <si>
    <t>437. What was the value of the loan in CFA?</t>
  </si>
  <si>
    <t>437. Quelle était la valeur du prêt en CFA?</t>
  </si>
  <si>
    <t>437. Nawa ne yawan kuɗin bashin a sefa?</t>
  </si>
  <si>
    <t>${hoh_credit_refuse} = 1</t>
  </si>
  <si>
    <t>438. Think about all the people you or members of your household owe money, including recent loans, what is the total value your household owes (in CFA)?</t>
  </si>
  <si>
    <t>438. Pensez à toutes les personnes que vous ou les membres de votre ménage devez de l'argent, y compris les prêts récents, quelle est la valeur totale que votre ménage doit (en CFA) ?</t>
  </si>
  <si>
    <t>438. Ku tuna da duk mutanen da ke bin da ƴan gidanku kuɗi, dukan basussuka sabi da tsohi, nawa jimillar kuɗin a ke bin gidanku (a kuɗin sefa CFA)?</t>
  </si>
  <si>
    <t>439. Do you know if a loan was given to your household by a household that participated in the TSARI training program?</t>
  </si>
  <si>
    <t>439. Savez-vous si un prêt a été accordé à votre ménage par un ménage ayant participé au programme de formation TSARI ?</t>
  </si>
  <si>
    <t>439. Shin ko kun san ko gidan ku ya karɓi bashi daga wani gida da ke cikin shirin TSARI ?</t>
  </si>
  <si>
    <t>${hoh_borrow_total} &gt; 0</t>
  </si>
  <si>
    <t>440. In the past six months, have you or anyone in your household received money or goods from someone who is not a member of your household and lives in your village in Niger?</t>
  </si>
  <si>
    <t>440. Au cours des six derniers mois, vous ou un membre de votre ménage avez-vous reçu de l'argent ou des biens d'une personne extérieure à votre ménage et vivant dans votre village au Niger ?</t>
  </si>
  <si>
    <t>440. A cikin watanni shida da suka gabata, kai ko wani a cikin gidan ku kun karbi kudi ko kaya daga wani wanda ba ɗan gidanku ba ne kuma yana zaune a kauyenku a Nijar?</t>
  </si>
  <si>
    <t>441. Do you know if the person who gave your hosuehold money was from a household that participated in the TSARI training program?</t>
  </si>
  <si>
    <t>441. Savez-vous si la personne qui a donné de l'argent à votre ménage était issue d'un ménage ayant participé au programme de formation TSARI ?</t>
  </si>
  <si>
    <t>441. Shin kun san ko mutumin da ya bada kuɗin ga gidan ku ko ya fito daga gidajen da suka shiga cikin shirin horon TSARI ne?</t>
  </si>
  <si>
    <t>${hoh_transfer_village} = 1</t>
  </si>
  <si>
    <t xml:space="preserve">${speedcheck_hoh_credit_end} - ${speedcheck_hoh_credit_start} </t>
  </si>
  <si>
    <t>442. I will now ask you about meals people in your household have consumed in the past 7 days.</t>
  </si>
  <si>
    <t>442. Je vais maintenant vous poser des questions sur les repas que les membres de votre ménage ont consommé au cours des 7 derniers jours.</t>
  </si>
  <si>
    <t>442. Yanzu zan tambaye ku bisa abincin da mutanen gidanku suka ci a cikin kwanaki 7 da suka wuce.</t>
  </si>
  <si>
    <t>443. In the last 7 days, have adults gone a whole day without meals?</t>
  </si>
  <si>
    <t>443. Au cours des 7 derniers jours, des adultes sont-ils restés une journée entière sans manger de repas ?</t>
  </si>
  <si>
    <t>443. A cikin kwanaki 7 da suka wuce, ko manya gidanku sun zauna tsawon wuni guda basu ci abinci ba?</t>
  </si>
  <si>
    <t>444. How many days?</t>
  </si>
  <si>
    <t>444. Pendant combien de jours?</t>
  </si>
  <si>
    <t>444. 151a Tsawon kwanaki nawa?</t>
  </si>
  <si>
    <t>${hoh_adults_skip_days} = 1</t>
  </si>
  <si>
    <t>445. In the last 7 days, have adults cut the size of meals or skipped meals?</t>
  </si>
  <si>
    <t>445. Au cours des 7 derniers jours, les adultes ont-ils réduit la taille de leur repas ou les ont-ils sauté?</t>
  </si>
  <si>
    <t>445. A cikin kwanaki 7 na ƙarshe, ko manyan gidanku sun rage yawan abincin da suka saba ci ko sun tsallake shi?</t>
  </si>
  <si>
    <t>446. How many days?</t>
  </si>
  <si>
    <t>446. Pendant combien de jours?</t>
  </si>
  <si>
    <t>446. Tsawon kwanaki nawa?</t>
  </si>
  <si>
    <t>${hoh_adults_skip_meals} = 1</t>
  </si>
  <si>
    <t>447. In the past week how many days have adults in your household consumed animal protein (including fish, meat, poultry)?</t>
  </si>
  <si>
    <t>447. Au cours des 7 derniers jours, combien de fois les adultes de votre ménage ont-ils consommé des protéines animales (y compris poisson, viande, volaille) ?</t>
  </si>
  <si>
    <t>447. A cikin kwanaki 7 da suka wuce sau nawa manyan gidanku suka ci abinci masu gina jiki kamar su kifi ko nama ko kaji?</t>
  </si>
  <si>
    <t>448. In the last 7 days, have children (&lt;14) gone a whole day without meals?</t>
  </si>
  <si>
    <t>448. Au cours des 7 derniers jours, des enfants (&lt;14) ont-ils passé une journée entière sans manger de repas ?</t>
  </si>
  <si>
    <t>448. A cikin kwanaki 7 na ƙarshe, ko yara ƴan ƙasa da shekara goma sha huɗu sun zauna tsawon wuni guda ba su ci da abinci ba?</t>
  </si>
  <si>
    <t>449. How many days?</t>
  </si>
  <si>
    <t>449. Pendant combien de jours?</t>
  </si>
  <si>
    <t>449. 154a Tsawon kwanaki nawa?</t>
  </si>
  <si>
    <t>${hoh_child_skip_days} = 1</t>
  </si>
  <si>
    <t>450. In the last 7 days, have children (&lt;14) cut the size of meals or skipped meals?</t>
  </si>
  <si>
    <t>450. Au cours des 7 derniers jours, des enfants (&lt;14) ont-ils réduit la taille de leurs repas ou les ont-ils sauté?</t>
  </si>
  <si>
    <t>450. A cikin kwanaki 7 na ƙarshe, suna da yara (&lt;14) sun rage yawan abinci ko sun rasa gaba ɗaya?</t>
  </si>
  <si>
    <t>451. How many days?</t>
  </si>
  <si>
    <t>451. Pendant combien de jours?</t>
  </si>
  <si>
    <t>451. 155a Tsawon kwanaki nawa?</t>
  </si>
  <si>
    <t>${hoh_child_skip_meals} = 1</t>
  </si>
  <si>
    <t>452. In the past week how many days have children in your household consumed animal protein (inlcuding fish, meat, poultry)?</t>
  </si>
  <si>
    <t>452. Au cours des 7 derniers jours, combien de fois les enfants de votre ménage ont-ils consommé des protéines animales (y compris poisson, viande, volaille) ?</t>
  </si>
  <si>
    <t>452. A cikin kwanaki 7 da suka gabata sau nawa yara a cikin gidanku suka ci abinci masu gina jiki kamar su kifi, nama, kaji ?</t>
  </si>
  <si>
    <t xml:space="preserve">${speedcheck_hoh_foodinsec_end} - ${speedcheck_hoh_foodinsec_start} </t>
  </si>
  <si>
    <t>453. Has your household spent money on the following types of expenses in the past month?</t>
  </si>
  <si>
    <t>453. Votre ménage a-t-il dépensé de l'argent pour les types de dépenses suivants au cours du dernier mois ?</t>
  </si>
  <si>
    <t>453. Shin gidanku ya kashe kuɗi akan irin waɗannan abubuwan a cikin watan da ya gabata?</t>
  </si>
  <si>
    <t>not(selected(${hoh_monthly_consumption_any}, '0'))</t>
  </si>
  <si>
    <t>count-selected(${hoh_monthly_consumption_any})</t>
  </si>
  <si>
    <t>choice-label(${hoh_monthly_consumption_any}, selected-at(${hoh_monthly_consumption_any}, index()-1))</t>
  </si>
  <si>
    <t>454. How much did your household spend on ${hoh_item} in the past month (in CFA)?</t>
  </si>
  <si>
    <t>454. Combien votre ménage a-t-il dépensé pour ${hoh_item} au cours du dernier mois (en CFA) ?</t>
  </si>
  <si>
    <t>454. Nawa ne (a CFA) gidanku ya kashe akan ${hoh_item} cikin watan da ya gabata ?</t>
  </si>
  <si>
    <t>455. Has your household spent money on the following types of expenses in the past week?</t>
  </si>
  <si>
    <t>455. Votre ménage a-t-il dépensé de l'argent pour les types de dépenses suivants au cours de la semaine dernière ?</t>
  </si>
  <si>
    <t>455. Ko gidanku sun kashe kuɗi akan ire iren waɗannan abubuwan a cikin satin da ya gabata?</t>
  </si>
  <si>
    <t>not(selected(${hoh_weekly_consumption_any}, '0'))</t>
  </si>
  <si>
    <t>count-selected(${hoh_weekly_consumption_any})</t>
  </si>
  <si>
    <t>choice-label(${hoh_weekly_consumption_any}, selected-at(${hoh_weekly_consumption_any}, index()-1))</t>
  </si>
  <si>
    <t>456. How much did your household spend on ${hoh_item_week} in the past week (in CFA)?</t>
  </si>
  <si>
    <t>456. Combien votre ménage a-t-il dépensé en ${hoh_item_week} la semaine dernière (en CFA) ?</t>
  </si>
  <si>
    <t>456. Nawa ne gidan ku ya kashe (a CFA) a ${hoh_item_week} satin da ya gabata ?</t>
  </si>
  <si>
    <t>457. For Tabaski (2025), did your household purchase any of the following?</t>
  </si>
  <si>
    <t>457. Pour le Tabaski (2025), votre ménage a-t-il acheté l'un des produits suivants ?</t>
  </si>
  <si>
    <t>457. Don sallar laiya (2025), gidanku ya sayi ɗaya daga cikin waɗannan?</t>
  </si>
  <si>
    <t>458. Clothing</t>
  </si>
  <si>
    <t>458. Vêtements</t>
  </si>
  <si>
    <t>458. Tufafi</t>
  </si>
  <si>
    <t>459. Sheep</t>
  </si>
  <si>
    <t>459. Mouton</t>
  </si>
  <si>
    <t>459. Rago</t>
  </si>
  <si>
    <t>460. Goat</t>
  </si>
  <si>
    <t>460. Chèvre</t>
  </si>
  <si>
    <t>460. Akuya</t>
  </si>
  <si>
    <t>461. Poultry</t>
  </si>
  <si>
    <t>461. Volaille</t>
  </si>
  <si>
    <t>461. Kaji</t>
  </si>
  <si>
    <t xml:space="preserve">${speedcheck_hoh_cons_end} - ${speedcheck_hoh_cons_start} </t>
  </si>
  <si>
    <t xml:space="preserve">${speedcheck_hoh_end} - ${speedcheck_hoh_start} </t>
  </si>
  <si>
    <t>462. As I mentioned at the beginning of our interview, we would like to stay in touch with you.</t>
  </si>
  <si>
    <t>462. Comme je l'ai mentionné au début de notre entretien, nous aimerions rester en contact avec vous.</t>
  </si>
  <si>
    <t>462. Kamar yadda na faɗa a farkon hirarmu, muna son mu ci gaba da tuntuɓar ku.</t>
  </si>
  <si>
    <t>463. What is the phone number where we can reach you?</t>
  </si>
  <si>
    <t>463. Quel est le numéro de téléphone auquel nous pouvons vous joindre?</t>
  </si>
  <si>
    <t>463. Wace lambar waya ce zamu iya samun ku da ita?</t>
  </si>
  <si>
    <t>Enter the number in the following format: +22700000000</t>
  </si>
  <si>
    <t>Enquêteur: Le numéro de téléphone doit commencer avec "+227", n'inclure pas des espaces et saisir 8 chiffres du numéro.</t>
  </si>
  <si>
    <t>Shigar da lambar a kan wannan tsari mai zuwa: +22700000000</t>
  </si>
  <si>
    <t>numbers_phone</t>
  </si>
  <si>
    <t>regex(., '^\+227[0-9]{8}')</t>
  </si>
  <si>
    <t>464. I am going to read back the phone number you just shared with me. Can you confirm this is your primary phone number? ${primary_phone}</t>
  </si>
  <si>
    <t>464. Je vais relire le numéro de téléphone que vous venez de me donner. Pouvez-vous confirmer qu'il s'agit de votre numéro de téléphone principal ? ${primary_phone}</t>
  </si>
  <si>
    <t>464. Zan sake karanta lambar wayar da kuka bani. Zaku iya tabbatar mini da wannan itace lambar wayarku ta farko? ${primary_phone}</t>
  </si>
  <si>
    <t>465. Please go back and correct the number.</t>
  </si>
  <si>
    <t>465. Veuillez revenir en arrière pour corriger le numéro.</t>
  </si>
  <si>
    <t>465. ko za ka koma baya ka gyara lambar.</t>
  </si>
  <si>
    <t>${primary_phone_confirm} = 0</t>
  </si>
  <si>
    <t>466. I am going to call this phone number to confirm it is correct.</t>
  </si>
  <si>
    <t>466. Je vais appeler ce numéro de téléphone pour confirmer qu'il est correct.</t>
  </si>
  <si>
    <t>466. Zan kirayi wannan lambar don tabbatar da cewa daidai ce.</t>
  </si>
  <si>
    <t>[Enumerator: Did the phone ring?]</t>
  </si>
  <si>
    <t>[enquêteur : Le téléphone a-t-il sonné ?]</t>
  </si>
  <si>
    <t>[Ɗan bincike: Wayar ta yi ƙara?]</t>
  </si>
  <si>
    <t>467. Please go back and enter a new phone number.</t>
  </si>
  <si>
    <t>467. Veuillez revenir en arrière pour entrer un nouveau numéro de téléphone.</t>
  </si>
  <si>
    <t>467. Ko za ka koma baya ka shigar da sabuwar lambar waya.</t>
  </si>
  <si>
    <t>${primary_phone_test} = 0</t>
  </si>
  <si>
    <t>468. Do you have a Whatsapp account/ phone number you use for WhatsApp?</t>
  </si>
  <si>
    <t>468. Avez-vous un compte/numéro de téléphone Whatsapp que vous utilisez pour WhatsApp ?</t>
  </si>
  <si>
    <t>468. Kuna yin WhatsApp / lambar wayar da kuke amfani da ita ta WhatsApp ce?</t>
  </si>
  <si>
    <t>469. Is this the phone number you use for whatsapp?</t>
  </si>
  <si>
    <t>469. Est-ce le numéro de téléphone que vous utilisez pour WhatsApp ?</t>
  </si>
  <si>
    <t>469. Wannan ita ce lambar wayar da kuke amfani da ita don yin whatsapp?</t>
  </si>
  <si>
    <t>${use_whatsapp} = 1</t>
  </si>
  <si>
    <t>470. Please tell me the phone number you use for Whatsapp</t>
  </si>
  <si>
    <t>470. Veuillez me dire le numéro de téléphone que vous utilisez pour Whatsapp</t>
  </si>
  <si>
    <t>470. Don Allah ku gaya mini lambar wayar da kuke amfani da ita don yin Whatsapp</t>
  </si>
  <si>
    <t>${phone_whatsapp} = 0</t>
  </si>
  <si>
    <t>471. I am going read back the phone number you just shared with me as your Whatsapp number. Is this the phone number you use for whatsapp? ${phone_whatsapp_number}</t>
  </si>
  <si>
    <t>471. Je vais relire le numéro de téléphone que vous nous avez donné comme votre numéro Whatsapp. Est-ce le numéro de téléphone que vous utilisez pour WhatsApp ? ${phone_whatsapp_number}</t>
  </si>
  <si>
    <t>471. Zan sake karanta lambar wayar da kuka bani a zaman lambar Whatsapp dinku. Wannan shine lambar wayar da kuke amfani da ita don yin whatsapp? ${phone_whatsapp_number}</t>
  </si>
  <si>
    <t>472. Please go back and correct the number.</t>
  </si>
  <si>
    <t>472. Veuillez revenir en arrière pour corriger le numéro.</t>
  </si>
  <si>
    <t>472. Da fatan za ka koma baya ka gyara lambar.</t>
  </si>
  <si>
    <t>${phone_whatsapp_confirm} = 0</t>
  </si>
  <si>
    <t>473. Do you have other phone numbers that you use regularly (i.e. other phone carriers)?</t>
  </si>
  <si>
    <t>473. Avez-vous d'autres numéros de téléphone que vous utilisez régulièrement (c'est-à-dire d'autres opérateurs téléphoniques) ?</t>
  </si>
  <si>
    <t>473. Ko kuna da wasu lambobin waya waɗanda kuke amfani da su kai-akai (layin wasu gidan wayar salula)?</t>
  </si>
  <si>
    <t>474. How many other additional phone numbers?</t>
  </si>
  <si>
    <t>474. Y a-t-il d’autres numéros de téléphone supplémentaires?</t>
  </si>
  <si>
    <t>474. Akwai wasu ƙarin lambobin waya?</t>
  </si>
  <si>
    <t>${primary_other_phone} = 1</t>
  </si>
  <si>
    <t>${primary_other_phones}</t>
  </si>
  <si>
    <t>475. What are these additional phone numbers?</t>
  </si>
  <si>
    <t>475. Quels sont les numéros de téléphone supplémentaires ?</t>
  </si>
  <si>
    <t>475. Waɗannene ƙarin lambobin wayan?</t>
  </si>
  <si>
    <t>476.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</si>
  <si>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476.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</si>
  <si>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476. Idan ba za mu iya samun ku ba, ko za ku iya ba mu suna da lambar wayar wani wanda ba na gidanku ba da za mu iya kira don neman lambar ku?
 Za mu kirayi mutumen ne kawai idan bamu sameku ba bayan kira biyu zuwa uku, hakan zai taimaka mana ci gaba da tuntuɓar ku.</t>
  </si>
  <si>
    <t>477. What is the last name of this person</t>
  </si>
  <si>
    <t>477. Quel est le nom de cette personne</t>
  </si>
  <si>
    <t>477. Menene sunan uban wannan mutumen?</t>
  </si>
  <si>
    <t>${secondary_contact1} = 1</t>
  </si>
  <si>
    <t>478. What is the first name of this person</t>
  </si>
  <si>
    <t>478. Quel est le prénom de cette personne</t>
  </si>
  <si>
    <t>478. Menene sunan wannan mutumen?</t>
  </si>
  <si>
    <t>concat(${secondary_name1_last}, ' ', ${secondary_name1_first})</t>
  </si>
  <si>
    <t>479. What is their phone number?</t>
  </si>
  <si>
    <t>479. Quel est leur numéro de téléphone?</t>
  </si>
  <si>
    <t>479. Menene lambar wayarsu?</t>
  </si>
  <si>
    <t>480. What is ${secondary_name1}'s relationship to you?</t>
  </si>
  <si>
    <t>480. Quelle est la relation entre ${secondary_name1} et vous ?</t>
  </si>
  <si>
    <t>480. Menene alaƙar ku da ${secondary_name1} ?</t>
  </si>
  <si>
    <t>481. Just to confirm, is this the number? 
 ${secondary_name1}
 ${secondary_phone1}</t>
  </si>
  <si>
    <t>481. Juste pour confirmer, est-ce bien le numéro ?
 ${secondary_name1}
 ${secondary_phone1}</t>
  </si>
  <si>
    <t>481. Don tabbatarwa kawai, da wannan itace lambar?
 ${secondary_name1}
 ${secondary_phone1}</t>
  </si>
  <si>
    <t>482. Please go back and correct the name and phone number.</t>
  </si>
  <si>
    <t>482. Veuillez revenir en arrière et corriger le nom et le numéro de téléphone.</t>
  </si>
  <si>
    <t>482. Da fatan za ka koma baya don ka gyara suna da lambar waya.</t>
  </si>
  <si>
    <t>${secondary_phone1_confirm} = 0</t>
  </si>
  <si>
    <t>483. I am going to call this phone number to confirm it is correct. [Enumerator: Did the phone ring?]</t>
  </si>
  <si>
    <t>483. Je vais appeler ce numéro de téléphone pour confirmer qu'il est correct. [Enquêteur : Le téléphone a-t-il sonné ?]</t>
  </si>
  <si>
    <t>483. Zan kirayi wannan lambar wayar don tabbatar da daidai ce. [Ɗan bincike: Wayar ta yi ƙara?]</t>
  </si>
  <si>
    <t>484. Please go back and enter a new phone number.</t>
  </si>
  <si>
    <t>484. Veuillez ressaisir le numéro</t>
  </si>
  <si>
    <t>484. Da fatan zaku rubuta lambar</t>
  </si>
  <si>
    <t>${secondary_phone1_test} &lt;= 0</t>
  </si>
  <si>
    <t>485.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</si>
  <si>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485.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</si>
  <si>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485.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</si>
  <si>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486. What is the last name of this person</t>
  </si>
  <si>
    <t>486. Quel est le nom de cette personne?</t>
  </si>
  <si>
    <t>486. Menene sunan uban wannan mutumen?</t>
  </si>
  <si>
    <t>${secondary_contact2} = 1</t>
  </si>
  <si>
    <t>487. What is the first name of this person</t>
  </si>
  <si>
    <t>487. Quel est le prénom de cette personne?</t>
  </si>
  <si>
    <t>487. Menene sunan wannan mutumen?</t>
  </si>
  <si>
    <t>concat(${secondary_name2_last}, ' ', ${secondary_name2_first})</t>
  </si>
  <si>
    <t>488. What is their phone number?</t>
  </si>
  <si>
    <t>488. Quel est leur numéro de téléphone?</t>
  </si>
  <si>
    <t>488. Menene lambar wayarsu?</t>
  </si>
  <si>
    <t>enquêteur: Le numero de telephone doit commencer par "+227", ne pas inclure les espaces et saisir les 8 chiffres du numero.</t>
  </si>
  <si>
    <t>489. What is ${secondary_name2}'s relationship to you?</t>
  </si>
  <si>
    <t>489. Quelle est la relation entre ${secondary_name2} et vous ?</t>
  </si>
  <si>
    <t>489. Menene alaƙar ku da ${secondary_name2} ?</t>
  </si>
  <si>
    <t>490. Just to confirm, is this the number? 
 ${secondary_name2}
 ${secondary_phone2}</t>
  </si>
  <si>
    <t>490. Juste pour confirmer, est-ce bien le numéro ?
 ${secondary_name2}
 ${secondary_phone2}</t>
  </si>
  <si>
    <t>490. Don tabbatar kawai, da wannan itace lambar?
 ${secondary_name2}
 ${secondary_phone2}</t>
  </si>
  <si>
    <t>491. Please go back and correct the name and phone number.</t>
  </si>
  <si>
    <t>491. Veuillez revenir en arrière et corriger le nom et le numéro de téléphone.</t>
  </si>
  <si>
    <t>491. Da fatan za ka koma baya ka gyara suna da lambar waya.</t>
  </si>
  <si>
    <t>${secondary_phone2_confirm} = 0</t>
  </si>
  <si>
    <t>492. I am going to call this phone number to confirm it is correct. [Enumerator: Did the phone ring?]</t>
  </si>
  <si>
    <t>492. Je vais appeler ce numéro de téléphone pour confirmer qu'il est correct. [Enquêteur : Le téléphone a-t-il sonné ?]</t>
  </si>
  <si>
    <t>492. Zan kirayi wannan lambar wayar don tabbatar da daidai ce. [Ɗan bincike: Wayar ta yi ƙara?]</t>
  </si>
  <si>
    <t>493. Please go back and enter a new phone number.</t>
  </si>
  <si>
    <t>493. Veuillez ressaisir le numéro</t>
  </si>
  <si>
    <t>493. Da fatan zaku rubuta lambar</t>
  </si>
  <si>
    <t>${secondary_phone2_test} &lt;= 0</t>
  </si>
  <si>
    <t>494. How interested was the resppondent?</t>
  </si>
  <si>
    <t>494. Dans quelle mesure le répondant était-il intéressé?</t>
  </si>
  <si>
    <t>494. Yaya kake ganin maida hankalin mai bada amsa yake?</t>
  </si>
  <si>
    <t>495. How impatient was the respondent?</t>
  </si>
  <si>
    <t>495. À quel point le répondant était-il impatient ?</t>
  </si>
  <si>
    <t>495. Yaya kake ganin rashin haƙurin mai bada amsa?</t>
  </si>
  <si>
    <t>496. How well did the respondent understand the questions?</t>
  </si>
  <si>
    <t>496. Dans quelle mesure le répondant a-t-il compris les questions ?</t>
  </si>
  <si>
    <t>496. Yaya kake ganin mai bada amsa ya fahimci tambayoyin?</t>
  </si>
  <si>
    <t>497. Was the interview conducted in the presence of other people?</t>
  </si>
  <si>
    <t>497. L'entretien a-t-il été réalisé en présence d'autres personnes ?</t>
  </si>
  <si>
    <t>497. Ko an yi hirar ne a gaban wasu mutane?</t>
  </si>
  <si>
    <t>498. Enumerator: Record any comments on the survey</t>
  </si>
  <si>
    <t>498. Enquêteur : Veuillez noter vos commentaires si vous en avez</t>
  </si>
  <si>
    <t>498. Ɗan bincike: Yi rikodin duk wani sharhi akan binciken</t>
  </si>
  <si>
    <t>Il n'est pas obligatoire de faire des commentaires! N'ecrivez pas R.A.S.</t>
  </si>
  <si>
    <t>GPS coordinates can only be collected when outside.</t>
  </si>
  <si>
    <t>Les coordonnées GPS ne peuvent être prises qu'à l'extérieur.</t>
  </si>
  <si>
    <t>${speedcheck_outro_end} - ${speedcheck_outro_start}</t>
  </si>
  <si>
    <t>499. That is the end of the survey. Thank you for your time.</t>
  </si>
  <si>
    <t>499. C'est la fin de l'enquête. Merci pour votre temps.</t>
  </si>
  <si>
    <t>499. Karshen tambayoyin kenan. Na gode da lokacin da kuka bani.</t>
  </si>
</sst>
</file>

<file path=xl/styles.xml><?xml version="1.0" encoding="utf-8"?>
<styleSheet xmlns="http://schemas.openxmlformats.org/spreadsheetml/2006/main" xmlns:x14ac="http://schemas.microsoft.com/office/spreadsheetml/2009/9/ac" xmlns:mc="http://schemas.openxmlformats.org/markup-compatibility/2006">
  <fonts count="41">
    <font>
      <sz val="12.0"/>
      <color rgb="FF000000"/>
      <name val="Calibri"/>
      <scheme val="minor"/>
    </font>
    <font>
      <b/>
      <sz val="12.0"/>
      <color theme="1"/>
      <name val="Calibri"/>
    </font>
    <font>
      <b/>
      <sz val="10.0"/>
      <color theme="1"/>
      <name val="Fira Code"/>
    </font>
    <font>
      <b/>
      <sz val="10.0"/>
      <color rgb="FF000000"/>
      <name val="Fira Code"/>
    </font>
    <font>
      <b/>
      <u/>
      <sz val="12.0"/>
      <color rgb="FF000000"/>
      <name val="Calibri"/>
    </font>
    <font/>
    <font>
      <sz val="12.0"/>
      <color rgb="FF000000"/>
      <name val="Calibri"/>
    </font>
    <font>
      <sz val="10.0"/>
      <color theme="1"/>
      <name val="Fira Code"/>
    </font>
    <font>
      <color theme="1"/>
      <name val="Arial"/>
    </font>
    <font>
      <sz val="12.0"/>
      <color theme="1"/>
      <name val="Calibri"/>
    </font>
    <font>
      <sz val="10.0"/>
      <color rgb="FF000000"/>
      <name val="Fira Code"/>
    </font>
    <font>
      <i/>
      <u/>
      <sz val="12.0"/>
      <color rgb="FF0000D4"/>
      <name val="Calibri"/>
    </font>
    <font>
      <b/>
      <sz val="12.0"/>
      <color rgb="FF000000"/>
      <name val="Calibri"/>
    </font>
    <font>
      <i/>
      <u/>
      <sz val="12.0"/>
      <color rgb="FF0000D4"/>
      <name val="Calibri"/>
    </font>
    <font>
      <i/>
      <u/>
      <sz val="12.0"/>
      <color rgb="FF0000D4"/>
      <name val="Calibri"/>
    </font>
    <font>
      <i/>
      <u/>
      <sz val="12.0"/>
      <color rgb="FF0000D4"/>
      <name val="Calibri"/>
    </font>
    <font>
      <u/>
      <sz val="12.0"/>
      <color rgb="FF000000"/>
      <name val="Calibri"/>
    </font>
    <font>
      <u/>
      <sz val="12.0"/>
      <color rgb="FF0000D4"/>
      <name val="Calibri"/>
    </font>
    <font>
      <color theme="1"/>
      <name val="Calibri"/>
      <scheme val="minor"/>
    </font>
    <font>
      <sz val="10.0"/>
      <color theme="1"/>
      <name val="Calibri"/>
    </font>
    <font>
      <sz val="10.0"/>
      <color theme="1"/>
      <name val="Calibri"/>
      <scheme val="minor"/>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sz val="10.0"/>
      <color rgb="FF000000"/>
      <name val="&quot;Fira Code&quot;"/>
    </font>
    <font>
      <sz val="12.0"/>
      <color theme="1"/>
      <name val="Fira Code"/>
    </font>
    <font>
      <u/>
      <sz val="10.0"/>
      <color rgb="FF000000"/>
      <name val="Fira Code"/>
    </font>
    <font>
      <sz val="10.0"/>
      <color theme="1"/>
      <name val="&quot;Fira Code&quot;"/>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b/>
      <u/>
      <sz val="12.0"/>
      <color rgb="FF000000"/>
      <name val="Calibri"/>
    </font>
    <font>
      <sz val="10.0"/>
      <color rgb="FF000000"/>
      <name val="Arial"/>
    </font>
    <font>
      <sz val="10.0"/>
      <color rgb="FF1F1F1F"/>
      <name val="Fira Code"/>
    </font>
    <font>
      <color theme="1"/>
      <name val="Fira Code"/>
    </font>
    <font>
      <sz val="10.0"/>
      <color rgb="FF333333"/>
      <name val="Fira Code"/>
    </font>
  </fonts>
  <fills count="25">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EEB400"/>
        <bgColor rgb="FFEEB400"/>
      </patternFill>
    </fill>
    <fill>
      <patternFill patternType="solid">
        <fgColor rgb="FFFFD44B"/>
        <bgColor rgb="FFFFD44B"/>
      </patternFill>
    </fill>
    <fill>
      <patternFill patternType="solid">
        <fgColor rgb="FFFFFFFF"/>
        <bgColor rgb="FFFFFFFF"/>
      </patternFill>
    </fill>
    <fill>
      <patternFill patternType="solid">
        <fgColor rgb="FFFDE9D9"/>
        <bgColor rgb="FFFDE9D9"/>
      </patternFill>
    </fill>
    <fill>
      <patternFill patternType="solid">
        <fgColor rgb="FFD6E3BC"/>
        <bgColor rgb="FFD6E3BC"/>
      </patternFill>
    </fill>
    <fill>
      <patternFill patternType="solid">
        <fgColor rgb="FFEAF1DD"/>
        <bgColor rgb="FFEAF1DD"/>
      </patternFill>
    </fill>
    <fill>
      <patternFill patternType="solid">
        <fgColor rgb="FFE4E300"/>
        <bgColor rgb="FFE4E300"/>
      </patternFill>
    </fill>
    <fill>
      <patternFill patternType="solid">
        <fgColor rgb="FFFBFB00"/>
        <bgColor rgb="FFFBFB00"/>
      </patternFill>
    </fill>
    <fill>
      <patternFill patternType="solid">
        <fgColor rgb="FFDCC97A"/>
        <bgColor rgb="FFDCC97A"/>
      </patternFill>
    </fill>
    <fill>
      <patternFill patternType="solid">
        <fgColor rgb="FFE7D480"/>
        <bgColor rgb="FFE7D480"/>
      </patternFill>
    </fill>
    <fill>
      <patternFill patternType="solid">
        <fgColor rgb="FFFABF8F"/>
        <bgColor rgb="FFFABF8F"/>
      </patternFill>
    </fill>
    <fill>
      <patternFill patternType="solid">
        <fgColor rgb="FFFBD4B4"/>
        <bgColor rgb="FFFBD4B4"/>
      </patternFill>
    </fill>
    <fill>
      <patternFill patternType="solid">
        <fgColor rgb="FFFF9900"/>
        <bgColor rgb="FFFF9900"/>
      </patternFill>
    </fill>
    <fill>
      <patternFill patternType="solid">
        <fgColor rgb="FFFFBB57"/>
        <bgColor rgb="FFFFBB57"/>
      </patternFill>
    </fill>
    <fill>
      <patternFill patternType="solid">
        <fgColor rgb="FFB8CCE4"/>
        <bgColor rgb="FFB8CCE4"/>
      </patternFill>
    </fill>
    <fill>
      <patternFill patternType="solid">
        <fgColor rgb="FFDBE5F1"/>
        <bgColor rgb="FFDBE5F1"/>
      </patternFill>
    </fill>
    <fill>
      <patternFill patternType="solid">
        <fgColor theme="0"/>
        <bgColor theme="0"/>
      </patternFill>
    </fill>
    <fill>
      <patternFill patternType="solid">
        <fgColor rgb="FF4685D2"/>
        <bgColor rgb="FF4685D2"/>
      </patternFill>
    </fill>
    <fill>
      <patternFill patternType="solid">
        <fgColor rgb="FF99BCE7"/>
        <bgColor rgb="FF99BCE7"/>
      </patternFill>
    </fill>
    <fill>
      <patternFill patternType="solid">
        <fgColor rgb="FFC4BD97"/>
        <bgColor rgb="FFC4BD97"/>
      </patternFill>
    </fill>
    <fill>
      <patternFill patternType="solid">
        <fgColor rgb="FFE3E0CF"/>
        <bgColor rgb="FFE3E0CF"/>
      </patternFill>
    </fill>
  </fills>
  <borders count="50">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000000"/>
      </bottom>
    </border>
    <border>
      <right style="thin">
        <color rgb="FFBFBFBF"/>
      </right>
      <top style="thin">
        <color rgb="FFBFBFBF"/>
      </top>
      <bottom style="thin">
        <color rgb="FFBFBFBF"/>
      </bottom>
    </border>
    <border>
      <right style="thin">
        <color rgb="FFBFBFBF"/>
      </right>
      <top style="thin">
        <color rgb="FFBFBFBF"/>
      </top>
      <bottom style="thin">
        <color rgb="FF000000"/>
      </bottom>
    </border>
    <border>
      <left style="thin">
        <color rgb="FF000000"/>
      </left>
      <top style="thin">
        <color rgb="FF000000"/>
      </top>
      <bottom/>
    </border>
    <border>
      <right style="thin">
        <color rgb="FF000000"/>
      </right>
      <top style="thin">
        <color rgb="FF000000"/>
      </top>
      <bottom/>
    </border>
    <border>
      <left style="thin">
        <color rgb="FFBFBFBF"/>
      </left>
      <bottom style="thin">
        <color rgb="FF000000"/>
      </bottom>
    </border>
    <border>
      <bottom style="thin">
        <color rgb="FF000000"/>
      </bottom>
    </border>
    <border>
      <left style="thin">
        <color rgb="FF000000"/>
      </left>
      <top/>
      <bottom/>
    </border>
    <border>
      <right style="thin">
        <color rgb="FF000000"/>
      </right>
      <top/>
      <bottom/>
    </border>
    <border>
      <left style="thin">
        <color rgb="FFBFBFBF"/>
      </left>
      <right style="thin">
        <color rgb="FFBFBFBF"/>
      </right>
      <bottom style="thin">
        <color rgb="FFBFBFBF"/>
      </bottom>
    </border>
    <border>
      <right style="thin">
        <color rgb="FFBFBFBF"/>
      </right>
      <bottom style="thin">
        <color rgb="FFBFBFBF"/>
      </bottom>
    </border>
    <border>
      <left style="thin">
        <color rgb="FF000000"/>
      </left>
      <top/>
      <bottom style="thin">
        <color rgb="FF000000"/>
      </bottom>
    </border>
    <border>
      <right style="thin">
        <color rgb="FF000000"/>
      </right>
      <top/>
      <bottom style="thin">
        <color rgb="FF000000"/>
      </bottom>
    </border>
    <border>
      <left style="thin">
        <color rgb="FFBFBFBF"/>
      </left>
      <right style="thin">
        <color rgb="FFBFBFBF"/>
      </right>
      <bottom style="thin">
        <color rgb="FF000000"/>
      </bottom>
    </border>
    <border>
      <right style="thin">
        <color rgb="FFBFBFBF"/>
      </right>
      <bottom style="thin">
        <color rgb="FF000000"/>
      </bottom>
    </border>
    <border>
      <left style="thin">
        <color rgb="FF7F7F7F"/>
      </left>
      <right style="thin">
        <color rgb="FF7F7F7F"/>
      </right>
      <top style="thin">
        <color rgb="FF7F7F7F"/>
      </top>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left/>
      <right/>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bottom style="thin">
        <color rgb="FFBFBFBF"/>
      </bottom>
    </border>
    <border>
      <right style="thin">
        <color rgb="FF000000"/>
      </right>
      <bottom style="thin">
        <color rgb="FF000000"/>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bottom style="thin">
        <color rgb="FFBFBFBF"/>
      </bottom>
    </border>
    <border>
      <right style="thin">
        <color rgb="FFBFBFBF"/>
      </right>
    </border>
    <border>
      <right style="thin">
        <color rgb="FF000000"/>
      </right>
      <top style="thin">
        <color rgb="FF000000"/>
      </top>
      <bottom style="thin">
        <color rgb="FFBFBFBF"/>
      </bottom>
    </border>
    <border>
      <left style="thin">
        <color rgb="FF808080"/>
      </left>
      <right style="thin">
        <color rgb="FF808080"/>
      </right>
      <top style="thin">
        <color rgb="FF808080"/>
      </top>
      <bottom style="thin">
        <color rgb="FF808080"/>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left style="thin">
        <color rgb="FF000000"/>
      </left>
      <right/>
      <top/>
      <bottom/>
    </border>
    <border>
      <left/>
      <right style="thin">
        <color rgb="FF000000"/>
      </right>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right style="thin">
        <color rgb="FFBFBFBF"/>
      </right>
      <top style="thin">
        <color rgb="FF000000"/>
      </top>
    </border>
    <border>
      <left style="thin">
        <color rgb="FFBFBFBF"/>
      </left>
      <right style="thin">
        <color rgb="FFBFBFBF"/>
      </right>
    </border>
  </borders>
  <cellStyleXfs count="1">
    <xf borderId="0" fillId="0" fontId="0" numFmtId="0" applyAlignment="1" applyFont="1"/>
  </cellStyleXfs>
  <cellXfs count="296">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vertical="bottom"/>
    </xf>
    <xf borderId="3" fillId="2" fontId="1" numFmtId="0" xfId="0" applyAlignment="1" applyBorder="1" applyFont="1">
      <alignment vertical="bottom"/>
    </xf>
    <xf borderId="4" fillId="2" fontId="2" numFmtId="0" xfId="0" applyAlignment="1" applyBorder="1" applyFont="1">
      <alignment vertical="bottom"/>
    </xf>
    <xf borderId="0" fillId="2" fontId="3" numFmtId="0" xfId="0" applyAlignment="1" applyFont="1">
      <alignment readingOrder="0" shrinkToFit="0" wrapText="1"/>
    </xf>
    <xf borderId="5" fillId="3" fontId="4" numFmtId="0" xfId="0" applyAlignment="1" applyBorder="1" applyFill="1" applyFont="1">
      <alignment horizontal="left" shrinkToFit="0" vertical="center" wrapText="1"/>
    </xf>
    <xf borderId="6" fillId="0" fontId="5" numFmtId="0" xfId="0" applyBorder="1" applyFont="1"/>
    <xf borderId="4" fillId="2" fontId="2" numFmtId="49" xfId="0" applyAlignment="1" applyBorder="1" applyFont="1" applyNumberFormat="1">
      <alignment shrinkToFit="0" vertical="bottom" wrapText="1"/>
    </xf>
    <xf borderId="0" fillId="0" fontId="6" numFmtId="0" xfId="0" applyAlignment="1" applyFont="1">
      <alignment shrinkToFit="0" wrapText="1"/>
    </xf>
    <xf borderId="4" fillId="2" fontId="2" numFmtId="0" xfId="0" applyAlignment="1" applyBorder="1" applyFont="1">
      <alignment vertical="bottom"/>
    </xf>
    <xf borderId="0" fillId="0" fontId="6" numFmtId="0" xfId="0" applyFont="1"/>
    <xf borderId="3" fillId="2" fontId="1" numFmtId="49" xfId="0" applyAlignment="1" applyBorder="1" applyFont="1" applyNumberFormat="1">
      <alignment shrinkToFit="0" vertical="bottom" wrapText="1"/>
    </xf>
    <xf borderId="7" fillId="2" fontId="2" numFmtId="0" xfId="0" applyAlignment="1" applyBorder="1" applyFont="1">
      <alignment vertical="bottom"/>
    </xf>
    <xf borderId="0" fillId="2" fontId="3" numFmtId="0" xfId="0" applyAlignment="1" applyFont="1">
      <alignment shrinkToFit="0" wrapText="1"/>
    </xf>
    <xf borderId="8" fillId="2" fontId="2" numFmtId="0" xfId="0" applyAlignment="1" applyBorder="1" applyFont="1">
      <alignment vertical="bottom"/>
    </xf>
    <xf borderId="3" fillId="2" fontId="1" numFmtId="0" xfId="0" applyAlignment="1" applyBorder="1" applyFont="1">
      <alignment shrinkToFit="0" vertical="bottom" wrapText="1"/>
    </xf>
    <xf borderId="8" fillId="2" fontId="7" numFmtId="0" xfId="0" applyAlignment="1" applyBorder="1" applyFont="1">
      <alignment vertical="bottom"/>
    </xf>
    <xf borderId="0" fillId="2" fontId="8" numFmtId="0" xfId="0" applyAlignment="1" applyFont="1">
      <alignment vertical="bottom"/>
    </xf>
    <xf borderId="0" fillId="2" fontId="2" numFmtId="0" xfId="0" applyAlignment="1" applyFont="1">
      <alignment shrinkToFit="0" wrapText="1"/>
    </xf>
    <xf borderId="9" fillId="3" fontId="6" numFmtId="0" xfId="0" applyAlignment="1" applyBorder="1" applyFont="1">
      <alignment horizontal="center" shrinkToFit="0" vertical="center" wrapText="1"/>
    </xf>
    <xf borderId="10" fillId="0" fontId="5" numFmtId="0" xfId="0" applyBorder="1" applyFont="1"/>
    <xf borderId="11" fillId="0" fontId="9" numFmtId="0" xfId="0" applyAlignment="1" applyBorder="1" applyFont="1">
      <alignment readingOrder="0" vertical="bottom"/>
    </xf>
    <xf borderId="11" fillId="0" fontId="7" numFmtId="0" xfId="0" applyAlignment="1" applyBorder="1" applyFont="1">
      <alignment vertical="bottom"/>
    </xf>
    <xf borderId="12" fillId="0" fontId="9" numFmtId="0" xfId="0" applyAlignment="1" applyBorder="1" applyFont="1">
      <alignment readingOrder="0" vertical="bottom"/>
    </xf>
    <xf borderId="12" fillId="0" fontId="7" numFmtId="0" xfId="0" applyAlignment="1" applyBorder="1" applyFont="1">
      <alignment horizontal="right" vertical="bottom"/>
    </xf>
    <xf borderId="9" fillId="3" fontId="6" numFmtId="0" xfId="0" applyAlignment="1" applyBorder="1" applyFont="1">
      <alignment horizontal="left" shrinkToFit="0" vertical="center" wrapText="1"/>
    </xf>
    <xf borderId="12" fillId="0" fontId="7" numFmtId="0" xfId="0" applyAlignment="1" applyBorder="1" applyFont="1">
      <alignment vertical="bottom"/>
    </xf>
    <xf borderId="12" fillId="0" fontId="7" numFmtId="0" xfId="0" applyAlignment="1" applyBorder="1" applyFont="1">
      <alignment vertical="bottom"/>
    </xf>
    <xf borderId="0" fillId="0" fontId="7" numFmtId="0" xfId="0" applyAlignment="1" applyFont="1">
      <alignment vertical="bottom"/>
    </xf>
    <xf borderId="0" fillId="0" fontId="10" numFmtId="0" xfId="0" applyAlignment="1" applyFont="1">
      <alignment shrinkToFit="0" wrapText="1"/>
    </xf>
    <xf borderId="0" fillId="0" fontId="10" numFmtId="49" xfId="0" applyAlignment="1" applyFont="1" applyNumberFormat="1">
      <alignment readingOrder="0" shrinkToFit="0" wrapText="1"/>
    </xf>
    <xf borderId="13" fillId="3" fontId="11" numFmtId="0" xfId="0" applyAlignment="1" applyBorder="1" applyFont="1">
      <alignment horizontal="left" shrinkToFit="0" vertical="top" wrapText="1"/>
    </xf>
    <xf borderId="12" fillId="0" fontId="9" numFmtId="0" xfId="0" applyAlignment="1" applyBorder="1" applyFont="1">
      <alignment vertical="bottom"/>
    </xf>
    <xf borderId="14" fillId="0" fontId="5" numFmtId="0" xfId="0" applyBorder="1" applyFont="1"/>
    <xf borderId="12" fillId="0" fontId="8" numFmtId="0" xfId="0" applyAlignment="1" applyBorder="1" applyFont="1">
      <alignment vertical="bottom"/>
    </xf>
    <xf borderId="15" fillId="0" fontId="7" numFmtId="0" xfId="0" applyAlignment="1" applyBorder="1" applyFont="1">
      <alignment vertical="bottom"/>
    </xf>
    <xf borderId="0" fillId="0" fontId="8" numFmtId="0" xfId="0" applyAlignment="1" applyFont="1">
      <alignment vertical="bottom"/>
    </xf>
    <xf borderId="16" fillId="0" fontId="7" numFmtId="0" xfId="0" applyAlignment="1" applyBorder="1" applyFont="1">
      <alignment horizontal="right" vertical="bottom"/>
    </xf>
    <xf borderId="16" fillId="0" fontId="7" numFmtId="0" xfId="0" applyAlignment="1" applyBorder="1" applyFont="1">
      <alignment vertical="bottom"/>
    </xf>
    <xf borderId="16" fillId="0" fontId="7" numFmtId="0" xfId="0" applyAlignment="1" applyBorder="1" applyFont="1">
      <alignment vertical="bottom"/>
    </xf>
    <xf borderId="8" fillId="0" fontId="7" numFmtId="0" xfId="0" applyAlignment="1" applyBorder="1" applyFont="1">
      <alignment vertical="bottom"/>
    </xf>
    <xf borderId="17" fillId="2" fontId="12" numFmtId="0" xfId="0" applyBorder="1" applyFont="1"/>
    <xf borderId="17" fillId="2" fontId="12" numFmtId="0" xfId="0" applyAlignment="1" applyBorder="1" applyFont="1">
      <alignment shrinkToFit="0" wrapText="1"/>
    </xf>
    <xf borderId="17" fillId="2" fontId="1" numFmtId="0" xfId="0" applyAlignment="1" applyBorder="1" applyFont="1">
      <alignment shrinkToFit="0" wrapText="1"/>
    </xf>
    <xf borderId="18" fillId="0" fontId="7" numFmtId="0" xfId="0" applyAlignment="1" applyBorder="1" applyFont="1">
      <alignment vertical="bottom"/>
    </xf>
    <xf borderId="19" fillId="0" fontId="7" numFmtId="0" xfId="0" applyAlignment="1" applyBorder="1" applyFont="1">
      <alignment horizontal="right" readingOrder="0" vertical="bottom"/>
    </xf>
    <xf borderId="20" fillId="2" fontId="12" numFmtId="0" xfId="0" applyBorder="1" applyFont="1"/>
    <xf borderId="19" fillId="0" fontId="7" numFmtId="0" xfId="0" applyAlignment="1" applyBorder="1" applyFont="1">
      <alignment readingOrder="0" vertical="bottom"/>
    </xf>
    <xf borderId="21" fillId="3" fontId="6" numFmtId="0" xfId="0" applyAlignment="1" applyBorder="1" applyFont="1">
      <alignment horizontal="left" shrinkToFit="0" vertical="top" wrapText="1"/>
    </xf>
    <xf borderId="22" fillId="0" fontId="7" numFmtId="0" xfId="0" applyAlignment="1" applyBorder="1" applyFont="1">
      <alignment readingOrder="0" vertical="bottom"/>
    </xf>
    <xf borderId="23" fillId="0" fontId="7" numFmtId="0" xfId="0" applyAlignment="1" applyBorder="1" applyFont="1">
      <alignment vertical="bottom"/>
    </xf>
    <xf borderId="23" fillId="0" fontId="7" numFmtId="0" xfId="0" applyAlignment="1" applyBorder="1" applyFont="1">
      <alignment readingOrder="0" vertical="bottom"/>
    </xf>
    <xf borderId="20" fillId="3" fontId="6" numFmtId="0" xfId="0" applyAlignment="1" applyBorder="1" applyFont="1">
      <alignment shrinkToFit="0" vertical="top" wrapText="1"/>
    </xf>
    <xf borderId="12" fillId="0" fontId="7" numFmtId="0" xfId="0" applyAlignment="1" applyBorder="1" applyFont="1">
      <alignment horizontal="right" readingOrder="0" vertical="bottom"/>
    </xf>
    <xf borderId="24" fillId="0" fontId="7" numFmtId="0" xfId="0" applyAlignment="1" applyBorder="1" applyFont="1">
      <alignment readingOrder="0" vertical="bottom"/>
    </xf>
    <xf borderId="25" fillId="0" fontId="7" numFmtId="0" xfId="0" applyAlignment="1" applyBorder="1" applyFont="1">
      <alignment readingOrder="0" vertical="bottom"/>
    </xf>
    <xf borderId="0" fillId="0" fontId="7" numFmtId="0" xfId="0" applyAlignment="1" applyFont="1">
      <alignment readingOrder="0" vertical="bottom"/>
    </xf>
    <xf borderId="20" fillId="3" fontId="6" numFmtId="0" xfId="0" applyAlignment="1" applyBorder="1" applyFont="1">
      <alignment horizontal="left" shrinkToFit="0" vertical="top" wrapText="1"/>
    </xf>
    <xf borderId="21" fillId="3" fontId="6" numFmtId="0" xfId="0" applyAlignment="1" applyBorder="1" applyFont="1">
      <alignment vertical="top"/>
    </xf>
    <xf borderId="21" fillId="3" fontId="6" numFmtId="0" xfId="0" applyAlignment="1" applyBorder="1" applyFont="1">
      <alignment shrinkToFit="0" vertical="top" wrapText="1"/>
    </xf>
    <xf borderId="24" fillId="0" fontId="7" numFmtId="0" xfId="0" applyAlignment="1" applyBorder="1" applyFont="1">
      <alignment vertical="bottom"/>
    </xf>
    <xf borderId="25" fillId="0" fontId="7" numFmtId="0" xfId="0" applyAlignment="1" applyBorder="1" applyFont="1">
      <alignment vertical="bottom"/>
    </xf>
    <xf borderId="21" fillId="3" fontId="13" numFmtId="0" xfId="0" applyAlignment="1" applyBorder="1" applyFont="1">
      <alignment vertical="top"/>
    </xf>
    <xf borderId="21" fillId="3" fontId="14" numFmtId="0" xfId="0" applyAlignment="1" applyBorder="1" applyFont="1">
      <alignment shrinkToFit="0" vertical="top" wrapText="1"/>
    </xf>
    <xf borderId="0" fillId="0" fontId="10" numFmtId="0" xfId="0" applyAlignment="1" applyFont="1">
      <alignment readingOrder="0" shrinkToFit="0" wrapText="1"/>
    </xf>
    <xf borderId="15" fillId="0" fontId="7" numFmtId="0" xfId="0" applyAlignment="1" applyBorder="1" applyFont="1">
      <alignment vertical="bottom"/>
    </xf>
    <xf borderId="0" fillId="4" fontId="7" numFmtId="0" xfId="0" applyAlignment="1" applyFill="1" applyFont="1">
      <alignment readingOrder="0" shrinkToFit="0" vertical="bottom" wrapText="1"/>
    </xf>
    <xf borderId="21" fillId="3" fontId="15" numFmtId="49" xfId="0" applyAlignment="1" applyBorder="1" applyFont="1" applyNumberFormat="1">
      <alignment shrinkToFit="0" vertical="top" wrapText="1"/>
    </xf>
    <xf borderId="0" fillId="5" fontId="7" numFmtId="49" xfId="0" applyAlignment="1" applyFill="1" applyFont="1" applyNumberFormat="1">
      <alignment readingOrder="0" shrinkToFit="0" vertical="bottom" wrapText="1"/>
    </xf>
    <xf borderId="0" fillId="4" fontId="7" numFmtId="0" xfId="0" applyAlignment="1" applyFont="1">
      <alignment shrinkToFit="0" vertical="bottom" wrapText="1"/>
    </xf>
    <xf borderId="0" fillId="5" fontId="7" numFmtId="0" xfId="0" applyAlignment="1" applyFont="1">
      <alignment shrinkToFit="0" vertical="bottom" wrapText="1"/>
    </xf>
    <xf borderId="0" fillId="5" fontId="7" numFmtId="0" xfId="0" applyAlignment="1" applyFont="1">
      <alignment readingOrder="0" shrinkToFit="0" vertical="bottom" wrapText="1"/>
    </xf>
    <xf borderId="0" fillId="6" fontId="10" numFmtId="0" xfId="0" applyAlignment="1" applyFill="1" applyFont="1">
      <alignment readingOrder="0" shrinkToFit="0" wrapText="1"/>
    </xf>
    <xf borderId="26" fillId="7" fontId="16" numFmtId="0" xfId="0" applyAlignment="1" applyBorder="1" applyFill="1" applyFont="1">
      <alignment horizontal="left"/>
    </xf>
    <xf borderId="27" fillId="0" fontId="5" numFmtId="0" xfId="0" applyBorder="1" applyFont="1"/>
    <xf borderId="0" fillId="0" fontId="7" numFmtId="0" xfId="0" applyAlignment="1" applyFont="1">
      <alignment shrinkToFit="0" vertical="bottom" wrapText="1"/>
    </xf>
    <xf borderId="8" fillId="0" fontId="7" numFmtId="0" xfId="0" applyAlignment="1" applyBorder="1" applyFont="1">
      <alignment shrinkToFit="0" vertical="bottom" wrapText="0"/>
    </xf>
    <xf borderId="28" fillId="7" fontId="6" numFmtId="0" xfId="0" applyAlignment="1" applyBorder="1" applyFont="1">
      <alignment shrinkToFit="0" wrapText="1"/>
    </xf>
    <xf borderId="28" fillId="7" fontId="6" numFmtId="0" xfId="0" applyBorder="1" applyFont="1"/>
    <xf borderId="20" fillId="7" fontId="6" numFmtId="0" xfId="0" applyBorder="1" applyFont="1"/>
    <xf borderId="0" fillId="8" fontId="7" numFmtId="0" xfId="0" applyAlignment="1" applyFill="1" applyFont="1">
      <alignment shrinkToFit="0" vertical="bottom" wrapText="1"/>
    </xf>
    <xf borderId="0" fillId="9" fontId="7" numFmtId="0" xfId="0" applyAlignment="1" applyFill="1" applyFont="1">
      <alignment shrinkToFit="0" vertical="bottom" wrapText="1"/>
    </xf>
    <xf borderId="28" fillId="7" fontId="17" numFmtId="0" xfId="0" applyAlignment="1" applyBorder="1" applyFont="1">
      <alignment horizontal="left" vertical="top"/>
    </xf>
    <xf borderId="0" fillId="8" fontId="7" numFmtId="0" xfId="0" applyAlignment="1" applyFont="1">
      <alignment shrinkToFit="0" vertical="bottom" wrapText="1"/>
    </xf>
    <xf borderId="28" fillId="7" fontId="6" numFmtId="0" xfId="0" applyAlignment="1" applyBorder="1" applyFont="1">
      <alignment horizontal="left" vertical="top"/>
    </xf>
    <xf borderId="0" fillId="9" fontId="7" numFmtId="0" xfId="0" applyAlignment="1" applyFont="1">
      <alignment readingOrder="0" shrinkToFit="0" vertical="bottom" wrapText="1"/>
    </xf>
    <xf borderId="28" fillId="7" fontId="6" numFmtId="0" xfId="0" applyAlignment="1" applyBorder="1" applyFont="1">
      <alignment horizontal="left" shrinkToFit="0" vertical="top" wrapText="1"/>
    </xf>
    <xf borderId="11" fillId="0" fontId="7" numFmtId="0" xfId="0" applyAlignment="1" applyBorder="1" applyFont="1">
      <alignment vertical="bottom"/>
    </xf>
    <xf borderId="0" fillId="0" fontId="18" numFmtId="0" xfId="0" applyAlignment="1" applyFont="1">
      <alignment readingOrder="0"/>
    </xf>
    <xf borderId="12" fillId="0" fontId="7" numFmtId="0" xfId="0" applyAlignment="1" applyBorder="1" applyFont="1">
      <alignment horizontal="right" vertical="bottom"/>
    </xf>
    <xf borderId="0" fillId="0" fontId="18" numFmtId="0" xfId="0" applyFont="1"/>
    <xf borderId="29" fillId="0" fontId="7" numFmtId="0" xfId="0" applyAlignment="1" applyBorder="1" applyFont="1">
      <alignment shrinkToFit="0" vertical="bottom" wrapText="0"/>
    </xf>
    <xf borderId="0" fillId="0" fontId="7" numFmtId="0" xfId="0" applyAlignment="1" applyFont="1">
      <alignment horizontal="right" vertical="bottom"/>
    </xf>
    <xf borderId="30" fillId="0" fontId="7" numFmtId="0" xfId="0" applyAlignment="1" applyBorder="1" applyFont="1">
      <alignment horizontal="right" readingOrder="0" vertical="bottom"/>
    </xf>
    <xf borderId="12" fillId="0" fontId="7" numFmtId="0" xfId="0" applyAlignment="1" applyBorder="1" applyFont="1">
      <alignment readingOrder="0" vertical="bottom"/>
    </xf>
    <xf borderId="30" fillId="0" fontId="7" numFmtId="0" xfId="0" applyAlignment="1" applyBorder="1" applyFont="1">
      <alignment vertical="bottom"/>
    </xf>
    <xf borderId="0" fillId="0" fontId="7" numFmtId="0" xfId="0" applyAlignment="1" applyFont="1">
      <alignment horizontal="right" readingOrder="0" vertical="bottom"/>
    </xf>
    <xf borderId="16" fillId="0" fontId="7" numFmtId="0" xfId="0" applyAlignment="1" applyBorder="1" applyFont="1">
      <alignment horizontal="right" vertical="bottom"/>
    </xf>
    <xf borderId="8" fillId="0" fontId="7" numFmtId="0" xfId="0" applyAlignment="1" applyBorder="1" applyFont="1">
      <alignment vertical="bottom"/>
    </xf>
    <xf borderId="8" fillId="0" fontId="7" numFmtId="0" xfId="0" applyAlignment="1" applyBorder="1" applyFont="1">
      <alignment horizontal="right" vertical="bottom"/>
    </xf>
    <xf borderId="0" fillId="0" fontId="7" numFmtId="0" xfId="0" applyAlignment="1" applyFont="1">
      <alignment vertical="bottom"/>
    </xf>
    <xf borderId="0" fillId="0" fontId="7" numFmtId="0" xfId="0" applyAlignment="1" applyFont="1">
      <alignment horizontal="right" vertical="bottom"/>
    </xf>
    <xf borderId="0" fillId="6" fontId="10" numFmtId="0" xfId="0" applyAlignment="1" applyFont="1">
      <alignment horizontal="left" readingOrder="0"/>
    </xf>
    <xf borderId="0" fillId="10" fontId="7" numFmtId="0" xfId="0" applyAlignment="1" applyFill="1" applyFont="1">
      <alignment shrinkToFit="0" vertical="bottom" wrapText="1"/>
    </xf>
    <xf borderId="0" fillId="11" fontId="7" numFmtId="49" xfId="0" applyAlignment="1" applyFill="1" applyFont="1" applyNumberFormat="1">
      <alignment shrinkToFit="0" vertical="bottom" wrapText="1"/>
    </xf>
    <xf borderId="0" fillId="11" fontId="7" numFmtId="0" xfId="0" applyAlignment="1" applyFont="1">
      <alignment shrinkToFit="0" vertical="bottom" wrapText="1"/>
    </xf>
    <xf borderId="0" fillId="10" fontId="19" numFmtId="49" xfId="0" applyAlignment="1" applyFont="1" applyNumberFormat="1">
      <alignment vertical="bottom"/>
    </xf>
    <xf borderId="0" fillId="10" fontId="7" numFmtId="0" xfId="0" applyAlignment="1" applyFont="1">
      <alignment shrinkToFit="0" vertical="bottom" wrapText="1"/>
    </xf>
    <xf borderId="18" fillId="0" fontId="7" numFmtId="0" xfId="0" applyAlignment="1" applyBorder="1" applyFont="1">
      <alignment vertical="bottom"/>
    </xf>
    <xf borderId="19" fillId="0" fontId="7" numFmtId="0" xfId="0" applyAlignment="1" applyBorder="1" applyFont="1">
      <alignment horizontal="right" vertical="bottom"/>
    </xf>
    <xf borderId="31" fillId="0" fontId="7" numFmtId="0" xfId="0" applyAlignment="1" applyBorder="1" applyFont="1">
      <alignment vertical="bottom"/>
    </xf>
    <xf borderId="22" fillId="0" fontId="7" numFmtId="0" xfId="0" applyAlignment="1" applyBorder="1" applyFont="1">
      <alignment vertical="bottom"/>
    </xf>
    <xf borderId="19" fillId="0" fontId="7" numFmtId="0" xfId="0" applyAlignment="1" applyBorder="1" applyFont="1">
      <alignment vertical="bottom"/>
    </xf>
    <xf borderId="25" fillId="0" fontId="7" numFmtId="0" xfId="0" applyAlignment="1" applyBorder="1" applyFont="1">
      <alignment vertical="bottom"/>
    </xf>
    <xf borderId="19" fillId="0" fontId="7" numFmtId="0" xfId="0" applyAlignment="1" applyBorder="1" applyFont="1">
      <alignment vertical="bottom"/>
    </xf>
    <xf borderId="0" fillId="10" fontId="19" numFmtId="0" xfId="0" applyAlignment="1" applyFont="1">
      <alignment vertical="bottom"/>
    </xf>
    <xf borderId="0" fillId="0" fontId="19" numFmtId="0" xfId="0" applyAlignment="1" applyFont="1">
      <alignment vertical="bottom"/>
    </xf>
    <xf borderId="0" fillId="10" fontId="19" numFmtId="0" xfId="0" applyAlignment="1" applyFont="1">
      <alignment vertical="bottom"/>
    </xf>
    <xf borderId="0" fillId="10" fontId="19" numFmtId="0" xfId="0" applyAlignment="1" applyFont="1">
      <alignment vertical="bottom"/>
    </xf>
    <xf borderId="24" fillId="0" fontId="7" numFmtId="0" xfId="0" applyAlignment="1" applyBorder="1" applyFont="1">
      <alignment vertical="bottom"/>
    </xf>
    <xf borderId="0" fillId="11" fontId="7" numFmtId="0" xfId="0" applyAlignment="1" applyFont="1">
      <alignment shrinkToFit="0" vertical="bottom" wrapText="1"/>
    </xf>
    <xf borderId="0" fillId="4" fontId="7" numFmtId="0" xfId="0" applyAlignment="1" applyFont="1">
      <alignment shrinkToFit="0" vertical="bottom" wrapText="1"/>
    </xf>
    <xf borderId="0" fillId="5" fontId="7" numFmtId="49" xfId="0" applyAlignment="1" applyFont="1" applyNumberFormat="1">
      <alignment shrinkToFit="0" vertical="bottom" wrapText="1"/>
    </xf>
    <xf borderId="32" fillId="7" fontId="6" numFmtId="0" xfId="0" applyAlignment="1" applyBorder="1" applyFont="1">
      <alignment horizontal="left" shrinkToFit="0" vertical="top" wrapText="1"/>
    </xf>
    <xf borderId="30" fillId="0" fontId="7" numFmtId="0" xfId="0" applyAlignment="1" applyBorder="1" applyFont="1">
      <alignment vertical="bottom"/>
    </xf>
    <xf borderId="0" fillId="12" fontId="7" numFmtId="0" xfId="0" applyAlignment="1" applyFill="1" applyFont="1">
      <alignment shrinkToFit="0" vertical="bottom" wrapText="1"/>
    </xf>
    <xf borderId="0" fillId="13" fontId="7" numFmtId="49" xfId="0" applyAlignment="1" applyFill="1" applyFont="1" applyNumberFormat="1">
      <alignment shrinkToFit="0" vertical="bottom" wrapText="1"/>
    </xf>
    <xf borderId="0" fillId="12" fontId="7" numFmtId="0" xfId="0" applyAlignment="1" applyFont="1">
      <alignment readingOrder="0" shrinkToFit="0" vertical="bottom" wrapText="1"/>
    </xf>
    <xf borderId="0" fillId="13" fontId="7" numFmtId="49" xfId="0" applyAlignment="1" applyFont="1" applyNumberFormat="1">
      <alignment readingOrder="0" shrinkToFit="0" vertical="bottom" wrapText="1"/>
    </xf>
    <xf borderId="0" fillId="0" fontId="7" numFmtId="0" xfId="0" applyAlignment="1" applyFont="1">
      <alignment shrinkToFit="0" wrapText="1"/>
    </xf>
    <xf borderId="0" fillId="9" fontId="7" numFmtId="49" xfId="0" applyAlignment="1" applyFont="1" applyNumberFormat="1">
      <alignment readingOrder="0" shrinkToFit="0" vertical="bottom" wrapText="1"/>
    </xf>
    <xf borderId="0" fillId="11" fontId="7" numFmtId="0" xfId="0" applyAlignment="1" applyFont="1">
      <alignment readingOrder="0" shrinkToFit="0" vertical="bottom" wrapText="1"/>
    </xf>
    <xf borderId="0" fillId="14" fontId="7" numFmtId="0" xfId="0" applyAlignment="1" applyFill="1" applyFont="1">
      <alignment shrinkToFit="0" vertical="bottom" wrapText="1"/>
    </xf>
    <xf borderId="0" fillId="15" fontId="7" numFmtId="49" xfId="0" applyAlignment="1" applyFill="1" applyFont="1" applyNumberFormat="1">
      <alignment readingOrder="0" shrinkToFit="0" vertical="bottom" wrapText="1"/>
    </xf>
    <xf borderId="0" fillId="0" fontId="20" numFmtId="0" xfId="0" applyFont="1"/>
    <xf borderId="1" fillId="0" fontId="7" numFmtId="0" xfId="0" applyAlignment="1" applyBorder="1" applyFont="1">
      <alignment vertical="bottom"/>
    </xf>
    <xf borderId="3" fillId="0" fontId="7" numFmtId="0" xfId="0" applyAlignment="1" applyBorder="1" applyFont="1">
      <alignment horizontal="right" vertical="bottom"/>
    </xf>
    <xf borderId="3" fillId="0" fontId="7" numFmtId="0" xfId="0" applyAlignment="1" applyBorder="1" applyFont="1">
      <alignment vertical="bottom"/>
    </xf>
    <xf borderId="3" fillId="0" fontId="7" numFmtId="0" xfId="0" applyAlignment="1" applyBorder="1" applyFont="1">
      <alignment vertical="bottom"/>
    </xf>
    <xf borderId="29" fillId="0" fontId="7" numFmtId="0" xfId="0" applyAlignment="1" applyBorder="1" applyFont="1">
      <alignment vertical="bottom"/>
    </xf>
    <xf borderId="0" fillId="11" fontId="7" numFmtId="49" xfId="0" applyAlignment="1" applyFont="1" applyNumberFormat="1">
      <alignment readingOrder="0" shrinkToFit="0" vertical="bottom" wrapText="1"/>
    </xf>
    <xf borderId="0" fillId="9" fontId="7" numFmtId="49" xfId="0" applyAlignment="1" applyFont="1" applyNumberFormat="1">
      <alignment shrinkToFit="0" vertical="bottom" wrapText="1"/>
    </xf>
    <xf borderId="0" fillId="15" fontId="7" numFmtId="49" xfId="0" applyAlignment="1" applyFont="1" applyNumberFormat="1">
      <alignment shrinkToFit="0" vertical="bottom" wrapText="1"/>
    </xf>
    <xf borderId="0" fillId="16" fontId="7" numFmtId="0" xfId="0" applyAlignment="1" applyFill="1" applyFont="1">
      <alignment shrinkToFit="0" vertical="bottom" wrapText="1"/>
    </xf>
    <xf borderId="0" fillId="17" fontId="7" numFmtId="49" xfId="0" applyAlignment="1" applyFill="1" applyFont="1" applyNumberFormat="1">
      <alignment shrinkToFit="0" vertical="bottom" wrapText="1"/>
    </xf>
    <xf borderId="0" fillId="18" fontId="7" numFmtId="0" xfId="0" applyAlignment="1" applyFill="1" applyFont="1">
      <alignment shrinkToFit="0" vertical="bottom" wrapText="1"/>
    </xf>
    <xf borderId="0" fillId="19" fontId="7" numFmtId="49" xfId="0" applyAlignment="1" applyFill="1" applyFont="1" applyNumberFormat="1">
      <alignment shrinkToFit="0" vertical="bottom" wrapText="1"/>
    </xf>
    <xf borderId="20" fillId="7" fontId="21" numFmtId="0" xfId="0" applyBorder="1" applyFont="1"/>
    <xf borderId="0" fillId="8" fontId="7" numFmtId="0" xfId="0" applyAlignment="1" applyFont="1">
      <alignment readingOrder="0" shrinkToFit="0" vertical="bottom" wrapText="1"/>
    </xf>
    <xf borderId="0" fillId="16" fontId="7" numFmtId="49" xfId="0" applyAlignment="1" applyFont="1" applyNumberFormat="1">
      <alignment shrinkToFit="0" vertical="bottom" wrapText="1"/>
    </xf>
    <xf borderId="0" fillId="0" fontId="7" numFmtId="0" xfId="0" applyAlignment="1" applyFont="1">
      <alignment shrinkToFit="0" vertical="bottom" wrapText="0"/>
    </xf>
    <xf borderId="33" fillId="0" fontId="7" numFmtId="0" xfId="0" applyAlignment="1" applyBorder="1" applyFont="1">
      <alignment shrinkToFit="0" vertical="bottom" wrapText="0"/>
    </xf>
    <xf borderId="0" fillId="4" fontId="7" numFmtId="49" xfId="0" applyAlignment="1" applyFont="1" applyNumberFormat="1">
      <alignment shrinkToFit="0" vertical="bottom" wrapText="1"/>
    </xf>
    <xf borderId="0" fillId="12" fontId="7" numFmtId="0" xfId="0" applyAlignment="1" applyFont="1">
      <alignment shrinkToFit="0" vertical="bottom" wrapText="1"/>
    </xf>
    <xf borderId="34" fillId="0" fontId="7" numFmtId="0" xfId="0" applyAlignment="1" applyBorder="1" applyFont="1">
      <alignment vertical="bottom"/>
    </xf>
    <xf borderId="35" fillId="0" fontId="7" numFmtId="0" xfId="0" applyAlignment="1" applyBorder="1" applyFont="1">
      <alignment vertical="bottom"/>
    </xf>
    <xf borderId="35" fillId="0" fontId="7" numFmtId="0" xfId="0" applyAlignment="1" applyBorder="1" applyFont="1">
      <alignment vertical="bottom"/>
    </xf>
    <xf borderId="36" fillId="0" fontId="7" numFmtId="0" xfId="0" applyAlignment="1" applyBorder="1" applyFont="1">
      <alignment vertical="bottom"/>
    </xf>
    <xf borderId="0" fillId="9" fontId="7" numFmtId="0" xfId="0" applyAlignment="1" applyFont="1">
      <alignment shrinkToFit="0" vertical="bottom" wrapText="1"/>
    </xf>
    <xf borderId="33" fillId="0" fontId="7" numFmtId="0" xfId="0" applyAlignment="1" applyBorder="1" applyFont="1">
      <alignment horizontal="right" vertical="bottom"/>
    </xf>
    <xf borderId="28" fillId="7" fontId="22" numFmtId="0" xfId="0" applyAlignment="1" applyBorder="1" applyFont="1">
      <alignment horizontal="left" readingOrder="0" vertical="top"/>
    </xf>
    <xf borderId="0" fillId="14" fontId="7" numFmtId="0" xfId="0" applyAlignment="1" applyFont="1">
      <alignment shrinkToFit="0" vertical="bottom" wrapText="1"/>
    </xf>
    <xf borderId="0" fillId="15" fontId="7" numFmtId="0" xfId="0" applyAlignment="1" applyFont="1">
      <alignment shrinkToFit="0" vertical="bottom" wrapText="1"/>
    </xf>
    <xf borderId="0" fillId="14" fontId="7" numFmtId="0" xfId="0" applyAlignment="1" applyFont="1">
      <alignment readingOrder="0" shrinkToFit="0" vertical="bottom" wrapText="1"/>
    </xf>
    <xf borderId="0" fillId="8" fontId="7" numFmtId="0" xfId="0" applyAlignment="1" applyFont="1">
      <alignment shrinkToFit="0" vertical="top" wrapText="1"/>
    </xf>
    <xf borderId="0" fillId="20" fontId="7" numFmtId="0" xfId="0" applyAlignment="1" applyFill="1" applyFont="1">
      <alignment shrinkToFit="0" vertical="bottom" wrapText="1"/>
    </xf>
    <xf borderId="0" fillId="20" fontId="7" numFmtId="49" xfId="0" applyAlignment="1" applyFont="1" applyNumberFormat="1">
      <alignment shrinkToFit="0" vertical="bottom" wrapText="1"/>
    </xf>
    <xf borderId="28" fillId="7" fontId="6" numFmtId="0" xfId="0" applyAlignment="1" applyBorder="1" applyFont="1">
      <alignment horizontal="center" vertical="top"/>
    </xf>
    <xf borderId="0" fillId="0" fontId="7" numFmtId="0" xfId="0" applyAlignment="1" applyFont="1">
      <alignment shrinkToFit="0" vertical="bottom" wrapText="1"/>
    </xf>
    <xf borderId="0" fillId="0" fontId="7" numFmtId="49" xfId="0" applyAlignment="1" applyFont="1" applyNumberFormat="1">
      <alignment shrinkToFit="0" vertical="bottom" wrapText="1"/>
    </xf>
    <xf borderId="0" fillId="4" fontId="7" numFmtId="49" xfId="0" applyAlignment="1" applyFont="1" applyNumberFormat="1">
      <alignment readingOrder="0" shrinkToFit="0" vertical="bottom" wrapText="1"/>
    </xf>
    <xf borderId="33" fillId="0" fontId="7" numFmtId="0" xfId="0" applyAlignment="1" applyBorder="1" applyFont="1">
      <alignment vertical="bottom"/>
    </xf>
    <xf borderId="0" fillId="16" fontId="7" numFmtId="0" xfId="0" applyAlignment="1" applyFont="1">
      <alignment shrinkToFit="0" vertical="bottom" wrapText="1"/>
    </xf>
    <xf borderId="0" fillId="17" fontId="7" numFmtId="0" xfId="0" applyAlignment="1" applyFont="1">
      <alignment shrinkToFit="0" vertical="bottom" wrapText="1"/>
    </xf>
    <xf borderId="0" fillId="18" fontId="7" numFmtId="0" xfId="0" applyAlignment="1" applyFont="1">
      <alignment shrinkToFit="0" vertical="bottom" wrapText="1"/>
    </xf>
    <xf borderId="0" fillId="19" fontId="7" numFmtId="0" xfId="0" applyAlignment="1" applyFont="1">
      <alignment shrinkToFit="0" vertical="bottom" wrapText="1"/>
    </xf>
    <xf borderId="0" fillId="9" fontId="19" numFmtId="49" xfId="0" applyAlignment="1" applyFont="1" applyNumberFormat="1">
      <alignment vertical="bottom"/>
    </xf>
    <xf borderId="0" fillId="8" fontId="19" numFmtId="0" xfId="0" applyAlignment="1" applyFont="1">
      <alignment vertical="bottom"/>
    </xf>
    <xf borderId="0" fillId="9" fontId="19" numFmtId="0" xfId="0" applyAlignment="1" applyFont="1">
      <alignment vertical="bottom"/>
    </xf>
    <xf borderId="37" fillId="9" fontId="23" numFmtId="0" xfId="0" applyAlignment="1" applyBorder="1" applyFont="1">
      <alignment horizontal="left"/>
    </xf>
    <xf borderId="22" fillId="0" fontId="5" numFmtId="0" xfId="0" applyBorder="1" applyFont="1"/>
    <xf borderId="21" fillId="9" fontId="6" numFmtId="0" xfId="0" applyAlignment="1" applyBorder="1" applyFont="1">
      <alignment shrinkToFit="0" wrapText="1"/>
    </xf>
    <xf borderId="21" fillId="9" fontId="6" numFmtId="0" xfId="0" applyBorder="1" applyFont="1"/>
    <xf borderId="0" fillId="15" fontId="19" numFmtId="49" xfId="0" applyAlignment="1" applyFont="1" applyNumberFormat="1">
      <alignment vertical="bottom"/>
    </xf>
    <xf borderId="0" fillId="14" fontId="19" numFmtId="0" xfId="0" applyAlignment="1" applyFont="1">
      <alignment vertical="bottom"/>
    </xf>
    <xf borderId="0" fillId="15" fontId="19" numFmtId="0" xfId="0" applyAlignment="1" applyFont="1">
      <alignment vertical="bottom"/>
    </xf>
    <xf borderId="0" fillId="17" fontId="7" numFmtId="0" xfId="0" applyAlignment="1" applyFont="1">
      <alignment readingOrder="0" shrinkToFit="0" vertical="bottom" wrapText="1"/>
    </xf>
    <xf borderId="37" fillId="9" fontId="24" numFmtId="0" xfId="0" applyAlignment="1" applyBorder="1" applyFont="1">
      <alignment horizontal="left" vertical="top"/>
    </xf>
    <xf borderId="36" fillId="0" fontId="5" numFmtId="0" xfId="0" applyBorder="1" applyFont="1"/>
    <xf borderId="28" fillId="9" fontId="25" numFmtId="0" xfId="0" applyAlignment="1" applyBorder="1" applyFont="1">
      <alignment horizontal="center"/>
    </xf>
    <xf borderId="28" fillId="9" fontId="26" numFmtId="0" xfId="0" applyAlignment="1" applyBorder="1" applyFont="1">
      <alignment horizontal="center"/>
    </xf>
    <xf borderId="28" fillId="9" fontId="26" numFmtId="16" xfId="0" applyAlignment="1" applyBorder="1" applyFont="1" applyNumberFormat="1">
      <alignment horizontal="center"/>
    </xf>
    <xf borderId="0" fillId="10" fontId="19" numFmtId="0" xfId="0" applyAlignment="1" applyFont="1">
      <alignment shrinkToFit="0" vertical="bottom" wrapText="1"/>
    </xf>
    <xf borderId="0" fillId="0" fontId="19" numFmtId="0" xfId="0" applyAlignment="1" applyFont="1">
      <alignment shrinkToFit="0" vertical="bottom" wrapText="1"/>
    </xf>
    <xf borderId="28" fillId="9" fontId="6" numFmtId="0" xfId="0" applyBorder="1" applyFont="1"/>
    <xf borderId="28" fillId="9" fontId="6" numFmtId="0" xfId="0" applyAlignment="1" applyBorder="1" applyFont="1">
      <alignment shrinkToFit="0" wrapText="1"/>
    </xf>
    <xf borderId="28" fillId="9" fontId="26" numFmtId="0" xfId="0" applyAlignment="1" applyBorder="1" applyFont="1">
      <alignment horizontal="center" shrinkToFit="0" wrapText="1"/>
    </xf>
    <xf borderId="28" fillId="9" fontId="26" numFmtId="0" xfId="0" applyAlignment="1" applyBorder="1" applyFont="1">
      <alignment horizontal="center" shrinkToFit="0" vertical="center" wrapText="1"/>
    </xf>
    <xf borderId="28" fillId="9" fontId="6" numFmtId="0" xfId="0" applyAlignment="1" applyBorder="1" applyFont="1">
      <alignment horizontal="center" shrinkToFit="0" vertical="center" wrapText="1"/>
    </xf>
    <xf borderId="28" fillId="9" fontId="6" numFmtId="0" xfId="0" applyAlignment="1" applyBorder="1" applyFont="1">
      <alignment horizontal="center" shrinkToFit="0" wrapText="1"/>
    </xf>
    <xf borderId="28" fillId="9" fontId="6" numFmtId="0" xfId="0" applyAlignment="1" applyBorder="1" applyFont="1">
      <alignment horizontal="center" readingOrder="0" shrinkToFit="0" wrapText="1"/>
    </xf>
    <xf borderId="38" fillId="9" fontId="6" numFmtId="0" xfId="0" applyBorder="1" applyFont="1"/>
    <xf borderId="38" fillId="9" fontId="6" numFmtId="0" xfId="0" applyAlignment="1" applyBorder="1" applyFont="1">
      <alignment horizontal="center" shrinkToFit="0" wrapText="1"/>
    </xf>
    <xf borderId="0" fillId="0" fontId="6" numFmtId="0" xfId="0" applyAlignment="1" applyFont="1">
      <alignment horizontal="center" shrinkToFit="0" wrapText="1"/>
    </xf>
    <xf borderId="0" fillId="19" fontId="7" numFmtId="0" xfId="0" applyAlignment="1" applyFont="1">
      <alignment readingOrder="0" shrinkToFit="0" vertical="bottom" wrapText="1"/>
    </xf>
    <xf borderId="0" fillId="0" fontId="27" numFmtId="49" xfId="0" applyAlignment="1" applyFont="1" applyNumberFormat="1">
      <alignment readingOrder="0" vertical="bottom"/>
    </xf>
    <xf borderId="0" fillId="0" fontId="27" numFmtId="49" xfId="0" applyAlignment="1" applyFont="1" applyNumberFormat="1">
      <alignment readingOrder="0" vertical="bottom"/>
    </xf>
    <xf borderId="0" fillId="9" fontId="28" numFmtId="49" xfId="0" applyAlignment="1" applyFont="1" applyNumberFormat="1">
      <alignment vertical="bottom"/>
    </xf>
    <xf borderId="23" fillId="0" fontId="7" numFmtId="0" xfId="0" applyAlignment="1" applyBorder="1" applyFont="1">
      <alignment horizontal="right" vertical="bottom"/>
    </xf>
    <xf borderId="23" fillId="0" fontId="7" numFmtId="0" xfId="0" applyAlignment="1" applyBorder="1" applyFont="1">
      <alignment vertical="bottom"/>
    </xf>
    <xf borderId="0" fillId="0" fontId="27" numFmtId="0" xfId="0" applyAlignment="1" applyFont="1">
      <alignment readingOrder="0" vertical="bottom"/>
    </xf>
    <xf borderId="23" fillId="0" fontId="19" numFmtId="0" xfId="0" applyAlignment="1" applyBorder="1" applyFont="1">
      <alignment vertical="bottom"/>
    </xf>
    <xf borderId="23" fillId="0" fontId="7" numFmtId="0" xfId="0" applyAlignment="1" applyBorder="1" applyFont="1">
      <alignment horizontal="right" vertical="bottom"/>
    </xf>
    <xf borderId="0" fillId="0" fontId="29" numFmtId="49" xfId="0" applyAlignment="1" applyFont="1" applyNumberFormat="1">
      <alignment readingOrder="0" shrinkToFit="0" wrapText="1"/>
    </xf>
    <xf borderId="39" fillId="0" fontId="7" numFmtId="0" xfId="0" applyAlignment="1" applyBorder="1" applyFont="1">
      <alignment vertical="bottom"/>
    </xf>
    <xf borderId="29" fillId="0" fontId="7" numFmtId="0" xfId="0" applyAlignment="1" applyBorder="1" applyFont="1">
      <alignment vertical="bottom"/>
    </xf>
    <xf borderId="0" fillId="10" fontId="30" numFmtId="0" xfId="0" applyAlignment="1" applyFont="1">
      <alignment shrinkToFit="0" vertical="bottom" wrapText="1"/>
    </xf>
    <xf borderId="0" fillId="11" fontId="30" numFmtId="49" xfId="0" applyAlignment="1" applyFont="1" applyNumberFormat="1">
      <alignment shrinkToFit="0" vertical="bottom" wrapText="1"/>
    </xf>
    <xf borderId="0" fillId="20" fontId="7" numFmtId="0" xfId="0" applyAlignment="1" applyFont="1">
      <alignment shrinkToFit="0" vertical="bottom" wrapText="1"/>
    </xf>
    <xf borderId="40" fillId="3" fontId="31" numFmtId="0" xfId="0" applyAlignment="1" applyBorder="1" applyFont="1">
      <alignment horizontal="left" shrinkToFit="0" vertical="center" wrapText="1"/>
    </xf>
    <xf borderId="41" fillId="3" fontId="32" numFmtId="0" xfId="0" applyAlignment="1" applyBorder="1" applyFont="1">
      <alignment horizontal="left" shrinkToFit="0" vertical="center" wrapText="1"/>
    </xf>
    <xf borderId="9" fillId="3" fontId="33" numFmtId="0" xfId="0" applyAlignment="1" applyBorder="1" applyFont="1">
      <alignment horizontal="left" shrinkToFit="0" vertical="top" wrapText="1"/>
    </xf>
    <xf borderId="1" fillId="2" fontId="12" numFmtId="0" xfId="0" applyBorder="1" applyFont="1"/>
    <xf borderId="1" fillId="2" fontId="12" numFmtId="0" xfId="0" applyAlignment="1" applyBorder="1" applyFont="1">
      <alignment shrinkToFit="0" wrapText="1"/>
    </xf>
    <xf borderId="17" fillId="3" fontId="6" numFmtId="0" xfId="0" applyAlignment="1" applyBorder="1" applyFont="1">
      <alignment horizontal="left" shrinkToFit="0" vertical="top" wrapText="1"/>
    </xf>
    <xf borderId="17" fillId="3" fontId="6" numFmtId="0" xfId="0" applyAlignment="1" applyBorder="1" applyFont="1">
      <alignment vertical="top"/>
    </xf>
    <xf borderId="21" fillId="3" fontId="6" numFmtId="0" xfId="0" applyAlignment="1" applyBorder="1" applyFont="1">
      <alignment horizontal="left" vertical="top"/>
    </xf>
    <xf borderId="21" fillId="3" fontId="34" numFmtId="0" xfId="0" applyAlignment="1" applyBorder="1" applyFont="1">
      <alignment horizontal="left" vertical="top"/>
    </xf>
    <xf borderId="21" fillId="3" fontId="35" numFmtId="0" xfId="0" applyAlignment="1" applyBorder="1" applyFont="1">
      <alignment horizontal="left" shrinkToFit="0" vertical="top" wrapText="1"/>
    </xf>
    <xf borderId="0" fillId="18" fontId="7" numFmtId="0" xfId="0" applyAlignment="1" applyFont="1">
      <alignment readingOrder="0" shrinkToFit="0" vertical="bottom" wrapText="1"/>
    </xf>
    <xf borderId="42" fillId="3" fontId="36" numFmtId="0" xfId="0" applyAlignment="1" applyBorder="1" applyFont="1">
      <alignment horizontal="left" shrinkToFit="0" vertical="center" wrapText="1"/>
    </xf>
    <xf borderId="43" fillId="0" fontId="5" numFmtId="0" xfId="0" applyBorder="1" applyFont="1"/>
    <xf borderId="0" fillId="0" fontId="6" numFmtId="0" xfId="0" applyAlignment="1" applyFont="1">
      <alignment horizontal="left" shrinkToFit="0" vertical="center" wrapText="1"/>
    </xf>
    <xf borderId="44" fillId="3" fontId="6" numFmtId="0" xfId="0" applyAlignment="1" applyBorder="1" applyFont="1">
      <alignment horizontal="center" shrinkToFit="0" vertical="center" wrapText="1"/>
    </xf>
    <xf borderId="45" fillId="0" fontId="5" numFmtId="0" xfId="0" applyBorder="1" applyFont="1"/>
    <xf borderId="46" fillId="3" fontId="6" numFmtId="0" xfId="0" applyAlignment="1" applyBorder="1" applyFont="1">
      <alignment horizontal="left" shrinkToFit="0" vertical="center" wrapText="1"/>
    </xf>
    <xf borderId="47" fillId="0" fontId="5" numFmtId="0" xfId="0" applyBorder="1" applyFont="1"/>
    <xf borderId="21" fillId="2" fontId="12" numFmtId="0" xfId="0" applyAlignment="1" applyBorder="1" applyFont="1">
      <alignment horizontal="left" shrinkToFit="0" vertical="center" wrapText="1"/>
    </xf>
    <xf borderId="21" fillId="2" fontId="1" numFmtId="0" xfId="0" applyAlignment="1" applyBorder="1" applyFont="1">
      <alignment horizontal="left" shrinkToFit="0" vertical="center" wrapText="1"/>
    </xf>
    <xf borderId="21" fillId="2" fontId="12" numFmtId="0" xfId="0" applyBorder="1" applyFont="1"/>
    <xf borderId="21" fillId="2" fontId="12" numFmtId="0" xfId="0" applyAlignment="1" applyBorder="1" applyFont="1">
      <alignment shrinkToFit="0" wrapText="1"/>
    </xf>
    <xf borderId="0" fillId="5" fontId="7" numFmtId="0" xfId="0" applyAlignment="1" applyFont="1">
      <alignment shrinkToFit="0" vertical="bottom" wrapText="1"/>
    </xf>
    <xf borderId="0" fillId="13" fontId="7" numFmtId="0" xfId="0" applyAlignment="1" applyFont="1">
      <alignment shrinkToFit="0" vertical="bottom" wrapText="1"/>
    </xf>
    <xf borderId="21" fillId="3" fontId="6" numFmtId="49" xfId="0" applyAlignment="1" applyBorder="1" applyFont="1" applyNumberFormat="1">
      <alignment shrinkToFit="0" vertical="top" wrapText="1"/>
    </xf>
    <xf borderId="0" fillId="17" fontId="7" numFmtId="0" xfId="0" applyAlignment="1" applyFont="1">
      <alignment shrinkToFit="0" vertical="bottom" wrapText="1"/>
    </xf>
    <xf borderId="0" fillId="0" fontId="6" numFmtId="49" xfId="0" applyAlignment="1" applyFont="1" applyNumberFormat="1">
      <alignment horizontal="left" shrinkToFit="0" vertical="center" wrapText="1"/>
    </xf>
    <xf borderId="30" fillId="0" fontId="7" numFmtId="0" xfId="0" applyAlignment="1" applyBorder="1" applyFont="1">
      <alignment horizontal="right" vertical="bottom"/>
    </xf>
    <xf borderId="0" fillId="0" fontId="7" numFmtId="0" xfId="0" applyAlignment="1" applyFont="1">
      <alignment readingOrder="0" shrinkToFit="0" vertical="bottom" wrapText="1"/>
    </xf>
    <xf borderId="0" fillId="16" fontId="7" numFmtId="0" xfId="0" applyAlignment="1" applyFont="1">
      <alignment readingOrder="0" shrinkToFit="0" vertical="bottom" wrapText="1"/>
    </xf>
    <xf borderId="0" fillId="15" fontId="7" numFmtId="0" xfId="0" applyAlignment="1" applyFont="1">
      <alignment readingOrder="0" shrinkToFit="0" vertical="bottom" wrapText="1"/>
    </xf>
    <xf borderId="0" fillId="11" fontId="10" numFmtId="0" xfId="0" applyAlignment="1" applyFont="1">
      <alignment horizontal="left" readingOrder="0" shrinkToFit="0" wrapText="1"/>
    </xf>
    <xf borderId="0" fillId="21" fontId="7" numFmtId="0" xfId="0" applyAlignment="1" applyFill="1" applyFont="1">
      <alignment shrinkToFit="0" vertical="bottom" wrapText="1"/>
    </xf>
    <xf borderId="0" fillId="22" fontId="7" numFmtId="49" xfId="0" applyAlignment="1" applyFill="1" applyFont="1" applyNumberFormat="1">
      <alignment shrinkToFit="0" vertical="bottom" wrapText="1"/>
    </xf>
    <xf borderId="0" fillId="10" fontId="7" numFmtId="0" xfId="0" applyAlignment="1" applyFont="1">
      <alignment readingOrder="0" shrinkToFit="0" vertical="bottom" wrapText="1"/>
    </xf>
    <xf borderId="0" fillId="22" fontId="7" numFmtId="49" xfId="0" applyAlignment="1" applyFont="1" applyNumberFormat="1">
      <alignment readingOrder="0" shrinkToFit="0" vertical="bottom" wrapText="1"/>
    </xf>
    <xf borderId="0" fillId="0" fontId="20" numFmtId="0" xfId="0" applyAlignment="1" applyFont="1">
      <alignment shrinkToFit="0" wrapText="1"/>
    </xf>
    <xf borderId="0" fillId="19" fontId="7" numFmtId="0" xfId="0" applyAlignment="1" applyFont="1">
      <alignment shrinkToFit="0" vertical="bottom" wrapText="1"/>
    </xf>
    <xf borderId="0" fillId="19" fontId="7" numFmtId="49" xfId="0" applyAlignment="1" applyFont="1" applyNumberFormat="1">
      <alignment readingOrder="0" shrinkToFit="0" vertical="bottom" wrapText="1"/>
    </xf>
    <xf borderId="0" fillId="11" fontId="30" numFmtId="0" xfId="0" applyAlignment="1" applyFont="1">
      <alignment shrinkToFit="0" vertical="bottom" wrapText="1"/>
    </xf>
    <xf quotePrefix="1" borderId="0" fillId="0" fontId="7" numFmtId="0" xfId="0" applyAlignment="1" applyFont="1">
      <alignment vertical="bottom"/>
    </xf>
    <xf borderId="0" fillId="0" fontId="27" numFmtId="0" xfId="0" applyAlignment="1" applyFont="1">
      <alignment readingOrder="0" vertical="bottom"/>
    </xf>
    <xf borderId="48" fillId="0" fontId="7" numFmtId="0" xfId="0" applyAlignment="1" applyBorder="1" applyFont="1">
      <alignment vertical="bottom"/>
    </xf>
    <xf borderId="49" fillId="0" fontId="7" numFmtId="0" xfId="0" applyAlignment="1" applyBorder="1" applyFont="1">
      <alignment vertical="bottom"/>
    </xf>
    <xf borderId="0" fillId="10" fontId="7" numFmtId="49" xfId="0" applyAlignment="1" applyFont="1" applyNumberFormat="1">
      <alignment shrinkToFit="0" vertical="bottom" wrapText="1"/>
    </xf>
    <xf borderId="23" fillId="0" fontId="30" numFmtId="0" xfId="0" applyAlignment="1" applyBorder="1" applyFont="1">
      <alignment vertical="bottom"/>
    </xf>
    <xf borderId="23" fillId="0" fontId="30" numFmtId="0" xfId="0" applyAlignment="1" applyBorder="1" applyFont="1">
      <alignment horizontal="right" vertical="bottom"/>
    </xf>
    <xf borderId="36" fillId="0" fontId="30" numFmtId="0" xfId="0" applyAlignment="1" applyBorder="1" applyFont="1">
      <alignment vertical="bottom"/>
    </xf>
    <xf borderId="0" fillId="0" fontId="30" numFmtId="0" xfId="0" applyAlignment="1" applyFont="1">
      <alignment vertical="bottom"/>
    </xf>
    <xf borderId="0" fillId="0" fontId="30" numFmtId="0" xfId="0" applyAlignment="1" applyFont="1">
      <alignment horizontal="right" vertical="bottom"/>
    </xf>
    <xf borderId="8" fillId="0" fontId="30" numFmtId="0" xfId="0" applyAlignment="1" applyBorder="1" applyFont="1">
      <alignment vertical="bottom"/>
    </xf>
    <xf borderId="8" fillId="0" fontId="30" numFmtId="0" xfId="0" applyAlignment="1" applyBorder="1" applyFont="1">
      <alignment shrinkToFit="0" vertical="bottom" wrapText="0"/>
    </xf>
    <xf borderId="8" fillId="0" fontId="30" numFmtId="0" xfId="0" applyAlignment="1" applyBorder="1" applyFont="1">
      <alignment horizontal="right" vertical="bottom"/>
    </xf>
    <xf borderId="8" fillId="0" fontId="19" numFmtId="0" xfId="0" applyAlignment="1" applyBorder="1" applyFont="1">
      <alignment vertical="bottom"/>
    </xf>
    <xf borderId="0" fillId="13" fontId="7" numFmtId="0" xfId="0" applyAlignment="1" applyFont="1">
      <alignment shrinkToFit="0" vertical="bottom" wrapText="1"/>
    </xf>
    <xf borderId="0" fillId="0" fontId="37" numFmtId="0" xfId="0" applyAlignment="1" applyFont="1">
      <alignment readingOrder="0" vertical="bottom"/>
    </xf>
    <xf borderId="8" fillId="0" fontId="7" numFmtId="0" xfId="0" applyAlignment="1" applyBorder="1" applyFont="1">
      <alignment horizontal="right" vertical="bottom"/>
    </xf>
    <xf borderId="23" fillId="0" fontId="19" numFmtId="0" xfId="0" applyAlignment="1" applyBorder="1" applyFont="1">
      <alignment vertical="bottom"/>
    </xf>
    <xf borderId="19" fillId="0" fontId="19" numFmtId="0" xfId="0" applyAlignment="1" applyBorder="1" applyFont="1">
      <alignment vertical="bottom"/>
    </xf>
    <xf borderId="0" fillId="23" fontId="7" numFmtId="0" xfId="0" applyAlignment="1" applyFill="1" applyFont="1">
      <alignment shrinkToFit="0" vertical="bottom" wrapText="1"/>
    </xf>
    <xf borderId="0" fillId="24" fontId="7" numFmtId="0" xfId="0" applyAlignment="1" applyFill="1" applyFont="1">
      <alignment shrinkToFit="0" vertical="bottom" wrapText="1"/>
    </xf>
    <xf borderId="0" fillId="11" fontId="10" numFmtId="0" xfId="0" applyAlignment="1" applyFont="1">
      <alignment readingOrder="0" shrinkToFit="0" vertical="bottom" wrapText="1"/>
    </xf>
    <xf borderId="0" fillId="0" fontId="7" numFmtId="0" xfId="0" applyAlignment="1" applyFont="1">
      <alignment readingOrder="0" shrinkToFit="0" wrapText="1"/>
    </xf>
    <xf borderId="0" fillId="21" fontId="7" numFmtId="0" xfId="0" applyAlignment="1" applyFont="1">
      <alignment shrinkToFit="0" vertical="bottom" wrapText="1"/>
    </xf>
    <xf borderId="0" fillId="22" fontId="7" numFmtId="0" xfId="0" applyAlignment="1" applyFont="1">
      <alignment shrinkToFit="0" vertical="bottom" wrapText="1"/>
    </xf>
    <xf borderId="0" fillId="19" fontId="19" numFmtId="49" xfId="0" applyAlignment="1" applyFont="1" applyNumberFormat="1">
      <alignment vertical="bottom"/>
    </xf>
    <xf borderId="0" fillId="0" fontId="18" numFmtId="0" xfId="0" applyAlignment="1" applyFont="1">
      <alignment shrinkToFit="0" wrapText="1"/>
    </xf>
    <xf borderId="0" fillId="18" fontId="19" numFmtId="0" xfId="0" applyAlignment="1" applyFont="1">
      <alignment vertical="bottom"/>
    </xf>
    <xf borderId="0" fillId="19" fontId="19" numFmtId="0" xfId="0" applyAlignment="1" applyFont="1">
      <alignment vertical="bottom"/>
    </xf>
    <xf borderId="0" fillId="18" fontId="19" numFmtId="0" xfId="0" applyAlignment="1" applyFont="1">
      <alignment vertical="bottom"/>
    </xf>
    <xf borderId="0" fillId="11" fontId="38" numFmtId="0" xfId="0" applyAlignment="1" applyFont="1">
      <alignment shrinkToFit="0" vertical="bottom" wrapText="1"/>
    </xf>
    <xf borderId="0" fillId="0" fontId="10" numFmtId="49" xfId="0" applyAlignment="1" applyFont="1" applyNumberFormat="1">
      <alignment shrinkToFit="0" wrapText="1"/>
    </xf>
    <xf borderId="0" fillId="13" fontId="39" numFmtId="49" xfId="0" applyAlignment="1" applyFont="1" applyNumberFormat="1">
      <alignment readingOrder="0" shrinkToFit="0" vertical="bottom" wrapText="1"/>
    </xf>
    <xf borderId="0" fillId="19" fontId="39" numFmtId="49" xfId="0" applyAlignment="1" applyFont="1" applyNumberFormat="1">
      <alignment readingOrder="0" shrinkToFit="0" vertical="bottom" wrapText="1"/>
    </xf>
    <xf borderId="0" fillId="24" fontId="7" numFmtId="49" xfId="0" applyAlignment="1" applyFont="1" applyNumberFormat="1">
      <alignment shrinkToFit="0" vertical="bottom" wrapText="1"/>
    </xf>
    <xf borderId="0" fillId="23" fontId="40" numFmtId="0" xfId="0" applyAlignment="1" applyFont="1">
      <alignment shrinkToFit="0" vertical="bottom" wrapText="1"/>
    </xf>
  </cellXfs>
  <cellStyles count="1">
    <cellStyle xfId="0" name="Normal"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175.na/"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19.78"/>
    <col customWidth="1" min="3" max="3" width="42.33"/>
    <col customWidth="1" min="4" max="4" width="44.33"/>
    <col customWidth="1" min="5" max="5" width="41.89"/>
    <col customWidth="1" min="6" max="6" width="23.0"/>
    <col customWidth="1" min="7" max="7" width="21.56"/>
    <col customWidth="1" min="8" max="8" width="20.56"/>
    <col customWidth="1" min="9" max="9" width="7.11"/>
    <col customWidth="1" min="10" max="10" width="12.67"/>
    <col customWidth="1" min="11" max="11" width="17.11"/>
    <col customWidth="1" min="12" max="12" width="17.0"/>
    <col customWidth="1" min="13" max="15" width="17.33"/>
    <col customWidth="1" min="16" max="16" width="8.11"/>
    <col customWidth="1" min="17" max="17" width="8.33"/>
    <col customWidth="1" min="18" max="18" width="18.0"/>
    <col customWidth="1" min="19" max="19" width="9.11"/>
    <col customWidth="1" min="20" max="20" width="37.56"/>
    <col customWidth="1" min="21" max="21" width="13.11"/>
    <col customWidth="1" min="22" max="22" width="12.0"/>
    <col customWidth="1" min="23" max="23" width="11.67"/>
    <col customWidth="1" min="24" max="24" width="11.44"/>
    <col customWidth="1" min="25" max="25" width="15.0"/>
    <col customWidth="1" min="26" max="27" width="48.0"/>
    <col customWidth="1" min="28" max="28" width="10.78"/>
    <col customWidth="1" min="29" max="29" width="17.0"/>
    <col customWidth="1" min="30" max="50" width="11.0"/>
  </cols>
  <sheetData>
    <row r="1" ht="18.0" customHeight="1">
      <c r="A1" s="5" t="s">
        <v>2</v>
      </c>
      <c r="B1" s="14" t="s">
        <v>8</v>
      </c>
      <c r="C1" s="14" t="s">
        <v>7</v>
      </c>
      <c r="D1" s="14" t="s">
        <v>9</v>
      </c>
      <c r="E1" s="14" t="s">
        <v>10</v>
      </c>
      <c r="F1" s="14" t="s">
        <v>19</v>
      </c>
      <c r="G1" s="5" t="s">
        <v>20</v>
      </c>
      <c r="H1" s="5" t="s">
        <v>21</v>
      </c>
      <c r="I1" s="14" t="s">
        <v>22</v>
      </c>
      <c r="J1" s="19" t="s">
        <v>23</v>
      </c>
      <c r="K1" s="14" t="s">
        <v>24</v>
      </c>
      <c r="L1" s="14" t="s">
        <v>25</v>
      </c>
      <c r="M1" s="5" t="s">
        <v>26</v>
      </c>
      <c r="N1" s="5" t="s">
        <v>27</v>
      </c>
      <c r="O1" s="14" t="s">
        <v>28</v>
      </c>
      <c r="P1" s="14" t="s">
        <v>29</v>
      </c>
      <c r="Q1" s="14" t="s">
        <v>30</v>
      </c>
      <c r="R1" s="14" t="s">
        <v>31</v>
      </c>
      <c r="S1" s="14" t="s">
        <v>32</v>
      </c>
      <c r="T1" s="14" t="s">
        <v>33</v>
      </c>
      <c r="U1" s="14" t="s">
        <v>34</v>
      </c>
      <c r="V1" s="14" t="s">
        <v>37</v>
      </c>
      <c r="W1" s="14" t="s">
        <v>38</v>
      </c>
      <c r="X1" s="14" t="s">
        <v>39</v>
      </c>
      <c r="Y1" s="14" t="s">
        <v>41</v>
      </c>
      <c r="Z1" s="14" t="s">
        <v>42</v>
      </c>
      <c r="AA1" s="14" t="s">
        <v>43</v>
      </c>
      <c r="AB1" s="14" t="s">
        <v>44</v>
      </c>
      <c r="AC1" s="14" t="s">
        <v>45</v>
      </c>
      <c r="AD1" s="14"/>
      <c r="AE1" s="14"/>
      <c r="AF1" s="14"/>
      <c r="AG1" s="14"/>
      <c r="AH1" s="14"/>
      <c r="AI1" s="14"/>
      <c r="AJ1" s="14"/>
      <c r="AK1" s="14"/>
      <c r="AL1" s="14"/>
      <c r="AM1" s="14"/>
      <c r="AN1" s="14"/>
      <c r="AO1" s="14"/>
      <c r="AP1" s="14"/>
      <c r="AQ1" s="14"/>
      <c r="AR1" s="14"/>
      <c r="AS1" s="14"/>
      <c r="AT1" s="14"/>
      <c r="AU1" s="14"/>
      <c r="AV1" s="14"/>
      <c r="AW1" s="14"/>
      <c r="AX1" s="14"/>
    </row>
    <row r="2" ht="15.75" customHeight="1">
      <c r="A2" s="30" t="s">
        <v>50</v>
      </c>
      <c r="B2" s="30" t="s">
        <v>51</v>
      </c>
      <c r="C2" s="31"/>
      <c r="D2" s="31"/>
      <c r="E2" s="31"/>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row>
    <row r="3" ht="15.75" customHeight="1">
      <c r="A3" s="30" t="s">
        <v>58</v>
      </c>
      <c r="B3" s="30" t="s">
        <v>59</v>
      </c>
      <c r="C3" s="31"/>
      <c r="D3" s="31"/>
      <c r="E3" s="31"/>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row>
    <row r="4" ht="15.75" customHeight="1">
      <c r="A4" s="30" t="s">
        <v>64</v>
      </c>
      <c r="B4" s="30" t="s">
        <v>64</v>
      </c>
      <c r="C4" s="31"/>
      <c r="D4" s="31"/>
      <c r="E4" s="31"/>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row>
    <row r="5" ht="15.75" customHeight="1">
      <c r="A5" s="30" t="s">
        <v>74</v>
      </c>
      <c r="B5" s="30" t="s">
        <v>75</v>
      </c>
      <c r="C5" s="31"/>
      <c r="D5" s="31"/>
      <c r="E5" s="31"/>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row>
    <row r="6" ht="15.75" customHeight="1">
      <c r="A6" s="30" t="s">
        <v>87</v>
      </c>
      <c r="B6" s="30" t="s">
        <v>87</v>
      </c>
      <c r="C6" s="31"/>
      <c r="D6" s="31"/>
      <c r="E6" s="31"/>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row>
    <row r="7" ht="15.75" customHeight="1">
      <c r="A7" s="30" t="s">
        <v>108</v>
      </c>
      <c r="B7" s="30" t="s">
        <v>109</v>
      </c>
      <c r="C7" s="31"/>
      <c r="D7" s="31"/>
      <c r="E7" s="31"/>
      <c r="F7" s="30"/>
      <c r="G7" s="30"/>
      <c r="H7" s="30"/>
      <c r="I7" s="30"/>
      <c r="J7" s="30"/>
      <c r="K7" s="30"/>
      <c r="L7" s="30"/>
      <c r="M7" s="30"/>
      <c r="N7" s="30"/>
      <c r="O7" s="30"/>
      <c r="P7" s="30"/>
      <c r="Q7" s="30"/>
      <c r="R7" s="30"/>
      <c r="S7" s="30"/>
      <c r="T7" s="30" t="s">
        <v>111</v>
      </c>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row>
    <row r="8" ht="15.75" customHeight="1">
      <c r="A8" s="30" t="s">
        <v>108</v>
      </c>
      <c r="B8" s="30" t="s">
        <v>113</v>
      </c>
      <c r="C8" s="31"/>
      <c r="D8" s="31"/>
      <c r="E8" s="31"/>
      <c r="F8" s="30"/>
      <c r="G8" s="30"/>
      <c r="H8" s="30"/>
      <c r="I8" s="30"/>
      <c r="J8" s="30"/>
      <c r="K8" s="30"/>
      <c r="L8" s="30"/>
      <c r="M8" s="30"/>
      <c r="N8" s="30"/>
      <c r="O8" s="30"/>
      <c r="P8" s="30"/>
      <c r="Q8" s="30"/>
      <c r="R8" s="30"/>
      <c r="S8" s="30"/>
      <c r="T8" s="30" t="s">
        <v>116</v>
      </c>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row>
    <row r="9" ht="15.75" customHeight="1">
      <c r="A9" s="65" t="s">
        <v>119</v>
      </c>
      <c r="B9" s="65" t="s">
        <v>122</v>
      </c>
      <c r="C9" s="31" t="s">
        <v>124</v>
      </c>
      <c r="D9" s="31"/>
      <c r="E9" s="31"/>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row>
    <row r="10" ht="15.75" customHeight="1">
      <c r="A10" s="65" t="s">
        <v>42</v>
      </c>
      <c r="B10" s="65" t="s">
        <v>127</v>
      </c>
      <c r="C10" s="31" t="s">
        <v>129</v>
      </c>
      <c r="D10" s="31" t="s">
        <v>130</v>
      </c>
      <c r="E10" s="31" t="s">
        <v>130</v>
      </c>
      <c r="F10" s="31"/>
      <c r="G10" s="31"/>
      <c r="H10" s="31"/>
      <c r="I10" s="30"/>
      <c r="J10" s="65" t="s">
        <v>131</v>
      </c>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row>
    <row r="11" ht="15.75" customHeight="1">
      <c r="A11" s="30"/>
      <c r="B11" s="30"/>
      <c r="C11" s="31"/>
      <c r="D11" s="31"/>
      <c r="E11" s="31"/>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row>
    <row r="12" ht="15.75" customHeight="1">
      <c r="A12" s="67" t="s">
        <v>139</v>
      </c>
      <c r="B12" s="69" t="s">
        <v>141</v>
      </c>
      <c r="C12" s="31"/>
      <c r="D12" s="31"/>
      <c r="E12" s="31"/>
      <c r="F12" s="70"/>
      <c r="G12" s="70"/>
      <c r="H12" s="70"/>
      <c r="I12" s="70"/>
      <c r="J12" s="71"/>
      <c r="K12" s="70"/>
      <c r="L12" s="70"/>
      <c r="M12" s="71"/>
      <c r="N12" s="71"/>
      <c r="O12" s="72"/>
      <c r="P12" s="70"/>
      <c r="Q12" s="70"/>
      <c r="R12" s="70"/>
      <c r="S12" s="70"/>
      <c r="T12" s="73" t="s">
        <v>145</v>
      </c>
      <c r="U12" s="70"/>
      <c r="V12" s="70"/>
      <c r="W12" s="70"/>
      <c r="X12" s="70"/>
      <c r="Y12" s="70"/>
      <c r="Z12" s="70"/>
      <c r="AA12" s="70"/>
      <c r="AB12" s="70"/>
      <c r="AC12" s="70"/>
      <c r="AD12" s="76"/>
      <c r="AE12" s="76"/>
      <c r="AF12" s="76"/>
      <c r="AG12" s="76"/>
      <c r="AH12" s="76"/>
      <c r="AI12" s="76"/>
      <c r="AJ12" s="76"/>
      <c r="AK12" s="76"/>
      <c r="AL12" s="76"/>
      <c r="AM12" s="76"/>
      <c r="AN12" s="76"/>
      <c r="AO12" s="76"/>
      <c r="AP12" s="76"/>
      <c r="AQ12" s="76"/>
      <c r="AR12" s="76"/>
      <c r="AS12" s="76"/>
      <c r="AT12" s="76"/>
      <c r="AU12" s="76"/>
      <c r="AV12" s="76"/>
      <c r="AW12" s="76"/>
      <c r="AX12" s="76"/>
    </row>
    <row r="13" ht="15.75" customHeight="1">
      <c r="A13" s="65" t="s">
        <v>150</v>
      </c>
      <c r="B13" s="65" t="s">
        <v>151</v>
      </c>
      <c r="C13" s="31" t="s">
        <v>152</v>
      </c>
      <c r="D13" s="31"/>
      <c r="E13" s="31"/>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row>
    <row r="14" ht="15.75" customHeight="1">
      <c r="A14" s="81" t="s">
        <v>156</v>
      </c>
      <c r="B14" s="82" t="s">
        <v>135</v>
      </c>
      <c r="C14" s="31" t="s">
        <v>158</v>
      </c>
      <c r="D14" s="31" t="s">
        <v>159</v>
      </c>
      <c r="E14" s="31" t="s">
        <v>160</v>
      </c>
      <c r="F14" s="31"/>
      <c r="G14" s="31"/>
      <c r="H14" s="31"/>
      <c r="I14" s="84"/>
      <c r="J14" s="86" t="s">
        <v>162</v>
      </c>
      <c r="K14" s="84"/>
      <c r="L14" s="84"/>
      <c r="M14" s="84"/>
      <c r="N14" s="84"/>
      <c r="O14" s="84"/>
      <c r="P14" s="84"/>
      <c r="Q14" s="81" t="s">
        <v>166</v>
      </c>
      <c r="R14" s="84"/>
      <c r="S14" s="84"/>
      <c r="T14" s="84"/>
      <c r="U14" s="84"/>
      <c r="V14" s="84"/>
      <c r="W14" s="84"/>
      <c r="X14" s="84"/>
      <c r="Y14" s="84"/>
      <c r="Z14" s="84"/>
      <c r="AA14" s="84"/>
      <c r="AB14" s="84"/>
      <c r="AC14" s="84"/>
      <c r="AD14" s="76"/>
      <c r="AE14" s="76"/>
      <c r="AF14" s="76"/>
      <c r="AG14" s="76"/>
      <c r="AH14" s="76"/>
      <c r="AI14" s="76"/>
      <c r="AJ14" s="76"/>
      <c r="AK14" s="76"/>
      <c r="AL14" s="76"/>
      <c r="AM14" s="76"/>
      <c r="AN14" s="76"/>
      <c r="AO14" s="76"/>
      <c r="AP14" s="76"/>
      <c r="AQ14" s="76"/>
      <c r="AR14" s="76"/>
      <c r="AS14" s="76"/>
      <c r="AT14" s="76"/>
      <c r="AU14" s="76"/>
      <c r="AV14" s="76"/>
      <c r="AW14" s="76"/>
      <c r="AX14" s="76"/>
    </row>
    <row r="15" ht="15.75" customHeight="1">
      <c r="A15" s="65" t="s">
        <v>169</v>
      </c>
      <c r="B15" s="65" t="s">
        <v>157</v>
      </c>
      <c r="C15" s="31" t="s">
        <v>171</v>
      </c>
      <c r="D15" s="31" t="s">
        <v>172</v>
      </c>
      <c r="E15" s="31" t="s">
        <v>173</v>
      </c>
      <c r="F15" s="31"/>
      <c r="G15" s="31"/>
      <c r="H15" s="31"/>
      <c r="I15" s="30"/>
      <c r="J15" s="86" t="s">
        <v>175</v>
      </c>
      <c r="K15" s="30"/>
      <c r="L15" s="30"/>
      <c r="M15" s="30"/>
      <c r="N15" s="30"/>
      <c r="O15" s="30"/>
      <c r="P15" s="30"/>
      <c r="Q15" s="65" t="s">
        <v>166</v>
      </c>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row>
    <row r="16" ht="15.75" customHeight="1">
      <c r="A16" s="65" t="s">
        <v>108</v>
      </c>
      <c r="B16" s="65" t="s">
        <v>184</v>
      </c>
      <c r="C16" s="31" t="s">
        <v>185</v>
      </c>
      <c r="D16" s="31"/>
      <c r="E16" s="31"/>
      <c r="F16" s="30"/>
      <c r="G16" s="30"/>
      <c r="H16" s="30"/>
      <c r="I16" s="30"/>
      <c r="J16" s="30"/>
      <c r="K16" s="30"/>
      <c r="L16" s="30"/>
      <c r="M16" s="30"/>
      <c r="N16" s="30"/>
      <c r="O16" s="30"/>
      <c r="P16" s="30"/>
      <c r="Q16" s="30"/>
      <c r="R16" s="30"/>
      <c r="S16" s="30"/>
      <c r="T16" s="65" t="s">
        <v>188</v>
      </c>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row>
    <row r="17" ht="15.75" customHeight="1">
      <c r="A17" s="65" t="s">
        <v>169</v>
      </c>
      <c r="B17" s="65" t="s">
        <v>193</v>
      </c>
      <c r="C17" s="31" t="s">
        <v>194</v>
      </c>
      <c r="D17" s="31" t="s">
        <v>195</v>
      </c>
      <c r="E17" s="31" t="s">
        <v>196</v>
      </c>
      <c r="F17" s="31"/>
      <c r="G17" s="31"/>
      <c r="H17" s="31"/>
      <c r="I17" s="30"/>
      <c r="J17" s="86" t="s">
        <v>175</v>
      </c>
      <c r="K17" s="30"/>
      <c r="L17" s="30"/>
      <c r="M17" s="30"/>
      <c r="N17" s="30"/>
      <c r="O17" s="30"/>
      <c r="P17" s="30"/>
      <c r="Q17" s="65" t="s">
        <v>166</v>
      </c>
      <c r="R17" s="30"/>
      <c r="S17" s="30"/>
      <c r="T17" s="30"/>
      <c r="U17" s="30"/>
      <c r="V17" s="30"/>
      <c r="W17" s="30"/>
      <c r="X17" s="30"/>
      <c r="Y17" s="65"/>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row>
    <row r="18" ht="15.75" customHeight="1">
      <c r="A18" s="65" t="s">
        <v>108</v>
      </c>
      <c r="B18" s="65" t="s">
        <v>203</v>
      </c>
      <c r="C18" s="31" t="s">
        <v>185</v>
      </c>
      <c r="D18" s="31"/>
      <c r="E18" s="31"/>
      <c r="F18" s="30"/>
      <c r="G18" s="30"/>
      <c r="H18" s="30"/>
      <c r="I18" s="30"/>
      <c r="J18" s="30"/>
      <c r="K18" s="30"/>
      <c r="L18" s="30"/>
      <c r="M18" s="30"/>
      <c r="N18" s="30"/>
      <c r="O18" s="30"/>
      <c r="P18" s="30"/>
      <c r="Q18" s="30"/>
      <c r="R18" s="30"/>
      <c r="S18" s="30"/>
      <c r="T18" s="65" t="s">
        <v>213</v>
      </c>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row>
    <row r="19" ht="15.75" customHeight="1">
      <c r="A19" s="65" t="s">
        <v>205</v>
      </c>
      <c r="B19" s="65" t="s">
        <v>147</v>
      </c>
      <c r="C19" s="31" t="s">
        <v>217</v>
      </c>
      <c r="D19" s="31" t="s">
        <v>218</v>
      </c>
      <c r="E19" s="31" t="s">
        <v>219</v>
      </c>
      <c r="F19" s="31"/>
      <c r="G19" s="31"/>
      <c r="H19" s="31"/>
      <c r="I19" s="30"/>
      <c r="J19" s="65" t="s">
        <v>223</v>
      </c>
      <c r="K19" s="30"/>
      <c r="L19" s="30"/>
      <c r="M19" s="30"/>
      <c r="N19" s="30"/>
      <c r="O19" s="30"/>
      <c r="P19" s="30"/>
      <c r="Q19" s="65" t="s">
        <v>166</v>
      </c>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row>
    <row r="20" ht="15.75" customHeight="1">
      <c r="A20" s="65" t="s">
        <v>108</v>
      </c>
      <c r="B20" s="65" t="s">
        <v>149</v>
      </c>
      <c r="C20" s="31" t="s">
        <v>211</v>
      </c>
      <c r="D20" s="31"/>
      <c r="E20" s="31"/>
      <c r="F20" s="30"/>
      <c r="G20" s="30"/>
      <c r="H20" s="30"/>
      <c r="I20" s="30"/>
      <c r="J20" s="30"/>
      <c r="K20" s="30"/>
      <c r="L20" s="30"/>
      <c r="M20" s="30"/>
      <c r="N20" s="30"/>
      <c r="O20" s="30"/>
      <c r="P20" s="30"/>
      <c r="Q20" s="30"/>
      <c r="R20" s="30"/>
      <c r="S20" s="30"/>
      <c r="T20" s="65" t="s">
        <v>234</v>
      </c>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row>
    <row r="21" ht="15.75" customHeight="1">
      <c r="A21" s="104" t="s">
        <v>108</v>
      </c>
      <c r="B21" s="105" t="s">
        <v>216</v>
      </c>
      <c r="C21" s="31"/>
      <c r="D21" s="31"/>
      <c r="E21" s="31"/>
      <c r="F21" s="108"/>
      <c r="G21" s="108"/>
      <c r="H21" s="108"/>
      <c r="I21" s="108"/>
      <c r="J21" s="108"/>
      <c r="K21" s="108"/>
      <c r="L21" s="108"/>
      <c r="M21" s="108"/>
      <c r="N21" s="108"/>
      <c r="O21" s="108"/>
      <c r="P21" s="108"/>
      <c r="Q21" s="108"/>
      <c r="R21" s="108"/>
      <c r="S21" s="108"/>
      <c r="T21" s="65" t="s">
        <v>243</v>
      </c>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row>
    <row r="22" ht="15.75" customHeight="1">
      <c r="A22" s="65" t="s">
        <v>108</v>
      </c>
      <c r="B22" s="65" t="s">
        <v>148</v>
      </c>
      <c r="C22" s="31"/>
      <c r="D22" s="31"/>
      <c r="E22" s="31"/>
      <c r="F22" s="30"/>
      <c r="G22" s="30"/>
      <c r="H22" s="30"/>
      <c r="I22" s="30"/>
      <c r="J22" s="65"/>
      <c r="K22" s="30"/>
      <c r="L22" s="30"/>
      <c r="M22" s="30"/>
      <c r="N22" s="30"/>
      <c r="O22" s="30"/>
      <c r="P22" s="30"/>
      <c r="Q22" s="65"/>
      <c r="R22" s="30"/>
      <c r="S22" s="30"/>
      <c r="T22" s="65" t="s">
        <v>257</v>
      </c>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row>
    <row r="23" ht="15.75" customHeight="1">
      <c r="A23" s="65" t="s">
        <v>222</v>
      </c>
      <c r="B23" s="65" t="s">
        <v>153</v>
      </c>
      <c r="C23" s="31" t="s">
        <v>264</v>
      </c>
      <c r="D23" s="31" t="s">
        <v>265</v>
      </c>
      <c r="E23" s="31" t="s">
        <v>266</v>
      </c>
      <c r="F23" s="31"/>
      <c r="G23" s="31"/>
      <c r="H23" s="31"/>
      <c r="I23" s="30"/>
      <c r="J23" s="65" t="s">
        <v>267</v>
      </c>
      <c r="K23" s="30"/>
      <c r="L23" s="30"/>
      <c r="M23" s="30"/>
      <c r="N23" s="30"/>
      <c r="O23" s="30"/>
      <c r="P23" s="30"/>
      <c r="Q23" s="65" t="s">
        <v>166</v>
      </c>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row>
    <row r="24" ht="15.75" customHeight="1">
      <c r="A24" s="65" t="s">
        <v>108</v>
      </c>
      <c r="B24" s="65" t="s">
        <v>155</v>
      </c>
      <c r="C24" s="31" t="s">
        <v>228</v>
      </c>
      <c r="D24" s="31"/>
      <c r="E24" s="31"/>
      <c r="F24" s="30"/>
      <c r="G24" s="30"/>
      <c r="H24" s="30"/>
      <c r="I24" s="30"/>
      <c r="J24" s="30"/>
      <c r="K24" s="30"/>
      <c r="L24" s="30"/>
      <c r="M24" s="30"/>
      <c r="N24" s="30"/>
      <c r="O24" s="30"/>
      <c r="P24" s="30"/>
      <c r="Q24" s="30"/>
      <c r="R24" s="30"/>
      <c r="S24" s="30"/>
      <c r="T24" s="65" t="s">
        <v>278</v>
      </c>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row>
    <row r="25" ht="15.75" customHeight="1">
      <c r="A25" s="65" t="s">
        <v>108</v>
      </c>
      <c r="B25" s="65" t="s">
        <v>233</v>
      </c>
      <c r="C25" s="31"/>
      <c r="D25" s="31"/>
      <c r="E25" s="31"/>
      <c r="F25" s="30"/>
      <c r="G25" s="30"/>
      <c r="H25" s="30"/>
      <c r="I25" s="30"/>
      <c r="J25" s="30"/>
      <c r="K25" s="30"/>
      <c r="L25" s="30"/>
      <c r="M25" s="30"/>
      <c r="N25" s="30"/>
      <c r="O25" s="30"/>
      <c r="P25" s="30"/>
      <c r="Q25" s="30"/>
      <c r="R25" s="30"/>
      <c r="S25" s="30"/>
      <c r="T25" s="65" t="s">
        <v>293</v>
      </c>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row>
    <row r="26" ht="15.75" customHeight="1">
      <c r="A26" s="65" t="s">
        <v>108</v>
      </c>
      <c r="B26" s="65" t="s">
        <v>235</v>
      </c>
      <c r="C26" s="31"/>
      <c r="D26" s="31"/>
      <c r="E26" s="31"/>
      <c r="F26" s="30"/>
      <c r="G26" s="30"/>
      <c r="H26" s="30"/>
      <c r="I26" s="30"/>
      <c r="J26" s="30"/>
      <c r="K26" s="30"/>
      <c r="L26" s="30"/>
      <c r="M26" s="30"/>
      <c r="N26" s="30"/>
      <c r="O26" s="30"/>
      <c r="P26" s="30"/>
      <c r="Q26" s="30"/>
      <c r="R26" s="30"/>
      <c r="S26" s="30"/>
      <c r="T26" s="65" t="s">
        <v>302</v>
      </c>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row>
    <row r="27" ht="15.75" customHeight="1">
      <c r="A27" s="65" t="s">
        <v>236</v>
      </c>
      <c r="B27" s="65" t="s">
        <v>151</v>
      </c>
      <c r="C27" s="31" t="s">
        <v>152</v>
      </c>
      <c r="D27" s="31"/>
      <c r="E27" s="31"/>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row>
    <row r="28" ht="15.75" customHeight="1">
      <c r="A28" s="30"/>
      <c r="B28" s="30"/>
      <c r="C28" s="31"/>
      <c r="D28" s="31"/>
      <c r="E28" s="31"/>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row>
    <row r="29" ht="15.75" customHeight="1">
      <c r="A29" s="65" t="s">
        <v>150</v>
      </c>
      <c r="B29" s="65" t="s">
        <v>131</v>
      </c>
      <c r="C29" s="31"/>
      <c r="D29" s="31"/>
      <c r="E29" s="31"/>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row>
    <row r="30" ht="15.75" customHeight="1">
      <c r="A30" s="104" t="s">
        <v>108</v>
      </c>
      <c r="B30" s="106" t="s">
        <v>238</v>
      </c>
      <c r="C30" s="107"/>
      <c r="D30" s="107"/>
      <c r="E30" s="107"/>
      <c r="F30" s="107"/>
      <c r="G30" s="107"/>
      <c r="H30" s="107"/>
      <c r="I30" s="107"/>
      <c r="J30" s="107"/>
      <c r="K30" s="107"/>
      <c r="L30" s="107"/>
      <c r="M30" s="107"/>
      <c r="N30" s="107"/>
      <c r="O30" s="116"/>
      <c r="P30" s="116"/>
      <c r="Q30" s="116"/>
      <c r="R30" s="116"/>
      <c r="S30" s="116"/>
      <c r="T30" s="106" t="s">
        <v>354</v>
      </c>
      <c r="U30" s="116"/>
      <c r="V30" s="116"/>
      <c r="W30" s="116"/>
      <c r="X30" s="116"/>
      <c r="Y30" s="116"/>
      <c r="Z30" s="116"/>
      <c r="AA30" s="116"/>
      <c r="AB30" s="116"/>
      <c r="AC30" s="116"/>
      <c r="AD30" s="117"/>
      <c r="AE30" s="117"/>
      <c r="AF30" s="117"/>
      <c r="AG30" s="117"/>
      <c r="AH30" s="117"/>
      <c r="AI30" s="117"/>
      <c r="AJ30" s="117"/>
      <c r="AK30" s="117"/>
      <c r="AL30" s="117"/>
      <c r="AM30" s="117"/>
      <c r="AN30" s="117"/>
      <c r="AO30" s="117"/>
      <c r="AP30" s="117"/>
      <c r="AQ30" s="117"/>
      <c r="AR30" s="117"/>
      <c r="AS30" s="117"/>
      <c r="AT30" s="117"/>
      <c r="AU30" s="117"/>
      <c r="AV30" s="117"/>
      <c r="AW30" s="117"/>
      <c r="AX30" s="117"/>
    </row>
    <row r="31" ht="15.75" customHeight="1">
      <c r="A31" s="104" t="s">
        <v>108</v>
      </c>
      <c r="B31" s="106" t="s">
        <v>240</v>
      </c>
      <c r="C31" s="107"/>
      <c r="D31" s="107"/>
      <c r="E31" s="107"/>
      <c r="F31" s="107"/>
      <c r="G31" s="107"/>
      <c r="H31" s="107"/>
      <c r="I31" s="107"/>
      <c r="J31" s="107"/>
      <c r="K31" s="107"/>
      <c r="L31" s="107"/>
      <c r="M31" s="107"/>
      <c r="N31" s="107"/>
      <c r="O31" s="116"/>
      <c r="P31" s="116"/>
      <c r="Q31" s="116"/>
      <c r="R31" s="116"/>
      <c r="S31" s="116"/>
      <c r="T31" s="106" t="s">
        <v>368</v>
      </c>
      <c r="U31" s="116"/>
      <c r="V31" s="116"/>
      <c r="W31" s="116"/>
      <c r="X31" s="116"/>
      <c r="Y31" s="116"/>
      <c r="Z31" s="116"/>
      <c r="AA31" s="116"/>
      <c r="AB31" s="116"/>
      <c r="AC31" s="116"/>
      <c r="AD31" s="117"/>
      <c r="AE31" s="117"/>
      <c r="AF31" s="117"/>
      <c r="AG31" s="117"/>
      <c r="AH31" s="117"/>
      <c r="AI31" s="117"/>
      <c r="AJ31" s="117"/>
      <c r="AK31" s="117"/>
      <c r="AL31" s="117"/>
      <c r="AM31" s="117"/>
      <c r="AN31" s="117"/>
      <c r="AO31" s="117"/>
      <c r="AP31" s="117"/>
      <c r="AQ31" s="117"/>
      <c r="AR31" s="117"/>
      <c r="AS31" s="117"/>
      <c r="AT31" s="117"/>
      <c r="AU31" s="117"/>
      <c r="AV31" s="117"/>
      <c r="AW31" s="117"/>
      <c r="AX31" s="117"/>
    </row>
    <row r="32" ht="15.75" customHeight="1">
      <c r="A32" s="104" t="s">
        <v>108</v>
      </c>
      <c r="B32" s="106" t="s">
        <v>241</v>
      </c>
      <c r="C32" s="107"/>
      <c r="D32" s="107"/>
      <c r="E32" s="107"/>
      <c r="F32" s="107"/>
      <c r="G32" s="107"/>
      <c r="H32" s="107"/>
      <c r="I32" s="107"/>
      <c r="J32" s="107"/>
      <c r="K32" s="107"/>
      <c r="L32" s="107"/>
      <c r="M32" s="107"/>
      <c r="N32" s="107"/>
      <c r="O32" s="116"/>
      <c r="P32" s="116"/>
      <c r="Q32" s="116"/>
      <c r="R32" s="116"/>
      <c r="S32" s="116"/>
      <c r="T32" s="106" t="s">
        <v>383</v>
      </c>
      <c r="U32" s="116"/>
      <c r="V32" s="116"/>
      <c r="W32" s="116"/>
      <c r="X32" s="116"/>
      <c r="Y32" s="116"/>
      <c r="Z32" s="116"/>
      <c r="AA32" s="116"/>
      <c r="AB32" s="116"/>
      <c r="AC32" s="116"/>
      <c r="AD32" s="117"/>
      <c r="AE32" s="117"/>
      <c r="AF32" s="117"/>
      <c r="AG32" s="117"/>
      <c r="AH32" s="117"/>
      <c r="AI32" s="117"/>
      <c r="AJ32" s="117"/>
      <c r="AK32" s="117"/>
      <c r="AL32" s="117"/>
      <c r="AM32" s="117"/>
      <c r="AN32" s="117"/>
      <c r="AO32" s="117"/>
      <c r="AP32" s="117"/>
      <c r="AQ32" s="117"/>
      <c r="AR32" s="117"/>
      <c r="AS32" s="117"/>
      <c r="AT32" s="117"/>
      <c r="AU32" s="117"/>
      <c r="AV32" s="117"/>
      <c r="AW32" s="117"/>
      <c r="AX32" s="117"/>
    </row>
    <row r="33" ht="15.75" customHeight="1">
      <c r="A33" s="104" t="s">
        <v>108</v>
      </c>
      <c r="B33" s="106" t="s">
        <v>242</v>
      </c>
      <c r="C33" s="107"/>
      <c r="D33" s="107"/>
      <c r="E33" s="107"/>
      <c r="F33" s="107"/>
      <c r="G33" s="107"/>
      <c r="H33" s="107"/>
      <c r="I33" s="107"/>
      <c r="J33" s="107"/>
      <c r="K33" s="107"/>
      <c r="L33" s="107"/>
      <c r="M33" s="107"/>
      <c r="N33" s="107"/>
      <c r="O33" s="116"/>
      <c r="P33" s="116"/>
      <c r="Q33" s="116"/>
      <c r="R33" s="116"/>
      <c r="S33" s="116"/>
      <c r="T33" s="106" t="s">
        <v>394</v>
      </c>
      <c r="U33" s="116"/>
      <c r="V33" s="116"/>
      <c r="W33" s="116"/>
      <c r="X33" s="116"/>
      <c r="Y33" s="116"/>
      <c r="Z33" s="116"/>
      <c r="AA33" s="116"/>
      <c r="AB33" s="116"/>
      <c r="AC33" s="116"/>
      <c r="AD33" s="117"/>
      <c r="AE33" s="117"/>
      <c r="AF33" s="117"/>
      <c r="AG33" s="117"/>
      <c r="AH33" s="117"/>
      <c r="AI33" s="117"/>
      <c r="AJ33" s="117"/>
      <c r="AK33" s="117"/>
      <c r="AL33" s="117"/>
      <c r="AM33" s="117"/>
      <c r="AN33" s="117"/>
      <c r="AO33" s="117"/>
      <c r="AP33" s="117"/>
      <c r="AQ33" s="117"/>
      <c r="AR33" s="117"/>
      <c r="AS33" s="117"/>
      <c r="AT33" s="117"/>
      <c r="AU33" s="117"/>
      <c r="AV33" s="117"/>
      <c r="AW33" s="117"/>
      <c r="AX33" s="117"/>
    </row>
    <row r="34" ht="15.75" customHeight="1">
      <c r="A34" s="104" t="s">
        <v>108</v>
      </c>
      <c r="B34" s="106" t="s">
        <v>250</v>
      </c>
      <c r="C34" s="107"/>
      <c r="D34" s="107"/>
      <c r="E34" s="107"/>
      <c r="F34" s="107"/>
      <c r="G34" s="107"/>
      <c r="H34" s="107"/>
      <c r="I34" s="107"/>
      <c r="J34" s="107"/>
      <c r="K34" s="107"/>
      <c r="L34" s="107"/>
      <c r="M34" s="107"/>
      <c r="N34" s="107"/>
      <c r="O34" s="116"/>
      <c r="P34" s="116"/>
      <c r="Q34" s="116"/>
      <c r="R34" s="116"/>
      <c r="S34" s="116"/>
      <c r="T34" s="106" t="s">
        <v>409</v>
      </c>
      <c r="U34" s="116"/>
      <c r="V34" s="116"/>
      <c r="W34" s="116"/>
      <c r="X34" s="116"/>
      <c r="Y34" s="116"/>
      <c r="Z34" s="116"/>
      <c r="AA34" s="116"/>
      <c r="AB34" s="116"/>
      <c r="AC34" s="116"/>
      <c r="AD34" s="117"/>
      <c r="AE34" s="117"/>
      <c r="AF34" s="117"/>
      <c r="AG34" s="117"/>
      <c r="AH34" s="117"/>
      <c r="AI34" s="117"/>
      <c r="AJ34" s="117"/>
      <c r="AK34" s="117"/>
      <c r="AL34" s="117"/>
      <c r="AM34" s="117"/>
      <c r="AN34" s="117"/>
      <c r="AO34" s="117"/>
      <c r="AP34" s="117"/>
      <c r="AQ34" s="117"/>
      <c r="AR34" s="117"/>
      <c r="AS34" s="117"/>
      <c r="AT34" s="117"/>
      <c r="AU34" s="117"/>
      <c r="AV34" s="117"/>
      <c r="AW34" s="117"/>
      <c r="AX34" s="117"/>
    </row>
    <row r="35" ht="15.75" customHeight="1">
      <c r="A35" s="104" t="s">
        <v>108</v>
      </c>
      <c r="B35" s="106" t="s">
        <v>253</v>
      </c>
      <c r="C35" s="107"/>
      <c r="D35" s="107"/>
      <c r="E35" s="107"/>
      <c r="F35" s="107"/>
      <c r="G35" s="107"/>
      <c r="H35" s="107"/>
      <c r="I35" s="107"/>
      <c r="J35" s="107"/>
      <c r="K35" s="107"/>
      <c r="L35" s="107"/>
      <c r="M35" s="107"/>
      <c r="N35" s="107"/>
      <c r="O35" s="116"/>
      <c r="P35" s="116"/>
      <c r="Q35" s="116"/>
      <c r="R35" s="116"/>
      <c r="S35" s="116"/>
      <c r="T35" s="106" t="s">
        <v>414</v>
      </c>
      <c r="U35" s="116"/>
      <c r="V35" s="116"/>
      <c r="W35" s="116"/>
      <c r="X35" s="116"/>
      <c r="Y35" s="116"/>
      <c r="Z35" s="116"/>
      <c r="AA35" s="116"/>
      <c r="AB35" s="116"/>
      <c r="AC35" s="116"/>
      <c r="AD35" s="117"/>
      <c r="AE35" s="117"/>
      <c r="AF35" s="117"/>
      <c r="AG35" s="117"/>
      <c r="AH35" s="117"/>
      <c r="AI35" s="117"/>
      <c r="AJ35" s="117"/>
      <c r="AK35" s="117"/>
      <c r="AL35" s="117"/>
      <c r="AM35" s="117"/>
      <c r="AN35" s="117"/>
      <c r="AO35" s="117"/>
      <c r="AP35" s="117"/>
      <c r="AQ35" s="117"/>
      <c r="AR35" s="117"/>
      <c r="AS35" s="117"/>
      <c r="AT35" s="117"/>
      <c r="AU35" s="117"/>
      <c r="AV35" s="117"/>
      <c r="AW35" s="117"/>
      <c r="AX35" s="117"/>
    </row>
    <row r="36" ht="15.75" customHeight="1">
      <c r="A36" s="104" t="s">
        <v>108</v>
      </c>
      <c r="B36" s="106" t="s">
        <v>254</v>
      </c>
      <c r="C36" s="107"/>
      <c r="D36" s="107"/>
      <c r="E36" s="107"/>
      <c r="F36" s="107"/>
      <c r="G36" s="107"/>
      <c r="H36" s="107"/>
      <c r="I36" s="107"/>
      <c r="J36" s="107"/>
      <c r="K36" s="107"/>
      <c r="L36" s="107"/>
      <c r="M36" s="107"/>
      <c r="N36" s="107"/>
      <c r="O36" s="116"/>
      <c r="P36" s="116"/>
      <c r="Q36" s="118"/>
      <c r="R36" s="119"/>
      <c r="S36" s="116"/>
      <c r="T36" s="121" t="s">
        <v>427</v>
      </c>
      <c r="U36" s="116"/>
      <c r="V36" s="116"/>
      <c r="W36" s="116"/>
      <c r="X36" s="116"/>
      <c r="Y36" s="116"/>
      <c r="Z36" s="116"/>
      <c r="AA36" s="116"/>
      <c r="AB36" s="116"/>
      <c r="AC36" s="116"/>
      <c r="AD36" s="117"/>
      <c r="AE36" s="117"/>
      <c r="AF36" s="117"/>
      <c r="AG36" s="117"/>
      <c r="AH36" s="117"/>
      <c r="AI36" s="117"/>
      <c r="AJ36" s="117"/>
      <c r="AK36" s="117"/>
      <c r="AL36" s="117"/>
      <c r="AM36" s="117"/>
      <c r="AN36" s="117"/>
      <c r="AO36" s="117"/>
      <c r="AP36" s="117"/>
      <c r="AQ36" s="117"/>
      <c r="AR36" s="117"/>
      <c r="AS36" s="117"/>
      <c r="AT36" s="117"/>
      <c r="AU36" s="117"/>
      <c r="AV36" s="117"/>
      <c r="AW36" s="117"/>
      <c r="AX36" s="117"/>
    </row>
    <row r="37" ht="15.75" customHeight="1">
      <c r="A37" s="104" t="s">
        <v>108</v>
      </c>
      <c r="B37" s="106" t="s">
        <v>260</v>
      </c>
      <c r="C37" s="107"/>
      <c r="D37" s="107"/>
      <c r="E37" s="107"/>
      <c r="F37" s="107"/>
      <c r="G37" s="107"/>
      <c r="H37" s="107"/>
      <c r="I37" s="107"/>
      <c r="J37" s="107"/>
      <c r="K37" s="107"/>
      <c r="L37" s="107"/>
      <c r="M37" s="107"/>
      <c r="N37" s="107"/>
      <c r="O37" s="116"/>
      <c r="P37" s="116"/>
      <c r="Q37" s="118"/>
      <c r="R37" s="119"/>
      <c r="S37" s="116"/>
      <c r="T37" s="121" t="s">
        <v>449</v>
      </c>
      <c r="U37" s="116"/>
      <c r="V37" s="116"/>
      <c r="W37" s="116"/>
      <c r="X37" s="116"/>
      <c r="Y37" s="116"/>
      <c r="Z37" s="116"/>
      <c r="AA37" s="116"/>
      <c r="AB37" s="116"/>
      <c r="AC37" s="116"/>
      <c r="AD37" s="117"/>
      <c r="AE37" s="117"/>
      <c r="AF37" s="117"/>
      <c r="AG37" s="117"/>
      <c r="AH37" s="117"/>
      <c r="AI37" s="117"/>
      <c r="AJ37" s="117"/>
      <c r="AK37" s="117"/>
      <c r="AL37" s="117"/>
      <c r="AM37" s="117"/>
      <c r="AN37" s="117"/>
      <c r="AO37" s="117"/>
      <c r="AP37" s="117"/>
      <c r="AQ37" s="117"/>
      <c r="AR37" s="117"/>
      <c r="AS37" s="117"/>
      <c r="AT37" s="117"/>
      <c r="AU37" s="117"/>
      <c r="AV37" s="117"/>
      <c r="AW37" s="117"/>
      <c r="AX37" s="117"/>
    </row>
    <row r="38" ht="15.75" customHeight="1">
      <c r="A38" s="104" t="s">
        <v>108</v>
      </c>
      <c r="B38" s="106" t="s">
        <v>261</v>
      </c>
      <c r="C38" s="107"/>
      <c r="D38" s="107"/>
      <c r="E38" s="107"/>
      <c r="F38" s="107"/>
      <c r="G38" s="107"/>
      <c r="H38" s="107"/>
      <c r="I38" s="107"/>
      <c r="J38" s="107"/>
      <c r="K38" s="107"/>
      <c r="L38" s="107"/>
      <c r="M38" s="107"/>
      <c r="N38" s="107"/>
      <c r="O38" s="116"/>
      <c r="P38" s="116"/>
      <c r="Q38" s="118"/>
      <c r="R38" s="119"/>
      <c r="S38" s="116"/>
      <c r="T38" s="121" t="s">
        <v>458</v>
      </c>
      <c r="U38" s="116"/>
      <c r="V38" s="116"/>
      <c r="W38" s="116"/>
      <c r="X38" s="116"/>
      <c r="Y38" s="116"/>
      <c r="Z38" s="116"/>
      <c r="AA38" s="116"/>
      <c r="AB38" s="116"/>
      <c r="AC38" s="116"/>
      <c r="AD38" s="117"/>
      <c r="AE38" s="117"/>
      <c r="AF38" s="117"/>
      <c r="AG38" s="117"/>
      <c r="AH38" s="117"/>
      <c r="AI38" s="117"/>
      <c r="AJ38" s="117"/>
      <c r="AK38" s="117"/>
      <c r="AL38" s="117"/>
      <c r="AM38" s="117"/>
      <c r="AN38" s="117"/>
      <c r="AO38" s="117"/>
      <c r="AP38" s="117"/>
      <c r="AQ38" s="117"/>
      <c r="AR38" s="117"/>
      <c r="AS38" s="117"/>
      <c r="AT38" s="117"/>
      <c r="AU38" s="117"/>
      <c r="AV38" s="117"/>
      <c r="AW38" s="117"/>
      <c r="AX38" s="117"/>
    </row>
    <row r="39" ht="15.75" customHeight="1">
      <c r="A39" s="65" t="s">
        <v>262</v>
      </c>
      <c r="B39" s="65" t="s">
        <v>230</v>
      </c>
      <c r="C39" s="31" t="s">
        <v>464</v>
      </c>
      <c r="D39" s="31" t="s">
        <v>465</v>
      </c>
      <c r="E39" s="31" t="s">
        <v>466</v>
      </c>
      <c r="F39" s="31" t="s">
        <v>467</v>
      </c>
      <c r="G39" s="31" t="s">
        <v>468</v>
      </c>
      <c r="H39" s="31" t="s">
        <v>472</v>
      </c>
      <c r="I39" s="30"/>
      <c r="J39" s="65" t="s">
        <v>477</v>
      </c>
      <c r="K39" s="65"/>
      <c r="L39" s="65"/>
      <c r="M39" s="30"/>
      <c r="N39" s="30"/>
      <c r="O39" s="30"/>
      <c r="P39" s="30"/>
      <c r="Q39" s="65" t="s">
        <v>166</v>
      </c>
      <c r="R39" s="1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row>
    <row r="40" ht="15.75" customHeight="1">
      <c r="A40" s="67" t="s">
        <v>108</v>
      </c>
      <c r="B40" s="72" t="s">
        <v>232</v>
      </c>
      <c r="C40" s="31"/>
      <c r="D40" s="31"/>
      <c r="E40" s="31"/>
      <c r="F40" s="70"/>
      <c r="G40" s="70"/>
      <c r="H40" s="70"/>
      <c r="I40" s="70"/>
      <c r="J40" s="71"/>
      <c r="K40" s="122"/>
      <c r="L40" s="70"/>
      <c r="M40" s="71"/>
      <c r="N40" s="70"/>
      <c r="O40" s="70"/>
      <c r="P40" s="70"/>
      <c r="Q40" s="122"/>
      <c r="R40" s="70"/>
      <c r="S40" s="70"/>
      <c r="T40" s="132" t="s">
        <v>499</v>
      </c>
      <c r="U40" s="70"/>
      <c r="V40" s="70"/>
      <c r="W40" s="70"/>
      <c r="X40" s="70"/>
      <c r="Y40" s="70"/>
      <c r="Z40" s="70"/>
      <c r="AA40" s="70"/>
      <c r="AB40" s="76"/>
      <c r="AC40" s="76"/>
      <c r="AD40" s="76"/>
      <c r="AE40" s="76"/>
      <c r="AF40" s="76"/>
      <c r="AG40" s="76"/>
      <c r="AH40" s="76"/>
      <c r="AI40" s="76"/>
      <c r="AJ40" s="76"/>
      <c r="AK40" s="76"/>
      <c r="AL40" s="76"/>
      <c r="AM40" s="76"/>
      <c r="AN40" s="76"/>
      <c r="AO40" s="76"/>
      <c r="AP40" s="76"/>
      <c r="AQ40" s="76"/>
      <c r="AR40" s="76"/>
      <c r="AS40" s="76"/>
      <c r="AT40" s="76"/>
      <c r="AU40" s="76"/>
      <c r="AV40" s="76"/>
      <c r="AW40" s="76"/>
      <c r="AX40" s="76"/>
    </row>
    <row r="41" ht="15.75" customHeight="1">
      <c r="A41" s="67" t="s">
        <v>108</v>
      </c>
      <c r="B41" s="72" t="s">
        <v>272</v>
      </c>
      <c r="C41" s="31"/>
      <c r="D41" s="31"/>
      <c r="E41" s="31"/>
      <c r="F41" s="70"/>
      <c r="G41" s="70"/>
      <c r="H41" s="70"/>
      <c r="I41" s="70"/>
      <c r="J41" s="71"/>
      <c r="K41" s="122"/>
      <c r="L41" s="70"/>
      <c r="M41" s="71"/>
      <c r="N41" s="70"/>
      <c r="O41" s="70"/>
      <c r="P41" s="70"/>
      <c r="Q41" s="122"/>
      <c r="R41" s="70"/>
      <c r="S41" s="70"/>
      <c r="T41" s="132" t="s">
        <v>514</v>
      </c>
      <c r="U41" s="70"/>
      <c r="V41" s="70"/>
      <c r="W41" s="70"/>
      <c r="X41" s="70"/>
      <c r="Y41" s="70"/>
      <c r="Z41" s="70"/>
      <c r="AA41" s="70"/>
      <c r="AB41" s="76"/>
      <c r="AC41" s="76"/>
      <c r="AD41" s="76"/>
      <c r="AE41" s="76"/>
      <c r="AF41" s="76"/>
      <c r="AG41" s="76"/>
      <c r="AH41" s="76"/>
      <c r="AI41" s="76"/>
      <c r="AJ41" s="76"/>
      <c r="AK41" s="76"/>
      <c r="AL41" s="76"/>
      <c r="AM41" s="76"/>
      <c r="AN41" s="76"/>
      <c r="AO41" s="76"/>
      <c r="AP41" s="76"/>
      <c r="AQ41" s="76"/>
      <c r="AR41" s="76"/>
      <c r="AS41" s="76"/>
      <c r="AT41" s="76"/>
      <c r="AU41" s="76"/>
      <c r="AV41" s="76"/>
      <c r="AW41" s="76"/>
      <c r="AX41" s="76"/>
    </row>
    <row r="42" ht="15.75" customHeight="1">
      <c r="A42" s="67" t="s">
        <v>108</v>
      </c>
      <c r="B42" s="72" t="s">
        <v>273</v>
      </c>
      <c r="C42" s="31"/>
      <c r="D42" s="31"/>
      <c r="E42" s="31"/>
      <c r="F42" s="70"/>
      <c r="G42" s="70"/>
      <c r="H42" s="70"/>
      <c r="I42" s="70"/>
      <c r="J42" s="71"/>
      <c r="K42" s="122"/>
      <c r="L42" s="70"/>
      <c r="M42" s="71"/>
      <c r="N42" s="70"/>
      <c r="O42" s="70"/>
      <c r="P42" s="70"/>
      <c r="Q42" s="122"/>
      <c r="R42" s="70"/>
      <c r="S42" s="70"/>
      <c r="T42" s="132" t="s">
        <v>528</v>
      </c>
      <c r="U42" s="70"/>
      <c r="V42" s="70"/>
      <c r="W42" s="70"/>
      <c r="X42" s="70"/>
      <c r="Y42" s="70"/>
      <c r="Z42" s="70"/>
      <c r="AA42" s="70"/>
      <c r="AB42" s="76"/>
      <c r="AC42" s="76"/>
      <c r="AD42" s="76"/>
      <c r="AE42" s="76"/>
      <c r="AF42" s="76"/>
      <c r="AG42" s="76"/>
      <c r="AH42" s="76"/>
      <c r="AI42" s="76"/>
      <c r="AJ42" s="76"/>
      <c r="AK42" s="76"/>
      <c r="AL42" s="76"/>
      <c r="AM42" s="76"/>
      <c r="AN42" s="76"/>
      <c r="AO42" s="76"/>
      <c r="AP42" s="76"/>
      <c r="AQ42" s="76"/>
      <c r="AR42" s="76"/>
      <c r="AS42" s="76"/>
      <c r="AT42" s="76"/>
      <c r="AU42" s="76"/>
      <c r="AV42" s="76"/>
      <c r="AW42" s="76"/>
      <c r="AX42" s="76"/>
    </row>
    <row r="43" ht="15.75" customHeight="1">
      <c r="A43" s="67" t="s">
        <v>108</v>
      </c>
      <c r="B43" s="72" t="s">
        <v>276</v>
      </c>
      <c r="C43" s="31"/>
      <c r="D43" s="31"/>
      <c r="E43" s="31"/>
      <c r="F43" s="70"/>
      <c r="G43" s="70"/>
      <c r="H43" s="70"/>
      <c r="I43" s="70"/>
      <c r="J43" s="71"/>
      <c r="K43" s="122"/>
      <c r="L43" s="70"/>
      <c r="M43" s="71"/>
      <c r="N43" s="70"/>
      <c r="O43" s="70"/>
      <c r="P43" s="70"/>
      <c r="Q43" s="122"/>
      <c r="R43" s="70"/>
      <c r="S43" s="70"/>
      <c r="T43" s="132" t="s">
        <v>539</v>
      </c>
      <c r="U43" s="70"/>
      <c r="V43" s="70"/>
      <c r="W43" s="70"/>
      <c r="X43" s="70"/>
      <c r="Y43" s="70"/>
      <c r="Z43" s="70"/>
      <c r="AA43" s="70"/>
      <c r="AB43" s="76"/>
      <c r="AC43" s="76"/>
      <c r="AD43" s="76"/>
      <c r="AE43" s="76"/>
      <c r="AF43" s="76"/>
      <c r="AG43" s="76"/>
      <c r="AH43" s="76"/>
      <c r="AI43" s="76"/>
      <c r="AJ43" s="76"/>
      <c r="AK43" s="76"/>
      <c r="AL43" s="76"/>
      <c r="AM43" s="76"/>
      <c r="AN43" s="76"/>
      <c r="AO43" s="76"/>
      <c r="AP43" s="76"/>
      <c r="AQ43" s="76"/>
      <c r="AR43" s="76"/>
      <c r="AS43" s="76"/>
      <c r="AT43" s="76"/>
      <c r="AU43" s="76"/>
      <c r="AV43" s="76"/>
      <c r="AW43" s="76"/>
      <c r="AX43" s="76"/>
    </row>
    <row r="44" ht="15.75" customHeight="1">
      <c r="A44" s="67" t="s">
        <v>108</v>
      </c>
      <c r="B44" s="72" t="s">
        <v>277</v>
      </c>
      <c r="C44" s="31"/>
      <c r="D44" s="31"/>
      <c r="E44" s="31"/>
      <c r="F44" s="70"/>
      <c r="G44" s="70"/>
      <c r="H44" s="70"/>
      <c r="I44" s="70"/>
      <c r="J44" s="71"/>
      <c r="K44" s="122"/>
      <c r="L44" s="70"/>
      <c r="M44" s="71"/>
      <c r="N44" s="70"/>
      <c r="O44" s="70"/>
      <c r="P44" s="70"/>
      <c r="Q44" s="122"/>
      <c r="R44" s="70"/>
      <c r="S44" s="70"/>
      <c r="T44" s="132" t="s">
        <v>555</v>
      </c>
      <c r="U44" s="70"/>
      <c r="V44" s="70"/>
      <c r="W44" s="70"/>
      <c r="X44" s="70"/>
      <c r="Y44" s="67"/>
      <c r="Z44" s="70"/>
      <c r="AA44" s="70"/>
      <c r="AB44" s="76"/>
      <c r="AC44" s="76"/>
      <c r="AD44" s="76"/>
      <c r="AE44" s="76"/>
      <c r="AF44" s="76"/>
      <c r="AG44" s="76"/>
      <c r="AH44" s="76"/>
      <c r="AI44" s="76"/>
      <c r="AJ44" s="76"/>
      <c r="AK44" s="76"/>
      <c r="AL44" s="76"/>
      <c r="AM44" s="76"/>
      <c r="AN44" s="76"/>
      <c r="AO44" s="76"/>
      <c r="AP44" s="76"/>
      <c r="AQ44" s="76"/>
      <c r="AR44" s="76"/>
      <c r="AS44" s="76"/>
      <c r="AT44" s="76"/>
      <c r="AU44" s="76"/>
      <c r="AV44" s="76"/>
      <c r="AW44" s="76"/>
      <c r="AX44" s="76"/>
    </row>
    <row r="45" ht="15.75" customHeight="1">
      <c r="A45" s="67" t="s">
        <v>108</v>
      </c>
      <c r="B45" s="72" t="s">
        <v>279</v>
      </c>
      <c r="C45" s="31"/>
      <c r="D45" s="31"/>
      <c r="E45" s="31"/>
      <c r="F45" s="70"/>
      <c r="G45" s="70"/>
      <c r="H45" s="70"/>
      <c r="I45" s="70"/>
      <c r="J45" s="71"/>
      <c r="K45" s="122"/>
      <c r="L45" s="70"/>
      <c r="M45" s="71"/>
      <c r="N45" s="70"/>
      <c r="O45" s="70"/>
      <c r="P45" s="70"/>
      <c r="Q45" s="122"/>
      <c r="R45" s="70"/>
      <c r="S45" s="70"/>
      <c r="T45" s="132" t="s">
        <v>564</v>
      </c>
      <c r="U45" s="70"/>
      <c r="V45" s="70"/>
      <c r="W45" s="70"/>
      <c r="X45" s="70"/>
      <c r="Y45" s="67"/>
      <c r="Z45" s="70"/>
      <c r="AA45" s="70"/>
      <c r="AB45" s="76"/>
      <c r="AC45" s="76"/>
      <c r="AD45" s="76"/>
      <c r="AE45" s="76"/>
      <c r="AF45" s="76"/>
      <c r="AG45" s="76"/>
      <c r="AH45" s="76"/>
      <c r="AI45" s="76"/>
      <c r="AJ45" s="76"/>
      <c r="AK45" s="76"/>
      <c r="AL45" s="76"/>
      <c r="AM45" s="76"/>
      <c r="AN45" s="76"/>
      <c r="AO45" s="76"/>
      <c r="AP45" s="76"/>
      <c r="AQ45" s="76"/>
      <c r="AR45" s="76"/>
      <c r="AS45" s="76"/>
      <c r="AT45" s="76"/>
      <c r="AU45" s="76"/>
      <c r="AV45" s="76"/>
      <c r="AW45" s="76"/>
      <c r="AX45" s="76"/>
    </row>
    <row r="46" ht="15.75" customHeight="1">
      <c r="A46" s="67" t="s">
        <v>108</v>
      </c>
      <c r="B46" s="72" t="s">
        <v>281</v>
      </c>
      <c r="C46" s="31"/>
      <c r="D46" s="31"/>
      <c r="E46" s="31"/>
      <c r="F46" s="70"/>
      <c r="G46" s="70"/>
      <c r="H46" s="70"/>
      <c r="I46" s="70"/>
      <c r="J46" s="71"/>
      <c r="K46" s="122"/>
      <c r="L46" s="70"/>
      <c r="M46" s="71"/>
      <c r="N46" s="70"/>
      <c r="O46" s="70"/>
      <c r="P46" s="70"/>
      <c r="Q46" s="122"/>
      <c r="R46" s="70"/>
      <c r="S46" s="70"/>
      <c r="T46" s="132" t="s">
        <v>573</v>
      </c>
      <c r="U46" s="70"/>
      <c r="V46" s="70"/>
      <c r="W46" s="70"/>
      <c r="X46" s="70"/>
      <c r="Y46" s="67"/>
      <c r="Z46" s="70"/>
      <c r="AA46" s="70"/>
      <c r="AB46" s="76"/>
      <c r="AC46" s="76"/>
      <c r="AD46" s="76"/>
      <c r="AE46" s="76"/>
      <c r="AF46" s="76"/>
      <c r="AG46" s="76"/>
      <c r="AH46" s="76"/>
      <c r="AI46" s="76"/>
      <c r="AJ46" s="76"/>
      <c r="AK46" s="76"/>
      <c r="AL46" s="76"/>
      <c r="AM46" s="76"/>
      <c r="AN46" s="76"/>
      <c r="AO46" s="76"/>
      <c r="AP46" s="76"/>
      <c r="AQ46" s="76"/>
      <c r="AR46" s="76"/>
      <c r="AS46" s="76"/>
      <c r="AT46" s="76"/>
      <c r="AU46" s="76"/>
      <c r="AV46" s="76"/>
      <c r="AW46" s="76"/>
      <c r="AX46" s="76"/>
    </row>
    <row r="47" ht="15.75" customHeight="1">
      <c r="A47" s="67" t="s">
        <v>108</v>
      </c>
      <c r="B47" s="72" t="s">
        <v>284</v>
      </c>
      <c r="C47" s="31"/>
      <c r="D47" s="31"/>
      <c r="E47" s="31"/>
      <c r="F47" s="70"/>
      <c r="G47" s="70"/>
      <c r="H47" s="70"/>
      <c r="I47" s="70"/>
      <c r="J47" s="71"/>
      <c r="K47" s="122"/>
      <c r="L47" s="70"/>
      <c r="M47" s="71"/>
      <c r="N47" s="70"/>
      <c r="O47" s="70"/>
      <c r="P47" s="70"/>
      <c r="Q47" s="122"/>
      <c r="R47" s="70"/>
      <c r="S47" s="70"/>
      <c r="T47" s="132" t="s">
        <v>583</v>
      </c>
      <c r="U47" s="70"/>
      <c r="V47" s="70"/>
      <c r="W47" s="70"/>
      <c r="X47" s="70"/>
      <c r="Y47" s="67"/>
      <c r="Z47" s="70"/>
      <c r="AA47" s="70"/>
      <c r="AB47" s="76"/>
      <c r="AC47" s="76"/>
      <c r="AD47" s="76"/>
      <c r="AE47" s="76"/>
      <c r="AF47" s="76"/>
      <c r="AG47" s="76"/>
      <c r="AH47" s="76"/>
      <c r="AI47" s="76"/>
      <c r="AJ47" s="76"/>
      <c r="AK47" s="76"/>
      <c r="AL47" s="76"/>
      <c r="AM47" s="76"/>
      <c r="AN47" s="76"/>
      <c r="AO47" s="76"/>
      <c r="AP47" s="76"/>
      <c r="AQ47" s="76"/>
      <c r="AR47" s="76"/>
      <c r="AS47" s="76"/>
      <c r="AT47" s="76"/>
      <c r="AU47" s="76"/>
      <c r="AV47" s="76"/>
      <c r="AW47" s="76"/>
      <c r="AX47" s="76"/>
    </row>
    <row r="48" ht="15.75" customHeight="1">
      <c r="A48" s="67" t="s">
        <v>108</v>
      </c>
      <c r="B48" s="72" t="s">
        <v>285</v>
      </c>
      <c r="C48" s="31"/>
      <c r="D48" s="31"/>
      <c r="E48" s="31"/>
      <c r="F48" s="70"/>
      <c r="G48" s="70"/>
      <c r="H48" s="70"/>
      <c r="I48" s="70"/>
      <c r="J48" s="71"/>
      <c r="K48" s="122"/>
      <c r="L48" s="70"/>
      <c r="M48" s="71"/>
      <c r="N48" s="70"/>
      <c r="O48" s="70"/>
      <c r="P48" s="70"/>
      <c r="Q48" s="122"/>
      <c r="R48" s="70"/>
      <c r="S48" s="70"/>
      <c r="T48" s="132" t="s">
        <v>600</v>
      </c>
      <c r="U48" s="70"/>
      <c r="V48" s="70"/>
      <c r="W48" s="70"/>
      <c r="X48" s="70"/>
      <c r="Y48" s="67"/>
      <c r="Z48" s="70"/>
      <c r="AA48" s="70"/>
      <c r="AB48" s="76"/>
      <c r="AC48" s="76"/>
      <c r="AD48" s="76"/>
      <c r="AE48" s="76"/>
      <c r="AF48" s="76"/>
      <c r="AG48" s="76"/>
      <c r="AH48" s="76"/>
      <c r="AI48" s="76"/>
      <c r="AJ48" s="76"/>
      <c r="AK48" s="76"/>
      <c r="AL48" s="76"/>
      <c r="AM48" s="76"/>
      <c r="AN48" s="76"/>
      <c r="AO48" s="76"/>
      <c r="AP48" s="76"/>
      <c r="AQ48" s="76"/>
      <c r="AR48" s="76"/>
      <c r="AS48" s="76"/>
      <c r="AT48" s="76"/>
      <c r="AU48" s="76"/>
      <c r="AV48" s="76"/>
      <c r="AW48" s="76"/>
      <c r="AX48" s="76"/>
    </row>
    <row r="49" ht="15.75" customHeight="1">
      <c r="A49" s="67" t="s">
        <v>108</v>
      </c>
      <c r="B49" s="72" t="s">
        <v>292</v>
      </c>
      <c r="C49" s="31"/>
      <c r="D49" s="31"/>
      <c r="E49" s="31"/>
      <c r="F49" s="70"/>
      <c r="G49" s="70"/>
      <c r="H49" s="70"/>
      <c r="I49" s="70"/>
      <c r="J49" s="71"/>
      <c r="K49" s="122"/>
      <c r="L49" s="70"/>
      <c r="M49" s="71"/>
      <c r="N49" s="70"/>
      <c r="O49" s="70"/>
      <c r="P49" s="70"/>
      <c r="Q49" s="122"/>
      <c r="R49" s="70"/>
      <c r="S49" s="70"/>
      <c r="T49" s="132" t="s">
        <v>610</v>
      </c>
      <c r="U49" s="70"/>
      <c r="V49" s="70"/>
      <c r="W49" s="70"/>
      <c r="X49" s="70"/>
      <c r="Y49" s="67"/>
      <c r="Z49" s="70"/>
      <c r="AA49" s="70"/>
      <c r="AB49" s="76"/>
      <c r="AC49" s="76"/>
      <c r="AD49" s="76"/>
      <c r="AE49" s="76"/>
      <c r="AF49" s="76"/>
      <c r="AG49" s="76"/>
      <c r="AH49" s="76"/>
      <c r="AI49" s="76"/>
      <c r="AJ49" s="76"/>
      <c r="AK49" s="76"/>
      <c r="AL49" s="76"/>
      <c r="AM49" s="76"/>
      <c r="AN49" s="76"/>
      <c r="AO49" s="76"/>
      <c r="AP49" s="76"/>
      <c r="AQ49" s="76"/>
      <c r="AR49" s="76"/>
      <c r="AS49" s="76"/>
      <c r="AT49" s="76"/>
      <c r="AU49" s="76"/>
      <c r="AV49" s="76"/>
      <c r="AW49" s="76"/>
      <c r="AX49" s="76"/>
    </row>
    <row r="50" ht="15.75" customHeight="1">
      <c r="A50" s="67" t="s">
        <v>108</v>
      </c>
      <c r="B50" s="72" t="s">
        <v>298</v>
      </c>
      <c r="C50" s="31"/>
      <c r="D50" s="31"/>
      <c r="E50" s="31"/>
      <c r="F50" s="70"/>
      <c r="G50" s="70"/>
      <c r="H50" s="70"/>
      <c r="I50" s="70"/>
      <c r="J50" s="71"/>
      <c r="K50" s="122"/>
      <c r="L50" s="70"/>
      <c r="M50" s="71"/>
      <c r="N50" s="70"/>
      <c r="O50" s="70"/>
      <c r="P50" s="70"/>
      <c r="Q50" s="67"/>
      <c r="R50" s="70"/>
      <c r="S50" s="70"/>
      <c r="T50" s="132" t="s">
        <v>627</v>
      </c>
      <c r="U50" s="70"/>
      <c r="V50" s="70"/>
      <c r="W50" s="70"/>
      <c r="X50" s="70"/>
      <c r="Y50" s="67"/>
      <c r="Z50" s="70"/>
      <c r="AA50" s="70"/>
      <c r="AB50" s="76"/>
      <c r="AC50" s="76"/>
      <c r="AD50" s="76"/>
      <c r="AE50" s="76"/>
      <c r="AF50" s="76"/>
      <c r="AG50" s="76"/>
      <c r="AH50" s="76"/>
      <c r="AI50" s="76"/>
      <c r="AJ50" s="76"/>
      <c r="AK50" s="76"/>
      <c r="AL50" s="76"/>
      <c r="AM50" s="76"/>
      <c r="AN50" s="76"/>
      <c r="AO50" s="76"/>
      <c r="AP50" s="76"/>
      <c r="AQ50" s="76"/>
      <c r="AR50" s="76"/>
      <c r="AS50" s="76"/>
      <c r="AT50" s="76"/>
      <c r="AU50" s="76"/>
      <c r="AV50" s="76"/>
      <c r="AW50" s="76"/>
      <c r="AX50" s="76"/>
    </row>
    <row r="51" ht="15.75" customHeight="1">
      <c r="A51" s="67" t="s">
        <v>108</v>
      </c>
      <c r="B51" s="72" t="s">
        <v>303</v>
      </c>
      <c r="C51" s="31"/>
      <c r="D51" s="31"/>
      <c r="E51" s="31"/>
      <c r="F51" s="70"/>
      <c r="G51" s="70"/>
      <c r="H51" s="70"/>
      <c r="I51" s="70"/>
      <c r="J51" s="71"/>
      <c r="K51" s="122"/>
      <c r="L51" s="70"/>
      <c r="M51" s="71"/>
      <c r="N51" s="70"/>
      <c r="O51" s="70"/>
      <c r="P51" s="70"/>
      <c r="Q51" s="67"/>
      <c r="R51" s="70"/>
      <c r="S51" s="70"/>
      <c r="T51" s="132" t="s">
        <v>642</v>
      </c>
      <c r="U51" s="70"/>
      <c r="V51" s="70"/>
      <c r="W51" s="70"/>
      <c r="X51" s="70"/>
      <c r="Y51" s="67"/>
      <c r="Z51" s="70"/>
      <c r="AA51" s="70"/>
      <c r="AB51" s="76"/>
      <c r="AC51" s="76"/>
      <c r="AD51" s="76"/>
      <c r="AE51" s="76"/>
      <c r="AF51" s="76"/>
      <c r="AG51" s="76"/>
      <c r="AH51" s="76"/>
      <c r="AI51" s="76"/>
      <c r="AJ51" s="76"/>
      <c r="AK51" s="76"/>
      <c r="AL51" s="76"/>
      <c r="AM51" s="76"/>
      <c r="AN51" s="76"/>
      <c r="AO51" s="76"/>
      <c r="AP51" s="76"/>
      <c r="AQ51" s="76"/>
      <c r="AR51" s="76"/>
      <c r="AS51" s="76"/>
      <c r="AT51" s="76"/>
      <c r="AU51" s="76"/>
      <c r="AV51" s="76"/>
      <c r="AW51" s="76"/>
      <c r="AX51" s="76"/>
    </row>
    <row r="52" ht="15.75" customHeight="1">
      <c r="A52" s="67" t="s">
        <v>108</v>
      </c>
      <c r="B52" s="72" t="s">
        <v>310</v>
      </c>
      <c r="C52" s="31"/>
      <c r="D52" s="31"/>
      <c r="E52" s="31"/>
      <c r="F52" s="70"/>
      <c r="G52" s="70"/>
      <c r="H52" s="70"/>
      <c r="I52" s="70"/>
      <c r="J52" s="71"/>
      <c r="K52" s="122"/>
      <c r="L52" s="70"/>
      <c r="M52" s="71"/>
      <c r="N52" s="70"/>
      <c r="O52" s="70"/>
      <c r="P52" s="70"/>
      <c r="Q52" s="67"/>
      <c r="R52" s="70"/>
      <c r="S52" s="70"/>
      <c r="T52" s="67" t="s">
        <v>652</v>
      </c>
      <c r="U52" s="70"/>
      <c r="V52" s="70"/>
      <c r="W52" s="70"/>
      <c r="X52" s="70"/>
      <c r="Y52" s="67"/>
      <c r="Z52" s="70"/>
      <c r="AA52" s="70"/>
      <c r="AB52" s="76"/>
      <c r="AC52" s="76"/>
      <c r="AD52" s="76"/>
      <c r="AE52" s="76"/>
      <c r="AF52" s="76"/>
      <c r="AG52" s="76"/>
      <c r="AH52" s="76"/>
      <c r="AI52" s="76"/>
      <c r="AJ52" s="76"/>
      <c r="AK52" s="76"/>
      <c r="AL52" s="76"/>
      <c r="AM52" s="76"/>
      <c r="AN52" s="76"/>
      <c r="AO52" s="76"/>
      <c r="AP52" s="76"/>
      <c r="AQ52" s="76"/>
      <c r="AR52" s="76"/>
      <c r="AS52" s="76"/>
      <c r="AT52" s="76"/>
      <c r="AU52" s="76"/>
      <c r="AV52" s="76"/>
      <c r="AW52" s="76"/>
      <c r="AX52" s="76"/>
    </row>
    <row r="53" ht="15.75" customHeight="1">
      <c r="A53" s="104" t="s">
        <v>108</v>
      </c>
      <c r="B53" s="106" t="s">
        <v>314</v>
      </c>
      <c r="C53" s="31"/>
      <c r="D53" s="31"/>
      <c r="E53" s="31"/>
      <c r="F53" s="108"/>
      <c r="G53" s="108"/>
      <c r="H53" s="108"/>
      <c r="I53" s="108"/>
      <c r="J53" s="108"/>
      <c r="K53" s="108"/>
      <c r="L53" s="108"/>
      <c r="M53" s="108"/>
      <c r="N53" s="108"/>
      <c r="O53" s="108"/>
      <c r="P53" s="108"/>
      <c r="Q53" s="104"/>
      <c r="R53" s="108"/>
      <c r="S53" s="108"/>
      <c r="T53" s="132" t="s">
        <v>674</v>
      </c>
      <c r="U53" s="108"/>
      <c r="V53" s="108"/>
      <c r="W53" s="108"/>
      <c r="X53" s="108"/>
      <c r="Y53" s="108"/>
      <c r="Z53" s="108"/>
      <c r="AA53" s="108"/>
      <c r="AB53" s="108"/>
      <c r="AC53" s="108"/>
      <c r="AD53" s="76"/>
      <c r="AE53" s="76"/>
      <c r="AF53" s="76"/>
      <c r="AG53" s="76"/>
      <c r="AH53" s="76"/>
      <c r="AI53" s="76"/>
      <c r="AJ53" s="76"/>
      <c r="AK53" s="76"/>
      <c r="AL53" s="76"/>
      <c r="AM53" s="76"/>
      <c r="AN53" s="76"/>
      <c r="AO53" s="76"/>
      <c r="AP53" s="76"/>
      <c r="AQ53" s="76"/>
      <c r="AR53" s="76"/>
      <c r="AS53" s="76"/>
      <c r="AT53" s="76"/>
      <c r="AU53" s="76"/>
      <c r="AV53" s="76"/>
      <c r="AW53" s="76"/>
      <c r="AX53" s="76"/>
    </row>
    <row r="54" ht="15.75" customHeight="1">
      <c r="A54" s="65" t="s">
        <v>42</v>
      </c>
      <c r="B54" s="65" t="s">
        <v>322</v>
      </c>
      <c r="C54" s="31" t="s">
        <v>678</v>
      </c>
      <c r="D54" s="31" t="s">
        <v>679</v>
      </c>
      <c r="E54" s="31" t="s">
        <v>680</v>
      </c>
      <c r="F54" s="31"/>
      <c r="G54" s="31"/>
      <c r="H54" s="31"/>
      <c r="I54" s="30"/>
      <c r="J54" s="30"/>
      <c r="K54" s="30"/>
      <c r="L54" s="30"/>
      <c r="M54" s="30"/>
      <c r="N54" s="30"/>
      <c r="O54" s="65" t="s">
        <v>681</v>
      </c>
      <c r="P54" s="30"/>
      <c r="Q54" s="65"/>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row>
    <row r="55" ht="15.75" customHeight="1">
      <c r="A55" s="65" t="s">
        <v>150</v>
      </c>
      <c r="B55" s="65" t="s">
        <v>328</v>
      </c>
      <c r="C55" s="31" t="s">
        <v>330</v>
      </c>
      <c r="D55" s="31"/>
      <c r="E55" s="31"/>
      <c r="F55" s="30"/>
      <c r="G55" s="30"/>
      <c r="H55" s="30"/>
      <c r="I55" s="30"/>
      <c r="J55" s="30"/>
      <c r="K55" s="30"/>
      <c r="L55" s="30"/>
      <c r="M55" s="30"/>
      <c r="N55" s="30"/>
      <c r="O55" s="65" t="s">
        <v>695</v>
      </c>
      <c r="P55" s="30"/>
      <c r="Q55" s="65"/>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row>
    <row r="56" ht="15.75" customHeight="1">
      <c r="A56" s="65" t="s">
        <v>338</v>
      </c>
      <c r="B56" s="65" t="s">
        <v>339</v>
      </c>
      <c r="C56" s="31" t="s">
        <v>704</v>
      </c>
      <c r="D56" s="31" t="s">
        <v>705</v>
      </c>
      <c r="E56" s="31" t="s">
        <v>707</v>
      </c>
      <c r="F56" s="31"/>
      <c r="G56" s="31"/>
      <c r="H56" s="31"/>
      <c r="I56" s="30"/>
      <c r="J56" s="30"/>
      <c r="K56" s="30"/>
      <c r="L56" s="30"/>
      <c r="M56" s="30"/>
      <c r="N56" s="30"/>
      <c r="O56" s="30"/>
      <c r="P56" s="30"/>
      <c r="Q56" s="65" t="s">
        <v>166</v>
      </c>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row>
    <row r="57" ht="15.75" customHeight="1">
      <c r="A57" s="65" t="s">
        <v>343</v>
      </c>
      <c r="B57" s="65" t="s">
        <v>344</v>
      </c>
      <c r="C57" s="31" t="s">
        <v>718</v>
      </c>
      <c r="D57" s="31" t="s">
        <v>719</v>
      </c>
      <c r="E57" s="31" t="s">
        <v>720</v>
      </c>
      <c r="F57" s="31"/>
      <c r="G57" s="31"/>
      <c r="H57" s="31"/>
      <c r="I57" s="30"/>
      <c r="J57" s="30"/>
      <c r="K57" s="30"/>
      <c r="L57" s="30"/>
      <c r="M57" s="30"/>
      <c r="N57" s="30"/>
      <c r="O57" s="65" t="s">
        <v>722</v>
      </c>
      <c r="P57" s="30"/>
      <c r="Q57" s="65" t="s">
        <v>166</v>
      </c>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row>
    <row r="58" ht="15.75" customHeight="1">
      <c r="A58" s="65" t="s">
        <v>42</v>
      </c>
      <c r="B58" s="65" t="s">
        <v>350</v>
      </c>
      <c r="C58" s="31" t="s">
        <v>724</v>
      </c>
      <c r="D58" s="31" t="s">
        <v>725</v>
      </c>
      <c r="E58" s="31" t="s">
        <v>727</v>
      </c>
      <c r="F58" s="31"/>
      <c r="G58" s="31"/>
      <c r="H58" s="31"/>
      <c r="I58" s="30"/>
      <c r="J58" s="30"/>
      <c r="K58" s="30"/>
      <c r="L58" s="30"/>
      <c r="M58" s="30"/>
      <c r="N58" s="30"/>
      <c r="O58" s="65" t="s">
        <v>729</v>
      </c>
      <c r="P58" s="30"/>
      <c r="Q58" s="65" t="s">
        <v>166</v>
      </c>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row>
    <row r="59" ht="15.75" customHeight="1">
      <c r="A59" s="65" t="s">
        <v>42</v>
      </c>
      <c r="B59" s="65" t="s">
        <v>355</v>
      </c>
      <c r="C59" s="31" t="s">
        <v>737</v>
      </c>
      <c r="D59" s="31" t="s">
        <v>738</v>
      </c>
      <c r="E59" s="31" t="s">
        <v>739</v>
      </c>
      <c r="F59" s="31"/>
      <c r="G59" s="31"/>
      <c r="H59" s="31"/>
      <c r="I59" s="30"/>
      <c r="J59" s="30"/>
      <c r="K59" s="30"/>
      <c r="L59" s="30"/>
      <c r="M59" s="30"/>
      <c r="N59" s="30"/>
      <c r="O59" s="65" t="s">
        <v>744</v>
      </c>
      <c r="P59" s="30"/>
      <c r="Q59" s="65" t="s">
        <v>166</v>
      </c>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row>
    <row r="60" ht="15.75" customHeight="1">
      <c r="A60" s="65" t="s">
        <v>42</v>
      </c>
      <c r="B60" s="65" t="s">
        <v>363</v>
      </c>
      <c r="C60" s="31" t="s">
        <v>754</v>
      </c>
      <c r="D60" s="31" t="s">
        <v>755</v>
      </c>
      <c r="E60" s="31" t="s">
        <v>756</v>
      </c>
      <c r="F60" s="31"/>
      <c r="G60" s="31"/>
      <c r="H60" s="31"/>
      <c r="I60" s="30"/>
      <c r="J60" s="30"/>
      <c r="K60" s="30"/>
      <c r="L60" s="30"/>
      <c r="M60" s="30"/>
      <c r="N60" s="30"/>
      <c r="O60" s="65" t="s">
        <v>761</v>
      </c>
      <c r="P60" s="30"/>
      <c r="Q60" s="65" t="s">
        <v>166</v>
      </c>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row>
    <row r="61" ht="15.75" customHeight="1">
      <c r="A61" s="65" t="s">
        <v>338</v>
      </c>
      <c r="B61" s="65" t="s">
        <v>369</v>
      </c>
      <c r="C61" s="31" t="s">
        <v>771</v>
      </c>
      <c r="D61" s="31" t="s">
        <v>774</v>
      </c>
      <c r="E61" s="31" t="s">
        <v>775</v>
      </c>
      <c r="F61" s="31"/>
      <c r="G61" s="31"/>
      <c r="H61" s="31"/>
      <c r="I61" s="30"/>
      <c r="J61" s="30"/>
      <c r="K61" s="30"/>
      <c r="L61" s="30"/>
      <c r="M61" s="30"/>
      <c r="N61" s="30"/>
      <c r="O61" s="65" t="s">
        <v>776</v>
      </c>
      <c r="P61" s="30"/>
      <c r="Q61" s="65" t="s">
        <v>166</v>
      </c>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row>
    <row r="62" ht="15.75" customHeight="1">
      <c r="A62" s="65" t="s">
        <v>378</v>
      </c>
      <c r="B62" s="65" t="s">
        <v>379</v>
      </c>
      <c r="C62" s="31" t="s">
        <v>786</v>
      </c>
      <c r="D62" s="31" t="s">
        <v>788</v>
      </c>
      <c r="E62" s="31" t="s">
        <v>789</v>
      </c>
      <c r="F62" s="31"/>
      <c r="G62" s="31"/>
      <c r="H62" s="31"/>
      <c r="I62" s="30"/>
      <c r="J62" s="30"/>
      <c r="K62" s="30"/>
      <c r="L62" s="30"/>
      <c r="M62" s="30"/>
      <c r="N62" s="30"/>
      <c r="O62" s="65" t="s">
        <v>794</v>
      </c>
      <c r="P62" s="30"/>
      <c r="Q62" s="65" t="s">
        <v>166</v>
      </c>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row>
    <row r="63" ht="15.75" customHeight="1">
      <c r="A63" s="65" t="s">
        <v>214</v>
      </c>
      <c r="B63" s="65" t="s">
        <v>384</v>
      </c>
      <c r="C63" s="31" t="s">
        <v>804</v>
      </c>
      <c r="D63" s="31" t="s">
        <v>806</v>
      </c>
      <c r="E63" s="31" t="s">
        <v>807</v>
      </c>
      <c r="F63" s="30"/>
      <c r="G63" s="30"/>
      <c r="H63" s="30"/>
      <c r="I63" s="30"/>
      <c r="J63" s="30"/>
      <c r="K63" s="30"/>
      <c r="L63" s="30"/>
      <c r="M63" s="30"/>
      <c r="N63" s="30"/>
      <c r="O63" s="65" t="s">
        <v>808</v>
      </c>
      <c r="P63" s="30"/>
      <c r="Q63" s="65" t="s">
        <v>166</v>
      </c>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row>
    <row r="64" ht="15.75" customHeight="1">
      <c r="A64" s="65" t="s">
        <v>236</v>
      </c>
      <c r="B64" s="65" t="s">
        <v>131</v>
      </c>
      <c r="C64" s="31"/>
      <c r="D64" s="31"/>
      <c r="E64" s="31"/>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row>
    <row r="65" ht="15.75" customHeight="1">
      <c r="A65" s="65" t="s">
        <v>338</v>
      </c>
      <c r="B65" s="65" t="s">
        <v>399</v>
      </c>
      <c r="C65" s="31" t="s">
        <v>824</v>
      </c>
      <c r="D65" s="31" t="s">
        <v>827</v>
      </c>
      <c r="E65" s="31" t="s">
        <v>829</v>
      </c>
      <c r="F65" s="31"/>
      <c r="G65" s="31"/>
      <c r="H65" s="31"/>
      <c r="I65" s="30"/>
      <c r="J65" s="30"/>
      <c r="K65" s="30"/>
      <c r="L65" s="30"/>
      <c r="M65" s="30"/>
      <c r="N65" s="30"/>
      <c r="O65" s="65" t="s">
        <v>831</v>
      </c>
      <c r="P65" s="30"/>
      <c r="Q65" s="65" t="s">
        <v>166</v>
      </c>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row>
    <row r="66" ht="15.75" customHeight="1">
      <c r="A66" s="67" t="s">
        <v>139</v>
      </c>
      <c r="B66" s="69" t="s">
        <v>411</v>
      </c>
      <c r="C66" s="31"/>
      <c r="D66" s="31"/>
      <c r="E66" s="31"/>
      <c r="F66" s="70"/>
      <c r="G66" s="70"/>
      <c r="H66" s="70"/>
      <c r="I66" s="70"/>
      <c r="J66" s="71"/>
      <c r="K66" s="70"/>
      <c r="L66" s="70"/>
      <c r="M66" s="71"/>
      <c r="N66" s="71"/>
      <c r="O66" s="72"/>
      <c r="P66" s="70"/>
      <c r="Q66" s="70"/>
      <c r="R66" s="70"/>
      <c r="S66" s="70"/>
      <c r="T66" s="73" t="s">
        <v>145</v>
      </c>
      <c r="U66" s="70"/>
      <c r="V66" s="70"/>
      <c r="W66" s="70"/>
      <c r="X66" s="70"/>
      <c r="Y66" s="70"/>
      <c r="Z66" s="70"/>
      <c r="AA66" s="70"/>
      <c r="AB66" s="70"/>
      <c r="AC66" s="70"/>
      <c r="AD66" s="76"/>
      <c r="AE66" s="76"/>
      <c r="AF66" s="76"/>
      <c r="AG66" s="76"/>
      <c r="AH66" s="76"/>
      <c r="AI66" s="76"/>
      <c r="AJ66" s="76"/>
      <c r="AK66" s="76"/>
      <c r="AL66" s="76"/>
      <c r="AM66" s="76"/>
      <c r="AN66" s="76"/>
      <c r="AO66" s="76"/>
      <c r="AP66" s="76"/>
      <c r="AQ66" s="76"/>
      <c r="AR66" s="76"/>
      <c r="AS66" s="76"/>
      <c r="AT66" s="76"/>
      <c r="AU66" s="76"/>
      <c r="AV66" s="76"/>
      <c r="AW66" s="76"/>
      <c r="AX66" s="76"/>
    </row>
    <row r="67" ht="15.75" customHeight="1">
      <c r="A67" s="65" t="s">
        <v>108</v>
      </c>
      <c r="B67" s="65" t="s">
        <v>412</v>
      </c>
      <c r="C67" s="31"/>
      <c r="D67" s="31"/>
      <c r="E67" s="31"/>
      <c r="F67" s="30"/>
      <c r="G67" s="30"/>
      <c r="H67" s="30"/>
      <c r="I67" s="30"/>
      <c r="J67" s="30"/>
      <c r="K67" s="30"/>
      <c r="L67" s="30"/>
      <c r="M67" s="30"/>
      <c r="N67" s="30"/>
      <c r="O67" s="65"/>
      <c r="P67" s="30"/>
      <c r="Q67" s="30"/>
      <c r="R67" s="30"/>
      <c r="S67" s="30"/>
      <c r="T67" s="65" t="s">
        <v>854</v>
      </c>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row>
    <row r="68" ht="15.75" customHeight="1">
      <c r="A68" s="65" t="s">
        <v>150</v>
      </c>
      <c r="B68" s="65" t="s">
        <v>418</v>
      </c>
      <c r="C68" s="31" t="s">
        <v>419</v>
      </c>
      <c r="D68" s="31"/>
      <c r="E68" s="31"/>
      <c r="F68" s="30"/>
      <c r="G68" s="30"/>
      <c r="H68" s="30"/>
      <c r="I68" s="30"/>
      <c r="J68" s="30"/>
      <c r="K68" s="30"/>
      <c r="L68" s="30"/>
      <c r="M68" s="30"/>
      <c r="N68" s="30"/>
      <c r="O68" s="65" t="s">
        <v>866</v>
      </c>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row>
    <row r="69" ht="15.75" customHeight="1">
      <c r="A69" s="65" t="s">
        <v>150</v>
      </c>
      <c r="B69" s="65" t="s">
        <v>424</v>
      </c>
      <c r="C69" s="31"/>
      <c r="D69" s="31"/>
      <c r="E69" s="31"/>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row>
    <row r="70" ht="15.75" customHeight="1">
      <c r="A70" s="65"/>
      <c r="B70" s="65"/>
      <c r="C70" s="31"/>
      <c r="D70" s="31"/>
      <c r="E70" s="31"/>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row>
    <row r="71" ht="15.75" customHeight="1">
      <c r="A71" s="67" t="s">
        <v>139</v>
      </c>
      <c r="B71" s="69" t="s">
        <v>434</v>
      </c>
      <c r="C71" s="31"/>
      <c r="D71" s="31"/>
      <c r="E71" s="31"/>
      <c r="F71" s="70"/>
      <c r="G71" s="70"/>
      <c r="H71" s="70"/>
      <c r="I71" s="70"/>
      <c r="J71" s="71"/>
      <c r="K71" s="70"/>
      <c r="L71" s="70"/>
      <c r="M71" s="71"/>
      <c r="N71" s="71"/>
      <c r="O71" s="72"/>
      <c r="P71" s="70"/>
      <c r="Q71" s="70"/>
      <c r="R71" s="70"/>
      <c r="S71" s="70"/>
      <c r="T71" s="73" t="s">
        <v>145</v>
      </c>
      <c r="U71" s="70"/>
      <c r="V71" s="70"/>
      <c r="W71" s="70"/>
      <c r="X71" s="70"/>
      <c r="Y71" s="70"/>
      <c r="Z71" s="70"/>
      <c r="AA71" s="70"/>
      <c r="AB71" s="70"/>
      <c r="AC71" s="70"/>
      <c r="AD71" s="76"/>
      <c r="AE71" s="76"/>
      <c r="AF71" s="76"/>
      <c r="AG71" s="76"/>
      <c r="AH71" s="76"/>
      <c r="AI71" s="76"/>
      <c r="AJ71" s="76"/>
      <c r="AK71" s="76"/>
      <c r="AL71" s="76"/>
      <c r="AM71" s="76"/>
      <c r="AN71" s="76"/>
      <c r="AO71" s="76"/>
      <c r="AP71" s="76"/>
      <c r="AQ71" s="76"/>
      <c r="AR71" s="76"/>
      <c r="AS71" s="76"/>
      <c r="AT71" s="76"/>
      <c r="AU71" s="76"/>
      <c r="AV71" s="76"/>
      <c r="AW71" s="76"/>
      <c r="AX71" s="76"/>
    </row>
    <row r="72" ht="15.75" customHeight="1">
      <c r="A72" s="122" t="s">
        <v>150</v>
      </c>
      <c r="B72" s="123" t="s">
        <v>440</v>
      </c>
      <c r="C72" s="31" t="s">
        <v>441</v>
      </c>
      <c r="D72" s="31"/>
      <c r="E72" s="31"/>
      <c r="F72" s="70"/>
      <c r="G72" s="70"/>
      <c r="H72" s="70"/>
      <c r="I72" s="70"/>
      <c r="J72" s="71"/>
      <c r="K72" s="70"/>
      <c r="L72" s="70"/>
      <c r="M72" s="71"/>
      <c r="N72" s="71"/>
      <c r="O72" s="72"/>
      <c r="P72" s="70"/>
      <c r="Q72" s="70"/>
      <c r="R72" s="70"/>
      <c r="S72" s="70"/>
      <c r="T72" s="70"/>
      <c r="U72" s="70"/>
      <c r="V72" s="70"/>
      <c r="W72" s="70"/>
      <c r="X72" s="70"/>
      <c r="Y72" s="70"/>
      <c r="Z72" s="70"/>
      <c r="AA72" s="70"/>
      <c r="AB72" s="70"/>
      <c r="AC72" s="70"/>
      <c r="AD72" s="76"/>
      <c r="AE72" s="76"/>
      <c r="AF72" s="76"/>
      <c r="AG72" s="76"/>
      <c r="AH72" s="76"/>
      <c r="AI72" s="76"/>
      <c r="AJ72" s="76"/>
      <c r="AK72" s="76"/>
      <c r="AL72" s="76"/>
      <c r="AM72" s="76"/>
      <c r="AN72" s="76"/>
      <c r="AO72" s="76"/>
      <c r="AP72" s="76"/>
      <c r="AQ72" s="76"/>
      <c r="AR72" s="76"/>
      <c r="AS72" s="76"/>
      <c r="AT72" s="76"/>
      <c r="AU72" s="76"/>
      <c r="AV72" s="76"/>
      <c r="AW72" s="76"/>
      <c r="AX72" s="76"/>
    </row>
    <row r="73" ht="15.75" customHeight="1">
      <c r="A73" s="126" t="s">
        <v>42</v>
      </c>
      <c r="B73" s="127" t="s">
        <v>451</v>
      </c>
      <c r="C73" s="31" t="s">
        <v>925</v>
      </c>
      <c r="D73" s="31" t="s">
        <v>926</v>
      </c>
      <c r="E73" s="31" t="s">
        <v>927</v>
      </c>
      <c r="F73" s="31"/>
      <c r="G73" s="31"/>
      <c r="H73" s="31"/>
      <c r="I73" s="154"/>
      <c r="J73" s="154"/>
      <c r="K73" s="154"/>
      <c r="L73" s="154"/>
      <c r="M73" s="154"/>
      <c r="N73" s="154"/>
      <c r="O73" s="154"/>
      <c r="P73" s="154"/>
      <c r="Q73" s="154"/>
      <c r="R73" s="154"/>
      <c r="S73" s="154"/>
      <c r="T73" s="154"/>
      <c r="U73" s="154"/>
      <c r="V73" s="154"/>
      <c r="W73" s="154"/>
      <c r="X73" s="154"/>
      <c r="Y73" s="154"/>
      <c r="Z73" s="154"/>
      <c r="AA73" s="154"/>
      <c r="AB73" s="154"/>
      <c r="AC73" s="154"/>
      <c r="AD73" s="76"/>
      <c r="AE73" s="76"/>
      <c r="AF73" s="76"/>
      <c r="AG73" s="76"/>
      <c r="AH73" s="76"/>
      <c r="AI73" s="76"/>
      <c r="AJ73" s="76"/>
      <c r="AK73" s="76"/>
      <c r="AL73" s="76"/>
      <c r="AM73" s="76"/>
      <c r="AN73" s="76"/>
      <c r="AO73" s="76"/>
      <c r="AP73" s="76"/>
      <c r="AQ73" s="76"/>
      <c r="AR73" s="76"/>
      <c r="AS73" s="76"/>
      <c r="AT73" s="76"/>
      <c r="AU73" s="76"/>
      <c r="AV73" s="76"/>
      <c r="AW73" s="76"/>
      <c r="AX73" s="76"/>
    </row>
    <row r="74" ht="15.75" customHeight="1">
      <c r="A74" s="67" t="s">
        <v>139</v>
      </c>
      <c r="B74" s="69" t="s">
        <v>463</v>
      </c>
      <c r="C74" s="31"/>
      <c r="D74" s="31"/>
      <c r="E74" s="31"/>
      <c r="F74" s="70"/>
      <c r="G74" s="70"/>
      <c r="H74" s="70"/>
      <c r="I74" s="70"/>
      <c r="J74" s="71"/>
      <c r="K74" s="70"/>
      <c r="L74" s="70"/>
      <c r="M74" s="71"/>
      <c r="N74" s="71"/>
      <c r="O74" s="72"/>
      <c r="P74" s="70"/>
      <c r="Q74" s="70"/>
      <c r="R74" s="70"/>
      <c r="S74" s="70"/>
      <c r="T74" s="73" t="s">
        <v>145</v>
      </c>
      <c r="U74" s="70"/>
      <c r="V74" s="70"/>
      <c r="W74" s="70"/>
      <c r="X74" s="70"/>
      <c r="Y74" s="70"/>
      <c r="Z74" s="70"/>
      <c r="AA74" s="70"/>
      <c r="AB74" s="70"/>
      <c r="AC74" s="70"/>
      <c r="AD74" s="76"/>
      <c r="AE74" s="76"/>
      <c r="AF74" s="76"/>
      <c r="AG74" s="76"/>
      <c r="AH74" s="76"/>
      <c r="AI74" s="76"/>
      <c r="AJ74" s="76"/>
      <c r="AK74" s="76"/>
      <c r="AL74" s="76"/>
      <c r="AM74" s="76"/>
      <c r="AN74" s="76"/>
      <c r="AO74" s="76"/>
      <c r="AP74" s="76"/>
      <c r="AQ74" s="76"/>
      <c r="AR74" s="76"/>
      <c r="AS74" s="76"/>
      <c r="AT74" s="76"/>
      <c r="AU74" s="76"/>
      <c r="AV74" s="76"/>
      <c r="AW74" s="76"/>
      <c r="AX74" s="76"/>
    </row>
    <row r="75" ht="15.75" customHeight="1">
      <c r="A75" s="128" t="s">
        <v>42</v>
      </c>
      <c r="B75" s="129" t="s">
        <v>478</v>
      </c>
      <c r="C75" s="31" t="s">
        <v>938</v>
      </c>
      <c r="D75" s="31" t="s">
        <v>941</v>
      </c>
      <c r="E75" s="31" t="s">
        <v>943</v>
      </c>
      <c r="F75" s="31"/>
      <c r="G75" s="31"/>
      <c r="H75" s="31"/>
      <c r="I75" s="154"/>
      <c r="J75" s="154"/>
      <c r="K75" s="154"/>
      <c r="L75" s="154"/>
      <c r="M75" s="154"/>
      <c r="N75" s="154"/>
      <c r="O75" s="154"/>
      <c r="P75" s="154"/>
      <c r="Q75" s="154"/>
      <c r="R75" s="154"/>
      <c r="S75" s="154"/>
      <c r="T75" s="154"/>
      <c r="U75" s="154"/>
      <c r="V75" s="154"/>
      <c r="W75" s="154"/>
      <c r="X75" s="154"/>
      <c r="Y75" s="154"/>
      <c r="Z75" s="154"/>
      <c r="AA75" s="154"/>
      <c r="AB75" s="154"/>
      <c r="AC75" s="154"/>
      <c r="AD75" s="76"/>
      <c r="AE75" s="76"/>
      <c r="AF75" s="76"/>
      <c r="AG75" s="76"/>
      <c r="AH75" s="76"/>
      <c r="AI75" s="76"/>
      <c r="AJ75" s="76"/>
      <c r="AK75" s="76"/>
      <c r="AL75" s="76"/>
      <c r="AM75" s="76"/>
      <c r="AN75" s="76"/>
      <c r="AO75" s="76"/>
      <c r="AP75" s="76"/>
      <c r="AQ75" s="76"/>
      <c r="AR75" s="76"/>
      <c r="AS75" s="76"/>
      <c r="AT75" s="76"/>
      <c r="AU75" s="76"/>
      <c r="AV75" s="76"/>
      <c r="AW75" s="76"/>
      <c r="AX75" s="76"/>
    </row>
    <row r="76" ht="15.75" customHeight="1">
      <c r="A76" s="81" t="s">
        <v>485</v>
      </c>
      <c r="B76" s="131" t="s">
        <v>486</v>
      </c>
      <c r="C76" s="31" t="s">
        <v>956</v>
      </c>
      <c r="D76" s="31" t="s">
        <v>957</v>
      </c>
      <c r="E76" s="31" t="s">
        <v>958</v>
      </c>
      <c r="F76" s="31"/>
      <c r="G76" s="31"/>
      <c r="H76" s="31"/>
      <c r="I76" s="84"/>
      <c r="J76" s="159"/>
      <c r="K76" s="84"/>
      <c r="L76" s="84"/>
      <c r="M76" s="84"/>
      <c r="N76" s="84"/>
      <c r="O76" s="84"/>
      <c r="P76" s="84"/>
      <c r="Q76" s="84" t="s">
        <v>166</v>
      </c>
      <c r="R76" s="84"/>
      <c r="S76" s="84"/>
      <c r="T76" s="84"/>
      <c r="U76" s="84"/>
      <c r="V76" s="84"/>
      <c r="W76" s="84"/>
      <c r="X76" s="84"/>
      <c r="Y76" s="84"/>
      <c r="Z76" s="84"/>
      <c r="AA76" s="84"/>
      <c r="AB76" s="84"/>
      <c r="AC76" s="84"/>
      <c r="AD76" s="84"/>
      <c r="AE76" s="84"/>
      <c r="AF76" s="84"/>
      <c r="AG76" s="84"/>
      <c r="AH76" s="84"/>
      <c r="AI76" s="84"/>
      <c r="AJ76" s="84"/>
      <c r="AK76" s="84"/>
      <c r="AL76" s="84"/>
      <c r="AM76" s="84"/>
      <c r="AN76" s="84"/>
      <c r="AO76" s="76"/>
      <c r="AP76" s="76"/>
      <c r="AQ76" s="76"/>
      <c r="AR76" s="76"/>
      <c r="AS76" s="76"/>
      <c r="AT76" s="76"/>
      <c r="AU76" s="76"/>
      <c r="AV76" s="76"/>
      <c r="AW76" s="76"/>
      <c r="AX76" s="76"/>
    </row>
    <row r="77" ht="15.75" customHeight="1">
      <c r="A77" s="81" t="s">
        <v>338</v>
      </c>
      <c r="B77" s="131" t="s">
        <v>495</v>
      </c>
      <c r="C77" s="31" t="s">
        <v>964</v>
      </c>
      <c r="D77" s="31" t="s">
        <v>965</v>
      </c>
      <c r="E77" s="31" t="s">
        <v>967</v>
      </c>
      <c r="F77" s="31"/>
      <c r="G77" s="31"/>
      <c r="H77" s="31"/>
      <c r="I77" s="84"/>
      <c r="J77" s="159"/>
      <c r="K77" s="84"/>
      <c r="L77" s="84"/>
      <c r="M77" s="84"/>
      <c r="N77" s="84"/>
      <c r="O77" s="149" t="s">
        <v>972</v>
      </c>
      <c r="P77" s="84"/>
      <c r="Q77" s="84" t="s">
        <v>166</v>
      </c>
      <c r="R77" s="84"/>
      <c r="S77" s="84"/>
      <c r="T77" s="84"/>
      <c r="U77" s="84"/>
      <c r="V77" s="84"/>
      <c r="W77" s="84"/>
      <c r="X77" s="84"/>
      <c r="Y77" s="84"/>
      <c r="Z77" s="84"/>
      <c r="AA77" s="84"/>
      <c r="AB77" s="84"/>
      <c r="AC77" s="84"/>
      <c r="AD77" s="84"/>
      <c r="AE77" s="84"/>
      <c r="AF77" s="84"/>
      <c r="AG77" s="84"/>
      <c r="AH77" s="84"/>
      <c r="AI77" s="84"/>
      <c r="AJ77" s="84"/>
      <c r="AK77" s="84"/>
      <c r="AL77" s="84"/>
      <c r="AM77" s="84"/>
      <c r="AN77" s="84"/>
      <c r="AO77" s="76"/>
      <c r="AP77" s="76"/>
      <c r="AQ77" s="76"/>
      <c r="AR77" s="76"/>
      <c r="AS77" s="76"/>
      <c r="AT77" s="76"/>
      <c r="AU77" s="76"/>
      <c r="AV77" s="76"/>
      <c r="AW77" s="76"/>
      <c r="AX77" s="76"/>
    </row>
    <row r="78" ht="15.75" customHeight="1">
      <c r="A78" s="81" t="s">
        <v>500</v>
      </c>
      <c r="B78" s="131" t="s">
        <v>502</v>
      </c>
      <c r="C78" s="31" t="s">
        <v>978</v>
      </c>
      <c r="D78" s="31" t="s">
        <v>979</v>
      </c>
      <c r="E78" s="31" t="s">
        <v>980</v>
      </c>
      <c r="F78" s="31"/>
      <c r="G78" s="31"/>
      <c r="H78" s="31"/>
      <c r="I78" s="84"/>
      <c r="J78" s="159"/>
      <c r="K78" s="84"/>
      <c r="L78" s="84"/>
      <c r="M78" s="84"/>
      <c r="N78" s="84"/>
      <c r="O78" s="149" t="s">
        <v>986</v>
      </c>
      <c r="P78" s="84"/>
      <c r="Q78" s="84" t="s">
        <v>166</v>
      </c>
      <c r="R78" s="84"/>
      <c r="S78" s="84"/>
      <c r="T78" s="84"/>
      <c r="U78" s="84"/>
      <c r="V78" s="84"/>
      <c r="W78" s="84"/>
      <c r="X78" s="84"/>
      <c r="Y78" s="84"/>
      <c r="Z78" s="84"/>
      <c r="AA78" s="84"/>
      <c r="AB78" s="84"/>
      <c r="AC78" s="84"/>
      <c r="AD78" s="84"/>
      <c r="AE78" s="84"/>
      <c r="AF78" s="84"/>
      <c r="AG78" s="84"/>
      <c r="AH78" s="84"/>
      <c r="AI78" s="84"/>
      <c r="AJ78" s="84"/>
      <c r="AK78" s="84"/>
      <c r="AL78" s="84"/>
      <c r="AM78" s="84"/>
      <c r="AN78" s="84"/>
      <c r="AO78" s="76"/>
      <c r="AP78" s="76"/>
      <c r="AQ78" s="76"/>
      <c r="AR78" s="76"/>
      <c r="AS78" s="76"/>
      <c r="AT78" s="76"/>
      <c r="AU78" s="76"/>
      <c r="AV78" s="76"/>
      <c r="AW78" s="76"/>
      <c r="AX78" s="76"/>
    </row>
    <row r="79" ht="15.75" customHeight="1">
      <c r="A79" s="81" t="s">
        <v>511</v>
      </c>
      <c r="B79" s="131" t="s">
        <v>512</v>
      </c>
      <c r="C79" s="31" t="s">
        <v>996</v>
      </c>
      <c r="D79" s="31" t="s">
        <v>997</v>
      </c>
      <c r="E79" s="31" t="s">
        <v>998</v>
      </c>
      <c r="F79" s="31"/>
      <c r="G79" s="31"/>
      <c r="H79" s="31"/>
      <c r="I79" s="84"/>
      <c r="J79" s="159"/>
      <c r="K79" s="84"/>
      <c r="L79" s="84"/>
      <c r="M79" s="84"/>
      <c r="N79" s="84"/>
      <c r="O79" s="149" t="s">
        <v>1005</v>
      </c>
      <c r="P79" s="84"/>
      <c r="Q79" s="84" t="s">
        <v>166</v>
      </c>
      <c r="R79" s="84"/>
      <c r="S79" s="84"/>
      <c r="T79" s="84"/>
      <c r="U79" s="84"/>
      <c r="V79" s="84"/>
      <c r="W79" s="84"/>
      <c r="X79" s="84"/>
      <c r="Y79" s="84" t="s">
        <v>1006</v>
      </c>
      <c r="Z79" s="84"/>
      <c r="AA79" s="84"/>
      <c r="AB79" s="84"/>
      <c r="AC79" s="84"/>
      <c r="AD79" s="84"/>
      <c r="AE79" s="84"/>
      <c r="AF79" s="84"/>
      <c r="AG79" s="84"/>
      <c r="AH79" s="84"/>
      <c r="AI79" s="84"/>
      <c r="AJ79" s="84"/>
      <c r="AK79" s="84"/>
      <c r="AL79" s="84"/>
      <c r="AM79" s="84"/>
      <c r="AN79" s="84"/>
      <c r="AO79" s="76"/>
      <c r="AP79" s="76"/>
      <c r="AQ79" s="76"/>
      <c r="AR79" s="76"/>
      <c r="AS79" s="76"/>
      <c r="AT79" s="76"/>
      <c r="AU79" s="76"/>
      <c r="AV79" s="76"/>
      <c r="AW79" s="76"/>
      <c r="AX79" s="76"/>
    </row>
    <row r="80" ht="15.75" customHeight="1">
      <c r="A80" s="133" t="s">
        <v>214</v>
      </c>
      <c r="B80" s="134" t="s">
        <v>520</v>
      </c>
      <c r="C80" s="31" t="s">
        <v>1012</v>
      </c>
      <c r="D80" s="31" t="s">
        <v>1013</v>
      </c>
      <c r="E80" s="31" t="s">
        <v>1014</v>
      </c>
      <c r="F80" s="31"/>
      <c r="G80" s="31"/>
      <c r="H80" s="31"/>
      <c r="I80" s="162"/>
      <c r="J80" s="163"/>
      <c r="K80" s="162"/>
      <c r="L80" s="162"/>
      <c r="M80" s="162"/>
      <c r="N80" s="162"/>
      <c r="O80" s="164" t="s">
        <v>1022</v>
      </c>
      <c r="P80" s="162"/>
      <c r="Q80" s="162" t="s">
        <v>166</v>
      </c>
      <c r="R80" s="162"/>
      <c r="S80" s="162"/>
      <c r="T80" s="162"/>
      <c r="U80" s="162"/>
      <c r="V80" s="162"/>
      <c r="W80" s="162"/>
      <c r="X80" s="162"/>
      <c r="Y80" s="162"/>
      <c r="Z80" s="162"/>
      <c r="AA80" s="162"/>
      <c r="AB80" s="162"/>
      <c r="AC80" s="162"/>
      <c r="AD80" s="162"/>
      <c r="AE80" s="162"/>
      <c r="AF80" s="162"/>
      <c r="AG80" s="162"/>
      <c r="AH80" s="162"/>
      <c r="AI80" s="162"/>
      <c r="AJ80" s="162"/>
      <c r="AK80" s="162"/>
      <c r="AL80" s="162"/>
      <c r="AM80" s="162"/>
      <c r="AN80" s="162"/>
      <c r="AO80" s="76"/>
      <c r="AP80" s="76"/>
      <c r="AQ80" s="76"/>
      <c r="AR80" s="76"/>
      <c r="AS80" s="76"/>
      <c r="AT80" s="76"/>
      <c r="AU80" s="76"/>
      <c r="AV80" s="76"/>
      <c r="AW80" s="76"/>
      <c r="AX80" s="76"/>
    </row>
    <row r="81" ht="15.75" customHeight="1">
      <c r="A81" s="81" t="s">
        <v>529</v>
      </c>
      <c r="B81" s="131" t="s">
        <v>530</v>
      </c>
      <c r="C81" s="31" t="s">
        <v>1030</v>
      </c>
      <c r="D81" s="31" t="s">
        <v>1032</v>
      </c>
      <c r="E81" s="31" t="s">
        <v>1034</v>
      </c>
      <c r="F81" s="31"/>
      <c r="G81" s="31"/>
      <c r="H81" s="31"/>
      <c r="I81" s="84"/>
      <c r="J81" s="86" t="s">
        <v>1037</v>
      </c>
      <c r="K81" s="84"/>
      <c r="L81" s="84"/>
      <c r="M81" s="84"/>
      <c r="N81" s="84"/>
      <c r="O81" s="149" t="s">
        <v>1040</v>
      </c>
      <c r="P81" s="84"/>
      <c r="Q81" s="84" t="s">
        <v>166</v>
      </c>
      <c r="R81" s="84"/>
      <c r="S81" s="84"/>
      <c r="T81" s="84"/>
      <c r="U81" s="84"/>
      <c r="V81" s="84"/>
      <c r="W81" s="84"/>
      <c r="X81" s="84"/>
      <c r="Y81" s="84"/>
      <c r="Z81" s="84"/>
      <c r="AA81" s="84"/>
      <c r="AB81" s="84"/>
      <c r="AC81" s="84"/>
      <c r="AD81" s="84"/>
      <c r="AE81" s="84"/>
      <c r="AF81" s="84"/>
      <c r="AG81" s="84"/>
      <c r="AH81" s="84"/>
      <c r="AI81" s="84"/>
      <c r="AJ81" s="84"/>
      <c r="AK81" s="84"/>
      <c r="AL81" s="84"/>
      <c r="AM81" s="84"/>
      <c r="AN81" s="84"/>
      <c r="AO81" s="76"/>
      <c r="AP81" s="76"/>
      <c r="AQ81" s="76"/>
      <c r="AR81" s="76"/>
      <c r="AS81" s="76"/>
      <c r="AT81" s="76"/>
      <c r="AU81" s="76"/>
      <c r="AV81" s="76"/>
      <c r="AW81" s="76"/>
      <c r="AX81" s="76"/>
    </row>
    <row r="82" ht="15.75" customHeight="1">
      <c r="A82" s="133" t="s">
        <v>214</v>
      </c>
      <c r="B82" s="134" t="s">
        <v>534</v>
      </c>
      <c r="C82" s="31" t="s">
        <v>1046</v>
      </c>
      <c r="D82" s="31" t="s">
        <v>1047</v>
      </c>
      <c r="E82" s="31" t="s">
        <v>1048</v>
      </c>
      <c r="F82" s="31"/>
      <c r="G82" s="31"/>
      <c r="H82" s="31"/>
      <c r="I82" s="162"/>
      <c r="J82" s="163"/>
      <c r="K82" s="162"/>
      <c r="L82" s="162"/>
      <c r="M82" s="162"/>
      <c r="N82" s="162"/>
      <c r="O82" s="164" t="s">
        <v>1049</v>
      </c>
      <c r="P82" s="162"/>
      <c r="Q82" s="162" t="s">
        <v>166</v>
      </c>
      <c r="R82" s="162"/>
      <c r="S82" s="162"/>
      <c r="T82" s="162"/>
      <c r="U82" s="162"/>
      <c r="V82" s="162"/>
      <c r="W82" s="162"/>
      <c r="X82" s="162"/>
      <c r="Y82" s="162"/>
      <c r="Z82" s="162"/>
      <c r="AA82" s="162"/>
      <c r="AB82" s="162"/>
      <c r="AC82" s="162"/>
      <c r="AD82" s="162"/>
      <c r="AE82" s="162"/>
      <c r="AF82" s="162"/>
      <c r="AG82" s="162"/>
      <c r="AH82" s="162"/>
      <c r="AI82" s="162"/>
      <c r="AJ82" s="162"/>
      <c r="AK82" s="162"/>
      <c r="AL82" s="162"/>
      <c r="AM82" s="162"/>
      <c r="AN82" s="162"/>
      <c r="AO82" s="76"/>
      <c r="AP82" s="76"/>
      <c r="AQ82" s="76"/>
      <c r="AR82" s="76"/>
      <c r="AS82" s="76"/>
      <c r="AT82" s="76"/>
      <c r="AU82" s="76"/>
      <c r="AV82" s="76"/>
      <c r="AW82" s="76"/>
      <c r="AX82" s="76"/>
    </row>
    <row r="83" ht="15.75" customHeight="1">
      <c r="A83" s="81" t="s">
        <v>485</v>
      </c>
      <c r="B83" s="131" t="s">
        <v>542</v>
      </c>
      <c r="C83" s="31" t="s">
        <v>1052</v>
      </c>
      <c r="D83" s="31" t="s">
        <v>1054</v>
      </c>
      <c r="E83" s="31" t="s">
        <v>1056</v>
      </c>
      <c r="F83" s="31" t="s">
        <v>1058</v>
      </c>
      <c r="G83" s="31" t="s">
        <v>1059</v>
      </c>
      <c r="H83" s="31" t="s">
        <v>1060</v>
      </c>
      <c r="I83" s="84"/>
      <c r="J83" s="159"/>
      <c r="K83" s="84"/>
      <c r="L83" s="84"/>
      <c r="M83" s="84"/>
      <c r="N83" s="84"/>
      <c r="O83" s="149" t="s">
        <v>972</v>
      </c>
      <c r="P83" s="84"/>
      <c r="Q83" s="84" t="s">
        <v>166</v>
      </c>
      <c r="R83" s="84"/>
      <c r="S83" s="84"/>
      <c r="T83" s="84"/>
      <c r="U83" s="84"/>
      <c r="V83" s="84"/>
      <c r="W83" s="84"/>
      <c r="X83" s="84"/>
      <c r="Y83" s="84"/>
      <c r="Z83" s="84"/>
      <c r="AA83" s="84"/>
      <c r="AB83" s="84"/>
      <c r="AC83" s="84"/>
      <c r="AD83" s="84"/>
      <c r="AE83" s="84"/>
      <c r="AF83" s="84"/>
      <c r="AG83" s="84"/>
      <c r="AH83" s="84"/>
      <c r="AI83" s="84"/>
      <c r="AJ83" s="84"/>
      <c r="AK83" s="84"/>
      <c r="AL83" s="84"/>
      <c r="AM83" s="84"/>
      <c r="AN83" s="84"/>
      <c r="AO83" s="76"/>
      <c r="AP83" s="76"/>
      <c r="AQ83" s="76"/>
      <c r="AR83" s="76"/>
      <c r="AS83" s="76"/>
      <c r="AT83" s="76"/>
      <c r="AU83" s="76"/>
      <c r="AV83" s="76"/>
      <c r="AW83" s="76"/>
      <c r="AX83" s="76"/>
    </row>
    <row r="84" ht="15.75" customHeight="1">
      <c r="A84" s="131" t="s">
        <v>338</v>
      </c>
      <c r="B84" s="131" t="s">
        <v>547</v>
      </c>
      <c r="C84" s="31" t="s">
        <v>1066</v>
      </c>
      <c r="D84" s="31" t="s">
        <v>1067</v>
      </c>
      <c r="E84" s="31" t="s">
        <v>1069</v>
      </c>
      <c r="F84" s="31"/>
      <c r="G84" s="31"/>
      <c r="H84" s="31"/>
      <c r="I84" s="84"/>
      <c r="J84" s="159"/>
      <c r="K84" s="84"/>
      <c r="L84" s="84"/>
      <c r="M84" s="165"/>
      <c r="N84" s="165"/>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76"/>
      <c r="AP84" s="76"/>
      <c r="AQ84" s="76"/>
      <c r="AR84" s="76"/>
      <c r="AS84" s="76"/>
      <c r="AT84" s="76"/>
      <c r="AU84" s="76"/>
      <c r="AV84" s="76"/>
      <c r="AW84" s="76"/>
      <c r="AX84" s="76"/>
    </row>
    <row r="85">
      <c r="A85" s="135"/>
      <c r="B85" s="135"/>
      <c r="C85" s="31"/>
      <c r="D85" s="31"/>
      <c r="E85" s="31"/>
      <c r="F85" s="135"/>
      <c r="G85" s="135"/>
      <c r="H85" s="135"/>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c r="AV85" s="135"/>
      <c r="AW85" s="135"/>
      <c r="AX85" s="135"/>
    </row>
    <row r="86" ht="15.75" customHeight="1">
      <c r="A86" s="81" t="s">
        <v>485</v>
      </c>
      <c r="B86" s="131" t="s">
        <v>556</v>
      </c>
      <c r="C86" s="31" t="s">
        <v>557</v>
      </c>
      <c r="D86" s="31" t="s">
        <v>558</v>
      </c>
      <c r="E86" s="31" t="s">
        <v>559</v>
      </c>
      <c r="F86" s="31"/>
      <c r="G86" s="31"/>
      <c r="H86" s="31"/>
      <c r="I86" s="84"/>
      <c r="J86" s="159"/>
      <c r="K86" s="84"/>
      <c r="L86" s="84"/>
      <c r="M86" s="165"/>
      <c r="N86" s="165"/>
      <c r="O86" s="84"/>
      <c r="P86" s="84"/>
      <c r="Q86" s="84" t="s">
        <v>166</v>
      </c>
      <c r="R86" s="84"/>
      <c r="S86" s="84"/>
      <c r="T86" s="84"/>
      <c r="U86" s="84"/>
      <c r="V86" s="84"/>
      <c r="W86" s="84"/>
      <c r="X86" s="84"/>
      <c r="Y86" s="84"/>
      <c r="Z86" s="84"/>
      <c r="AA86" s="84"/>
      <c r="AB86" s="84"/>
      <c r="AC86" s="84"/>
      <c r="AD86" s="84"/>
      <c r="AE86" s="84"/>
      <c r="AF86" s="84"/>
      <c r="AG86" s="84"/>
      <c r="AH86" s="84"/>
      <c r="AI86" s="84"/>
      <c r="AJ86" s="84"/>
      <c r="AK86" s="84"/>
      <c r="AL86" s="84"/>
      <c r="AM86" s="84"/>
      <c r="AN86" s="84"/>
      <c r="AO86" s="76"/>
      <c r="AP86" s="76"/>
      <c r="AQ86" s="76"/>
      <c r="AR86" s="76"/>
      <c r="AS86" s="76"/>
      <c r="AT86" s="76"/>
      <c r="AU86" s="76"/>
      <c r="AV86" s="76"/>
      <c r="AW86" s="76"/>
      <c r="AX86" s="76"/>
    </row>
    <row r="87" ht="15.75" customHeight="1">
      <c r="A87" s="81" t="s">
        <v>338</v>
      </c>
      <c r="B87" s="131" t="s">
        <v>565</v>
      </c>
      <c r="C87" s="31" t="s">
        <v>566</v>
      </c>
      <c r="D87" s="31" t="s">
        <v>567</v>
      </c>
      <c r="E87" s="31" t="s">
        <v>568</v>
      </c>
      <c r="F87" s="31"/>
      <c r="G87" s="31"/>
      <c r="H87" s="31"/>
      <c r="I87" s="84"/>
      <c r="J87" s="159"/>
      <c r="K87" s="84"/>
      <c r="L87" s="84"/>
      <c r="M87" s="165"/>
      <c r="N87" s="165"/>
      <c r="O87" s="149" t="s">
        <v>1100</v>
      </c>
      <c r="P87" s="84"/>
      <c r="Q87" s="84" t="s">
        <v>166</v>
      </c>
      <c r="R87" s="84"/>
      <c r="S87" s="84"/>
      <c r="T87" s="84"/>
      <c r="U87" s="84"/>
      <c r="V87" s="84"/>
      <c r="W87" s="84"/>
      <c r="X87" s="84"/>
      <c r="Y87" s="84"/>
      <c r="Z87" s="84"/>
      <c r="AA87" s="84"/>
      <c r="AB87" s="84"/>
      <c r="AC87" s="84"/>
      <c r="AD87" s="84"/>
      <c r="AE87" s="84"/>
      <c r="AF87" s="84"/>
      <c r="AG87" s="84"/>
      <c r="AH87" s="84"/>
      <c r="AI87" s="84"/>
      <c r="AJ87" s="84"/>
      <c r="AK87" s="84"/>
      <c r="AL87" s="84"/>
      <c r="AM87" s="84"/>
      <c r="AN87" s="84"/>
      <c r="AO87" s="76"/>
      <c r="AP87" s="76"/>
      <c r="AQ87" s="76"/>
      <c r="AR87" s="76"/>
      <c r="AS87" s="76"/>
      <c r="AT87" s="76"/>
      <c r="AU87" s="76"/>
      <c r="AV87" s="76"/>
      <c r="AW87" s="76"/>
      <c r="AX87" s="76"/>
    </row>
    <row r="88" ht="15.75" customHeight="1">
      <c r="A88" s="81" t="s">
        <v>500</v>
      </c>
      <c r="B88" s="131" t="s">
        <v>569</v>
      </c>
      <c r="C88" s="31" t="s">
        <v>570</v>
      </c>
      <c r="D88" s="31" t="s">
        <v>571</v>
      </c>
      <c r="E88" s="31" t="s">
        <v>572</v>
      </c>
      <c r="F88" s="31"/>
      <c r="G88" s="31"/>
      <c r="H88" s="31"/>
      <c r="I88" s="84"/>
      <c r="J88" s="159"/>
      <c r="K88" s="84"/>
      <c r="L88" s="84"/>
      <c r="M88" s="84"/>
      <c r="N88" s="84"/>
      <c r="O88" s="149" t="s">
        <v>1113</v>
      </c>
      <c r="P88" s="84"/>
      <c r="Q88" s="84" t="s">
        <v>166</v>
      </c>
      <c r="R88" s="84"/>
      <c r="S88" s="84"/>
      <c r="T88" s="84"/>
      <c r="U88" s="84"/>
      <c r="V88" s="84"/>
      <c r="W88" s="84"/>
      <c r="X88" s="84"/>
      <c r="Y88" s="84"/>
      <c r="Z88" s="84"/>
      <c r="AA88" s="84"/>
      <c r="AB88" s="84"/>
      <c r="AC88" s="84"/>
      <c r="AD88" s="84"/>
      <c r="AE88" s="84"/>
      <c r="AF88" s="84"/>
      <c r="AG88" s="84"/>
      <c r="AH88" s="84"/>
      <c r="AI88" s="84"/>
      <c r="AJ88" s="84"/>
      <c r="AK88" s="84"/>
      <c r="AL88" s="84"/>
      <c r="AM88" s="84"/>
      <c r="AN88" s="84"/>
      <c r="AO88" s="76"/>
      <c r="AP88" s="76"/>
      <c r="AQ88" s="76"/>
      <c r="AR88" s="76"/>
      <c r="AS88" s="76"/>
      <c r="AT88" s="76"/>
      <c r="AU88" s="76"/>
      <c r="AV88" s="76"/>
      <c r="AW88" s="76"/>
      <c r="AX88" s="76"/>
    </row>
    <row r="89" ht="15.75" customHeight="1">
      <c r="A89" s="81" t="s">
        <v>511</v>
      </c>
      <c r="B89" s="131" t="s">
        <v>575</v>
      </c>
      <c r="C89" s="31" t="s">
        <v>576</v>
      </c>
      <c r="D89" s="31" t="s">
        <v>577</v>
      </c>
      <c r="E89" s="31" t="s">
        <v>578</v>
      </c>
      <c r="F89" s="31"/>
      <c r="G89" s="31"/>
      <c r="H89" s="31"/>
      <c r="I89" s="84"/>
      <c r="J89" s="159"/>
      <c r="K89" s="84"/>
      <c r="L89" s="84"/>
      <c r="M89" s="84"/>
      <c r="N89" s="84"/>
      <c r="O89" s="149" t="s">
        <v>1125</v>
      </c>
      <c r="P89" s="84"/>
      <c r="Q89" s="84" t="s">
        <v>166</v>
      </c>
      <c r="R89" s="84"/>
      <c r="S89" s="84"/>
      <c r="T89" s="84"/>
      <c r="U89" s="84"/>
      <c r="V89" s="84"/>
      <c r="W89" s="84"/>
      <c r="X89" s="84"/>
      <c r="Y89" s="84" t="s">
        <v>1006</v>
      </c>
      <c r="Z89" s="84"/>
      <c r="AA89" s="84"/>
      <c r="AB89" s="84"/>
      <c r="AC89" s="84"/>
      <c r="AD89" s="84"/>
      <c r="AE89" s="84"/>
      <c r="AF89" s="84"/>
      <c r="AG89" s="84"/>
      <c r="AH89" s="84"/>
      <c r="AI89" s="84"/>
      <c r="AJ89" s="84"/>
      <c r="AK89" s="84"/>
      <c r="AL89" s="84"/>
      <c r="AM89" s="84"/>
      <c r="AN89" s="84"/>
      <c r="AO89" s="76"/>
      <c r="AP89" s="76"/>
      <c r="AQ89" s="76"/>
      <c r="AR89" s="76"/>
      <c r="AS89" s="76"/>
      <c r="AT89" s="76"/>
      <c r="AU89" s="76"/>
      <c r="AV89" s="76"/>
      <c r="AW89" s="76"/>
      <c r="AX89" s="76"/>
    </row>
    <row r="90" ht="15.75" customHeight="1">
      <c r="A90" s="133" t="s">
        <v>214</v>
      </c>
      <c r="B90" s="134" t="s">
        <v>579</v>
      </c>
      <c r="C90" s="31" t="s">
        <v>580</v>
      </c>
      <c r="D90" s="31" t="s">
        <v>581</v>
      </c>
      <c r="E90" s="31" t="s">
        <v>582</v>
      </c>
      <c r="F90" s="31"/>
      <c r="G90" s="31"/>
      <c r="H90" s="31"/>
      <c r="I90" s="162"/>
      <c r="J90" s="163"/>
      <c r="K90" s="162"/>
      <c r="L90" s="162"/>
      <c r="M90" s="162"/>
      <c r="N90" s="162"/>
      <c r="O90" s="164" t="s">
        <v>1131</v>
      </c>
      <c r="P90" s="162"/>
      <c r="Q90" s="128" t="s">
        <v>166</v>
      </c>
      <c r="R90" s="162"/>
      <c r="S90" s="162"/>
      <c r="T90" s="162"/>
      <c r="U90" s="162"/>
      <c r="V90" s="162"/>
      <c r="W90" s="162"/>
      <c r="X90" s="162"/>
      <c r="Y90" s="162"/>
      <c r="Z90" s="162"/>
      <c r="AA90" s="162"/>
      <c r="AB90" s="162"/>
      <c r="AC90" s="162"/>
      <c r="AD90" s="162"/>
      <c r="AE90" s="162"/>
      <c r="AF90" s="162"/>
      <c r="AG90" s="162"/>
      <c r="AH90" s="162"/>
      <c r="AI90" s="162"/>
      <c r="AJ90" s="162"/>
      <c r="AK90" s="162"/>
      <c r="AL90" s="162"/>
      <c r="AM90" s="162"/>
      <c r="AN90" s="162"/>
      <c r="AO90" s="76"/>
      <c r="AP90" s="76"/>
      <c r="AQ90" s="76"/>
      <c r="AR90" s="76"/>
      <c r="AS90" s="76"/>
      <c r="AT90" s="76"/>
      <c r="AU90" s="76"/>
      <c r="AV90" s="76"/>
      <c r="AW90" s="76"/>
      <c r="AX90" s="76"/>
    </row>
    <row r="91" ht="15.75" customHeight="1">
      <c r="A91" s="81" t="s">
        <v>529</v>
      </c>
      <c r="B91" s="131" t="s">
        <v>586</v>
      </c>
      <c r="C91" s="31" t="s">
        <v>590</v>
      </c>
      <c r="D91" s="31" t="s">
        <v>591</v>
      </c>
      <c r="E91" s="31" t="s">
        <v>592</v>
      </c>
      <c r="F91" s="31"/>
      <c r="G91" s="31"/>
      <c r="H91" s="31"/>
      <c r="I91" s="84"/>
      <c r="J91" s="86" t="s">
        <v>1141</v>
      </c>
      <c r="K91" s="84"/>
      <c r="L91" s="84"/>
      <c r="M91" s="84"/>
      <c r="N91" s="84"/>
      <c r="O91" s="149" t="s">
        <v>1143</v>
      </c>
      <c r="P91" s="84"/>
      <c r="Q91" s="84" t="s">
        <v>166</v>
      </c>
      <c r="R91" s="84"/>
      <c r="S91" s="84"/>
      <c r="T91" s="84"/>
      <c r="U91" s="84"/>
      <c r="V91" s="84"/>
      <c r="W91" s="84"/>
      <c r="X91" s="84"/>
      <c r="Y91" s="84"/>
      <c r="Z91" s="84"/>
      <c r="AA91" s="84"/>
      <c r="AB91" s="84"/>
      <c r="AC91" s="84"/>
      <c r="AD91" s="84"/>
      <c r="AE91" s="84"/>
      <c r="AF91" s="84"/>
      <c r="AG91" s="84"/>
      <c r="AH91" s="84"/>
      <c r="AI91" s="84"/>
      <c r="AJ91" s="84"/>
      <c r="AK91" s="84"/>
      <c r="AL91" s="84"/>
      <c r="AM91" s="84"/>
      <c r="AN91" s="84"/>
      <c r="AO91" s="76"/>
      <c r="AP91" s="76"/>
      <c r="AQ91" s="76"/>
      <c r="AR91" s="76"/>
      <c r="AS91" s="76"/>
      <c r="AT91" s="76"/>
      <c r="AU91" s="76"/>
      <c r="AV91" s="76"/>
      <c r="AW91" s="76"/>
      <c r="AX91" s="76"/>
    </row>
    <row r="92" ht="15.75" customHeight="1">
      <c r="A92" s="133" t="s">
        <v>214</v>
      </c>
      <c r="B92" s="134" t="s">
        <v>595</v>
      </c>
      <c r="C92" s="31" t="s">
        <v>597</v>
      </c>
      <c r="D92" s="31" t="s">
        <v>598</v>
      </c>
      <c r="E92" s="31" t="s">
        <v>599</v>
      </c>
      <c r="F92" s="31"/>
      <c r="G92" s="31"/>
      <c r="H92" s="31"/>
      <c r="I92" s="162"/>
      <c r="J92" s="163"/>
      <c r="K92" s="162"/>
      <c r="L92" s="162"/>
      <c r="M92" s="162"/>
      <c r="N92" s="162"/>
      <c r="O92" s="164" t="s">
        <v>1153</v>
      </c>
      <c r="P92" s="162"/>
      <c r="Q92" s="164" t="s">
        <v>166</v>
      </c>
      <c r="R92" s="162"/>
      <c r="S92" s="162"/>
      <c r="T92" s="162"/>
      <c r="U92" s="162"/>
      <c r="V92" s="162"/>
      <c r="W92" s="162"/>
      <c r="X92" s="162"/>
      <c r="Y92" s="162"/>
      <c r="Z92" s="162"/>
      <c r="AA92" s="162"/>
      <c r="AB92" s="162"/>
      <c r="AC92" s="162"/>
      <c r="AD92" s="108"/>
      <c r="AE92" s="108"/>
      <c r="AF92" s="108"/>
      <c r="AG92" s="108"/>
      <c r="AH92" s="108"/>
      <c r="AI92" s="108"/>
      <c r="AJ92" s="108"/>
      <c r="AK92" s="108"/>
      <c r="AL92" s="108"/>
      <c r="AM92" s="108"/>
      <c r="AN92" s="108"/>
      <c r="AO92" s="76"/>
      <c r="AP92" s="76"/>
      <c r="AQ92" s="76"/>
      <c r="AR92" s="76"/>
      <c r="AS92" s="76"/>
      <c r="AT92" s="76"/>
      <c r="AU92" s="76"/>
      <c r="AV92" s="76"/>
      <c r="AW92" s="76"/>
      <c r="AX92" s="76"/>
    </row>
    <row r="93" ht="15.75" customHeight="1">
      <c r="A93" s="81" t="s">
        <v>485</v>
      </c>
      <c r="B93" s="131" t="s">
        <v>601</v>
      </c>
      <c r="C93" s="31" t="s">
        <v>602</v>
      </c>
      <c r="D93" s="31" t="s">
        <v>604</v>
      </c>
      <c r="E93" s="31" t="s">
        <v>606</v>
      </c>
      <c r="F93" s="31" t="s">
        <v>1165</v>
      </c>
      <c r="G93" s="31" t="s">
        <v>1167</v>
      </c>
      <c r="H93" s="31" t="s">
        <v>1168</v>
      </c>
      <c r="I93" s="84"/>
      <c r="J93" s="159"/>
      <c r="K93" s="84"/>
      <c r="L93" s="84"/>
      <c r="M93" s="84"/>
      <c r="N93" s="84"/>
      <c r="O93" s="149" t="s">
        <v>1100</v>
      </c>
      <c r="P93" s="84"/>
      <c r="Q93" s="84" t="s">
        <v>166</v>
      </c>
      <c r="R93" s="84"/>
      <c r="S93" s="84"/>
      <c r="T93" s="84"/>
      <c r="U93" s="84"/>
      <c r="V93" s="84"/>
      <c r="W93" s="84"/>
      <c r="X93" s="84"/>
      <c r="Y93" s="84"/>
      <c r="Z93" s="84"/>
      <c r="AA93" s="84"/>
      <c r="AB93" s="84"/>
      <c r="AC93" s="84"/>
      <c r="AD93" s="84"/>
      <c r="AE93" s="84"/>
      <c r="AF93" s="84"/>
      <c r="AG93" s="84"/>
      <c r="AH93" s="84"/>
      <c r="AI93" s="84"/>
      <c r="AJ93" s="84"/>
      <c r="AK93" s="84"/>
      <c r="AL93" s="84"/>
      <c r="AM93" s="84"/>
      <c r="AN93" s="84"/>
      <c r="AO93" s="76"/>
      <c r="AP93" s="76"/>
      <c r="AQ93" s="76"/>
      <c r="AR93" s="76"/>
      <c r="AS93" s="76"/>
      <c r="AT93" s="76"/>
      <c r="AU93" s="76"/>
      <c r="AV93" s="76"/>
      <c r="AW93" s="76"/>
      <c r="AX93" s="76"/>
    </row>
    <row r="94" ht="15.75" customHeight="1">
      <c r="A94" s="67" t="s">
        <v>139</v>
      </c>
      <c r="B94" s="69" t="s">
        <v>609</v>
      </c>
      <c r="C94" s="31"/>
      <c r="D94" s="31"/>
      <c r="E94" s="31"/>
      <c r="F94" s="70"/>
      <c r="G94" s="70"/>
      <c r="H94" s="70"/>
      <c r="I94" s="70"/>
      <c r="J94" s="71"/>
      <c r="K94" s="70"/>
      <c r="L94" s="70"/>
      <c r="M94" s="71"/>
      <c r="N94" s="71"/>
      <c r="O94" s="72"/>
      <c r="P94" s="70"/>
      <c r="Q94" s="70"/>
      <c r="R94" s="70"/>
      <c r="S94" s="70"/>
      <c r="T94" s="73" t="s">
        <v>145</v>
      </c>
      <c r="U94" s="70"/>
      <c r="V94" s="70"/>
      <c r="W94" s="70"/>
      <c r="X94" s="70"/>
      <c r="Y94" s="70"/>
      <c r="Z94" s="70"/>
      <c r="AA94" s="70"/>
      <c r="AB94" s="70"/>
      <c r="AC94" s="70"/>
      <c r="AD94" s="76"/>
      <c r="AE94" s="76"/>
      <c r="AF94" s="76"/>
      <c r="AG94" s="76"/>
      <c r="AH94" s="76"/>
      <c r="AI94" s="76"/>
      <c r="AJ94" s="76"/>
      <c r="AK94" s="76"/>
      <c r="AL94" s="76"/>
      <c r="AM94" s="76"/>
      <c r="AN94" s="76"/>
      <c r="AO94" s="76"/>
      <c r="AP94" s="76"/>
      <c r="AQ94" s="76"/>
      <c r="AR94" s="76"/>
      <c r="AS94" s="76"/>
      <c r="AT94" s="76"/>
      <c r="AU94" s="76"/>
      <c r="AV94" s="76"/>
      <c r="AW94" s="76"/>
      <c r="AX94" s="76"/>
    </row>
    <row r="95" ht="15.75" customHeight="1">
      <c r="A95" s="67" t="s">
        <v>108</v>
      </c>
      <c r="B95" s="69" t="s">
        <v>617</v>
      </c>
      <c r="C95" s="31"/>
      <c r="D95" s="31"/>
      <c r="E95" s="31"/>
      <c r="F95" s="70"/>
      <c r="G95" s="70"/>
      <c r="H95" s="70"/>
      <c r="I95" s="71"/>
      <c r="J95" s="71"/>
      <c r="K95" s="70"/>
      <c r="L95" s="71"/>
      <c r="M95" s="71"/>
      <c r="N95" s="71"/>
      <c r="O95" s="71"/>
      <c r="P95" s="70"/>
      <c r="Q95" s="70"/>
      <c r="R95" s="70"/>
      <c r="S95" s="70"/>
      <c r="T95" s="67" t="s">
        <v>1185</v>
      </c>
      <c r="U95" s="70"/>
      <c r="V95" s="70"/>
      <c r="W95" s="70"/>
      <c r="X95" s="70"/>
      <c r="Y95" s="70"/>
      <c r="Z95" s="70"/>
      <c r="AA95" s="70"/>
      <c r="AB95" s="70"/>
      <c r="AC95" s="70"/>
      <c r="AD95" s="76"/>
      <c r="AE95" s="76"/>
      <c r="AF95" s="76"/>
      <c r="AG95" s="76"/>
      <c r="AH95" s="76"/>
      <c r="AI95" s="76"/>
      <c r="AJ95" s="76"/>
      <c r="AK95" s="76"/>
      <c r="AL95" s="76"/>
      <c r="AM95" s="76"/>
      <c r="AN95" s="76"/>
      <c r="AO95" s="76"/>
      <c r="AP95" s="76"/>
      <c r="AQ95" s="76"/>
      <c r="AR95" s="76"/>
      <c r="AS95" s="76"/>
      <c r="AT95" s="76"/>
      <c r="AU95" s="76"/>
      <c r="AV95" s="76"/>
      <c r="AW95" s="76"/>
      <c r="AX95" s="76"/>
    </row>
    <row r="96" ht="15.75" customHeight="1">
      <c r="A96" s="67" t="s">
        <v>139</v>
      </c>
      <c r="B96" s="141" t="s">
        <v>624</v>
      </c>
      <c r="C96" s="31"/>
      <c r="D96" s="31"/>
      <c r="E96" s="31"/>
      <c r="F96" s="70"/>
      <c r="G96" s="70"/>
      <c r="H96" s="70"/>
      <c r="I96" s="70"/>
      <c r="J96" s="71"/>
      <c r="K96" s="70"/>
      <c r="L96" s="70"/>
      <c r="M96" s="71"/>
      <c r="N96" s="71"/>
      <c r="O96" s="72"/>
      <c r="P96" s="70"/>
      <c r="Q96" s="70"/>
      <c r="R96" s="70"/>
      <c r="S96" s="70"/>
      <c r="T96" s="73" t="s">
        <v>145</v>
      </c>
      <c r="U96" s="70"/>
      <c r="V96" s="70"/>
      <c r="W96" s="70"/>
      <c r="X96" s="70"/>
      <c r="Y96" s="70"/>
      <c r="Z96" s="70"/>
      <c r="AA96" s="70"/>
      <c r="AB96" s="70"/>
      <c r="AC96" s="70"/>
      <c r="AD96" s="76"/>
      <c r="AE96" s="76"/>
      <c r="AF96" s="76"/>
      <c r="AG96" s="76"/>
      <c r="AH96" s="76"/>
      <c r="AI96" s="76"/>
      <c r="AJ96" s="76"/>
      <c r="AK96" s="76"/>
      <c r="AL96" s="76"/>
      <c r="AM96" s="76"/>
      <c r="AN96" s="76"/>
      <c r="AO96" s="76"/>
      <c r="AP96" s="76"/>
      <c r="AQ96" s="76"/>
      <c r="AR96" s="76"/>
      <c r="AS96" s="76"/>
      <c r="AT96" s="76"/>
      <c r="AU96" s="76"/>
      <c r="AV96" s="76"/>
      <c r="AW96" s="76"/>
      <c r="AX96" s="76"/>
    </row>
    <row r="97" ht="15.75" customHeight="1">
      <c r="A97" s="81" t="s">
        <v>338</v>
      </c>
      <c r="B97" s="142" t="s">
        <v>1212</v>
      </c>
      <c r="C97" s="31" t="s">
        <v>1213</v>
      </c>
      <c r="D97" s="31" t="s">
        <v>1214</v>
      </c>
      <c r="E97" s="31" t="s">
        <v>1215</v>
      </c>
      <c r="F97" s="31"/>
      <c r="G97" s="31"/>
      <c r="H97" s="31"/>
      <c r="I97" s="159"/>
      <c r="J97" s="159"/>
      <c r="K97" s="84"/>
      <c r="L97" s="84"/>
      <c r="M97" s="84"/>
      <c r="N97" s="84"/>
      <c r="O97" s="84"/>
      <c r="P97" s="84"/>
      <c r="Q97" s="149" t="s">
        <v>166</v>
      </c>
      <c r="R97" s="84"/>
      <c r="S97" s="84"/>
      <c r="T97" s="84"/>
      <c r="U97" s="84"/>
      <c r="V97" s="84"/>
      <c r="W97" s="84"/>
      <c r="X97" s="84"/>
      <c r="Y97" s="84"/>
      <c r="Z97" s="84"/>
      <c r="AA97" s="84"/>
      <c r="AB97" s="84"/>
      <c r="AC97" s="84"/>
      <c r="AD97" s="76"/>
      <c r="AE97" s="76"/>
      <c r="AF97" s="76"/>
      <c r="AG97" s="76"/>
      <c r="AH97" s="76"/>
      <c r="AI97" s="76"/>
      <c r="AJ97" s="76"/>
      <c r="AK97" s="76"/>
      <c r="AL97" s="76"/>
      <c r="AM97" s="76"/>
      <c r="AN97" s="76"/>
      <c r="AO97" s="76"/>
      <c r="AP97" s="76"/>
      <c r="AQ97" s="76"/>
      <c r="AR97" s="76"/>
      <c r="AS97" s="76"/>
      <c r="AT97" s="76"/>
      <c r="AU97" s="76"/>
      <c r="AV97" s="76"/>
      <c r="AW97" s="76"/>
      <c r="AX97" s="76"/>
    </row>
    <row r="98" ht="15.75" customHeight="1">
      <c r="A98" s="81" t="s">
        <v>338</v>
      </c>
      <c r="B98" s="131" t="s">
        <v>1230</v>
      </c>
      <c r="C98" s="31" t="s">
        <v>1231</v>
      </c>
      <c r="D98" s="31" t="s">
        <v>1232</v>
      </c>
      <c r="E98" s="31" t="s">
        <v>1233</v>
      </c>
      <c r="F98" s="31"/>
      <c r="G98" s="31"/>
      <c r="H98" s="31"/>
      <c r="I98" s="84"/>
      <c r="J98" s="159"/>
      <c r="K98" s="84"/>
      <c r="L98" s="84"/>
      <c r="M98" s="165"/>
      <c r="N98" s="165"/>
      <c r="O98" s="149" t="s">
        <v>1234</v>
      </c>
      <c r="P98" s="84"/>
      <c r="Q98" s="149" t="s">
        <v>166</v>
      </c>
      <c r="R98" s="84"/>
      <c r="S98" s="84"/>
      <c r="T98" s="84"/>
      <c r="U98" s="84"/>
      <c r="V98" s="84"/>
      <c r="W98" s="84"/>
      <c r="X98" s="84"/>
      <c r="Y98" s="84"/>
      <c r="Z98" s="84"/>
      <c r="AA98" s="84"/>
      <c r="AB98" s="84"/>
      <c r="AC98" s="84"/>
      <c r="AD98" s="84"/>
      <c r="AE98" s="84"/>
      <c r="AF98" s="84"/>
      <c r="AG98" s="84"/>
      <c r="AH98" s="84"/>
      <c r="AI98" s="84"/>
      <c r="AJ98" s="84"/>
      <c r="AK98" s="84"/>
      <c r="AL98" s="84"/>
      <c r="AM98" s="84"/>
      <c r="AN98" s="84"/>
      <c r="AO98" s="76"/>
      <c r="AP98" s="76"/>
      <c r="AQ98" s="76"/>
      <c r="AR98" s="76"/>
      <c r="AS98" s="76"/>
      <c r="AT98" s="76"/>
      <c r="AU98" s="76"/>
      <c r="AV98" s="76"/>
      <c r="AW98" s="76"/>
      <c r="AX98" s="76"/>
    </row>
    <row r="99" ht="15.75" customHeight="1">
      <c r="A99" s="149" t="s">
        <v>237</v>
      </c>
      <c r="B99" s="131" t="s">
        <v>1250</v>
      </c>
      <c r="C99" s="31" t="s">
        <v>1251</v>
      </c>
      <c r="D99" s="31" t="s">
        <v>1252</v>
      </c>
      <c r="E99" s="31" t="s">
        <v>1253</v>
      </c>
      <c r="F99" s="31"/>
      <c r="G99" s="31"/>
      <c r="H99" s="31"/>
      <c r="I99" s="84"/>
      <c r="J99" s="159"/>
      <c r="K99" s="84"/>
      <c r="L99" s="84"/>
      <c r="M99" s="165"/>
      <c r="N99" s="165"/>
      <c r="O99" s="149" t="s">
        <v>1234</v>
      </c>
      <c r="P99" s="84"/>
      <c r="Q99" s="149" t="s">
        <v>166</v>
      </c>
      <c r="R99" s="84"/>
      <c r="S99" s="84"/>
      <c r="T99" s="84"/>
      <c r="U99" s="84"/>
      <c r="V99" s="84"/>
      <c r="W99" s="84"/>
      <c r="X99" s="84"/>
      <c r="Y99" s="84"/>
      <c r="Z99" s="84"/>
      <c r="AA99" s="84"/>
      <c r="AB99" s="84"/>
      <c r="AC99" s="84"/>
      <c r="AD99" s="84"/>
      <c r="AE99" s="84"/>
      <c r="AF99" s="84"/>
      <c r="AG99" s="84"/>
      <c r="AH99" s="84"/>
      <c r="AI99" s="84"/>
      <c r="AJ99" s="84"/>
      <c r="AK99" s="84"/>
      <c r="AL99" s="84"/>
      <c r="AM99" s="84"/>
      <c r="AN99" s="84"/>
      <c r="AO99" s="76"/>
      <c r="AP99" s="76"/>
      <c r="AQ99" s="76"/>
      <c r="AR99" s="76"/>
      <c r="AS99" s="76"/>
      <c r="AT99" s="76"/>
      <c r="AU99" s="76"/>
      <c r="AV99" s="76"/>
      <c r="AW99" s="76"/>
      <c r="AX99" s="76"/>
    </row>
    <row r="100" ht="15.75" customHeight="1">
      <c r="A100" s="126"/>
      <c r="B100" s="127"/>
      <c r="C100" s="31"/>
      <c r="D100" s="31"/>
      <c r="E100" s="31"/>
      <c r="F100" s="31"/>
      <c r="G100" s="31"/>
      <c r="H100" s="31"/>
      <c r="I100" s="154"/>
      <c r="J100" s="154"/>
      <c r="K100" s="154"/>
      <c r="L100" s="154"/>
      <c r="M100" s="154"/>
      <c r="N100" s="154"/>
      <c r="O100" s="154"/>
      <c r="P100" s="154"/>
      <c r="Q100" s="154"/>
      <c r="R100" s="154"/>
      <c r="S100" s="154"/>
      <c r="T100" s="154"/>
      <c r="U100" s="154"/>
      <c r="V100" s="154"/>
      <c r="W100" s="154"/>
      <c r="X100" s="154"/>
      <c r="Y100" s="154"/>
      <c r="Z100" s="154"/>
      <c r="AA100" s="154"/>
      <c r="AB100" s="154"/>
      <c r="AC100" s="154"/>
      <c r="AD100" s="76"/>
      <c r="AE100" s="76"/>
      <c r="AF100" s="76"/>
      <c r="AG100" s="76"/>
      <c r="AH100" s="76"/>
      <c r="AI100" s="76"/>
      <c r="AJ100" s="76"/>
      <c r="AK100" s="76"/>
      <c r="AL100" s="76"/>
      <c r="AM100" s="76"/>
      <c r="AN100" s="76"/>
      <c r="AO100" s="76"/>
      <c r="AP100" s="76"/>
      <c r="AQ100" s="76"/>
      <c r="AR100" s="76"/>
      <c r="AS100" s="76"/>
      <c r="AT100" s="76"/>
      <c r="AU100" s="76"/>
      <c r="AV100" s="76"/>
      <c r="AW100" s="76"/>
      <c r="AX100" s="76"/>
    </row>
    <row r="101" ht="15.75" customHeight="1">
      <c r="A101" s="126" t="s">
        <v>42</v>
      </c>
      <c r="B101" s="127" t="s">
        <v>630</v>
      </c>
      <c r="C101" s="31" t="s">
        <v>631</v>
      </c>
      <c r="D101" s="31" t="s">
        <v>632</v>
      </c>
      <c r="E101" s="31" t="s">
        <v>633</v>
      </c>
      <c r="F101" s="31"/>
      <c r="G101" s="31"/>
      <c r="H101" s="31"/>
      <c r="I101" s="154"/>
      <c r="J101" s="154"/>
      <c r="K101" s="154"/>
      <c r="L101" s="154"/>
      <c r="M101" s="154"/>
      <c r="N101" s="154"/>
      <c r="O101" s="154"/>
      <c r="P101" s="154"/>
      <c r="Q101" s="154"/>
      <c r="R101" s="154"/>
      <c r="S101" s="154"/>
      <c r="T101" s="154"/>
      <c r="U101" s="154"/>
      <c r="V101" s="154"/>
      <c r="W101" s="154"/>
      <c r="X101" s="154"/>
      <c r="Y101" s="154"/>
      <c r="Z101" s="154"/>
      <c r="AA101" s="154"/>
      <c r="AB101" s="154"/>
      <c r="AC101" s="154"/>
      <c r="AD101" s="76"/>
      <c r="AE101" s="76"/>
      <c r="AF101" s="76"/>
      <c r="AG101" s="76"/>
      <c r="AH101" s="76"/>
      <c r="AI101" s="76"/>
      <c r="AJ101" s="76"/>
      <c r="AK101" s="76"/>
      <c r="AL101" s="76"/>
      <c r="AM101" s="76"/>
      <c r="AN101" s="76"/>
      <c r="AO101" s="76"/>
      <c r="AP101" s="76"/>
      <c r="AQ101" s="76"/>
      <c r="AR101" s="76"/>
      <c r="AS101" s="76"/>
      <c r="AT101" s="76"/>
      <c r="AU101" s="76"/>
      <c r="AV101" s="76"/>
      <c r="AW101" s="76"/>
      <c r="AX101" s="76"/>
    </row>
    <row r="102" ht="15.75" customHeight="1">
      <c r="A102" s="81" t="s">
        <v>637</v>
      </c>
      <c r="B102" s="142" t="s">
        <v>638</v>
      </c>
      <c r="C102" s="31" t="s">
        <v>639</v>
      </c>
      <c r="D102" s="31" t="s">
        <v>640</v>
      </c>
      <c r="E102" s="31" t="s">
        <v>641</v>
      </c>
      <c r="F102" s="31"/>
      <c r="G102" s="31"/>
      <c r="H102" s="31"/>
      <c r="I102" s="159"/>
      <c r="J102" s="84"/>
      <c r="K102" s="149" t="s">
        <v>1291</v>
      </c>
      <c r="L102" s="84"/>
      <c r="M102" s="84"/>
      <c r="N102" s="84"/>
      <c r="O102" s="84"/>
      <c r="P102" s="84"/>
      <c r="Q102" s="84" t="s">
        <v>166</v>
      </c>
      <c r="R102" s="84"/>
      <c r="S102" s="84"/>
      <c r="T102" s="84"/>
      <c r="U102" s="84"/>
      <c r="V102" s="84"/>
      <c r="W102" s="84"/>
      <c r="X102" s="84"/>
      <c r="Y102" s="84"/>
      <c r="Z102" s="84"/>
      <c r="AA102" s="84"/>
      <c r="AB102" s="84"/>
      <c r="AC102" s="84"/>
      <c r="AD102" s="76"/>
      <c r="AE102" s="76"/>
      <c r="AF102" s="76"/>
      <c r="AG102" s="76"/>
      <c r="AH102" s="76"/>
      <c r="AI102" s="76"/>
      <c r="AJ102" s="76"/>
      <c r="AK102" s="76"/>
      <c r="AL102" s="76"/>
      <c r="AM102" s="76"/>
      <c r="AN102" s="76"/>
      <c r="AO102" s="76"/>
      <c r="AP102" s="76"/>
      <c r="AQ102" s="76"/>
      <c r="AR102" s="76"/>
      <c r="AS102" s="76"/>
      <c r="AT102" s="76"/>
      <c r="AU102" s="76"/>
      <c r="AV102" s="76"/>
      <c r="AW102" s="76"/>
      <c r="AX102" s="76"/>
    </row>
    <row r="103" ht="15.75" customHeight="1">
      <c r="A103" s="133" t="s">
        <v>214</v>
      </c>
      <c r="B103" s="143" t="s">
        <v>644</v>
      </c>
      <c r="C103" s="31" t="s">
        <v>645</v>
      </c>
      <c r="D103" s="31" t="s">
        <v>646</v>
      </c>
      <c r="E103" s="31" t="s">
        <v>647</v>
      </c>
      <c r="F103" s="31"/>
      <c r="G103" s="31"/>
      <c r="H103" s="31"/>
      <c r="I103" s="163"/>
      <c r="J103" s="163"/>
      <c r="K103" s="162"/>
      <c r="L103" s="162"/>
      <c r="M103" s="162"/>
      <c r="N103" s="162"/>
      <c r="O103" s="162" t="s">
        <v>1300</v>
      </c>
      <c r="P103" s="162"/>
      <c r="Q103" s="162" t="s">
        <v>166</v>
      </c>
      <c r="R103" s="162"/>
      <c r="S103" s="162"/>
      <c r="T103" s="162"/>
      <c r="U103" s="162"/>
      <c r="V103" s="162"/>
      <c r="W103" s="162"/>
      <c r="X103" s="162"/>
      <c r="Y103" s="162"/>
      <c r="Z103" s="162"/>
      <c r="AA103" s="162"/>
      <c r="AB103" s="162"/>
      <c r="AC103" s="162"/>
      <c r="AD103" s="76"/>
      <c r="AE103" s="76"/>
      <c r="AF103" s="76"/>
      <c r="AG103" s="76"/>
      <c r="AH103" s="76"/>
      <c r="AI103" s="76"/>
      <c r="AJ103" s="76"/>
      <c r="AK103" s="76"/>
      <c r="AL103" s="76"/>
      <c r="AM103" s="76"/>
      <c r="AN103" s="76"/>
      <c r="AO103" s="76"/>
      <c r="AP103" s="76"/>
      <c r="AQ103" s="76"/>
      <c r="AR103" s="76"/>
      <c r="AS103" s="76"/>
      <c r="AT103" s="76"/>
      <c r="AU103" s="76"/>
      <c r="AV103" s="76"/>
      <c r="AW103" s="76"/>
      <c r="AX103" s="76"/>
    </row>
    <row r="104" ht="15.75" customHeight="1">
      <c r="A104" s="144" t="s">
        <v>648</v>
      </c>
      <c r="B104" s="145" t="s">
        <v>649</v>
      </c>
      <c r="C104" s="31" t="s">
        <v>650</v>
      </c>
      <c r="D104" s="31" t="s">
        <v>651</v>
      </c>
      <c r="E104" s="31" t="s">
        <v>653</v>
      </c>
      <c r="F104" s="173"/>
      <c r="G104" s="173"/>
      <c r="H104" s="173"/>
      <c r="I104" s="173"/>
      <c r="J104" s="173"/>
      <c r="K104" s="173"/>
      <c r="L104" s="174"/>
      <c r="M104" s="174"/>
      <c r="N104" s="174"/>
      <c r="O104" s="174" t="s">
        <v>1314</v>
      </c>
      <c r="P104" s="173"/>
      <c r="Q104" s="173"/>
      <c r="R104" s="173"/>
      <c r="S104" s="173"/>
      <c r="T104" s="174"/>
      <c r="U104" s="174" t="s">
        <v>1318</v>
      </c>
      <c r="V104" s="173"/>
      <c r="W104" s="173"/>
      <c r="X104" s="173"/>
      <c r="Y104" s="173"/>
      <c r="Z104" s="173"/>
      <c r="AA104" s="173"/>
      <c r="AB104" s="173"/>
      <c r="AC104" s="173"/>
      <c r="AD104" s="76"/>
      <c r="AE104" s="76"/>
      <c r="AF104" s="76"/>
      <c r="AG104" s="76"/>
      <c r="AH104" s="76"/>
      <c r="AI104" s="76"/>
      <c r="AJ104" s="76"/>
      <c r="AK104" s="76"/>
      <c r="AL104" s="76"/>
      <c r="AM104" s="76"/>
      <c r="AN104" s="76"/>
      <c r="AO104" s="76"/>
      <c r="AP104" s="76"/>
      <c r="AQ104" s="76"/>
      <c r="AR104" s="76"/>
      <c r="AS104" s="76"/>
      <c r="AT104" s="76"/>
      <c r="AU104" s="76"/>
      <c r="AV104" s="76"/>
      <c r="AW104" s="76"/>
      <c r="AX104" s="76"/>
    </row>
    <row r="105" ht="15.75" customHeight="1">
      <c r="A105" s="104" t="s">
        <v>108</v>
      </c>
      <c r="B105" s="105" t="s">
        <v>658</v>
      </c>
      <c r="C105" s="31" t="s">
        <v>659</v>
      </c>
      <c r="D105" s="31" t="s">
        <v>660</v>
      </c>
      <c r="E105" s="31" t="s">
        <v>661</v>
      </c>
      <c r="F105" s="108"/>
      <c r="G105" s="108"/>
      <c r="H105" s="108"/>
      <c r="I105" s="108"/>
      <c r="J105" s="108"/>
      <c r="K105" s="108"/>
      <c r="L105" s="108"/>
      <c r="M105" s="108"/>
      <c r="N105" s="108"/>
      <c r="O105" s="108"/>
      <c r="P105" s="108"/>
      <c r="Q105" s="108"/>
      <c r="R105" s="108"/>
      <c r="S105" s="121"/>
      <c r="T105" s="108" t="s">
        <v>1335</v>
      </c>
      <c r="U105" s="108"/>
      <c r="V105" s="108"/>
      <c r="W105" s="108"/>
      <c r="X105" s="108"/>
      <c r="Y105" s="108"/>
      <c r="Z105" s="108"/>
      <c r="AA105" s="108"/>
      <c r="AB105" s="108"/>
      <c r="AC105" s="108"/>
      <c r="AD105" s="76"/>
      <c r="AE105" s="76"/>
      <c r="AF105" s="76"/>
      <c r="AG105" s="76"/>
      <c r="AH105" s="76"/>
      <c r="AI105" s="76"/>
      <c r="AJ105" s="76"/>
      <c r="AK105" s="76"/>
      <c r="AL105" s="76"/>
      <c r="AM105" s="76"/>
      <c r="AN105" s="76"/>
      <c r="AO105" s="76"/>
      <c r="AP105" s="76"/>
      <c r="AQ105" s="76"/>
      <c r="AR105" s="76"/>
      <c r="AS105" s="76"/>
      <c r="AT105" s="76"/>
      <c r="AU105" s="76"/>
      <c r="AV105" s="76"/>
      <c r="AW105" s="76"/>
      <c r="AX105" s="76"/>
    </row>
    <row r="106" ht="15.75" customHeight="1">
      <c r="A106" s="146" t="s">
        <v>237</v>
      </c>
      <c r="B106" s="147" t="s">
        <v>669</v>
      </c>
      <c r="C106" s="31" t="s">
        <v>671</v>
      </c>
      <c r="D106" s="31" t="s">
        <v>672</v>
      </c>
      <c r="E106" s="31" t="s">
        <v>673</v>
      </c>
      <c r="F106" s="31"/>
      <c r="G106" s="31"/>
      <c r="H106" s="31"/>
      <c r="I106" s="175"/>
      <c r="J106" s="176"/>
      <c r="K106" s="176" t="s">
        <v>1341</v>
      </c>
      <c r="L106" s="176"/>
      <c r="M106" s="175"/>
      <c r="N106" s="175"/>
      <c r="O106" s="175"/>
      <c r="P106" s="175"/>
      <c r="Q106" s="175" t="s">
        <v>166</v>
      </c>
      <c r="R106" s="175"/>
      <c r="S106" s="175"/>
      <c r="T106" s="175"/>
      <c r="U106" s="175"/>
      <c r="V106" s="175"/>
      <c r="W106" s="175"/>
      <c r="X106" s="175"/>
      <c r="Y106" s="175"/>
      <c r="Z106" s="175"/>
      <c r="AA106" s="175"/>
      <c r="AB106" s="175"/>
      <c r="AC106" s="175"/>
      <c r="AD106" s="76"/>
      <c r="AE106" s="76"/>
      <c r="AF106" s="76"/>
      <c r="AG106" s="76"/>
      <c r="AH106" s="76"/>
      <c r="AI106" s="76"/>
      <c r="AJ106" s="76"/>
      <c r="AK106" s="76"/>
      <c r="AL106" s="76"/>
      <c r="AM106" s="76"/>
      <c r="AN106" s="76"/>
      <c r="AO106" s="76"/>
      <c r="AP106" s="76"/>
      <c r="AQ106" s="76"/>
      <c r="AR106" s="76"/>
      <c r="AS106" s="76"/>
      <c r="AT106" s="76"/>
      <c r="AU106" s="76"/>
      <c r="AV106" s="76"/>
      <c r="AW106" s="76"/>
      <c r="AX106" s="76"/>
    </row>
    <row r="107" ht="15.75" customHeight="1">
      <c r="A107" s="149" t="s">
        <v>485</v>
      </c>
      <c r="B107" s="142" t="s">
        <v>683</v>
      </c>
      <c r="C107" s="31" t="s">
        <v>684</v>
      </c>
      <c r="D107" s="31" t="s">
        <v>685</v>
      </c>
      <c r="E107" s="31" t="s">
        <v>687</v>
      </c>
      <c r="F107" s="31"/>
      <c r="G107" s="31"/>
      <c r="H107" s="31"/>
      <c r="I107" s="159"/>
      <c r="J107" s="84"/>
      <c r="K107" s="84"/>
      <c r="L107" s="84"/>
      <c r="M107" s="84"/>
      <c r="N107" s="84"/>
      <c r="O107" s="84"/>
      <c r="P107" s="84"/>
      <c r="Q107" s="84" t="s">
        <v>166</v>
      </c>
      <c r="R107" s="84"/>
      <c r="S107" s="84"/>
      <c r="T107" s="84"/>
      <c r="U107" s="84"/>
      <c r="V107" s="84"/>
      <c r="W107" s="84"/>
      <c r="X107" s="84"/>
      <c r="Y107" s="84"/>
      <c r="Z107" s="84"/>
      <c r="AA107" s="84"/>
      <c r="AB107" s="84"/>
      <c r="AC107" s="84"/>
      <c r="AD107" s="76"/>
      <c r="AE107" s="76"/>
      <c r="AF107" s="76"/>
      <c r="AG107" s="76"/>
      <c r="AH107" s="76"/>
      <c r="AI107" s="76"/>
      <c r="AJ107" s="76"/>
      <c r="AK107" s="76"/>
      <c r="AL107" s="76"/>
      <c r="AM107" s="76"/>
      <c r="AN107" s="76"/>
      <c r="AO107" s="76"/>
      <c r="AP107" s="76"/>
      <c r="AQ107" s="76"/>
      <c r="AR107" s="76"/>
      <c r="AS107" s="76"/>
      <c r="AT107" s="76"/>
      <c r="AU107" s="76"/>
      <c r="AV107" s="76"/>
      <c r="AW107" s="76"/>
      <c r="AX107" s="76"/>
    </row>
    <row r="108" ht="15.75" customHeight="1">
      <c r="A108" s="144" t="s">
        <v>691</v>
      </c>
      <c r="B108" s="150" t="s">
        <v>649</v>
      </c>
      <c r="C108" s="31" t="s">
        <v>650</v>
      </c>
      <c r="D108" s="31" t="s">
        <v>651</v>
      </c>
      <c r="E108" s="31" t="s">
        <v>653</v>
      </c>
      <c r="F108" s="173"/>
      <c r="G108" s="173"/>
      <c r="H108" s="173"/>
      <c r="I108" s="173"/>
      <c r="J108" s="173"/>
      <c r="K108" s="173"/>
      <c r="L108" s="173"/>
      <c r="M108" s="173"/>
      <c r="N108" s="173"/>
      <c r="O108" s="173"/>
      <c r="P108" s="173"/>
      <c r="Q108" s="173"/>
      <c r="R108" s="173"/>
      <c r="S108" s="173"/>
      <c r="T108" s="173"/>
      <c r="U108" s="173"/>
      <c r="V108" s="173"/>
      <c r="W108" s="173"/>
      <c r="X108" s="173"/>
      <c r="Y108" s="173"/>
      <c r="Z108" s="173"/>
      <c r="AA108" s="173"/>
      <c r="AB108" s="173"/>
      <c r="AC108" s="173"/>
      <c r="AD108" s="76"/>
      <c r="AE108" s="76"/>
      <c r="AF108" s="76"/>
      <c r="AG108" s="76"/>
      <c r="AH108" s="76"/>
      <c r="AI108" s="76"/>
      <c r="AJ108" s="76"/>
      <c r="AK108" s="76"/>
      <c r="AL108" s="76"/>
      <c r="AM108" s="76"/>
      <c r="AN108" s="76"/>
      <c r="AO108" s="76"/>
      <c r="AP108" s="76"/>
      <c r="AQ108" s="76"/>
      <c r="AR108" s="76"/>
      <c r="AS108" s="76"/>
      <c r="AT108" s="76"/>
      <c r="AU108" s="76"/>
      <c r="AV108" s="76"/>
      <c r="AW108" s="76"/>
      <c r="AX108" s="76"/>
    </row>
    <row r="109" ht="15.75" customHeight="1">
      <c r="A109" s="147" t="s">
        <v>699</v>
      </c>
      <c r="B109" s="147" t="s">
        <v>700</v>
      </c>
      <c r="C109" s="31" t="s">
        <v>1378</v>
      </c>
      <c r="D109" s="31" t="s">
        <v>1379</v>
      </c>
      <c r="E109" s="31" t="s">
        <v>1380</v>
      </c>
      <c r="F109" s="177"/>
      <c r="G109" s="177"/>
      <c r="H109" s="177"/>
      <c r="I109" s="178"/>
      <c r="J109" s="179"/>
      <c r="K109" s="178"/>
      <c r="L109" s="178"/>
      <c r="M109" s="178"/>
      <c r="N109" s="178"/>
      <c r="O109" s="164" t="s">
        <v>1314</v>
      </c>
      <c r="P109" s="162"/>
      <c r="Q109" s="162" t="s">
        <v>166</v>
      </c>
      <c r="R109" s="162"/>
      <c r="S109" s="162"/>
      <c r="T109" s="162"/>
      <c r="U109" s="162"/>
      <c r="V109" s="178"/>
      <c r="W109" s="178"/>
      <c r="X109" s="178"/>
      <c r="Y109" s="178"/>
      <c r="Z109" s="178"/>
      <c r="AA109" s="178"/>
      <c r="AB109" s="178"/>
      <c r="AC109" s="178"/>
      <c r="AD109" s="117"/>
      <c r="AE109" s="117"/>
      <c r="AF109" s="117"/>
      <c r="AG109" s="117"/>
      <c r="AH109" s="117"/>
      <c r="AI109" s="117"/>
      <c r="AJ109" s="117"/>
      <c r="AK109" s="117"/>
      <c r="AL109" s="117"/>
      <c r="AM109" s="117"/>
      <c r="AN109" s="117"/>
      <c r="AO109" s="117"/>
      <c r="AP109" s="117"/>
      <c r="AQ109" s="117"/>
      <c r="AR109" s="117"/>
      <c r="AS109" s="117"/>
      <c r="AT109" s="117"/>
      <c r="AU109" s="117"/>
      <c r="AV109" s="117"/>
      <c r="AW109" s="117"/>
      <c r="AX109" s="117"/>
    </row>
    <row r="110" ht="15.75" customHeight="1">
      <c r="A110" s="147" t="s">
        <v>214</v>
      </c>
      <c r="B110" s="147" t="s">
        <v>706</v>
      </c>
      <c r="C110" s="31" t="s">
        <v>1384</v>
      </c>
      <c r="D110" s="31" t="s">
        <v>1385</v>
      </c>
      <c r="E110" s="31" t="s">
        <v>1386</v>
      </c>
      <c r="F110" s="184"/>
      <c r="G110" s="184"/>
      <c r="H110" s="184"/>
      <c r="I110" s="185"/>
      <c r="J110" s="186"/>
      <c r="K110" s="185"/>
      <c r="L110" s="185"/>
      <c r="M110" s="185"/>
      <c r="N110" s="185"/>
      <c r="O110" s="187" t="s">
        <v>1390</v>
      </c>
      <c r="P110" s="173"/>
      <c r="Q110" s="173" t="s">
        <v>166</v>
      </c>
      <c r="R110" s="173"/>
      <c r="S110" s="173"/>
      <c r="T110" s="174"/>
      <c r="U110" s="174"/>
      <c r="V110" s="185"/>
      <c r="W110" s="185"/>
      <c r="X110" s="185"/>
      <c r="Y110" s="185"/>
      <c r="Z110" s="185"/>
      <c r="AA110" s="185"/>
      <c r="AB110" s="185"/>
      <c r="AC110" s="185"/>
      <c r="AD110" s="117"/>
      <c r="AE110" s="117"/>
      <c r="AF110" s="117"/>
      <c r="AG110" s="117"/>
      <c r="AH110" s="117"/>
      <c r="AI110" s="117"/>
      <c r="AJ110" s="117"/>
      <c r="AK110" s="117"/>
      <c r="AL110" s="117"/>
      <c r="AM110" s="117"/>
      <c r="AN110" s="117"/>
      <c r="AO110" s="117"/>
      <c r="AP110" s="117"/>
      <c r="AQ110" s="117"/>
      <c r="AR110" s="117"/>
      <c r="AS110" s="117"/>
      <c r="AT110" s="117"/>
      <c r="AU110" s="117"/>
      <c r="AV110" s="117"/>
      <c r="AW110" s="117"/>
      <c r="AX110" s="117"/>
    </row>
    <row r="111" ht="15.75" customHeight="1">
      <c r="A111" s="147" t="s">
        <v>712</v>
      </c>
      <c r="B111" s="147" t="s">
        <v>713</v>
      </c>
      <c r="C111" s="31" t="s">
        <v>1403</v>
      </c>
      <c r="D111" s="31" t="s">
        <v>1404</v>
      </c>
      <c r="E111" s="31" t="s">
        <v>1405</v>
      </c>
      <c r="F111" s="177"/>
      <c r="G111" s="177"/>
      <c r="H111" s="177"/>
      <c r="I111" s="178"/>
      <c r="J111" s="179"/>
      <c r="K111" s="178"/>
      <c r="L111" s="178"/>
      <c r="M111" s="178"/>
      <c r="N111" s="178"/>
      <c r="O111" s="164" t="s">
        <v>1406</v>
      </c>
      <c r="P111" s="162"/>
      <c r="Q111" s="162" t="s">
        <v>166</v>
      </c>
      <c r="R111" s="162"/>
      <c r="S111" s="162"/>
      <c r="T111" s="162"/>
      <c r="U111" s="162"/>
      <c r="V111" s="178"/>
      <c r="W111" s="178"/>
      <c r="X111" s="178"/>
      <c r="Y111" s="178"/>
      <c r="Z111" s="178"/>
      <c r="AA111" s="178"/>
      <c r="AB111" s="178"/>
      <c r="AC111" s="178"/>
      <c r="AD111" s="117"/>
      <c r="AE111" s="117"/>
      <c r="AF111" s="117"/>
      <c r="AG111" s="117"/>
      <c r="AH111" s="117"/>
      <c r="AI111" s="117"/>
      <c r="AJ111" s="117"/>
      <c r="AK111" s="117"/>
      <c r="AL111" s="117"/>
      <c r="AM111" s="117"/>
      <c r="AN111" s="117"/>
      <c r="AO111" s="117"/>
      <c r="AP111" s="117"/>
      <c r="AQ111" s="117"/>
      <c r="AR111" s="117"/>
      <c r="AS111" s="117"/>
      <c r="AT111" s="117"/>
      <c r="AU111" s="117"/>
      <c r="AV111" s="117"/>
      <c r="AW111" s="117"/>
      <c r="AX111" s="117"/>
    </row>
    <row r="112" ht="15.75" customHeight="1">
      <c r="A112" s="147" t="s">
        <v>214</v>
      </c>
      <c r="B112" s="147" t="s">
        <v>721</v>
      </c>
      <c r="C112" s="31" t="s">
        <v>1414</v>
      </c>
      <c r="D112" s="31" t="s">
        <v>1415</v>
      </c>
      <c r="E112" s="31" t="s">
        <v>1416</v>
      </c>
      <c r="F112" s="184"/>
      <c r="G112" s="184"/>
      <c r="H112" s="184"/>
      <c r="I112" s="185"/>
      <c r="J112" s="186"/>
      <c r="K112" s="185"/>
      <c r="L112" s="185"/>
      <c r="M112" s="185"/>
      <c r="N112" s="185"/>
      <c r="O112" s="187" t="s">
        <v>1421</v>
      </c>
      <c r="P112" s="173"/>
      <c r="Q112" s="173" t="s">
        <v>166</v>
      </c>
      <c r="R112" s="173"/>
      <c r="S112" s="173"/>
      <c r="T112" s="174"/>
      <c r="U112" s="174"/>
      <c r="V112" s="185"/>
      <c r="W112" s="185"/>
      <c r="X112" s="185"/>
      <c r="Y112" s="185"/>
      <c r="Z112" s="185"/>
      <c r="AA112" s="185"/>
      <c r="AB112" s="185"/>
      <c r="AC112" s="185"/>
      <c r="AD112" s="117"/>
      <c r="AE112" s="117"/>
      <c r="AF112" s="117"/>
      <c r="AG112" s="117"/>
      <c r="AH112" s="117"/>
      <c r="AI112" s="117"/>
      <c r="AJ112" s="117"/>
      <c r="AK112" s="117"/>
      <c r="AL112" s="117"/>
      <c r="AM112" s="117"/>
      <c r="AN112" s="117"/>
      <c r="AO112" s="117"/>
      <c r="AP112" s="117"/>
      <c r="AQ112" s="117"/>
      <c r="AR112" s="117"/>
      <c r="AS112" s="117"/>
      <c r="AT112" s="117"/>
      <c r="AU112" s="117"/>
      <c r="AV112" s="117"/>
      <c r="AW112" s="117"/>
      <c r="AX112" s="117"/>
    </row>
    <row r="113" ht="15.75" customHeight="1">
      <c r="A113" s="67" t="s">
        <v>139</v>
      </c>
      <c r="B113" s="141" t="s">
        <v>728</v>
      </c>
      <c r="C113" s="31"/>
      <c r="D113" s="31"/>
      <c r="E113" s="31"/>
      <c r="F113" s="70"/>
      <c r="G113" s="70"/>
      <c r="H113" s="70"/>
      <c r="I113" s="70"/>
      <c r="J113" s="71"/>
      <c r="K113" s="70"/>
      <c r="L113" s="70"/>
      <c r="M113" s="71"/>
      <c r="N113" s="71"/>
      <c r="O113" s="72"/>
      <c r="P113" s="70"/>
      <c r="Q113" s="70"/>
      <c r="R113" s="70"/>
      <c r="S113" s="70"/>
      <c r="T113" s="73" t="s">
        <v>145</v>
      </c>
      <c r="U113" s="70"/>
      <c r="V113" s="70"/>
      <c r="W113" s="70"/>
      <c r="X113" s="70"/>
      <c r="Y113" s="70"/>
      <c r="Z113" s="70"/>
      <c r="AA113" s="70"/>
      <c r="AB113" s="70"/>
      <c r="AC113" s="70"/>
      <c r="AD113" s="76"/>
      <c r="AE113" s="76"/>
      <c r="AF113" s="76"/>
      <c r="AG113" s="76"/>
      <c r="AH113" s="76"/>
      <c r="AI113" s="76"/>
      <c r="AJ113" s="76"/>
      <c r="AK113" s="76"/>
      <c r="AL113" s="76"/>
      <c r="AM113" s="76"/>
      <c r="AN113" s="76"/>
      <c r="AO113" s="76"/>
      <c r="AP113" s="76"/>
      <c r="AQ113" s="76"/>
      <c r="AR113" s="76"/>
      <c r="AS113" s="76"/>
      <c r="AT113" s="76"/>
      <c r="AU113" s="76"/>
      <c r="AV113" s="76"/>
      <c r="AW113" s="76"/>
      <c r="AX113" s="76"/>
    </row>
    <row r="114" ht="15.75" customHeight="1">
      <c r="A114" s="67" t="s">
        <v>108</v>
      </c>
      <c r="B114" s="69" t="s">
        <v>733</v>
      </c>
      <c r="C114" s="31"/>
      <c r="D114" s="31"/>
      <c r="E114" s="31"/>
      <c r="F114" s="70"/>
      <c r="G114" s="70"/>
      <c r="H114" s="70"/>
      <c r="I114" s="71"/>
      <c r="J114" s="71"/>
      <c r="K114" s="70"/>
      <c r="L114" s="71"/>
      <c r="M114" s="71"/>
      <c r="N114" s="71"/>
      <c r="O114" s="71"/>
      <c r="P114" s="70"/>
      <c r="Q114" s="70"/>
      <c r="R114" s="70"/>
      <c r="S114" s="70"/>
      <c r="T114" s="67" t="s">
        <v>1455</v>
      </c>
      <c r="U114" s="70"/>
      <c r="V114" s="70"/>
      <c r="W114" s="70"/>
      <c r="X114" s="70"/>
      <c r="Y114" s="70"/>
      <c r="Z114" s="70"/>
      <c r="AA114" s="70"/>
      <c r="AB114" s="70"/>
      <c r="AC114" s="70"/>
      <c r="AD114" s="76"/>
      <c r="AE114" s="76"/>
      <c r="AF114" s="76"/>
      <c r="AG114" s="76"/>
      <c r="AH114" s="76"/>
      <c r="AI114" s="76"/>
      <c r="AJ114" s="76"/>
      <c r="AK114" s="76"/>
      <c r="AL114" s="76"/>
      <c r="AM114" s="76"/>
      <c r="AN114" s="76"/>
      <c r="AO114" s="76"/>
      <c r="AP114" s="76"/>
      <c r="AQ114" s="76"/>
      <c r="AR114" s="76"/>
      <c r="AS114" s="76"/>
      <c r="AT114" s="76"/>
      <c r="AU114" s="76"/>
      <c r="AV114" s="76"/>
      <c r="AW114" s="76"/>
      <c r="AX114" s="76"/>
    </row>
    <row r="115" ht="15.75" customHeight="1">
      <c r="A115" s="104"/>
      <c r="B115" s="141"/>
      <c r="C115" s="31"/>
      <c r="D115" s="31"/>
      <c r="E115" s="31"/>
      <c r="F115" s="193"/>
      <c r="G115" s="193"/>
      <c r="H115" s="193"/>
      <c r="I115" s="193"/>
      <c r="J115" s="193"/>
      <c r="K115" s="193"/>
      <c r="L115" s="193"/>
      <c r="M115" s="193"/>
      <c r="N115" s="193"/>
      <c r="O115" s="193"/>
      <c r="P115" s="193"/>
      <c r="Q115" s="193"/>
      <c r="R115" s="193"/>
      <c r="S115" s="193"/>
      <c r="T115" s="121"/>
      <c r="U115" s="193"/>
      <c r="V115" s="193"/>
      <c r="W115" s="193"/>
      <c r="X115" s="193"/>
      <c r="Y115" s="193"/>
      <c r="Z115" s="193"/>
      <c r="AA115" s="193"/>
      <c r="AB115" s="193"/>
      <c r="AC115" s="193"/>
      <c r="AD115" s="194"/>
      <c r="AE115" s="194"/>
      <c r="AF115" s="194"/>
      <c r="AG115" s="194"/>
      <c r="AH115" s="194"/>
      <c r="AI115" s="194"/>
      <c r="AJ115" s="194"/>
      <c r="AK115" s="194"/>
      <c r="AL115" s="194"/>
      <c r="AM115" s="194"/>
      <c r="AN115" s="194"/>
      <c r="AO115" s="194"/>
      <c r="AP115" s="194"/>
      <c r="AQ115" s="194"/>
      <c r="AR115" s="194"/>
      <c r="AS115" s="194"/>
      <c r="AT115" s="194"/>
      <c r="AU115" s="194"/>
      <c r="AV115" s="194"/>
      <c r="AW115" s="194"/>
      <c r="AX115" s="194"/>
    </row>
    <row r="116">
      <c r="A116" s="135"/>
      <c r="B116" s="135"/>
      <c r="C116" s="31"/>
      <c r="D116" s="31"/>
      <c r="E116" s="31"/>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c r="AV116" s="135"/>
      <c r="AW116" s="135"/>
      <c r="AX116" s="135"/>
    </row>
    <row r="117" ht="15.75" customHeight="1">
      <c r="A117" s="104" t="s">
        <v>139</v>
      </c>
      <c r="B117" s="141" t="s">
        <v>749</v>
      </c>
      <c r="C117" s="31"/>
      <c r="D117" s="31"/>
      <c r="E117" s="31"/>
      <c r="F117" s="193"/>
      <c r="G117" s="193"/>
      <c r="H117" s="193"/>
      <c r="I117" s="193"/>
      <c r="J117" s="193"/>
      <c r="K117" s="193"/>
      <c r="L117" s="193"/>
      <c r="M117" s="193"/>
      <c r="N117" s="193"/>
      <c r="O117" s="193"/>
      <c r="P117" s="193"/>
      <c r="Q117" s="193"/>
      <c r="R117" s="193"/>
      <c r="S117" s="193"/>
      <c r="T117" s="121" t="s">
        <v>145</v>
      </c>
      <c r="U117" s="193"/>
      <c r="V117" s="193"/>
      <c r="W117" s="193"/>
      <c r="X117" s="193"/>
      <c r="Y117" s="193"/>
      <c r="Z117" s="193"/>
      <c r="AA117" s="193"/>
      <c r="AB117" s="193"/>
      <c r="AC117" s="193"/>
      <c r="AD117" s="194"/>
      <c r="AE117" s="194"/>
      <c r="AF117" s="194"/>
      <c r="AG117" s="194"/>
      <c r="AH117" s="194"/>
      <c r="AI117" s="194"/>
      <c r="AJ117" s="194"/>
      <c r="AK117" s="194"/>
      <c r="AL117" s="194"/>
      <c r="AM117" s="194"/>
      <c r="AN117" s="194"/>
      <c r="AO117" s="194"/>
      <c r="AP117" s="194"/>
      <c r="AQ117" s="194"/>
      <c r="AR117" s="194"/>
      <c r="AS117" s="194"/>
      <c r="AT117" s="194"/>
      <c r="AU117" s="194"/>
      <c r="AV117" s="194"/>
      <c r="AW117" s="194"/>
      <c r="AX117" s="194"/>
    </row>
    <row r="118" ht="15.75" customHeight="1">
      <c r="A118" s="67" t="s">
        <v>150</v>
      </c>
      <c r="B118" s="69" t="s">
        <v>753</v>
      </c>
      <c r="C118" s="31"/>
      <c r="D118" s="31"/>
      <c r="E118" s="31"/>
      <c r="F118" s="154"/>
      <c r="G118" s="154"/>
      <c r="H118" s="154"/>
      <c r="I118" s="154"/>
      <c r="J118" s="154"/>
      <c r="K118" s="154"/>
      <c r="L118" s="154"/>
      <c r="M118" s="154"/>
      <c r="N118" s="154"/>
      <c r="O118" s="128" t="s">
        <v>1532</v>
      </c>
      <c r="P118" s="154"/>
      <c r="Q118" s="154"/>
      <c r="R118" s="154"/>
      <c r="S118" s="154"/>
      <c r="T118" s="154"/>
      <c r="U118" s="154"/>
      <c r="V118" s="154"/>
      <c r="W118" s="154"/>
      <c r="X118" s="154"/>
      <c r="Y118" s="154"/>
      <c r="Z118" s="154"/>
      <c r="AA118" s="154"/>
      <c r="AB118" s="154"/>
      <c r="AC118" s="154"/>
      <c r="AD118" s="154"/>
      <c r="AE118" s="154"/>
      <c r="AF118" s="154"/>
      <c r="AG118" s="154"/>
      <c r="AH118" s="154"/>
      <c r="AI118" s="154"/>
      <c r="AJ118" s="154"/>
      <c r="AK118" s="154"/>
      <c r="AL118" s="154"/>
      <c r="AM118" s="154"/>
      <c r="AN118" s="154"/>
      <c r="AO118" s="76"/>
      <c r="AP118" s="76"/>
      <c r="AQ118" s="76"/>
      <c r="AR118" s="76"/>
      <c r="AS118" s="76"/>
      <c r="AT118" s="76"/>
      <c r="AU118" s="76"/>
      <c r="AV118" s="76"/>
      <c r="AW118" s="76"/>
      <c r="AX118" s="76"/>
    </row>
    <row r="119" ht="15.75" customHeight="1">
      <c r="A119" s="126" t="s">
        <v>42</v>
      </c>
      <c r="B119" s="127" t="s">
        <v>763</v>
      </c>
      <c r="C119" s="31" t="s">
        <v>1539</v>
      </c>
      <c r="D119" s="31" t="s">
        <v>1541</v>
      </c>
      <c r="E119" s="31" t="s">
        <v>1543</v>
      </c>
      <c r="F119" s="31"/>
      <c r="G119" s="31"/>
      <c r="H119" s="31"/>
      <c r="I119" s="154"/>
      <c r="J119" s="154"/>
      <c r="K119" s="154"/>
      <c r="L119" s="154"/>
      <c r="M119" s="154"/>
      <c r="N119" s="154"/>
      <c r="O119" s="154"/>
      <c r="P119" s="154"/>
      <c r="Q119" s="154"/>
      <c r="R119" s="154"/>
      <c r="S119" s="154"/>
      <c r="T119" s="154"/>
      <c r="U119" s="154"/>
      <c r="V119" s="154"/>
      <c r="W119" s="154"/>
      <c r="X119" s="154"/>
      <c r="Y119" s="154"/>
      <c r="Z119" s="154"/>
      <c r="AA119" s="154"/>
      <c r="AB119" s="154"/>
      <c r="AC119" s="154"/>
      <c r="AD119" s="154"/>
      <c r="AE119" s="154"/>
      <c r="AF119" s="154"/>
      <c r="AG119" s="154"/>
      <c r="AH119" s="154"/>
      <c r="AI119" s="154"/>
      <c r="AJ119" s="154"/>
      <c r="AK119" s="154"/>
      <c r="AL119" s="154"/>
      <c r="AM119" s="154"/>
      <c r="AN119" s="154"/>
      <c r="AO119" s="76"/>
      <c r="AP119" s="76"/>
      <c r="AQ119" s="76"/>
      <c r="AR119" s="76"/>
      <c r="AS119" s="76"/>
      <c r="AT119" s="76"/>
      <c r="AU119" s="76"/>
      <c r="AV119" s="76"/>
      <c r="AW119" s="76"/>
      <c r="AX119" s="76"/>
    </row>
    <row r="120" ht="15.75" customHeight="1">
      <c r="A120" s="81" t="s">
        <v>767</v>
      </c>
      <c r="B120" s="142" t="s">
        <v>768</v>
      </c>
      <c r="C120" s="31" t="s">
        <v>1558</v>
      </c>
      <c r="D120" s="31" t="s">
        <v>1559</v>
      </c>
      <c r="E120" s="31" t="s">
        <v>1560</v>
      </c>
      <c r="F120" s="31"/>
      <c r="G120" s="31"/>
      <c r="H120" s="31"/>
      <c r="I120" s="84"/>
      <c r="J120" s="159"/>
      <c r="K120" s="84"/>
      <c r="L120" s="84"/>
      <c r="M120" s="84"/>
      <c r="N120" s="84"/>
      <c r="O120" s="84"/>
      <c r="P120" s="84"/>
      <c r="Q120" s="84" t="s">
        <v>166</v>
      </c>
      <c r="R120" s="84"/>
      <c r="S120" s="84"/>
      <c r="T120" s="84"/>
      <c r="U120" s="84"/>
      <c r="V120" s="84"/>
      <c r="W120" s="84"/>
      <c r="X120" s="84"/>
      <c r="Y120" s="84"/>
      <c r="Z120" s="84"/>
      <c r="AA120" s="84"/>
      <c r="AB120" s="84"/>
      <c r="AC120" s="84"/>
      <c r="AD120" s="84"/>
      <c r="AE120" s="84"/>
      <c r="AF120" s="84"/>
      <c r="AG120" s="84"/>
      <c r="AH120" s="84"/>
      <c r="AI120" s="84"/>
      <c r="AJ120" s="84"/>
      <c r="AK120" s="84"/>
      <c r="AL120" s="84"/>
      <c r="AM120" s="84"/>
      <c r="AN120" s="84"/>
      <c r="AO120" s="76"/>
      <c r="AP120" s="76"/>
      <c r="AQ120" s="76"/>
      <c r="AR120" s="76"/>
      <c r="AS120" s="76"/>
      <c r="AT120" s="76"/>
      <c r="AU120" s="76"/>
      <c r="AV120" s="76"/>
      <c r="AW120" s="76"/>
      <c r="AX120" s="76"/>
    </row>
    <row r="121" ht="15.75" customHeight="1">
      <c r="A121" s="81" t="s">
        <v>338</v>
      </c>
      <c r="B121" s="142" t="s">
        <v>777</v>
      </c>
      <c r="C121" s="31" t="s">
        <v>1576</v>
      </c>
      <c r="D121" s="31" t="s">
        <v>1577</v>
      </c>
      <c r="E121" s="31" t="s">
        <v>1578</v>
      </c>
      <c r="F121" s="31"/>
      <c r="G121" s="31"/>
      <c r="H121" s="31"/>
      <c r="I121" s="84"/>
      <c r="J121" s="159"/>
      <c r="K121" s="84"/>
      <c r="L121" s="84"/>
      <c r="M121" s="84"/>
      <c r="N121" s="84"/>
      <c r="O121" s="84"/>
      <c r="P121" s="84"/>
      <c r="Q121" s="84" t="s">
        <v>166</v>
      </c>
      <c r="R121" s="84"/>
      <c r="S121" s="84"/>
      <c r="T121" s="84"/>
      <c r="U121" s="84"/>
      <c r="V121" s="84"/>
      <c r="W121" s="84"/>
      <c r="X121" s="84"/>
      <c r="Y121" s="84"/>
      <c r="Z121" s="84"/>
      <c r="AA121" s="84"/>
      <c r="AB121" s="84"/>
      <c r="AC121" s="84"/>
      <c r="AD121" s="84"/>
      <c r="AE121" s="84"/>
      <c r="AF121" s="84"/>
      <c r="AG121" s="84"/>
      <c r="AH121" s="84"/>
      <c r="AI121" s="84"/>
      <c r="AJ121" s="84"/>
      <c r="AK121" s="84"/>
      <c r="AL121" s="84"/>
      <c r="AM121" s="84"/>
      <c r="AN121" s="84"/>
      <c r="AO121" s="76"/>
      <c r="AP121" s="76"/>
      <c r="AQ121" s="76"/>
      <c r="AR121" s="76"/>
      <c r="AS121" s="76"/>
      <c r="AT121" s="76"/>
      <c r="AU121" s="76"/>
      <c r="AV121" s="76"/>
      <c r="AW121" s="76"/>
      <c r="AX121" s="76"/>
    </row>
    <row r="122" ht="15.75" customHeight="1">
      <c r="A122" s="149" t="s">
        <v>781</v>
      </c>
      <c r="B122" s="142" t="s">
        <v>782</v>
      </c>
      <c r="C122" s="31" t="s">
        <v>1593</v>
      </c>
      <c r="D122" s="31" t="s">
        <v>1594</v>
      </c>
      <c r="E122" s="31" t="s">
        <v>1596</v>
      </c>
      <c r="F122" s="31"/>
      <c r="G122" s="31"/>
      <c r="H122" s="31"/>
      <c r="I122" s="84"/>
      <c r="J122" s="159"/>
      <c r="K122" s="84"/>
      <c r="L122" s="84"/>
      <c r="M122" s="84"/>
      <c r="N122" s="84"/>
      <c r="O122" s="149" t="s">
        <v>1598</v>
      </c>
      <c r="P122" s="84"/>
      <c r="Q122" s="84" t="s">
        <v>166</v>
      </c>
      <c r="R122" s="84"/>
      <c r="S122" s="84"/>
      <c r="T122" s="84"/>
      <c r="U122" s="84"/>
      <c r="V122" s="84"/>
      <c r="W122" s="84"/>
      <c r="X122" s="84"/>
      <c r="Y122" s="84"/>
      <c r="Z122" s="84"/>
      <c r="AA122" s="84"/>
      <c r="AB122" s="84"/>
      <c r="AC122" s="84"/>
      <c r="AD122" s="154"/>
      <c r="AE122" s="154"/>
      <c r="AF122" s="154"/>
      <c r="AG122" s="154"/>
      <c r="AH122" s="154"/>
      <c r="AI122" s="154"/>
      <c r="AJ122" s="154"/>
      <c r="AK122" s="154"/>
      <c r="AL122" s="154"/>
      <c r="AM122" s="154"/>
      <c r="AN122" s="154"/>
      <c r="AO122" s="76"/>
      <c r="AP122" s="76"/>
      <c r="AQ122" s="76"/>
      <c r="AR122" s="76"/>
      <c r="AS122" s="76"/>
      <c r="AT122" s="76"/>
      <c r="AU122" s="76"/>
      <c r="AV122" s="76"/>
      <c r="AW122" s="76"/>
      <c r="AX122" s="76"/>
    </row>
    <row r="123" ht="15.75" customHeight="1">
      <c r="A123" s="133" t="s">
        <v>214</v>
      </c>
      <c r="B123" s="143" t="s">
        <v>791</v>
      </c>
      <c r="C123" s="31" t="s">
        <v>1613</v>
      </c>
      <c r="D123" s="31" t="s">
        <v>1615</v>
      </c>
      <c r="E123" s="31" t="s">
        <v>1616</v>
      </c>
      <c r="F123" s="31"/>
      <c r="G123" s="31"/>
      <c r="H123" s="31"/>
      <c r="I123" s="162"/>
      <c r="J123" s="163"/>
      <c r="K123" s="162"/>
      <c r="L123" s="162"/>
      <c r="M123" s="162"/>
      <c r="N123" s="162"/>
      <c r="O123" s="164" t="s">
        <v>1618</v>
      </c>
      <c r="P123" s="162"/>
      <c r="Q123" s="164" t="s">
        <v>166</v>
      </c>
      <c r="R123" s="162"/>
      <c r="S123" s="162"/>
      <c r="T123" s="162"/>
      <c r="U123" s="162"/>
      <c r="V123" s="162"/>
      <c r="W123" s="162"/>
      <c r="X123" s="162"/>
      <c r="Y123" s="162"/>
      <c r="Z123" s="162"/>
      <c r="AA123" s="162"/>
      <c r="AB123" s="162"/>
      <c r="AC123" s="162"/>
      <c r="AD123" s="154"/>
      <c r="AE123" s="154"/>
      <c r="AF123" s="154"/>
      <c r="AG123" s="154"/>
      <c r="AH123" s="154"/>
      <c r="AI123" s="154"/>
      <c r="AJ123" s="154"/>
      <c r="AK123" s="154"/>
      <c r="AL123" s="154"/>
      <c r="AM123" s="154"/>
      <c r="AN123" s="154"/>
      <c r="AO123" s="76"/>
      <c r="AP123" s="76"/>
      <c r="AQ123" s="76"/>
      <c r="AR123" s="76"/>
      <c r="AS123" s="76"/>
      <c r="AT123" s="76"/>
      <c r="AU123" s="76"/>
      <c r="AV123" s="76"/>
      <c r="AW123" s="76"/>
      <c r="AX123" s="76"/>
    </row>
    <row r="124" ht="15.75" customHeight="1">
      <c r="A124" s="81" t="s">
        <v>338</v>
      </c>
      <c r="B124" s="142" t="s">
        <v>796</v>
      </c>
      <c r="C124" s="31" t="s">
        <v>1626</v>
      </c>
      <c r="D124" s="31" t="s">
        <v>1627</v>
      </c>
      <c r="E124" s="31" t="s">
        <v>1629</v>
      </c>
      <c r="F124" s="31"/>
      <c r="G124" s="31"/>
      <c r="H124" s="31"/>
      <c r="I124" s="84"/>
      <c r="J124" s="159"/>
      <c r="K124" s="84"/>
      <c r="L124" s="84"/>
      <c r="M124" s="84"/>
      <c r="N124" s="84"/>
      <c r="O124" s="84"/>
      <c r="P124" s="84"/>
      <c r="Q124" s="84" t="s">
        <v>166</v>
      </c>
      <c r="R124" s="84"/>
      <c r="S124" s="84"/>
      <c r="T124" s="84"/>
      <c r="U124" s="84"/>
      <c r="V124" s="84"/>
      <c r="W124" s="84"/>
      <c r="X124" s="84"/>
      <c r="Y124" s="84"/>
      <c r="Z124" s="84"/>
      <c r="AA124" s="84"/>
      <c r="AB124" s="84"/>
      <c r="AC124" s="84"/>
      <c r="AD124" s="84"/>
      <c r="AE124" s="84"/>
      <c r="AF124" s="84"/>
      <c r="AG124" s="84"/>
      <c r="AH124" s="84"/>
      <c r="AI124" s="84"/>
      <c r="AJ124" s="84"/>
      <c r="AK124" s="84"/>
      <c r="AL124" s="84"/>
      <c r="AM124" s="84"/>
      <c r="AN124" s="84"/>
      <c r="AO124" s="76"/>
      <c r="AP124" s="76"/>
      <c r="AQ124" s="76"/>
      <c r="AR124" s="76"/>
      <c r="AS124" s="76"/>
      <c r="AT124" s="76"/>
      <c r="AU124" s="76"/>
      <c r="AV124" s="76"/>
      <c r="AW124" s="76"/>
      <c r="AX124" s="76"/>
    </row>
    <row r="125" ht="15.75" customHeight="1">
      <c r="A125" s="149" t="s">
        <v>781</v>
      </c>
      <c r="B125" s="142" t="s">
        <v>801</v>
      </c>
      <c r="C125" s="31" t="s">
        <v>1649</v>
      </c>
      <c r="D125" s="31" t="s">
        <v>1650</v>
      </c>
      <c r="E125" s="31" t="s">
        <v>1652</v>
      </c>
      <c r="F125" s="31" t="s">
        <v>1655</v>
      </c>
      <c r="G125" s="31" t="s">
        <v>1657</v>
      </c>
      <c r="H125" s="31" t="s">
        <v>1659</v>
      </c>
      <c r="I125" s="84"/>
      <c r="J125" s="159"/>
      <c r="K125" s="84"/>
      <c r="L125" s="84"/>
      <c r="M125" s="84"/>
      <c r="N125" s="84"/>
      <c r="O125" s="149" t="s">
        <v>1660</v>
      </c>
      <c r="P125" s="84"/>
      <c r="Q125" s="84" t="s">
        <v>166</v>
      </c>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76"/>
      <c r="AP125" s="76"/>
      <c r="AQ125" s="76"/>
      <c r="AR125" s="76"/>
      <c r="AS125" s="76"/>
      <c r="AT125" s="76"/>
      <c r="AU125" s="76"/>
      <c r="AV125" s="76"/>
      <c r="AW125" s="76"/>
      <c r="AX125" s="76"/>
    </row>
    <row r="126" ht="15.75" customHeight="1">
      <c r="A126" s="133" t="s">
        <v>214</v>
      </c>
      <c r="B126" s="143" t="s">
        <v>809</v>
      </c>
      <c r="C126" s="31" t="s">
        <v>1670</v>
      </c>
      <c r="D126" s="31" t="s">
        <v>1671</v>
      </c>
      <c r="E126" s="31" t="s">
        <v>1672</v>
      </c>
      <c r="F126" s="31"/>
      <c r="G126" s="31"/>
      <c r="H126" s="31"/>
      <c r="I126" s="162"/>
      <c r="J126" s="163"/>
      <c r="K126" s="162"/>
      <c r="L126" s="162"/>
      <c r="M126" s="162"/>
      <c r="N126" s="162"/>
      <c r="O126" s="164" t="s">
        <v>1680</v>
      </c>
      <c r="P126" s="162"/>
      <c r="Q126" s="162" t="s">
        <v>166</v>
      </c>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76"/>
      <c r="AP126" s="76"/>
      <c r="AQ126" s="76"/>
      <c r="AR126" s="76"/>
      <c r="AS126" s="76"/>
      <c r="AT126" s="76"/>
      <c r="AU126" s="76"/>
      <c r="AV126" s="76"/>
      <c r="AW126" s="76"/>
      <c r="AX126" s="76"/>
    </row>
    <row r="127" ht="15.75" customHeight="1">
      <c r="A127" s="81" t="s">
        <v>338</v>
      </c>
      <c r="B127" s="142" t="s">
        <v>813</v>
      </c>
      <c r="C127" s="31" t="s">
        <v>1688</v>
      </c>
      <c r="D127" s="31" t="s">
        <v>1689</v>
      </c>
      <c r="E127" s="31" t="s">
        <v>1690</v>
      </c>
      <c r="F127" s="31"/>
      <c r="G127" s="31"/>
      <c r="H127" s="31"/>
      <c r="I127" s="84"/>
      <c r="J127" s="159"/>
      <c r="K127" s="84"/>
      <c r="L127" s="84"/>
      <c r="M127" s="84"/>
      <c r="N127" s="84"/>
      <c r="O127" s="149" t="s">
        <v>1660</v>
      </c>
      <c r="P127" s="84"/>
      <c r="Q127" s="84" t="s">
        <v>166</v>
      </c>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76"/>
      <c r="AP127" s="76"/>
      <c r="AQ127" s="76"/>
      <c r="AR127" s="76"/>
      <c r="AS127" s="76"/>
      <c r="AT127" s="76"/>
      <c r="AU127" s="76"/>
      <c r="AV127" s="76"/>
      <c r="AW127" s="76"/>
      <c r="AX127" s="76"/>
    </row>
    <row r="128" ht="15.75" customHeight="1">
      <c r="A128" s="126" t="s">
        <v>42</v>
      </c>
      <c r="B128" s="127" t="s">
        <v>819</v>
      </c>
      <c r="C128" s="31" t="s">
        <v>1702</v>
      </c>
      <c r="D128" s="31" t="s">
        <v>1703</v>
      </c>
      <c r="E128" s="31" t="s">
        <v>1704</v>
      </c>
      <c r="F128" s="31"/>
      <c r="G128" s="31"/>
      <c r="H128" s="31"/>
      <c r="I128" s="154"/>
      <c r="J128" s="154"/>
      <c r="K128" s="154"/>
      <c r="L128" s="154"/>
      <c r="M128" s="154"/>
      <c r="N128" s="154"/>
      <c r="O128" s="154"/>
      <c r="P128" s="154"/>
      <c r="Q128" s="154"/>
      <c r="R128" s="154"/>
      <c r="S128" s="154"/>
      <c r="T128" s="154"/>
      <c r="U128" s="154"/>
      <c r="V128" s="154"/>
      <c r="W128" s="154"/>
      <c r="X128" s="154"/>
      <c r="Y128" s="154"/>
      <c r="Z128" s="154"/>
      <c r="AA128" s="154"/>
      <c r="AB128" s="154"/>
      <c r="AC128" s="154"/>
      <c r="AD128" s="154"/>
      <c r="AE128" s="154"/>
      <c r="AF128" s="154"/>
      <c r="AG128" s="154"/>
      <c r="AH128" s="154"/>
      <c r="AI128" s="154"/>
      <c r="AJ128" s="154"/>
      <c r="AK128" s="154"/>
      <c r="AL128" s="154"/>
      <c r="AM128" s="154"/>
      <c r="AN128" s="154"/>
      <c r="AO128" s="76"/>
      <c r="AP128" s="76"/>
      <c r="AQ128" s="76"/>
      <c r="AR128" s="76"/>
      <c r="AS128" s="76"/>
      <c r="AT128" s="76"/>
      <c r="AU128" s="76"/>
      <c r="AV128" s="76"/>
      <c r="AW128" s="76"/>
      <c r="AX128" s="76"/>
    </row>
    <row r="129" ht="15.75" customHeight="1">
      <c r="A129" s="146" t="s">
        <v>237</v>
      </c>
      <c r="B129" s="147" t="s">
        <v>823</v>
      </c>
      <c r="C129" s="31" t="s">
        <v>1708</v>
      </c>
      <c r="D129" s="31" t="s">
        <v>1709</v>
      </c>
      <c r="E129" s="31" t="s">
        <v>1710</v>
      </c>
      <c r="F129" s="31"/>
      <c r="G129" s="31"/>
      <c r="H129" s="31"/>
      <c r="I129" s="175"/>
      <c r="J129" s="175"/>
      <c r="K129" s="205" t="s">
        <v>1715</v>
      </c>
      <c r="L129" s="176"/>
      <c r="M129" s="176"/>
      <c r="N129" s="176"/>
      <c r="O129" s="175"/>
      <c r="P129" s="175"/>
      <c r="Q129" s="175" t="s">
        <v>166</v>
      </c>
      <c r="R129" s="175"/>
      <c r="S129" s="175"/>
      <c r="T129" s="175"/>
      <c r="U129" s="175"/>
      <c r="V129" s="175"/>
      <c r="W129" s="175"/>
      <c r="X129" s="175"/>
      <c r="Y129" s="175"/>
      <c r="Z129" s="175"/>
      <c r="AA129" s="175"/>
      <c r="AB129" s="175"/>
      <c r="AC129" s="175"/>
      <c r="AD129" s="175"/>
      <c r="AE129" s="175"/>
      <c r="AF129" s="175"/>
      <c r="AG129" s="175"/>
      <c r="AH129" s="175"/>
      <c r="AI129" s="175"/>
      <c r="AJ129" s="175"/>
      <c r="AK129" s="175"/>
      <c r="AL129" s="175"/>
      <c r="AM129" s="175"/>
      <c r="AN129" s="175"/>
      <c r="AO129" s="76"/>
      <c r="AP129" s="76"/>
      <c r="AQ129" s="76"/>
      <c r="AR129" s="76"/>
      <c r="AS129" s="76"/>
      <c r="AT129" s="76"/>
      <c r="AU129" s="76"/>
      <c r="AV129" s="76"/>
      <c r="AW129" s="76"/>
      <c r="AX129" s="76"/>
    </row>
    <row r="130" ht="15.75" customHeight="1">
      <c r="A130" s="122"/>
      <c r="B130" s="123"/>
      <c r="C130" s="31"/>
      <c r="D130" s="31"/>
      <c r="E130" s="31"/>
      <c r="F130" s="70"/>
      <c r="G130" s="70"/>
      <c r="H130" s="70"/>
      <c r="I130" s="71"/>
      <c r="J130" s="71"/>
      <c r="K130" s="70"/>
      <c r="L130" s="71"/>
      <c r="M130" s="71"/>
      <c r="N130" s="71"/>
      <c r="O130" s="71"/>
      <c r="P130" s="70"/>
      <c r="Q130" s="70"/>
      <c r="R130" s="70"/>
      <c r="S130" s="70"/>
      <c r="T130" s="70"/>
      <c r="U130" s="70"/>
      <c r="V130" s="70"/>
      <c r="W130" s="70"/>
      <c r="X130" s="70"/>
      <c r="Y130" s="70"/>
      <c r="Z130" s="70"/>
      <c r="AA130" s="70"/>
      <c r="AB130" s="70"/>
      <c r="AC130" s="70"/>
      <c r="AD130" s="76"/>
      <c r="AE130" s="76"/>
      <c r="AF130" s="76"/>
      <c r="AG130" s="76"/>
      <c r="AH130" s="76"/>
      <c r="AI130" s="76"/>
      <c r="AJ130" s="76"/>
      <c r="AK130" s="76"/>
      <c r="AL130" s="76"/>
      <c r="AM130" s="76"/>
      <c r="AN130" s="76"/>
      <c r="AO130" s="76"/>
      <c r="AP130" s="76"/>
      <c r="AQ130" s="76"/>
      <c r="AR130" s="76"/>
      <c r="AS130" s="76"/>
      <c r="AT130" s="76"/>
      <c r="AU130" s="76"/>
      <c r="AV130" s="76"/>
      <c r="AW130" s="76"/>
      <c r="AX130" s="76"/>
    </row>
    <row r="131" ht="15.75" customHeight="1">
      <c r="A131" s="122" t="s">
        <v>150</v>
      </c>
      <c r="B131" s="123" t="s">
        <v>836</v>
      </c>
      <c r="C131" s="31"/>
      <c r="D131" s="31"/>
      <c r="E131" s="31"/>
      <c r="F131" s="70"/>
      <c r="G131" s="70"/>
      <c r="H131" s="70"/>
      <c r="I131" s="70"/>
      <c r="J131" s="71" t="s">
        <v>1736</v>
      </c>
      <c r="K131" s="70"/>
      <c r="L131" s="70"/>
      <c r="M131" s="71"/>
      <c r="N131" s="71"/>
      <c r="O131" s="71"/>
      <c r="P131" s="70"/>
      <c r="Q131" s="70"/>
      <c r="R131" s="70"/>
      <c r="S131" s="70"/>
      <c r="T131" s="70"/>
      <c r="U131" s="70"/>
      <c r="V131" s="70"/>
      <c r="W131" s="70"/>
      <c r="X131" s="70"/>
      <c r="Y131" s="70"/>
      <c r="Z131" s="70"/>
      <c r="AA131" s="70"/>
      <c r="AB131" s="70"/>
      <c r="AC131" s="70"/>
      <c r="AD131" s="76"/>
      <c r="AE131" s="76"/>
      <c r="AF131" s="76"/>
      <c r="AG131" s="76"/>
      <c r="AH131" s="76"/>
      <c r="AI131" s="76"/>
      <c r="AJ131" s="76"/>
      <c r="AK131" s="76"/>
      <c r="AL131" s="76"/>
      <c r="AM131" s="76"/>
      <c r="AN131" s="76"/>
      <c r="AO131" s="76"/>
      <c r="AP131" s="76"/>
      <c r="AQ131" s="76"/>
      <c r="AR131" s="76"/>
      <c r="AS131" s="76"/>
      <c r="AT131" s="76"/>
      <c r="AU131" s="76"/>
      <c r="AV131" s="76"/>
      <c r="AW131" s="76"/>
      <c r="AX131" s="76"/>
    </row>
    <row r="132" ht="15.75" customHeight="1">
      <c r="A132" s="81" t="s">
        <v>841</v>
      </c>
      <c r="B132" s="142" t="s">
        <v>842</v>
      </c>
      <c r="C132" s="31" t="s">
        <v>1742</v>
      </c>
      <c r="D132" s="31" t="s">
        <v>1743</v>
      </c>
      <c r="E132" s="31" t="s">
        <v>1744</v>
      </c>
      <c r="F132" s="31"/>
      <c r="G132" s="31"/>
      <c r="H132" s="31"/>
      <c r="I132" s="84"/>
      <c r="J132" s="159" t="s">
        <v>7</v>
      </c>
      <c r="K132" s="84"/>
      <c r="L132" s="84"/>
      <c r="M132" s="84"/>
      <c r="N132" s="84"/>
      <c r="O132" s="84"/>
      <c r="P132" s="84"/>
      <c r="Q132" s="84"/>
      <c r="R132" s="84"/>
      <c r="S132" s="84"/>
      <c r="T132" s="84"/>
      <c r="U132" s="84"/>
      <c r="V132" s="84"/>
      <c r="W132" s="84"/>
      <c r="X132" s="84"/>
      <c r="Y132" s="84"/>
      <c r="Z132" s="84"/>
      <c r="AA132" s="84"/>
      <c r="AB132" s="84"/>
      <c r="AC132" s="84"/>
      <c r="AD132" s="76"/>
      <c r="AE132" s="76"/>
      <c r="AF132" s="76"/>
      <c r="AG132" s="76"/>
      <c r="AH132" s="76"/>
      <c r="AI132" s="76"/>
      <c r="AJ132" s="76"/>
      <c r="AK132" s="76"/>
      <c r="AL132" s="76"/>
      <c r="AM132" s="76"/>
      <c r="AN132" s="76"/>
      <c r="AO132" s="76"/>
      <c r="AP132" s="76"/>
      <c r="AQ132" s="76"/>
      <c r="AR132" s="76"/>
      <c r="AS132" s="76"/>
      <c r="AT132" s="76"/>
      <c r="AU132" s="76"/>
      <c r="AV132" s="76"/>
      <c r="AW132" s="76"/>
      <c r="AX132" s="76"/>
    </row>
    <row r="133" ht="15.75" customHeight="1">
      <c r="A133" s="81" t="s">
        <v>841</v>
      </c>
      <c r="B133" s="142" t="s">
        <v>850</v>
      </c>
      <c r="C133" s="31" t="s">
        <v>1753</v>
      </c>
      <c r="D133" s="31" t="s">
        <v>1754</v>
      </c>
      <c r="E133" s="31" t="s">
        <v>1755</v>
      </c>
      <c r="F133" s="31"/>
      <c r="G133" s="31"/>
      <c r="H133" s="31"/>
      <c r="I133" s="84"/>
      <c r="J133" s="159" t="s">
        <v>1756</v>
      </c>
      <c r="K133" s="84"/>
      <c r="L133" s="84"/>
      <c r="M133" s="84"/>
      <c r="N133" s="84"/>
      <c r="O133" s="84"/>
      <c r="P133" s="84"/>
      <c r="Q133" s="84" t="s">
        <v>166</v>
      </c>
      <c r="R133" s="84"/>
      <c r="S133" s="84"/>
      <c r="T133" s="84"/>
      <c r="U133" s="84"/>
      <c r="V133" s="84"/>
      <c r="W133" s="84"/>
      <c r="X133" s="84"/>
      <c r="Y133" s="84"/>
      <c r="Z133" s="84"/>
      <c r="AA133" s="84"/>
      <c r="AB133" s="84"/>
      <c r="AC133" s="84"/>
      <c r="AD133" s="76"/>
      <c r="AE133" s="76"/>
      <c r="AF133" s="76"/>
      <c r="AG133" s="76"/>
      <c r="AH133" s="76"/>
      <c r="AI133" s="76"/>
      <c r="AJ133" s="76"/>
      <c r="AK133" s="76"/>
      <c r="AL133" s="76"/>
      <c r="AM133" s="76"/>
      <c r="AN133" s="76"/>
      <c r="AO133" s="76"/>
      <c r="AP133" s="76"/>
      <c r="AQ133" s="76"/>
      <c r="AR133" s="76"/>
      <c r="AS133" s="76"/>
      <c r="AT133" s="76"/>
      <c r="AU133" s="76"/>
      <c r="AV133" s="76"/>
      <c r="AW133" s="76"/>
      <c r="AX133" s="76"/>
    </row>
    <row r="134" ht="15.75" customHeight="1">
      <c r="A134" s="81" t="s">
        <v>841</v>
      </c>
      <c r="B134" s="142" t="s">
        <v>855</v>
      </c>
      <c r="C134" s="31" t="s">
        <v>1767</v>
      </c>
      <c r="D134" s="31" t="s">
        <v>1768</v>
      </c>
      <c r="E134" s="31" t="s">
        <v>1769</v>
      </c>
      <c r="F134" s="31"/>
      <c r="G134" s="31"/>
      <c r="H134" s="31"/>
      <c r="I134" s="84"/>
      <c r="J134" s="159" t="s">
        <v>1756</v>
      </c>
      <c r="K134" s="84"/>
      <c r="L134" s="84"/>
      <c r="M134" s="84"/>
      <c r="N134" s="84"/>
      <c r="O134" s="84"/>
      <c r="P134" s="84"/>
      <c r="Q134" s="84" t="s">
        <v>166</v>
      </c>
      <c r="R134" s="84"/>
      <c r="S134" s="84"/>
      <c r="T134" s="84"/>
      <c r="U134" s="84"/>
      <c r="V134" s="84"/>
      <c r="W134" s="84"/>
      <c r="X134" s="84"/>
      <c r="Y134" s="84"/>
      <c r="Z134" s="84"/>
      <c r="AA134" s="84"/>
      <c r="AB134" s="84"/>
      <c r="AC134" s="84"/>
      <c r="AD134" s="76"/>
      <c r="AE134" s="76"/>
      <c r="AF134" s="76"/>
      <c r="AG134" s="76"/>
      <c r="AH134" s="76"/>
      <c r="AI134" s="76"/>
      <c r="AJ134" s="76"/>
      <c r="AK134" s="76"/>
      <c r="AL134" s="76"/>
      <c r="AM134" s="76"/>
      <c r="AN134" s="76"/>
      <c r="AO134" s="76"/>
      <c r="AP134" s="76"/>
      <c r="AQ134" s="76"/>
      <c r="AR134" s="76"/>
      <c r="AS134" s="76"/>
      <c r="AT134" s="76"/>
      <c r="AU134" s="76"/>
      <c r="AV134" s="76"/>
      <c r="AW134" s="76"/>
      <c r="AX134" s="76"/>
    </row>
    <row r="135" ht="15.75" customHeight="1">
      <c r="A135" s="81" t="s">
        <v>841</v>
      </c>
      <c r="B135" s="142" t="s">
        <v>863</v>
      </c>
      <c r="C135" s="31" t="s">
        <v>1781</v>
      </c>
      <c r="D135" s="31" t="s">
        <v>1781</v>
      </c>
      <c r="E135" s="31" t="s">
        <v>1782</v>
      </c>
      <c r="F135" s="31"/>
      <c r="G135" s="31"/>
      <c r="H135" s="31"/>
      <c r="I135" s="84"/>
      <c r="J135" s="159" t="s">
        <v>1756</v>
      </c>
      <c r="K135" s="84"/>
      <c r="L135" s="84"/>
      <c r="M135" s="84"/>
      <c r="N135" s="84"/>
      <c r="O135" s="84"/>
      <c r="P135" s="84"/>
      <c r="Q135" s="84" t="s">
        <v>166</v>
      </c>
      <c r="R135" s="84"/>
      <c r="S135" s="84"/>
      <c r="T135" s="84"/>
      <c r="U135" s="84"/>
      <c r="V135" s="84"/>
      <c r="W135" s="84"/>
      <c r="X135" s="84"/>
      <c r="Y135" s="84"/>
      <c r="Z135" s="84"/>
      <c r="AA135" s="84"/>
      <c r="AB135" s="84"/>
      <c r="AC135" s="84"/>
      <c r="AD135" s="76"/>
      <c r="AE135" s="76"/>
      <c r="AF135" s="76"/>
      <c r="AG135" s="76"/>
      <c r="AH135" s="76"/>
      <c r="AI135" s="76"/>
      <c r="AJ135" s="76"/>
      <c r="AK135" s="76"/>
      <c r="AL135" s="76"/>
      <c r="AM135" s="76"/>
      <c r="AN135" s="76"/>
      <c r="AO135" s="76"/>
      <c r="AP135" s="76"/>
      <c r="AQ135" s="76"/>
      <c r="AR135" s="76"/>
      <c r="AS135" s="76"/>
      <c r="AT135" s="76"/>
      <c r="AU135" s="76"/>
      <c r="AV135" s="76"/>
      <c r="AW135" s="76"/>
      <c r="AX135" s="76"/>
    </row>
    <row r="136" ht="15.75" customHeight="1">
      <c r="A136" s="81" t="s">
        <v>841</v>
      </c>
      <c r="B136" s="142" t="s">
        <v>867</v>
      </c>
      <c r="C136" s="31" t="s">
        <v>1790</v>
      </c>
      <c r="D136" s="31" t="s">
        <v>1791</v>
      </c>
      <c r="E136" s="31" t="s">
        <v>1792</v>
      </c>
      <c r="F136" s="31"/>
      <c r="G136" s="31"/>
      <c r="H136" s="31"/>
      <c r="I136" s="84"/>
      <c r="J136" s="159" t="s">
        <v>1756</v>
      </c>
      <c r="K136" s="84"/>
      <c r="L136" s="84"/>
      <c r="M136" s="84"/>
      <c r="N136" s="84"/>
      <c r="O136" s="84"/>
      <c r="P136" s="84"/>
      <c r="Q136" s="84" t="s">
        <v>166</v>
      </c>
      <c r="R136" s="84"/>
      <c r="S136" s="84"/>
      <c r="T136" s="84"/>
      <c r="U136" s="84"/>
      <c r="V136" s="84"/>
      <c r="W136" s="84"/>
      <c r="X136" s="84"/>
      <c r="Y136" s="84"/>
      <c r="Z136" s="84"/>
      <c r="AA136" s="84"/>
      <c r="AB136" s="84"/>
      <c r="AC136" s="84"/>
      <c r="AD136" s="76"/>
      <c r="AE136" s="76"/>
      <c r="AF136" s="76"/>
      <c r="AG136" s="76"/>
      <c r="AH136" s="76"/>
      <c r="AI136" s="76"/>
      <c r="AJ136" s="76"/>
      <c r="AK136" s="76"/>
      <c r="AL136" s="76"/>
      <c r="AM136" s="76"/>
      <c r="AN136" s="76"/>
      <c r="AO136" s="76"/>
      <c r="AP136" s="76"/>
      <c r="AQ136" s="76"/>
      <c r="AR136" s="76"/>
      <c r="AS136" s="76"/>
      <c r="AT136" s="76"/>
      <c r="AU136" s="76"/>
      <c r="AV136" s="76"/>
      <c r="AW136" s="76"/>
      <c r="AX136" s="76"/>
    </row>
    <row r="137" ht="15.75" customHeight="1">
      <c r="A137" s="81" t="s">
        <v>841</v>
      </c>
      <c r="B137" s="142" t="s">
        <v>875</v>
      </c>
      <c r="C137" s="31" t="s">
        <v>1807</v>
      </c>
      <c r="D137" s="31" t="s">
        <v>1808</v>
      </c>
      <c r="E137" s="31" t="s">
        <v>1809</v>
      </c>
      <c r="F137" s="31"/>
      <c r="G137" s="31"/>
      <c r="H137" s="31"/>
      <c r="I137" s="84"/>
      <c r="J137" s="159" t="s">
        <v>1756</v>
      </c>
      <c r="K137" s="84"/>
      <c r="L137" s="84"/>
      <c r="M137" s="84"/>
      <c r="N137" s="84"/>
      <c r="O137" s="84"/>
      <c r="P137" s="84"/>
      <c r="Q137" s="84" t="s">
        <v>166</v>
      </c>
      <c r="R137" s="84"/>
      <c r="S137" s="84"/>
      <c r="T137" s="84"/>
      <c r="U137" s="84"/>
      <c r="V137" s="84"/>
      <c r="W137" s="84"/>
      <c r="X137" s="84"/>
      <c r="Y137" s="84"/>
      <c r="Z137" s="84"/>
      <c r="AA137" s="84"/>
      <c r="AB137" s="84"/>
      <c r="AC137" s="84"/>
      <c r="AD137" s="76"/>
      <c r="AE137" s="76"/>
      <c r="AF137" s="76"/>
      <c r="AG137" s="76"/>
      <c r="AH137" s="76"/>
      <c r="AI137" s="76"/>
      <c r="AJ137" s="76"/>
      <c r="AK137" s="76"/>
      <c r="AL137" s="76"/>
      <c r="AM137" s="76"/>
      <c r="AN137" s="76"/>
      <c r="AO137" s="76"/>
      <c r="AP137" s="76"/>
      <c r="AQ137" s="76"/>
      <c r="AR137" s="76"/>
      <c r="AS137" s="76"/>
      <c r="AT137" s="76"/>
      <c r="AU137" s="76"/>
      <c r="AV137" s="76"/>
      <c r="AW137" s="76"/>
      <c r="AX137" s="76"/>
    </row>
    <row r="138" ht="15.75" customHeight="1">
      <c r="A138" s="81" t="s">
        <v>841</v>
      </c>
      <c r="B138" s="142" t="s">
        <v>883</v>
      </c>
      <c r="C138" s="31" t="s">
        <v>1821</v>
      </c>
      <c r="D138" s="31" t="s">
        <v>1822</v>
      </c>
      <c r="E138" s="31" t="s">
        <v>1823</v>
      </c>
      <c r="F138" s="31"/>
      <c r="G138" s="31"/>
      <c r="H138" s="31"/>
      <c r="I138" s="84"/>
      <c r="J138" s="159" t="s">
        <v>1756</v>
      </c>
      <c r="K138" s="84"/>
      <c r="L138" s="84"/>
      <c r="M138" s="84"/>
      <c r="N138" s="84"/>
      <c r="O138" s="84"/>
      <c r="P138" s="84"/>
      <c r="Q138" s="84" t="s">
        <v>166</v>
      </c>
      <c r="R138" s="84"/>
      <c r="S138" s="84"/>
      <c r="T138" s="84"/>
      <c r="U138" s="84"/>
      <c r="V138" s="84"/>
      <c r="W138" s="84"/>
      <c r="X138" s="84"/>
      <c r="Y138" s="84"/>
      <c r="Z138" s="84"/>
      <c r="AA138" s="84"/>
      <c r="AB138" s="84"/>
      <c r="AC138" s="84"/>
      <c r="AD138" s="76"/>
      <c r="AE138" s="76"/>
      <c r="AF138" s="76"/>
      <c r="AG138" s="76"/>
      <c r="AH138" s="76"/>
      <c r="AI138" s="76"/>
      <c r="AJ138" s="76"/>
      <c r="AK138" s="76"/>
      <c r="AL138" s="76"/>
      <c r="AM138" s="76"/>
      <c r="AN138" s="76"/>
      <c r="AO138" s="76"/>
      <c r="AP138" s="76"/>
      <c r="AQ138" s="76"/>
      <c r="AR138" s="76"/>
      <c r="AS138" s="76"/>
      <c r="AT138" s="76"/>
      <c r="AU138" s="76"/>
      <c r="AV138" s="76"/>
      <c r="AW138" s="76"/>
      <c r="AX138" s="76"/>
    </row>
    <row r="139" ht="15.75" customHeight="1">
      <c r="A139" s="81" t="s">
        <v>841</v>
      </c>
      <c r="B139" s="142" t="s">
        <v>890</v>
      </c>
      <c r="C139" s="31" t="s">
        <v>1833</v>
      </c>
      <c r="D139" s="31" t="s">
        <v>1834</v>
      </c>
      <c r="E139" s="31" t="s">
        <v>1835</v>
      </c>
      <c r="F139" s="31"/>
      <c r="G139" s="31"/>
      <c r="H139" s="31"/>
      <c r="I139" s="84"/>
      <c r="J139" s="159" t="s">
        <v>1756</v>
      </c>
      <c r="K139" s="84"/>
      <c r="L139" s="84"/>
      <c r="M139" s="84"/>
      <c r="N139" s="84"/>
      <c r="O139" s="84"/>
      <c r="P139" s="84"/>
      <c r="Q139" s="84" t="s">
        <v>166</v>
      </c>
      <c r="R139" s="84"/>
      <c r="S139" s="84"/>
      <c r="T139" s="84"/>
      <c r="U139" s="84"/>
      <c r="V139" s="84"/>
      <c r="W139" s="84"/>
      <c r="X139" s="84"/>
      <c r="Y139" s="84"/>
      <c r="Z139" s="84"/>
      <c r="AA139" s="84"/>
      <c r="AB139" s="84"/>
      <c r="AC139" s="84"/>
      <c r="AD139" s="76"/>
      <c r="AE139" s="76"/>
      <c r="AF139" s="76"/>
      <c r="AG139" s="76"/>
      <c r="AH139" s="76"/>
      <c r="AI139" s="76"/>
      <c r="AJ139" s="76"/>
      <c r="AK139" s="76"/>
      <c r="AL139" s="76"/>
      <c r="AM139" s="76"/>
      <c r="AN139" s="76"/>
      <c r="AO139" s="76"/>
      <c r="AP139" s="76"/>
      <c r="AQ139" s="76"/>
      <c r="AR139" s="76"/>
      <c r="AS139" s="76"/>
      <c r="AT139" s="76"/>
      <c r="AU139" s="76"/>
      <c r="AV139" s="76"/>
      <c r="AW139" s="76"/>
      <c r="AX139" s="76"/>
    </row>
    <row r="140" ht="15.75" customHeight="1">
      <c r="A140" s="122" t="s">
        <v>236</v>
      </c>
      <c r="B140" s="153" t="s">
        <v>836</v>
      </c>
      <c r="C140" s="31"/>
      <c r="D140" s="31"/>
      <c r="E140" s="31"/>
      <c r="F140" s="7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c r="AD140" s="76"/>
      <c r="AE140" s="76"/>
      <c r="AF140" s="76"/>
      <c r="AG140" s="76"/>
      <c r="AH140" s="76"/>
      <c r="AI140" s="76"/>
      <c r="AJ140" s="76"/>
      <c r="AK140" s="76"/>
      <c r="AL140" s="76"/>
      <c r="AM140" s="76"/>
      <c r="AN140" s="76"/>
      <c r="AO140" s="76"/>
      <c r="AP140" s="76"/>
      <c r="AQ140" s="76"/>
      <c r="AR140" s="76"/>
      <c r="AS140" s="76"/>
      <c r="AT140" s="76"/>
      <c r="AU140" s="76"/>
      <c r="AV140" s="76"/>
      <c r="AW140" s="76"/>
      <c r="AX140" s="76"/>
    </row>
    <row r="141" ht="15.75" customHeight="1">
      <c r="A141" s="122" t="s">
        <v>150</v>
      </c>
      <c r="B141" s="123" t="s">
        <v>902</v>
      </c>
      <c r="C141" s="31"/>
      <c r="D141" s="31"/>
      <c r="E141" s="31"/>
      <c r="F141" s="70"/>
      <c r="G141" s="70"/>
      <c r="H141" s="70"/>
      <c r="I141" s="70"/>
      <c r="J141" s="71" t="s">
        <v>1736</v>
      </c>
      <c r="K141" s="70"/>
      <c r="L141" s="70"/>
      <c r="M141" s="71"/>
      <c r="N141" s="71"/>
      <c r="O141" s="71"/>
      <c r="P141" s="70"/>
      <c r="Q141" s="70"/>
      <c r="R141" s="70"/>
      <c r="S141" s="70"/>
      <c r="T141" s="70"/>
      <c r="U141" s="70"/>
      <c r="V141" s="70"/>
      <c r="W141" s="70"/>
      <c r="X141" s="70"/>
      <c r="Y141" s="70"/>
      <c r="Z141" s="70"/>
      <c r="AA141" s="70"/>
      <c r="AB141" s="70"/>
      <c r="AC141" s="70"/>
      <c r="AD141" s="76"/>
      <c r="AE141" s="76"/>
      <c r="AF141" s="76"/>
      <c r="AG141" s="76"/>
      <c r="AH141" s="76"/>
      <c r="AI141" s="76"/>
      <c r="AJ141" s="76"/>
      <c r="AK141" s="76"/>
      <c r="AL141" s="76"/>
      <c r="AM141" s="76"/>
      <c r="AN141" s="76"/>
      <c r="AO141" s="76"/>
      <c r="AP141" s="76"/>
      <c r="AQ141" s="76"/>
      <c r="AR141" s="76"/>
      <c r="AS141" s="76"/>
      <c r="AT141" s="76"/>
      <c r="AU141" s="76"/>
      <c r="AV141" s="76"/>
      <c r="AW141" s="76"/>
      <c r="AX141" s="76"/>
    </row>
    <row r="142" ht="15.75" customHeight="1">
      <c r="A142" s="81" t="s">
        <v>906</v>
      </c>
      <c r="B142" s="142" t="s">
        <v>907</v>
      </c>
      <c r="C142" s="31" t="s">
        <v>1866</v>
      </c>
      <c r="D142" s="31" t="s">
        <v>1867</v>
      </c>
      <c r="E142" s="31" t="s">
        <v>1868</v>
      </c>
      <c r="F142" s="31"/>
      <c r="G142" s="31"/>
      <c r="H142" s="31"/>
      <c r="I142" s="84"/>
      <c r="J142" s="159" t="s">
        <v>7</v>
      </c>
      <c r="K142" s="84"/>
      <c r="L142" s="84"/>
      <c r="M142" s="84"/>
      <c r="N142" s="84"/>
      <c r="O142" s="84"/>
      <c r="P142" s="84"/>
      <c r="Q142" s="84"/>
      <c r="R142" s="84"/>
      <c r="S142" s="84"/>
      <c r="T142" s="84"/>
      <c r="U142" s="84"/>
      <c r="V142" s="84"/>
      <c r="W142" s="84"/>
      <c r="X142" s="84"/>
      <c r="Y142" s="84"/>
      <c r="Z142" s="84"/>
      <c r="AA142" s="84"/>
      <c r="AB142" s="84"/>
      <c r="AC142" s="84"/>
      <c r="AD142" s="76"/>
      <c r="AE142" s="76"/>
      <c r="AF142" s="76"/>
      <c r="AG142" s="76"/>
      <c r="AH142" s="76"/>
      <c r="AI142" s="76"/>
      <c r="AJ142" s="76"/>
      <c r="AK142" s="76"/>
      <c r="AL142" s="76"/>
      <c r="AM142" s="76"/>
      <c r="AN142" s="76"/>
      <c r="AO142" s="76"/>
      <c r="AP142" s="76"/>
      <c r="AQ142" s="76"/>
      <c r="AR142" s="76"/>
      <c r="AS142" s="76"/>
      <c r="AT142" s="76"/>
      <c r="AU142" s="76"/>
      <c r="AV142" s="76"/>
      <c r="AW142" s="76"/>
      <c r="AX142" s="76"/>
    </row>
    <row r="143" ht="15.75" customHeight="1">
      <c r="A143" s="81" t="s">
        <v>906</v>
      </c>
      <c r="B143" s="142" t="s">
        <v>914</v>
      </c>
      <c r="C143" s="31" t="s">
        <v>1877</v>
      </c>
      <c r="D143" s="31" t="s">
        <v>1878</v>
      </c>
      <c r="E143" s="31" t="s">
        <v>1879</v>
      </c>
      <c r="F143" s="31"/>
      <c r="G143" s="31"/>
      <c r="H143" s="31"/>
      <c r="I143" s="84"/>
      <c r="J143" s="159" t="s">
        <v>1756</v>
      </c>
      <c r="K143" s="84"/>
      <c r="L143" s="84"/>
      <c r="M143" s="84"/>
      <c r="N143" s="84"/>
      <c r="O143" s="84"/>
      <c r="P143" s="84"/>
      <c r="Q143" s="84" t="s">
        <v>166</v>
      </c>
      <c r="R143" s="84"/>
      <c r="S143" s="84"/>
      <c r="T143" s="84"/>
      <c r="U143" s="84"/>
      <c r="V143" s="84"/>
      <c r="W143" s="84"/>
      <c r="X143" s="84"/>
      <c r="Y143" s="84"/>
      <c r="Z143" s="84"/>
      <c r="AA143" s="84"/>
      <c r="AB143" s="84"/>
      <c r="AC143" s="84"/>
      <c r="AD143" s="76"/>
      <c r="AE143" s="76"/>
      <c r="AF143" s="76"/>
      <c r="AG143" s="76"/>
      <c r="AH143" s="76"/>
      <c r="AI143" s="76"/>
      <c r="AJ143" s="76"/>
      <c r="AK143" s="76"/>
      <c r="AL143" s="76"/>
      <c r="AM143" s="76"/>
      <c r="AN143" s="76"/>
      <c r="AO143" s="76"/>
      <c r="AP143" s="76"/>
      <c r="AQ143" s="76"/>
      <c r="AR143" s="76"/>
      <c r="AS143" s="76"/>
      <c r="AT143" s="76"/>
      <c r="AU143" s="76"/>
      <c r="AV143" s="76"/>
      <c r="AW143" s="76"/>
      <c r="AX143" s="76"/>
    </row>
    <row r="144" ht="15.75" customHeight="1">
      <c r="A144" s="81" t="s">
        <v>906</v>
      </c>
      <c r="B144" s="142" t="s">
        <v>920</v>
      </c>
      <c r="C144" s="31" t="s">
        <v>1891</v>
      </c>
      <c r="D144" s="31" t="s">
        <v>1893</v>
      </c>
      <c r="E144" s="31" t="s">
        <v>1894</v>
      </c>
      <c r="F144" s="31"/>
      <c r="G144" s="31"/>
      <c r="H144" s="31"/>
      <c r="I144" s="84"/>
      <c r="J144" s="159" t="s">
        <v>1756</v>
      </c>
      <c r="K144" s="84"/>
      <c r="L144" s="84"/>
      <c r="M144" s="84"/>
      <c r="N144" s="84"/>
      <c r="O144" s="84"/>
      <c r="P144" s="84"/>
      <c r="Q144" s="84" t="s">
        <v>166</v>
      </c>
      <c r="R144" s="84"/>
      <c r="S144" s="84"/>
      <c r="T144" s="84"/>
      <c r="U144" s="84"/>
      <c r="V144" s="84"/>
      <c r="W144" s="84"/>
      <c r="X144" s="84"/>
      <c r="Y144" s="84"/>
      <c r="Z144" s="84"/>
      <c r="AA144" s="84"/>
      <c r="AB144" s="84"/>
      <c r="AC144" s="84"/>
      <c r="AD144" s="76"/>
      <c r="AE144" s="76"/>
      <c r="AF144" s="76"/>
      <c r="AG144" s="76"/>
      <c r="AH144" s="76"/>
      <c r="AI144" s="76"/>
      <c r="AJ144" s="76"/>
      <c r="AK144" s="76"/>
      <c r="AL144" s="76"/>
      <c r="AM144" s="76"/>
      <c r="AN144" s="76"/>
      <c r="AO144" s="76"/>
      <c r="AP144" s="76"/>
      <c r="AQ144" s="76"/>
      <c r="AR144" s="76"/>
      <c r="AS144" s="76"/>
      <c r="AT144" s="76"/>
      <c r="AU144" s="76"/>
      <c r="AV144" s="76"/>
      <c r="AW144" s="76"/>
      <c r="AX144" s="76"/>
    </row>
    <row r="145" ht="15.75" customHeight="1">
      <c r="A145" s="122" t="s">
        <v>236</v>
      </c>
      <c r="B145" s="153" t="s">
        <v>902</v>
      </c>
      <c r="C145" s="31"/>
      <c r="D145" s="31"/>
      <c r="E145" s="31"/>
      <c r="F145" s="70"/>
      <c r="G145" s="70"/>
      <c r="H145" s="70"/>
      <c r="I145" s="70"/>
      <c r="J145" s="70"/>
      <c r="K145" s="70"/>
      <c r="L145" s="84"/>
      <c r="M145" s="70"/>
      <c r="N145" s="70"/>
      <c r="O145" s="70"/>
      <c r="P145" s="70"/>
      <c r="Q145" s="70"/>
      <c r="R145" s="70"/>
      <c r="S145" s="70"/>
      <c r="T145" s="70"/>
      <c r="U145" s="70"/>
      <c r="V145" s="70"/>
      <c r="W145" s="70"/>
      <c r="X145" s="70"/>
      <c r="Y145" s="70"/>
      <c r="Z145" s="70"/>
      <c r="AA145" s="70"/>
      <c r="AB145" s="70"/>
      <c r="AC145" s="70"/>
      <c r="AD145" s="76"/>
      <c r="AE145" s="76"/>
      <c r="AF145" s="76"/>
      <c r="AG145" s="76"/>
      <c r="AH145" s="76"/>
      <c r="AI145" s="76"/>
      <c r="AJ145" s="76"/>
      <c r="AK145" s="76"/>
      <c r="AL145" s="76"/>
      <c r="AM145" s="76"/>
      <c r="AN145" s="76"/>
      <c r="AO145" s="76"/>
      <c r="AP145" s="76"/>
      <c r="AQ145" s="76"/>
      <c r="AR145" s="76"/>
      <c r="AS145" s="76"/>
      <c r="AT145" s="76"/>
      <c r="AU145" s="76"/>
      <c r="AV145" s="76"/>
      <c r="AW145" s="76"/>
      <c r="AX145" s="76"/>
    </row>
    <row r="146" ht="15.75" customHeight="1">
      <c r="A146" s="146" t="s">
        <v>237</v>
      </c>
      <c r="B146" s="147" t="s">
        <v>930</v>
      </c>
      <c r="C146" s="31" t="s">
        <v>1914</v>
      </c>
      <c r="D146" s="31" t="s">
        <v>1917</v>
      </c>
      <c r="E146" s="31" t="s">
        <v>1919</v>
      </c>
      <c r="F146" s="31" t="s">
        <v>1920</v>
      </c>
      <c r="G146" s="31" t="s">
        <v>1921</v>
      </c>
      <c r="H146" s="31" t="s">
        <v>1922</v>
      </c>
      <c r="I146" s="175"/>
      <c r="J146" s="175"/>
      <c r="K146" s="176" t="s">
        <v>1715</v>
      </c>
      <c r="L146" s="176"/>
      <c r="M146" s="175"/>
      <c r="N146" s="175"/>
      <c r="O146" s="175"/>
      <c r="P146" s="175"/>
      <c r="Q146" s="175" t="s">
        <v>166</v>
      </c>
      <c r="R146" s="175"/>
      <c r="S146" s="175"/>
      <c r="T146" s="175"/>
      <c r="U146" s="175"/>
      <c r="V146" s="175"/>
      <c r="W146" s="175"/>
      <c r="X146" s="175"/>
      <c r="Y146" s="175"/>
      <c r="Z146" s="175"/>
      <c r="AA146" s="175"/>
      <c r="AB146" s="175"/>
      <c r="AC146" s="175"/>
      <c r="AD146" s="76"/>
      <c r="AE146" s="76"/>
      <c r="AF146" s="76"/>
      <c r="AG146" s="76"/>
      <c r="AH146" s="76"/>
      <c r="AI146" s="76"/>
      <c r="AJ146" s="76"/>
      <c r="AK146" s="76"/>
      <c r="AL146" s="76"/>
      <c r="AM146" s="76"/>
      <c r="AN146" s="76"/>
      <c r="AO146" s="76"/>
      <c r="AP146" s="76"/>
      <c r="AQ146" s="76"/>
      <c r="AR146" s="76"/>
      <c r="AS146" s="76"/>
      <c r="AT146" s="76"/>
      <c r="AU146" s="76"/>
      <c r="AV146" s="76"/>
      <c r="AW146" s="76"/>
      <c r="AX146" s="76"/>
    </row>
    <row r="147" ht="15.75" customHeight="1">
      <c r="A147" s="122"/>
      <c r="B147" s="123"/>
      <c r="C147" s="31"/>
      <c r="D147" s="31"/>
      <c r="E147" s="31"/>
      <c r="F147" s="70"/>
      <c r="G147" s="70"/>
      <c r="H147" s="70"/>
      <c r="I147" s="71"/>
      <c r="J147" s="71"/>
      <c r="K147" s="70"/>
      <c r="L147" s="71"/>
      <c r="M147" s="71"/>
      <c r="N147" s="71"/>
      <c r="O147" s="71"/>
      <c r="P147" s="70"/>
      <c r="Q147" s="70"/>
      <c r="R147" s="70"/>
      <c r="S147" s="70"/>
      <c r="T147" s="70"/>
      <c r="U147" s="70"/>
      <c r="V147" s="70"/>
      <c r="W147" s="70"/>
      <c r="X147" s="70"/>
      <c r="Y147" s="70"/>
      <c r="Z147" s="70"/>
      <c r="AA147" s="70"/>
      <c r="AB147" s="70"/>
      <c r="AC147" s="70"/>
      <c r="AD147" s="76"/>
      <c r="AE147" s="76"/>
      <c r="AF147" s="76"/>
      <c r="AG147" s="76"/>
      <c r="AH147" s="76"/>
      <c r="AI147" s="76"/>
      <c r="AJ147" s="76"/>
      <c r="AK147" s="76"/>
      <c r="AL147" s="76"/>
      <c r="AM147" s="76"/>
      <c r="AN147" s="76"/>
      <c r="AO147" s="76"/>
      <c r="AP147" s="76"/>
      <c r="AQ147" s="76"/>
      <c r="AR147" s="76"/>
      <c r="AS147" s="76"/>
      <c r="AT147" s="76"/>
      <c r="AU147" s="76"/>
      <c r="AV147" s="76"/>
      <c r="AW147" s="76"/>
      <c r="AX147" s="76"/>
    </row>
    <row r="148" ht="15.75" customHeight="1">
      <c r="A148" s="122" t="s">
        <v>150</v>
      </c>
      <c r="B148" s="123" t="s">
        <v>936</v>
      </c>
      <c r="C148" s="31" t="s">
        <v>937</v>
      </c>
      <c r="D148" s="31"/>
      <c r="E148" s="31"/>
      <c r="F148" s="70"/>
      <c r="G148" s="70"/>
      <c r="H148" s="70"/>
      <c r="I148" s="70"/>
      <c r="J148" s="71" t="s">
        <v>1736</v>
      </c>
      <c r="K148" s="70"/>
      <c r="L148" s="70"/>
      <c r="M148" s="70"/>
      <c r="N148" s="70"/>
      <c r="O148" s="71"/>
      <c r="P148" s="70"/>
      <c r="Q148" s="70"/>
      <c r="R148" s="70"/>
      <c r="S148" s="70"/>
      <c r="T148" s="70"/>
      <c r="U148" s="70"/>
      <c r="V148" s="70"/>
      <c r="W148" s="70"/>
      <c r="X148" s="70"/>
      <c r="Y148" s="70"/>
      <c r="Z148" s="70"/>
      <c r="AA148" s="70"/>
      <c r="AB148" s="70"/>
      <c r="AC148" s="70"/>
      <c r="AD148" s="70"/>
      <c r="AE148" s="70"/>
      <c r="AF148" s="70"/>
      <c r="AG148" s="70"/>
      <c r="AH148" s="70"/>
      <c r="AI148" s="70"/>
      <c r="AJ148" s="70"/>
      <c r="AK148" s="70"/>
      <c r="AL148" s="70"/>
      <c r="AM148" s="70"/>
      <c r="AN148" s="70"/>
      <c r="AO148" s="76"/>
      <c r="AP148" s="76"/>
      <c r="AQ148" s="76"/>
      <c r="AR148" s="76"/>
      <c r="AS148" s="76"/>
      <c r="AT148" s="76"/>
      <c r="AU148" s="76"/>
      <c r="AV148" s="76"/>
      <c r="AW148" s="76"/>
      <c r="AX148" s="76"/>
    </row>
    <row r="149" ht="15.75" customHeight="1">
      <c r="A149" s="126" t="s">
        <v>42</v>
      </c>
      <c r="B149" s="127" t="s">
        <v>944</v>
      </c>
      <c r="C149" s="31" t="s">
        <v>1953</v>
      </c>
      <c r="D149" s="31" t="s">
        <v>1954</v>
      </c>
      <c r="E149" s="31" t="s">
        <v>1955</v>
      </c>
      <c r="F149" s="31"/>
      <c r="G149" s="31"/>
      <c r="H149" s="31"/>
      <c r="I149" s="154"/>
      <c r="J149" s="154"/>
      <c r="K149" s="154"/>
      <c r="L149" s="154"/>
      <c r="M149" s="154"/>
      <c r="N149" s="154"/>
      <c r="O149" s="154"/>
      <c r="P149" s="154"/>
      <c r="Q149" s="154"/>
      <c r="R149" s="154"/>
      <c r="S149" s="154"/>
      <c r="T149" s="154"/>
      <c r="U149" s="154"/>
      <c r="V149" s="154"/>
      <c r="W149" s="154"/>
      <c r="X149" s="154"/>
      <c r="Y149" s="154"/>
      <c r="Z149" s="154"/>
      <c r="AA149" s="154"/>
      <c r="AB149" s="154"/>
      <c r="AC149" s="154"/>
      <c r="AD149" s="84"/>
      <c r="AE149" s="84"/>
      <c r="AF149" s="84"/>
      <c r="AG149" s="84"/>
      <c r="AH149" s="84"/>
      <c r="AI149" s="84"/>
      <c r="AJ149" s="84"/>
      <c r="AK149" s="84"/>
      <c r="AL149" s="84"/>
      <c r="AM149" s="84"/>
      <c r="AN149" s="84"/>
      <c r="AO149" s="76"/>
      <c r="AP149" s="76"/>
      <c r="AQ149" s="76"/>
      <c r="AR149" s="76"/>
      <c r="AS149" s="76"/>
      <c r="AT149" s="76"/>
      <c r="AU149" s="76"/>
      <c r="AV149" s="76"/>
      <c r="AW149" s="76"/>
      <c r="AX149" s="76"/>
    </row>
    <row r="150" ht="15.75" customHeight="1">
      <c r="A150" s="81" t="s">
        <v>949</v>
      </c>
      <c r="B150" s="142" t="s">
        <v>950</v>
      </c>
      <c r="C150" s="31" t="s">
        <v>1962</v>
      </c>
      <c r="D150" s="31" t="s">
        <v>1964</v>
      </c>
      <c r="E150" s="31" t="s">
        <v>1966</v>
      </c>
      <c r="F150" s="31"/>
      <c r="G150" s="31"/>
      <c r="H150" s="31"/>
      <c r="I150" s="84"/>
      <c r="J150" s="159" t="s">
        <v>7</v>
      </c>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c r="AN150" s="84"/>
      <c r="AO150" s="76"/>
      <c r="AP150" s="76"/>
      <c r="AQ150" s="76"/>
      <c r="AR150" s="76"/>
      <c r="AS150" s="76"/>
      <c r="AT150" s="76"/>
      <c r="AU150" s="76"/>
      <c r="AV150" s="76"/>
      <c r="AW150" s="76"/>
      <c r="AX150" s="76"/>
    </row>
    <row r="151" ht="15.75" customHeight="1">
      <c r="A151" s="81" t="s">
        <v>949</v>
      </c>
      <c r="B151" s="142" t="s">
        <v>959</v>
      </c>
      <c r="C151" s="31" t="s">
        <v>1980</v>
      </c>
      <c r="D151" s="31" t="s">
        <v>1982</v>
      </c>
      <c r="E151" s="31" t="s">
        <v>1983</v>
      </c>
      <c r="F151" s="31"/>
      <c r="G151" s="31"/>
      <c r="H151" s="31"/>
      <c r="I151" s="84"/>
      <c r="J151" s="159" t="s">
        <v>1756</v>
      </c>
      <c r="K151" s="84"/>
      <c r="L151" s="84"/>
      <c r="M151" s="84"/>
      <c r="N151" s="84"/>
      <c r="O151" s="84"/>
      <c r="P151" s="84"/>
      <c r="Q151" s="84" t="s">
        <v>166</v>
      </c>
      <c r="R151" s="84"/>
      <c r="S151" s="84"/>
      <c r="T151" s="84"/>
      <c r="U151" s="84"/>
      <c r="V151" s="84"/>
      <c r="W151" s="84"/>
      <c r="X151" s="84"/>
      <c r="Y151" s="84"/>
      <c r="Z151" s="84"/>
      <c r="AA151" s="84"/>
      <c r="AB151" s="84"/>
      <c r="AC151" s="84"/>
      <c r="AD151" s="84"/>
      <c r="AE151" s="84"/>
      <c r="AF151" s="84"/>
      <c r="AG151" s="84"/>
      <c r="AH151" s="84"/>
      <c r="AI151" s="84"/>
      <c r="AJ151" s="84"/>
      <c r="AK151" s="84"/>
      <c r="AL151" s="84"/>
      <c r="AM151" s="84"/>
      <c r="AN151" s="84"/>
      <c r="AO151" s="76"/>
      <c r="AP151" s="76"/>
      <c r="AQ151" s="76"/>
      <c r="AR151" s="76"/>
      <c r="AS151" s="76"/>
      <c r="AT151" s="76"/>
      <c r="AU151" s="76"/>
      <c r="AV151" s="76"/>
      <c r="AW151" s="76"/>
      <c r="AX151" s="76"/>
    </row>
    <row r="152" ht="15.75" customHeight="1">
      <c r="A152" s="81" t="s">
        <v>949</v>
      </c>
      <c r="B152" s="142" t="s">
        <v>966</v>
      </c>
      <c r="C152" s="31" t="s">
        <v>1994</v>
      </c>
      <c r="D152" s="31" t="s">
        <v>1995</v>
      </c>
      <c r="E152" s="31" t="s">
        <v>1996</v>
      </c>
      <c r="F152" s="31"/>
      <c r="G152" s="31"/>
      <c r="H152" s="31"/>
      <c r="I152" s="84"/>
      <c r="J152" s="159" t="s">
        <v>1756</v>
      </c>
      <c r="K152" s="84"/>
      <c r="L152" s="84"/>
      <c r="M152" s="84"/>
      <c r="N152" s="84"/>
      <c r="O152" s="84"/>
      <c r="P152" s="84"/>
      <c r="Q152" s="84" t="s">
        <v>166</v>
      </c>
      <c r="R152" s="84"/>
      <c r="S152" s="84"/>
      <c r="T152" s="84"/>
      <c r="U152" s="84"/>
      <c r="V152" s="84"/>
      <c r="W152" s="84"/>
      <c r="X152" s="84"/>
      <c r="Y152" s="84"/>
      <c r="Z152" s="84"/>
      <c r="AA152" s="84"/>
      <c r="AB152" s="84"/>
      <c r="AC152" s="84"/>
      <c r="AD152" s="84"/>
      <c r="AE152" s="84"/>
      <c r="AF152" s="84"/>
      <c r="AG152" s="84"/>
      <c r="AH152" s="84"/>
      <c r="AI152" s="84"/>
      <c r="AJ152" s="84"/>
      <c r="AK152" s="84"/>
      <c r="AL152" s="84"/>
      <c r="AM152" s="84"/>
      <c r="AN152" s="84"/>
      <c r="AO152" s="76"/>
      <c r="AP152" s="76"/>
      <c r="AQ152" s="76"/>
      <c r="AR152" s="76"/>
      <c r="AS152" s="76"/>
      <c r="AT152" s="76"/>
      <c r="AU152" s="76"/>
      <c r="AV152" s="76"/>
      <c r="AW152" s="76"/>
      <c r="AX152" s="76"/>
    </row>
    <row r="153" ht="15.75" customHeight="1">
      <c r="A153" s="81" t="s">
        <v>949</v>
      </c>
      <c r="B153" s="142" t="s">
        <v>974</v>
      </c>
      <c r="C153" s="31" t="s">
        <v>2006</v>
      </c>
      <c r="D153" s="31" t="s">
        <v>2008</v>
      </c>
      <c r="E153" s="31" t="s">
        <v>2009</v>
      </c>
      <c r="F153" s="31"/>
      <c r="G153" s="31"/>
      <c r="H153" s="31"/>
      <c r="I153" s="84"/>
      <c r="J153" s="159" t="s">
        <v>1756</v>
      </c>
      <c r="K153" s="84"/>
      <c r="L153" s="84"/>
      <c r="M153" s="84"/>
      <c r="N153" s="84"/>
      <c r="O153" s="84"/>
      <c r="P153" s="84"/>
      <c r="Q153" s="84" t="s">
        <v>166</v>
      </c>
      <c r="R153" s="84"/>
      <c r="S153" s="84"/>
      <c r="T153" s="84"/>
      <c r="U153" s="84"/>
      <c r="V153" s="84"/>
      <c r="W153" s="84"/>
      <c r="X153" s="84"/>
      <c r="Y153" s="84"/>
      <c r="Z153" s="84"/>
      <c r="AA153" s="84"/>
      <c r="AB153" s="84"/>
      <c r="AC153" s="84"/>
      <c r="AD153" s="84"/>
      <c r="AE153" s="84"/>
      <c r="AF153" s="84"/>
      <c r="AG153" s="84"/>
      <c r="AH153" s="84"/>
      <c r="AI153" s="84"/>
      <c r="AJ153" s="84"/>
      <c r="AK153" s="84"/>
      <c r="AL153" s="84"/>
      <c r="AM153" s="84"/>
      <c r="AN153" s="84"/>
      <c r="AO153" s="76"/>
      <c r="AP153" s="76"/>
      <c r="AQ153" s="76"/>
      <c r="AR153" s="76"/>
      <c r="AS153" s="76"/>
      <c r="AT153" s="76"/>
      <c r="AU153" s="76"/>
      <c r="AV153" s="76"/>
      <c r="AW153" s="76"/>
      <c r="AX153" s="76"/>
    </row>
    <row r="154" ht="15.75" customHeight="1">
      <c r="A154" s="81" t="s">
        <v>949</v>
      </c>
      <c r="B154" s="142" t="s">
        <v>981</v>
      </c>
      <c r="C154" s="31" t="s">
        <v>2021</v>
      </c>
      <c r="D154" s="31" t="s">
        <v>2022</v>
      </c>
      <c r="E154" s="31" t="s">
        <v>2023</v>
      </c>
      <c r="F154" s="177"/>
      <c r="G154" s="177"/>
      <c r="H154" s="177"/>
      <c r="I154" s="178"/>
      <c r="J154" s="159" t="s">
        <v>1756</v>
      </c>
      <c r="K154" s="178"/>
      <c r="L154" s="178"/>
      <c r="M154" s="178"/>
      <c r="N154" s="178"/>
      <c r="O154" s="178"/>
      <c r="P154" s="84"/>
      <c r="Q154" s="84" t="s">
        <v>166</v>
      </c>
      <c r="R154" s="178"/>
      <c r="S154" s="178"/>
      <c r="T154" s="178"/>
      <c r="U154" s="178"/>
      <c r="V154" s="178"/>
      <c r="W154" s="178"/>
      <c r="X154" s="178"/>
      <c r="Y154" s="178"/>
      <c r="Z154" s="178"/>
      <c r="AA154" s="178"/>
      <c r="AB154" s="178"/>
      <c r="AC154" s="178"/>
      <c r="AD154" s="117"/>
      <c r="AE154" s="117"/>
      <c r="AF154" s="117"/>
      <c r="AG154" s="117"/>
      <c r="AH154" s="117"/>
      <c r="AI154" s="117"/>
      <c r="AJ154" s="117"/>
      <c r="AK154" s="117"/>
      <c r="AL154" s="178"/>
      <c r="AM154" s="178"/>
      <c r="AN154" s="178"/>
      <c r="AO154" s="117"/>
      <c r="AP154" s="117"/>
      <c r="AQ154" s="117"/>
      <c r="AR154" s="117"/>
      <c r="AS154" s="117"/>
      <c r="AT154" s="117"/>
      <c r="AU154" s="117"/>
      <c r="AV154" s="117"/>
      <c r="AW154" s="117"/>
      <c r="AX154" s="117"/>
    </row>
    <row r="155" ht="15.75" customHeight="1">
      <c r="A155" s="81" t="s">
        <v>949</v>
      </c>
      <c r="B155" s="142" t="s">
        <v>989</v>
      </c>
      <c r="C155" s="31" t="s">
        <v>2035</v>
      </c>
      <c r="D155" s="31" t="s">
        <v>2036</v>
      </c>
      <c r="E155" s="31" t="s">
        <v>2037</v>
      </c>
      <c r="F155" s="31"/>
      <c r="G155" s="31"/>
      <c r="H155" s="31"/>
      <c r="I155" s="84"/>
      <c r="J155" s="159" t="s">
        <v>1756</v>
      </c>
      <c r="K155" s="84"/>
      <c r="L155" s="84"/>
      <c r="M155" s="84"/>
      <c r="N155" s="84"/>
      <c r="O155" s="84"/>
      <c r="P155" s="84"/>
      <c r="Q155" s="84" t="s">
        <v>166</v>
      </c>
      <c r="R155" s="84"/>
      <c r="S155" s="84"/>
      <c r="T155" s="84"/>
      <c r="U155" s="84"/>
      <c r="V155" s="84"/>
      <c r="W155" s="84"/>
      <c r="X155" s="84"/>
      <c r="Y155" s="84"/>
      <c r="Z155" s="84"/>
      <c r="AA155" s="84"/>
      <c r="AB155" s="84"/>
      <c r="AC155" s="84"/>
      <c r="AD155" s="84"/>
      <c r="AE155" s="84"/>
      <c r="AF155" s="84"/>
      <c r="AG155" s="84"/>
      <c r="AH155" s="84"/>
      <c r="AI155" s="84"/>
      <c r="AJ155" s="84"/>
      <c r="AK155" s="84"/>
      <c r="AL155" s="84"/>
      <c r="AM155" s="84"/>
      <c r="AN155" s="84"/>
      <c r="AO155" s="76"/>
      <c r="AP155" s="76"/>
      <c r="AQ155" s="76"/>
      <c r="AR155" s="76"/>
      <c r="AS155" s="76"/>
      <c r="AT155" s="76"/>
      <c r="AU155" s="76"/>
      <c r="AV155" s="76"/>
      <c r="AW155" s="76"/>
      <c r="AX155" s="76"/>
    </row>
    <row r="156" ht="15.75" customHeight="1">
      <c r="A156" s="81" t="s">
        <v>949</v>
      </c>
      <c r="B156" s="142" t="s">
        <v>999</v>
      </c>
      <c r="C156" s="31" t="s">
        <v>2046</v>
      </c>
      <c r="D156" s="31" t="s">
        <v>2047</v>
      </c>
      <c r="E156" s="31" t="s">
        <v>2049</v>
      </c>
      <c r="F156" s="31"/>
      <c r="G156" s="31"/>
      <c r="H156" s="31"/>
      <c r="I156" s="84"/>
      <c r="J156" s="159" t="s">
        <v>1756</v>
      </c>
      <c r="K156" s="84"/>
      <c r="L156" s="84"/>
      <c r="M156" s="84"/>
      <c r="N156" s="84"/>
      <c r="O156" s="84"/>
      <c r="P156" s="84"/>
      <c r="Q156" s="84" t="s">
        <v>166</v>
      </c>
      <c r="R156" s="84"/>
      <c r="S156" s="84"/>
      <c r="T156" s="84"/>
      <c r="U156" s="84"/>
      <c r="V156" s="84"/>
      <c r="W156" s="84"/>
      <c r="X156" s="84"/>
      <c r="Y156" s="84"/>
      <c r="Z156" s="84"/>
      <c r="AA156" s="84"/>
      <c r="AB156" s="84"/>
      <c r="AC156" s="84"/>
      <c r="AD156" s="84"/>
      <c r="AE156" s="84"/>
      <c r="AF156" s="84"/>
      <c r="AG156" s="84"/>
      <c r="AH156" s="84"/>
      <c r="AI156" s="84"/>
      <c r="AJ156" s="84"/>
      <c r="AK156" s="84"/>
      <c r="AL156" s="84"/>
      <c r="AM156" s="84"/>
      <c r="AN156" s="84"/>
      <c r="AO156" s="76"/>
      <c r="AP156" s="76"/>
      <c r="AQ156" s="76"/>
      <c r="AR156" s="76"/>
      <c r="AS156" s="76"/>
      <c r="AT156" s="76"/>
      <c r="AU156" s="76"/>
      <c r="AV156" s="76"/>
      <c r="AW156" s="76"/>
      <c r="AX156" s="76"/>
    </row>
    <row r="157" ht="15.75" customHeight="1">
      <c r="A157" s="81" t="s">
        <v>949</v>
      </c>
      <c r="B157" s="142" t="s">
        <v>1007</v>
      </c>
      <c r="C157" s="31" t="s">
        <v>2061</v>
      </c>
      <c r="D157" s="31" t="s">
        <v>2062</v>
      </c>
      <c r="E157" s="31" t="s">
        <v>2063</v>
      </c>
      <c r="F157" s="31"/>
      <c r="G157" s="31"/>
      <c r="H157" s="31"/>
      <c r="I157" s="84"/>
      <c r="J157" s="159" t="s">
        <v>1756</v>
      </c>
      <c r="K157" s="84"/>
      <c r="L157" s="84"/>
      <c r="M157" s="84"/>
      <c r="N157" s="84"/>
      <c r="O157" s="84"/>
      <c r="P157" s="84"/>
      <c r="Q157" s="84" t="s">
        <v>166</v>
      </c>
      <c r="R157" s="84"/>
      <c r="S157" s="84"/>
      <c r="T157" s="84"/>
      <c r="U157" s="84"/>
      <c r="V157" s="84"/>
      <c r="W157" s="84"/>
      <c r="X157" s="84"/>
      <c r="Y157" s="84"/>
      <c r="Z157" s="84"/>
      <c r="AA157" s="84"/>
      <c r="AB157" s="84"/>
      <c r="AC157" s="84"/>
      <c r="AD157" s="84"/>
      <c r="AE157" s="84"/>
      <c r="AF157" s="84"/>
      <c r="AG157" s="84"/>
      <c r="AH157" s="84"/>
      <c r="AI157" s="84"/>
      <c r="AJ157" s="84"/>
      <c r="AK157" s="84"/>
      <c r="AL157" s="84"/>
      <c r="AM157" s="84"/>
      <c r="AN157" s="84"/>
      <c r="AO157" s="76"/>
      <c r="AP157" s="76"/>
      <c r="AQ157" s="76"/>
      <c r="AR157" s="76"/>
      <c r="AS157" s="76"/>
      <c r="AT157" s="76"/>
      <c r="AU157" s="76"/>
      <c r="AV157" s="76"/>
      <c r="AW157" s="76"/>
      <c r="AX157" s="76"/>
    </row>
    <row r="158" ht="15.75" customHeight="1">
      <c r="A158" s="81" t="s">
        <v>949</v>
      </c>
      <c r="B158" s="142" t="s">
        <v>1017</v>
      </c>
      <c r="C158" s="31" t="s">
        <v>2073</v>
      </c>
      <c r="D158" s="31" t="s">
        <v>2075</v>
      </c>
      <c r="E158" s="31" t="s">
        <v>2077</v>
      </c>
      <c r="F158" s="31"/>
      <c r="G158" s="31"/>
      <c r="H158" s="31"/>
      <c r="I158" s="84"/>
      <c r="J158" s="159" t="s">
        <v>1756</v>
      </c>
      <c r="K158" s="84"/>
      <c r="L158" s="84"/>
      <c r="M158" s="84"/>
      <c r="N158" s="84"/>
      <c r="O158" s="84"/>
      <c r="P158" s="84"/>
      <c r="Q158" s="84" t="s">
        <v>166</v>
      </c>
      <c r="R158" s="84"/>
      <c r="S158" s="84"/>
      <c r="T158" s="84"/>
      <c r="U158" s="84"/>
      <c r="V158" s="84"/>
      <c r="W158" s="84"/>
      <c r="X158" s="84"/>
      <c r="Y158" s="84"/>
      <c r="Z158" s="84"/>
      <c r="AA158" s="84"/>
      <c r="AB158" s="84"/>
      <c r="AC158" s="84"/>
      <c r="AD158" s="84"/>
      <c r="AE158" s="84"/>
      <c r="AF158" s="84"/>
      <c r="AG158" s="84"/>
      <c r="AH158" s="84"/>
      <c r="AI158" s="84"/>
      <c r="AJ158" s="84"/>
      <c r="AK158" s="84"/>
      <c r="AL158" s="84"/>
      <c r="AM158" s="84"/>
      <c r="AN158" s="84"/>
      <c r="AO158" s="76"/>
      <c r="AP158" s="76"/>
      <c r="AQ158" s="76"/>
      <c r="AR158" s="76"/>
      <c r="AS158" s="76"/>
      <c r="AT158" s="76"/>
      <c r="AU158" s="76"/>
      <c r="AV158" s="76"/>
      <c r="AW158" s="76"/>
      <c r="AX158" s="76"/>
    </row>
    <row r="159" ht="15.75" customHeight="1">
      <c r="A159" s="81" t="s">
        <v>949</v>
      </c>
      <c r="B159" s="142" t="s">
        <v>1024</v>
      </c>
      <c r="C159" s="31" t="s">
        <v>2085</v>
      </c>
      <c r="D159" s="31" t="s">
        <v>2086</v>
      </c>
      <c r="E159" s="31" t="s">
        <v>2088</v>
      </c>
      <c r="F159" s="31"/>
      <c r="G159" s="31"/>
      <c r="H159" s="31"/>
      <c r="I159" s="84"/>
      <c r="J159" s="159" t="s">
        <v>1756</v>
      </c>
      <c r="K159" s="84"/>
      <c r="L159" s="84"/>
      <c r="M159" s="84"/>
      <c r="N159" s="84"/>
      <c r="O159" s="84"/>
      <c r="P159" s="84"/>
      <c r="Q159" s="84" t="s">
        <v>166</v>
      </c>
      <c r="R159" s="84"/>
      <c r="S159" s="84"/>
      <c r="T159" s="84"/>
      <c r="U159" s="84"/>
      <c r="V159" s="84"/>
      <c r="W159" s="84"/>
      <c r="X159" s="84"/>
      <c r="Y159" s="84"/>
      <c r="Z159" s="84"/>
      <c r="AA159" s="84"/>
      <c r="AB159" s="84"/>
      <c r="AC159" s="84"/>
      <c r="AD159" s="84"/>
      <c r="AE159" s="84"/>
      <c r="AF159" s="84"/>
      <c r="AG159" s="84"/>
      <c r="AH159" s="84"/>
      <c r="AI159" s="84"/>
      <c r="AJ159" s="84"/>
      <c r="AK159" s="84"/>
      <c r="AL159" s="84"/>
      <c r="AM159" s="84"/>
      <c r="AN159" s="84"/>
      <c r="AO159" s="76"/>
      <c r="AP159" s="76"/>
      <c r="AQ159" s="76"/>
      <c r="AR159" s="76"/>
      <c r="AS159" s="76"/>
      <c r="AT159" s="76"/>
      <c r="AU159" s="76"/>
      <c r="AV159" s="76"/>
      <c r="AW159" s="76"/>
      <c r="AX159" s="76"/>
    </row>
    <row r="160" ht="15.75" customHeight="1">
      <c r="A160" s="81" t="s">
        <v>949</v>
      </c>
      <c r="B160" s="142" t="s">
        <v>1031</v>
      </c>
      <c r="C160" s="31" t="s">
        <v>2097</v>
      </c>
      <c r="D160" s="31" t="s">
        <v>2098</v>
      </c>
      <c r="E160" s="31" t="s">
        <v>2099</v>
      </c>
      <c r="F160" s="31"/>
      <c r="G160" s="31"/>
      <c r="H160" s="31"/>
      <c r="I160" s="84"/>
      <c r="J160" s="159" t="s">
        <v>1756</v>
      </c>
      <c r="K160" s="84"/>
      <c r="L160" s="84"/>
      <c r="M160" s="84"/>
      <c r="N160" s="84"/>
      <c r="O160" s="84"/>
      <c r="P160" s="84"/>
      <c r="Q160" s="84" t="s">
        <v>166</v>
      </c>
      <c r="R160" s="84"/>
      <c r="S160" s="84"/>
      <c r="T160" s="84"/>
      <c r="U160" s="84"/>
      <c r="V160" s="84"/>
      <c r="W160" s="84"/>
      <c r="X160" s="84"/>
      <c r="Y160" s="84"/>
      <c r="Z160" s="84"/>
      <c r="AA160" s="84"/>
      <c r="AB160" s="84"/>
      <c r="AC160" s="84"/>
      <c r="AD160" s="84"/>
      <c r="AE160" s="84"/>
      <c r="AF160" s="84"/>
      <c r="AG160" s="84"/>
      <c r="AH160" s="84"/>
      <c r="AI160" s="84"/>
      <c r="AJ160" s="84"/>
      <c r="AK160" s="84"/>
      <c r="AL160" s="84"/>
      <c r="AM160" s="84"/>
      <c r="AN160" s="84"/>
      <c r="AO160" s="76"/>
      <c r="AP160" s="76"/>
      <c r="AQ160" s="76"/>
      <c r="AR160" s="76"/>
      <c r="AS160" s="76"/>
      <c r="AT160" s="76"/>
      <c r="AU160" s="76"/>
      <c r="AV160" s="76"/>
      <c r="AW160" s="76"/>
      <c r="AX160" s="76"/>
    </row>
    <row r="161" ht="15.75" customHeight="1">
      <c r="A161" s="81" t="s">
        <v>949</v>
      </c>
      <c r="B161" s="142" t="s">
        <v>1042</v>
      </c>
      <c r="C161" s="31" t="s">
        <v>2110</v>
      </c>
      <c r="D161" s="31" t="s">
        <v>2112</v>
      </c>
      <c r="E161" s="31" t="s">
        <v>2113</v>
      </c>
      <c r="F161" s="31"/>
      <c r="G161" s="31"/>
      <c r="H161" s="31"/>
      <c r="I161" s="84"/>
      <c r="J161" s="159" t="s">
        <v>1756</v>
      </c>
      <c r="K161" s="84"/>
      <c r="L161" s="84"/>
      <c r="M161" s="84"/>
      <c r="N161" s="84"/>
      <c r="O161" s="84"/>
      <c r="P161" s="84"/>
      <c r="Q161" s="84" t="s">
        <v>166</v>
      </c>
      <c r="R161" s="84"/>
      <c r="S161" s="84"/>
      <c r="T161" s="84"/>
      <c r="U161" s="84"/>
      <c r="V161" s="84"/>
      <c r="W161" s="84"/>
      <c r="X161" s="84"/>
      <c r="Y161" s="84"/>
      <c r="Z161" s="84"/>
      <c r="AA161" s="84"/>
      <c r="AB161" s="84"/>
      <c r="AC161" s="84"/>
      <c r="AD161" s="84"/>
      <c r="AE161" s="84"/>
      <c r="AF161" s="84"/>
      <c r="AG161" s="84"/>
      <c r="AH161" s="84"/>
      <c r="AI161" s="84"/>
      <c r="AJ161" s="84"/>
      <c r="AK161" s="84"/>
      <c r="AL161" s="84"/>
      <c r="AM161" s="84"/>
      <c r="AN161" s="84"/>
      <c r="AO161" s="76"/>
      <c r="AP161" s="76"/>
      <c r="AQ161" s="76"/>
      <c r="AR161" s="76"/>
      <c r="AS161" s="76"/>
      <c r="AT161" s="76"/>
      <c r="AU161" s="76"/>
      <c r="AV161" s="76"/>
      <c r="AW161" s="76"/>
      <c r="AX161" s="76"/>
    </row>
    <row r="162" ht="15.75" customHeight="1">
      <c r="A162" s="122" t="s">
        <v>236</v>
      </c>
      <c r="B162" s="153" t="s">
        <v>936</v>
      </c>
      <c r="C162" s="31" t="s">
        <v>937</v>
      </c>
      <c r="D162" s="31"/>
      <c r="E162" s="31"/>
      <c r="F162" s="70"/>
      <c r="G162" s="70"/>
      <c r="H162" s="70"/>
      <c r="I162" s="70"/>
      <c r="J162" s="70" t="s">
        <v>1736</v>
      </c>
      <c r="K162" s="70"/>
      <c r="L162" s="70"/>
      <c r="M162" s="70"/>
      <c r="N162" s="70"/>
      <c r="O162" s="70"/>
      <c r="P162" s="70"/>
      <c r="Q162" s="70"/>
      <c r="R162" s="70"/>
      <c r="S162" s="70"/>
      <c r="T162" s="70"/>
      <c r="U162" s="70"/>
      <c r="V162" s="70"/>
      <c r="W162" s="70"/>
      <c r="X162" s="70"/>
      <c r="Y162" s="70"/>
      <c r="Z162" s="70"/>
      <c r="AA162" s="70"/>
      <c r="AB162" s="70"/>
      <c r="AC162" s="70"/>
      <c r="AD162" s="70"/>
      <c r="AE162" s="70"/>
      <c r="AF162" s="70"/>
      <c r="AG162" s="70"/>
      <c r="AH162" s="70"/>
      <c r="AI162" s="70"/>
      <c r="AJ162" s="70"/>
      <c r="AK162" s="70"/>
      <c r="AL162" s="70"/>
      <c r="AM162" s="70"/>
      <c r="AN162" s="70"/>
      <c r="AO162" s="76"/>
      <c r="AP162" s="76"/>
      <c r="AQ162" s="76"/>
      <c r="AR162" s="76"/>
      <c r="AS162" s="76"/>
      <c r="AT162" s="76"/>
      <c r="AU162" s="76"/>
      <c r="AV162" s="76"/>
      <c r="AW162" s="76"/>
      <c r="AX162" s="76"/>
    </row>
    <row r="163" ht="15.75" customHeight="1">
      <c r="A163" s="122"/>
      <c r="B163" s="123"/>
      <c r="C163" s="31"/>
      <c r="D163" s="31"/>
      <c r="E163" s="31"/>
      <c r="F163" s="70"/>
      <c r="G163" s="70"/>
      <c r="H163" s="70"/>
      <c r="I163" s="71"/>
      <c r="J163" s="71"/>
      <c r="K163" s="70"/>
      <c r="L163" s="71"/>
      <c r="M163" s="71"/>
      <c r="N163" s="71"/>
      <c r="O163" s="71"/>
      <c r="P163" s="70"/>
      <c r="Q163" s="70"/>
      <c r="R163" s="70"/>
      <c r="S163" s="70"/>
      <c r="T163" s="70"/>
      <c r="U163" s="70"/>
      <c r="V163" s="70"/>
      <c r="W163" s="70"/>
      <c r="X163" s="70"/>
      <c r="Y163" s="70"/>
      <c r="Z163" s="70"/>
      <c r="AA163" s="70"/>
      <c r="AB163" s="70"/>
      <c r="AC163" s="70"/>
      <c r="AD163" s="76"/>
      <c r="AE163" s="76"/>
      <c r="AF163" s="76"/>
      <c r="AG163" s="76"/>
      <c r="AH163" s="76"/>
      <c r="AI163" s="76"/>
      <c r="AJ163" s="76"/>
      <c r="AK163" s="76"/>
      <c r="AL163" s="76"/>
      <c r="AM163" s="76"/>
      <c r="AN163" s="76"/>
      <c r="AO163" s="76"/>
      <c r="AP163" s="76"/>
      <c r="AQ163" s="76"/>
      <c r="AR163" s="76"/>
      <c r="AS163" s="76"/>
      <c r="AT163" s="76"/>
      <c r="AU163" s="76"/>
      <c r="AV163" s="76"/>
      <c r="AW163" s="76"/>
      <c r="AX163" s="76"/>
    </row>
    <row r="164" ht="15.75" customHeight="1">
      <c r="A164" s="126" t="s">
        <v>42</v>
      </c>
      <c r="B164" s="129" t="s">
        <v>1061</v>
      </c>
      <c r="C164" s="31" t="s">
        <v>2140</v>
      </c>
      <c r="D164" s="31" t="s">
        <v>2141</v>
      </c>
      <c r="E164" s="31" t="s">
        <v>2141</v>
      </c>
      <c r="F164" s="31"/>
      <c r="G164" s="31"/>
      <c r="H164" s="31"/>
      <c r="I164" s="154"/>
      <c r="J164" s="154"/>
      <c r="K164" s="154"/>
      <c r="L164" s="154"/>
      <c r="M164" s="154"/>
      <c r="N164" s="154"/>
      <c r="O164" s="154"/>
      <c r="P164" s="154"/>
      <c r="Q164" s="154"/>
      <c r="R164" s="154"/>
      <c r="S164" s="154"/>
      <c r="T164" s="154"/>
      <c r="U164" s="154"/>
      <c r="V164" s="154"/>
      <c r="W164" s="154"/>
      <c r="X164" s="154"/>
      <c r="Y164" s="154"/>
      <c r="Z164" s="154"/>
      <c r="AA164" s="154"/>
      <c r="AB164" s="154"/>
      <c r="AC164" s="154"/>
      <c r="AD164" s="154"/>
      <c r="AE164" s="154"/>
      <c r="AF164" s="154"/>
      <c r="AG164" s="154"/>
      <c r="AH164" s="154"/>
      <c r="AI164" s="154"/>
      <c r="AJ164" s="154"/>
      <c r="AK164" s="154"/>
      <c r="AL164" s="154"/>
      <c r="AM164" s="154"/>
      <c r="AN164" s="154"/>
      <c r="AO164" s="76"/>
      <c r="AP164" s="76"/>
      <c r="AQ164" s="76"/>
      <c r="AR164" s="76"/>
      <c r="AS164" s="76"/>
      <c r="AT164" s="76"/>
      <c r="AU164" s="76"/>
      <c r="AV164" s="76"/>
      <c r="AW164" s="76"/>
      <c r="AX164" s="76"/>
    </row>
    <row r="165" ht="15.75" customHeight="1">
      <c r="A165" s="81" t="s">
        <v>841</v>
      </c>
      <c r="B165" s="142" t="s">
        <v>1068</v>
      </c>
      <c r="C165" s="31" t="s">
        <v>2149</v>
      </c>
      <c r="D165" s="31" t="s">
        <v>2150</v>
      </c>
      <c r="E165" s="31" t="s">
        <v>2151</v>
      </c>
      <c r="F165" s="31"/>
      <c r="G165" s="31"/>
      <c r="H165" s="31"/>
      <c r="I165" s="84"/>
      <c r="J165" s="159"/>
      <c r="K165" s="84"/>
      <c r="L165" s="84"/>
      <c r="M165" s="84"/>
      <c r="N165" s="84"/>
      <c r="O165" s="84"/>
      <c r="P165" s="84"/>
      <c r="Q165" s="84" t="s">
        <v>166</v>
      </c>
      <c r="R165" s="84"/>
      <c r="S165" s="84"/>
      <c r="T165" s="84"/>
      <c r="U165" s="84"/>
      <c r="V165" s="84"/>
      <c r="W165" s="84"/>
      <c r="X165" s="84"/>
      <c r="Y165" s="84"/>
      <c r="Z165" s="84"/>
      <c r="AA165" s="84"/>
      <c r="AB165" s="84"/>
      <c r="AC165" s="84"/>
      <c r="AD165" s="84"/>
      <c r="AE165" s="84"/>
      <c r="AF165" s="84"/>
      <c r="AG165" s="84"/>
      <c r="AH165" s="84"/>
      <c r="AI165" s="84"/>
      <c r="AJ165" s="84"/>
      <c r="AK165" s="84"/>
      <c r="AL165" s="84"/>
      <c r="AM165" s="84"/>
      <c r="AN165" s="84"/>
      <c r="AO165" s="76"/>
      <c r="AP165" s="76"/>
      <c r="AQ165" s="76"/>
      <c r="AR165" s="76"/>
      <c r="AS165" s="76"/>
      <c r="AT165" s="76"/>
      <c r="AU165" s="76"/>
      <c r="AV165" s="76"/>
      <c r="AW165" s="76"/>
      <c r="AX165" s="76"/>
    </row>
    <row r="166" ht="15.75" customHeight="1">
      <c r="A166" s="81" t="s">
        <v>841</v>
      </c>
      <c r="B166" s="142" t="s">
        <v>1076</v>
      </c>
      <c r="C166" s="31" t="s">
        <v>2157</v>
      </c>
      <c r="D166" s="31" t="s">
        <v>2158</v>
      </c>
      <c r="E166" s="31" t="s">
        <v>2159</v>
      </c>
      <c r="F166" s="31"/>
      <c r="G166" s="31"/>
      <c r="H166" s="31"/>
      <c r="I166" s="84"/>
      <c r="J166" s="159"/>
      <c r="K166" s="84"/>
      <c r="L166" s="84"/>
      <c r="M166" s="84"/>
      <c r="N166" s="84"/>
      <c r="O166" s="84"/>
      <c r="P166" s="84"/>
      <c r="Q166" s="84" t="s">
        <v>166</v>
      </c>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c r="AO166" s="76"/>
      <c r="AP166" s="76"/>
      <c r="AQ166" s="76"/>
      <c r="AR166" s="76"/>
      <c r="AS166" s="76"/>
      <c r="AT166" s="76"/>
      <c r="AU166" s="76"/>
      <c r="AV166" s="76"/>
      <c r="AW166" s="76"/>
      <c r="AX166" s="76"/>
    </row>
    <row r="167" ht="15.75" customHeight="1">
      <c r="A167" s="166"/>
      <c r="B167" s="167"/>
      <c r="C167" s="31"/>
      <c r="D167" s="31"/>
      <c r="E167" s="31"/>
      <c r="F167" s="219"/>
      <c r="G167" s="219"/>
      <c r="H167" s="219"/>
      <c r="I167" s="219"/>
      <c r="J167" s="219"/>
      <c r="K167" s="219"/>
      <c r="L167" s="219"/>
      <c r="M167" s="219"/>
      <c r="N167" s="219"/>
      <c r="O167" s="219"/>
      <c r="P167" s="219"/>
      <c r="Q167" s="219"/>
      <c r="R167" s="219"/>
      <c r="S167" s="219"/>
      <c r="T167" s="219"/>
      <c r="U167" s="219"/>
      <c r="V167" s="219"/>
      <c r="W167" s="219"/>
      <c r="X167" s="219"/>
      <c r="Y167" s="219"/>
      <c r="Z167" s="219"/>
      <c r="AA167" s="219"/>
      <c r="AB167" s="219"/>
      <c r="AC167" s="219"/>
      <c r="AD167" s="219"/>
      <c r="AE167" s="219"/>
      <c r="AF167" s="219"/>
      <c r="AG167" s="219"/>
      <c r="AH167" s="219"/>
      <c r="AI167" s="219"/>
      <c r="AJ167" s="219"/>
      <c r="AK167" s="219"/>
      <c r="AL167" s="219"/>
      <c r="AM167" s="219"/>
      <c r="AN167" s="219"/>
      <c r="AO167" s="219"/>
      <c r="AP167" s="219"/>
      <c r="AQ167" s="219"/>
      <c r="AR167" s="219"/>
      <c r="AS167" s="219"/>
      <c r="AT167" s="219"/>
      <c r="AU167" s="219"/>
      <c r="AV167" s="219"/>
      <c r="AW167" s="219"/>
      <c r="AX167" s="219"/>
    </row>
    <row r="168" ht="15.75" customHeight="1">
      <c r="A168" s="122" t="s">
        <v>150</v>
      </c>
      <c r="B168" s="123" t="s">
        <v>1089</v>
      </c>
      <c r="C168" s="31"/>
      <c r="D168" s="31"/>
      <c r="E168" s="31"/>
      <c r="F168" s="70"/>
      <c r="G168" s="70"/>
      <c r="H168" s="70"/>
      <c r="I168" s="70"/>
      <c r="J168" s="71" t="s">
        <v>1736</v>
      </c>
      <c r="K168" s="70"/>
      <c r="L168" s="70"/>
      <c r="M168" s="70"/>
      <c r="N168" s="70"/>
      <c r="O168" s="71"/>
      <c r="P168" s="70"/>
      <c r="Q168" s="70"/>
      <c r="R168" s="70"/>
      <c r="S168" s="70"/>
      <c r="T168" s="70"/>
      <c r="U168" s="70"/>
      <c r="V168" s="70"/>
      <c r="W168" s="70"/>
      <c r="X168" s="70"/>
      <c r="Y168" s="70"/>
      <c r="Z168" s="70"/>
      <c r="AA168" s="70"/>
      <c r="AB168" s="70"/>
      <c r="AC168" s="70"/>
      <c r="AD168" s="154"/>
      <c r="AE168" s="154"/>
      <c r="AF168" s="154"/>
      <c r="AG168" s="154"/>
      <c r="AH168" s="154"/>
      <c r="AI168" s="154"/>
      <c r="AJ168" s="154"/>
      <c r="AK168" s="154"/>
      <c r="AL168" s="154"/>
      <c r="AM168" s="154"/>
      <c r="AN168" s="154"/>
      <c r="AO168" s="76"/>
      <c r="AP168" s="76"/>
      <c r="AQ168" s="76"/>
      <c r="AR168" s="76"/>
      <c r="AS168" s="76"/>
      <c r="AT168" s="76"/>
      <c r="AU168" s="76"/>
      <c r="AV168" s="76"/>
      <c r="AW168" s="76"/>
      <c r="AX168" s="76"/>
    </row>
    <row r="169" ht="15.75" customHeight="1">
      <c r="A169" s="81" t="s">
        <v>338</v>
      </c>
      <c r="B169" s="142" t="s">
        <v>1094</v>
      </c>
      <c r="C169" s="31" t="s">
        <v>2175</v>
      </c>
      <c r="D169" s="31" t="s">
        <v>2176</v>
      </c>
      <c r="E169" s="31" t="s">
        <v>2177</v>
      </c>
      <c r="F169" s="31"/>
      <c r="G169" s="31"/>
      <c r="H169" s="31"/>
      <c r="I169" s="84"/>
      <c r="J169" s="159" t="s">
        <v>7</v>
      </c>
      <c r="K169" s="84"/>
      <c r="L169" s="84"/>
      <c r="M169" s="84"/>
      <c r="N169" s="84"/>
      <c r="O169" s="84"/>
      <c r="P169" s="84"/>
      <c r="Q169" s="84"/>
      <c r="R169" s="84"/>
      <c r="S169" s="84"/>
      <c r="T169" s="84"/>
      <c r="U169" s="84"/>
      <c r="V169" s="84"/>
      <c r="W169" s="84"/>
      <c r="X169" s="84"/>
      <c r="Y169" s="84"/>
      <c r="Z169" s="84"/>
      <c r="AA169" s="84"/>
      <c r="AB169" s="84"/>
      <c r="AC169" s="84"/>
      <c r="AD169" s="154"/>
      <c r="AE169" s="154"/>
      <c r="AF169" s="154"/>
      <c r="AG169" s="154"/>
      <c r="AH169" s="154"/>
      <c r="AI169" s="154"/>
      <c r="AJ169" s="154"/>
      <c r="AK169" s="154"/>
      <c r="AL169" s="154"/>
      <c r="AM169" s="154"/>
      <c r="AN169" s="154"/>
      <c r="AO169" s="76"/>
      <c r="AP169" s="76"/>
      <c r="AQ169" s="76"/>
      <c r="AR169" s="76"/>
      <c r="AS169" s="76"/>
      <c r="AT169" s="76"/>
      <c r="AU169" s="76"/>
      <c r="AV169" s="76"/>
      <c r="AW169" s="76"/>
      <c r="AX169" s="76"/>
    </row>
    <row r="170" ht="15.75" customHeight="1">
      <c r="A170" s="81" t="s">
        <v>338</v>
      </c>
      <c r="B170" s="142" t="s">
        <v>1104</v>
      </c>
      <c r="C170" s="31" t="s">
        <v>1146</v>
      </c>
      <c r="D170" s="31" t="s">
        <v>1150</v>
      </c>
      <c r="E170" s="31" t="s">
        <v>1152</v>
      </c>
      <c r="F170" s="31"/>
      <c r="G170" s="31"/>
      <c r="H170" s="31"/>
      <c r="I170" s="84"/>
      <c r="J170" s="159" t="s">
        <v>1756</v>
      </c>
      <c r="K170" s="84"/>
      <c r="L170" s="84"/>
      <c r="M170" s="84"/>
      <c r="N170" s="84"/>
      <c r="O170" s="84"/>
      <c r="P170" s="84"/>
      <c r="Q170" s="84" t="s">
        <v>166</v>
      </c>
      <c r="R170" s="84"/>
      <c r="S170" s="84"/>
      <c r="T170" s="84"/>
      <c r="U170" s="84"/>
      <c r="V170" s="84"/>
      <c r="W170" s="84"/>
      <c r="X170" s="84"/>
      <c r="Y170" s="84"/>
      <c r="Z170" s="84"/>
      <c r="AA170" s="84"/>
      <c r="AB170" s="84"/>
      <c r="AC170" s="84"/>
      <c r="AD170" s="84"/>
      <c r="AE170" s="84"/>
      <c r="AF170" s="84"/>
      <c r="AG170" s="84"/>
      <c r="AH170" s="84"/>
      <c r="AI170" s="84"/>
      <c r="AJ170" s="84"/>
      <c r="AK170" s="84"/>
      <c r="AL170" s="84"/>
      <c r="AM170" s="84"/>
      <c r="AN170" s="84"/>
      <c r="AO170" s="76"/>
      <c r="AP170" s="76"/>
      <c r="AQ170" s="76"/>
      <c r="AR170" s="76"/>
      <c r="AS170" s="76"/>
      <c r="AT170" s="76"/>
      <c r="AU170" s="76"/>
      <c r="AV170" s="76"/>
      <c r="AW170" s="76"/>
      <c r="AX170" s="76"/>
    </row>
    <row r="171" ht="15.75" customHeight="1">
      <c r="A171" s="81" t="s">
        <v>338</v>
      </c>
      <c r="B171" s="142" t="s">
        <v>1111</v>
      </c>
      <c r="C171" s="31" t="s">
        <v>1155</v>
      </c>
      <c r="D171" s="31" t="s">
        <v>1156</v>
      </c>
      <c r="E171" s="31" t="s">
        <v>1157</v>
      </c>
      <c r="F171" s="31"/>
      <c r="G171" s="31"/>
      <c r="H171" s="31"/>
      <c r="I171" s="84"/>
      <c r="J171" s="159" t="s">
        <v>1756</v>
      </c>
      <c r="K171" s="84"/>
      <c r="L171" s="84"/>
      <c r="M171" s="84"/>
      <c r="N171" s="84"/>
      <c r="O171" s="84"/>
      <c r="P171" s="84"/>
      <c r="Q171" s="84" t="s">
        <v>166</v>
      </c>
      <c r="R171" s="84"/>
      <c r="S171" s="84"/>
      <c r="T171" s="84"/>
      <c r="U171" s="84"/>
      <c r="V171" s="84"/>
      <c r="W171" s="84"/>
      <c r="X171" s="84"/>
      <c r="Y171" s="84"/>
      <c r="Z171" s="84"/>
      <c r="AA171" s="84"/>
      <c r="AB171" s="84"/>
      <c r="AC171" s="84"/>
      <c r="AD171" s="84"/>
      <c r="AE171" s="84"/>
      <c r="AF171" s="84"/>
      <c r="AG171" s="84"/>
      <c r="AH171" s="84"/>
      <c r="AI171" s="84"/>
      <c r="AJ171" s="84"/>
      <c r="AK171" s="84"/>
      <c r="AL171" s="84"/>
      <c r="AM171" s="84"/>
      <c r="AN171" s="84"/>
      <c r="AO171" s="76"/>
      <c r="AP171" s="76"/>
      <c r="AQ171" s="76"/>
      <c r="AR171" s="76"/>
      <c r="AS171" s="76"/>
      <c r="AT171" s="76"/>
      <c r="AU171" s="76"/>
      <c r="AV171" s="76"/>
      <c r="AW171" s="76"/>
      <c r="AX171" s="76"/>
    </row>
    <row r="172" ht="15.75" customHeight="1">
      <c r="A172" s="81" t="s">
        <v>338</v>
      </c>
      <c r="B172" s="142" t="s">
        <v>1118</v>
      </c>
      <c r="C172" s="31" t="s">
        <v>1163</v>
      </c>
      <c r="D172" s="31" t="s">
        <v>1164</v>
      </c>
      <c r="E172" s="31" t="s">
        <v>2187</v>
      </c>
      <c r="F172" s="31"/>
      <c r="G172" s="31"/>
      <c r="H172" s="31"/>
      <c r="I172" s="84"/>
      <c r="J172" s="159" t="s">
        <v>1756</v>
      </c>
      <c r="K172" s="84"/>
      <c r="L172" s="84"/>
      <c r="M172" s="84"/>
      <c r="N172" s="84"/>
      <c r="O172" s="84"/>
      <c r="P172" s="84"/>
      <c r="Q172" s="84" t="s">
        <v>166</v>
      </c>
      <c r="R172" s="84"/>
      <c r="S172" s="84"/>
      <c r="T172" s="84"/>
      <c r="U172" s="84"/>
      <c r="V172" s="84"/>
      <c r="W172" s="84"/>
      <c r="X172" s="84"/>
      <c r="Y172" s="84"/>
      <c r="Z172" s="84"/>
      <c r="AA172" s="84"/>
      <c r="AB172" s="84"/>
      <c r="AC172" s="84"/>
      <c r="AD172" s="84"/>
      <c r="AE172" s="84"/>
      <c r="AF172" s="84"/>
      <c r="AG172" s="84"/>
      <c r="AH172" s="84"/>
      <c r="AI172" s="84"/>
      <c r="AJ172" s="84"/>
      <c r="AK172" s="84"/>
      <c r="AL172" s="84"/>
      <c r="AM172" s="84"/>
      <c r="AN172" s="84"/>
      <c r="AO172" s="76"/>
      <c r="AP172" s="76"/>
      <c r="AQ172" s="76"/>
      <c r="AR172" s="76"/>
      <c r="AS172" s="76"/>
      <c r="AT172" s="76"/>
      <c r="AU172" s="76"/>
      <c r="AV172" s="76"/>
      <c r="AW172" s="76"/>
      <c r="AX172" s="76"/>
    </row>
    <row r="173" ht="15.75" customHeight="1">
      <c r="A173" s="81" t="s">
        <v>338</v>
      </c>
      <c r="B173" s="142" t="s">
        <v>1126</v>
      </c>
      <c r="C173" s="31" t="s">
        <v>1173</v>
      </c>
      <c r="D173" s="31" t="s">
        <v>1174</v>
      </c>
      <c r="E173" s="31" t="s">
        <v>1175</v>
      </c>
      <c r="F173" s="31"/>
      <c r="G173" s="31"/>
      <c r="H173" s="31"/>
      <c r="I173" s="84"/>
      <c r="J173" s="159" t="s">
        <v>1756</v>
      </c>
      <c r="K173" s="84"/>
      <c r="L173" s="84"/>
      <c r="M173" s="84"/>
      <c r="N173" s="84"/>
      <c r="O173" s="84"/>
      <c r="P173" s="84"/>
      <c r="Q173" s="84" t="s">
        <v>166</v>
      </c>
      <c r="R173" s="84"/>
      <c r="S173" s="84"/>
      <c r="T173" s="84"/>
      <c r="U173" s="84"/>
      <c r="V173" s="84"/>
      <c r="W173" s="84"/>
      <c r="X173" s="84"/>
      <c r="Y173" s="84"/>
      <c r="Z173" s="84"/>
      <c r="AA173" s="84"/>
      <c r="AB173" s="84"/>
      <c r="AC173" s="84"/>
      <c r="AD173" s="84"/>
      <c r="AE173" s="84"/>
      <c r="AF173" s="84"/>
      <c r="AG173" s="84"/>
      <c r="AH173" s="84"/>
      <c r="AI173" s="84"/>
      <c r="AJ173" s="84"/>
      <c r="AK173" s="84"/>
      <c r="AL173" s="84"/>
      <c r="AM173" s="84"/>
      <c r="AN173" s="84"/>
      <c r="AO173" s="76"/>
      <c r="AP173" s="76"/>
      <c r="AQ173" s="76"/>
      <c r="AR173" s="76"/>
      <c r="AS173" s="76"/>
      <c r="AT173" s="76"/>
      <c r="AU173" s="76"/>
      <c r="AV173" s="76"/>
      <c r="AW173" s="76"/>
      <c r="AX173" s="76"/>
    </row>
    <row r="174" ht="15.75" customHeight="1">
      <c r="A174" s="122" t="s">
        <v>236</v>
      </c>
      <c r="B174" s="153" t="s">
        <v>1089</v>
      </c>
      <c r="C174" s="31"/>
      <c r="D174" s="31"/>
      <c r="E174" s="31"/>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162"/>
      <c r="AE174" s="162"/>
      <c r="AF174" s="162"/>
      <c r="AG174" s="162"/>
      <c r="AH174" s="162"/>
      <c r="AI174" s="162"/>
      <c r="AJ174" s="162"/>
      <c r="AK174" s="162"/>
      <c r="AL174" s="162"/>
      <c r="AM174" s="162"/>
      <c r="AN174" s="162"/>
      <c r="AO174" s="76"/>
      <c r="AP174" s="76"/>
      <c r="AQ174" s="76"/>
      <c r="AR174" s="76"/>
      <c r="AS174" s="76"/>
      <c r="AT174" s="76"/>
      <c r="AU174" s="76"/>
      <c r="AV174" s="76"/>
      <c r="AW174" s="76"/>
      <c r="AX174" s="76"/>
    </row>
    <row r="175" ht="15.75" customHeight="1">
      <c r="A175" s="122" t="s">
        <v>150</v>
      </c>
      <c r="B175" s="123" t="s">
        <v>1132</v>
      </c>
      <c r="C175" s="31"/>
      <c r="D175" s="31"/>
      <c r="E175" s="31"/>
      <c r="F175" s="70"/>
      <c r="G175" s="70"/>
      <c r="H175" s="70"/>
      <c r="I175" s="70"/>
      <c r="J175" s="71" t="s">
        <v>1736</v>
      </c>
      <c r="K175" s="70"/>
      <c r="L175" s="70"/>
      <c r="M175" s="70"/>
      <c r="N175" s="70"/>
      <c r="O175" s="72" t="s">
        <v>2220</v>
      </c>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6"/>
      <c r="AP175" s="76"/>
      <c r="AQ175" s="76"/>
      <c r="AR175" s="76"/>
      <c r="AS175" s="76"/>
      <c r="AT175" s="76"/>
      <c r="AU175" s="76"/>
      <c r="AV175" s="76"/>
      <c r="AW175" s="76"/>
      <c r="AX175" s="76"/>
    </row>
    <row r="176" ht="15.75" customHeight="1">
      <c r="A176" s="126" t="s">
        <v>42</v>
      </c>
      <c r="B176" s="127" t="s">
        <v>1137</v>
      </c>
      <c r="C176" s="31" t="s">
        <v>2229</v>
      </c>
      <c r="D176" s="31" t="s">
        <v>2230</v>
      </c>
      <c r="E176" s="31" t="s">
        <v>2231</v>
      </c>
      <c r="F176" s="31"/>
      <c r="G176" s="31"/>
      <c r="H176" s="31"/>
      <c r="I176" s="154"/>
      <c r="J176" s="154" t="s">
        <v>7</v>
      </c>
      <c r="K176" s="154"/>
      <c r="L176" s="154"/>
      <c r="M176" s="154"/>
      <c r="N176" s="154"/>
      <c r="O176" s="154"/>
      <c r="P176" s="154"/>
      <c r="Q176" s="154"/>
      <c r="R176" s="154"/>
      <c r="S176" s="154"/>
      <c r="T176" s="154"/>
      <c r="U176" s="154"/>
      <c r="V176" s="154"/>
      <c r="W176" s="154"/>
      <c r="X176" s="154"/>
      <c r="Y176" s="154"/>
      <c r="Z176" s="154"/>
      <c r="AA176" s="154"/>
      <c r="AB176" s="154"/>
      <c r="AC176" s="154"/>
      <c r="AD176" s="162"/>
      <c r="AE176" s="162"/>
      <c r="AF176" s="162"/>
      <c r="AG176" s="162"/>
      <c r="AH176" s="162"/>
      <c r="AI176" s="162"/>
      <c r="AJ176" s="162"/>
      <c r="AK176" s="162"/>
      <c r="AL176" s="162"/>
      <c r="AM176" s="162"/>
      <c r="AN176" s="162"/>
      <c r="AO176" s="76"/>
      <c r="AP176" s="76"/>
      <c r="AQ176" s="76"/>
      <c r="AR176" s="76"/>
      <c r="AS176" s="76"/>
      <c r="AT176" s="76"/>
      <c r="AU176" s="76"/>
      <c r="AV176" s="76"/>
      <c r="AW176" s="76"/>
      <c r="AX176" s="76"/>
    </row>
    <row r="177" ht="15.75" customHeight="1">
      <c r="A177" s="133" t="s">
        <v>214</v>
      </c>
      <c r="B177" s="143" t="s">
        <v>1145</v>
      </c>
      <c r="C177" s="31" t="s">
        <v>2241</v>
      </c>
      <c r="D177" s="31" t="s">
        <v>2242</v>
      </c>
      <c r="E177" s="31" t="s">
        <v>2244</v>
      </c>
      <c r="F177" s="31" t="s">
        <v>2246</v>
      </c>
      <c r="G177" s="31" t="s">
        <v>2247</v>
      </c>
      <c r="H177" s="31" t="s">
        <v>2249</v>
      </c>
      <c r="I177" s="162"/>
      <c r="J177" s="163" t="s">
        <v>1756</v>
      </c>
      <c r="K177" s="162"/>
      <c r="L177" s="162"/>
      <c r="M177" s="162"/>
      <c r="N177" s="162"/>
      <c r="O177" s="164" t="s">
        <v>2253</v>
      </c>
      <c r="P177" s="162"/>
      <c r="Q177" s="162" t="s">
        <v>166</v>
      </c>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76"/>
      <c r="AP177" s="76"/>
      <c r="AQ177" s="76"/>
      <c r="AR177" s="76"/>
      <c r="AS177" s="76"/>
      <c r="AT177" s="76"/>
      <c r="AU177" s="76"/>
      <c r="AV177" s="76"/>
      <c r="AW177" s="76"/>
      <c r="AX177" s="76"/>
    </row>
    <row r="178" ht="15.75" customHeight="1">
      <c r="A178" s="133" t="s">
        <v>214</v>
      </c>
      <c r="B178" s="143" t="s">
        <v>1154</v>
      </c>
      <c r="C178" s="31" t="s">
        <v>2261</v>
      </c>
      <c r="D178" s="31" t="s">
        <v>2263</v>
      </c>
      <c r="E178" s="31" t="s">
        <v>2265</v>
      </c>
      <c r="F178" s="31" t="s">
        <v>2246</v>
      </c>
      <c r="G178" s="31" t="s">
        <v>2247</v>
      </c>
      <c r="H178" s="31" t="s">
        <v>2249</v>
      </c>
      <c r="I178" s="162"/>
      <c r="J178" s="163" t="s">
        <v>1756</v>
      </c>
      <c r="K178" s="162"/>
      <c r="L178" s="162"/>
      <c r="M178" s="162"/>
      <c r="N178" s="162"/>
      <c r="O178" s="164" t="s">
        <v>2267</v>
      </c>
      <c r="P178" s="162"/>
      <c r="Q178" s="162" t="s">
        <v>166</v>
      </c>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76"/>
      <c r="AP178" s="76"/>
      <c r="AQ178" s="76"/>
      <c r="AR178" s="76"/>
      <c r="AS178" s="76"/>
      <c r="AT178" s="76"/>
      <c r="AU178" s="76"/>
      <c r="AV178" s="76"/>
      <c r="AW178" s="76"/>
      <c r="AX178" s="76"/>
    </row>
    <row r="179" ht="15.75" customHeight="1">
      <c r="A179" s="133" t="s">
        <v>214</v>
      </c>
      <c r="B179" s="143" t="s">
        <v>1162</v>
      </c>
      <c r="C179" s="31" t="s">
        <v>2275</v>
      </c>
      <c r="D179" s="31" t="s">
        <v>2276</v>
      </c>
      <c r="E179" s="31" t="s">
        <v>2277</v>
      </c>
      <c r="F179" s="31" t="s">
        <v>2246</v>
      </c>
      <c r="G179" s="31" t="s">
        <v>2247</v>
      </c>
      <c r="H179" s="31" t="s">
        <v>2249</v>
      </c>
      <c r="I179" s="162"/>
      <c r="J179" s="163" t="s">
        <v>1756</v>
      </c>
      <c r="K179" s="162"/>
      <c r="L179" s="162"/>
      <c r="M179" s="162"/>
      <c r="N179" s="162"/>
      <c r="O179" s="164" t="s">
        <v>2279</v>
      </c>
      <c r="P179" s="162"/>
      <c r="Q179" s="162" t="s">
        <v>166</v>
      </c>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76"/>
      <c r="AP179" s="76"/>
      <c r="AQ179" s="76"/>
      <c r="AR179" s="76"/>
      <c r="AS179" s="76"/>
      <c r="AT179" s="76"/>
      <c r="AU179" s="76"/>
      <c r="AV179" s="76"/>
      <c r="AW179" s="76"/>
      <c r="AX179" s="76"/>
    </row>
    <row r="180" ht="15.75" customHeight="1">
      <c r="A180" s="133" t="s">
        <v>214</v>
      </c>
      <c r="B180" s="143" t="s">
        <v>1172</v>
      </c>
      <c r="C180" s="31" t="s">
        <v>2291</v>
      </c>
      <c r="D180" s="31" t="s">
        <v>2292</v>
      </c>
      <c r="E180" s="31" t="s">
        <v>2293</v>
      </c>
      <c r="F180" s="31" t="s">
        <v>2246</v>
      </c>
      <c r="G180" s="31" t="s">
        <v>2247</v>
      </c>
      <c r="H180" s="31" t="s">
        <v>2249</v>
      </c>
      <c r="I180" s="162"/>
      <c r="J180" s="163" t="s">
        <v>1756</v>
      </c>
      <c r="K180" s="162"/>
      <c r="L180" s="162"/>
      <c r="M180" s="162"/>
      <c r="N180" s="162"/>
      <c r="O180" s="164" t="s">
        <v>2297</v>
      </c>
      <c r="P180" s="162"/>
      <c r="Q180" s="162" t="s">
        <v>166</v>
      </c>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76"/>
      <c r="AP180" s="76"/>
      <c r="AQ180" s="76"/>
      <c r="AR180" s="76"/>
      <c r="AS180" s="76"/>
      <c r="AT180" s="76"/>
      <c r="AU180" s="76"/>
      <c r="AV180" s="76"/>
      <c r="AW180" s="76"/>
      <c r="AX180" s="76"/>
    </row>
    <row r="181" ht="15.75" customHeight="1">
      <c r="A181" s="122" t="s">
        <v>236</v>
      </c>
      <c r="B181" s="153" t="s">
        <v>1132</v>
      </c>
      <c r="C181" s="31"/>
      <c r="D181" s="31"/>
      <c r="E181" s="31"/>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6"/>
      <c r="AP181" s="76"/>
      <c r="AQ181" s="76"/>
      <c r="AR181" s="76"/>
      <c r="AS181" s="76"/>
      <c r="AT181" s="76"/>
      <c r="AU181" s="76"/>
      <c r="AV181" s="76"/>
      <c r="AW181" s="76"/>
      <c r="AX181" s="76"/>
    </row>
    <row r="182" ht="15.75" customHeight="1">
      <c r="A182" s="122"/>
      <c r="B182" s="123"/>
      <c r="C182" s="31"/>
      <c r="D182" s="31"/>
      <c r="E182" s="31"/>
      <c r="F182" s="70"/>
      <c r="G182" s="70"/>
      <c r="H182" s="70"/>
      <c r="I182" s="71"/>
      <c r="J182" s="71"/>
      <c r="K182" s="70"/>
      <c r="L182" s="71"/>
      <c r="M182" s="71"/>
      <c r="N182" s="71"/>
      <c r="O182" s="71"/>
      <c r="P182" s="70"/>
      <c r="Q182" s="70"/>
      <c r="R182" s="70"/>
      <c r="S182" s="70"/>
      <c r="T182" s="70"/>
      <c r="U182" s="70"/>
      <c r="V182" s="70"/>
      <c r="W182" s="70"/>
      <c r="X182" s="70"/>
      <c r="Y182" s="70"/>
      <c r="Z182" s="70"/>
      <c r="AA182" s="70"/>
      <c r="AB182" s="70"/>
      <c r="AC182" s="70"/>
      <c r="AD182" s="76"/>
      <c r="AE182" s="76"/>
      <c r="AF182" s="76"/>
      <c r="AG182" s="76"/>
      <c r="AH182" s="76"/>
      <c r="AI182" s="76"/>
      <c r="AJ182" s="76"/>
      <c r="AK182" s="76"/>
      <c r="AL182" s="76"/>
      <c r="AM182" s="76"/>
      <c r="AN182" s="76"/>
      <c r="AO182" s="76"/>
      <c r="AP182" s="76"/>
      <c r="AQ182" s="76"/>
      <c r="AR182" s="76"/>
      <c r="AS182" s="76"/>
      <c r="AT182" s="76"/>
      <c r="AU182" s="76"/>
      <c r="AV182" s="76"/>
      <c r="AW182" s="76"/>
      <c r="AX182" s="76"/>
    </row>
    <row r="183" ht="15.75" customHeight="1">
      <c r="A183" s="126" t="s">
        <v>42</v>
      </c>
      <c r="B183" s="127" t="s">
        <v>1179</v>
      </c>
      <c r="C183" s="31" t="s">
        <v>2350</v>
      </c>
      <c r="D183" s="31" t="s">
        <v>2351</v>
      </c>
      <c r="E183" s="31" t="s">
        <v>2352</v>
      </c>
      <c r="F183" s="31"/>
      <c r="G183" s="31"/>
      <c r="H183" s="31"/>
      <c r="I183" s="154"/>
      <c r="J183" s="154"/>
      <c r="K183" s="154"/>
      <c r="L183" s="154"/>
      <c r="M183" s="154"/>
      <c r="N183" s="154"/>
      <c r="O183" s="154"/>
      <c r="P183" s="154"/>
      <c r="Q183" s="154"/>
      <c r="R183" s="154"/>
      <c r="S183" s="154"/>
      <c r="T183" s="154"/>
      <c r="U183" s="154"/>
      <c r="V183" s="154"/>
      <c r="W183" s="154"/>
      <c r="X183" s="154"/>
      <c r="Y183" s="154"/>
      <c r="Z183" s="154"/>
      <c r="AA183" s="154"/>
      <c r="AB183" s="154"/>
      <c r="AC183" s="154"/>
      <c r="AD183" s="154"/>
      <c r="AE183" s="154"/>
      <c r="AF183" s="154"/>
      <c r="AG183" s="154"/>
      <c r="AH183" s="154"/>
      <c r="AI183" s="154"/>
      <c r="AJ183" s="154"/>
      <c r="AK183" s="154"/>
      <c r="AL183" s="154"/>
      <c r="AM183" s="154"/>
      <c r="AN183" s="154"/>
      <c r="AO183" s="76"/>
      <c r="AP183" s="76"/>
      <c r="AQ183" s="76"/>
      <c r="AR183" s="76"/>
      <c r="AS183" s="76"/>
      <c r="AT183" s="76"/>
      <c r="AU183" s="76"/>
      <c r="AV183" s="76"/>
      <c r="AW183" s="76"/>
      <c r="AX183" s="76"/>
    </row>
    <row r="184" ht="15.75" customHeight="1">
      <c r="A184" s="81" t="s">
        <v>485</v>
      </c>
      <c r="B184" s="142" t="s">
        <v>1188</v>
      </c>
      <c r="C184" s="31" t="s">
        <v>2368</v>
      </c>
      <c r="D184" s="31" t="s">
        <v>2369</v>
      </c>
      <c r="E184" s="31" t="s">
        <v>2371</v>
      </c>
      <c r="F184" s="31"/>
      <c r="G184" s="31"/>
      <c r="H184" s="31"/>
      <c r="I184" s="84"/>
      <c r="J184" s="159"/>
      <c r="K184" s="84"/>
      <c r="L184" s="84"/>
      <c r="M184" s="84"/>
      <c r="N184" s="84"/>
      <c r="O184" s="84"/>
      <c r="P184" s="84"/>
      <c r="Q184" s="84" t="s">
        <v>166</v>
      </c>
      <c r="R184" s="84"/>
      <c r="S184" s="84"/>
      <c r="T184" s="84"/>
      <c r="U184" s="84"/>
      <c r="V184" s="84"/>
      <c r="W184" s="84"/>
      <c r="X184" s="84"/>
      <c r="Y184" s="84"/>
      <c r="Z184" s="84"/>
      <c r="AA184" s="84"/>
      <c r="AB184" s="84"/>
      <c r="AC184" s="84"/>
      <c r="AD184" s="84"/>
      <c r="AE184" s="84"/>
      <c r="AF184" s="84"/>
      <c r="AG184" s="84"/>
      <c r="AH184" s="84"/>
      <c r="AI184" s="84"/>
      <c r="AJ184" s="84"/>
      <c r="AK184" s="84"/>
      <c r="AL184" s="84"/>
      <c r="AM184" s="84"/>
      <c r="AN184" s="84"/>
      <c r="AO184" s="76"/>
      <c r="AP184" s="76"/>
      <c r="AQ184" s="76"/>
      <c r="AR184" s="76"/>
      <c r="AS184" s="76"/>
      <c r="AT184" s="76"/>
      <c r="AU184" s="76"/>
      <c r="AV184" s="76"/>
      <c r="AW184" s="76"/>
      <c r="AX184" s="76"/>
    </row>
    <row r="185" ht="15.75" customHeight="1">
      <c r="A185" s="146" t="s">
        <v>237</v>
      </c>
      <c r="B185" s="147" t="s">
        <v>1194</v>
      </c>
      <c r="C185" s="31" t="s">
        <v>1239</v>
      </c>
      <c r="D185" s="31" t="s">
        <v>1240</v>
      </c>
      <c r="E185" s="31" t="s">
        <v>2386</v>
      </c>
      <c r="F185" s="31"/>
      <c r="G185" s="31"/>
      <c r="H185" s="31"/>
      <c r="I185" s="175"/>
      <c r="J185" s="175"/>
      <c r="K185" s="176" t="s">
        <v>2389</v>
      </c>
      <c r="L185" s="176"/>
      <c r="M185" s="176"/>
      <c r="N185" s="176"/>
      <c r="O185" s="230" t="s">
        <v>2390</v>
      </c>
      <c r="P185" s="175"/>
      <c r="Q185" s="175" t="s">
        <v>166</v>
      </c>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76"/>
      <c r="AP185" s="76"/>
      <c r="AQ185" s="76"/>
      <c r="AR185" s="76"/>
      <c r="AS185" s="76"/>
      <c r="AT185" s="76"/>
      <c r="AU185" s="76"/>
      <c r="AV185" s="76"/>
      <c r="AW185" s="76"/>
      <c r="AX185" s="76"/>
    </row>
    <row r="186" ht="15.75" customHeight="1">
      <c r="A186" s="81" t="s">
        <v>485</v>
      </c>
      <c r="B186" s="142" t="s">
        <v>1201</v>
      </c>
      <c r="C186" s="31" t="s">
        <v>2397</v>
      </c>
      <c r="D186" s="31" t="s">
        <v>2399</v>
      </c>
      <c r="E186" s="31" t="s">
        <v>2401</v>
      </c>
      <c r="F186" s="31"/>
      <c r="G186" s="31"/>
      <c r="H186" s="31"/>
      <c r="I186" s="84"/>
      <c r="J186" s="159"/>
      <c r="K186" s="84"/>
      <c r="L186" s="84"/>
      <c r="M186" s="84"/>
      <c r="N186" s="84"/>
      <c r="O186" s="84"/>
      <c r="P186" s="84"/>
      <c r="Q186" s="84" t="s">
        <v>166</v>
      </c>
      <c r="R186" s="84"/>
      <c r="S186" s="84"/>
      <c r="T186" s="84"/>
      <c r="U186" s="84"/>
      <c r="V186" s="84"/>
      <c r="W186" s="84"/>
      <c r="X186" s="84"/>
      <c r="Y186" s="84"/>
      <c r="Z186" s="84"/>
      <c r="AA186" s="84"/>
      <c r="AB186" s="84"/>
      <c r="AC186" s="84"/>
      <c r="AD186" s="84"/>
      <c r="AE186" s="84"/>
      <c r="AF186" s="84"/>
      <c r="AG186" s="84"/>
      <c r="AH186" s="84"/>
      <c r="AI186" s="84"/>
      <c r="AJ186" s="84"/>
      <c r="AK186" s="84"/>
      <c r="AL186" s="84"/>
      <c r="AM186" s="84"/>
      <c r="AN186" s="84"/>
      <c r="AO186" s="76"/>
      <c r="AP186" s="76"/>
      <c r="AQ186" s="76"/>
      <c r="AR186" s="76"/>
      <c r="AS186" s="76"/>
      <c r="AT186" s="76"/>
      <c r="AU186" s="76"/>
      <c r="AV186" s="76"/>
      <c r="AW186" s="76"/>
      <c r="AX186" s="76"/>
    </row>
    <row r="187" ht="15.75" customHeight="1">
      <c r="A187" s="146" t="s">
        <v>237</v>
      </c>
      <c r="B187" s="147" t="s">
        <v>1208</v>
      </c>
      <c r="C187" s="31" t="s">
        <v>1258</v>
      </c>
      <c r="D187" s="31" t="s">
        <v>1259</v>
      </c>
      <c r="E187" s="31" t="s">
        <v>2416</v>
      </c>
      <c r="F187" s="31"/>
      <c r="G187" s="31"/>
      <c r="H187" s="31"/>
      <c r="I187" s="175"/>
      <c r="J187" s="175"/>
      <c r="K187" s="176" t="s">
        <v>2389</v>
      </c>
      <c r="L187" s="176"/>
      <c r="M187" s="176"/>
      <c r="N187" s="176"/>
      <c r="O187" s="230" t="s">
        <v>2417</v>
      </c>
      <c r="P187" s="175"/>
      <c r="Q187" s="175" t="s">
        <v>166</v>
      </c>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c r="AO187" s="76"/>
      <c r="AP187" s="76"/>
      <c r="AQ187" s="76"/>
      <c r="AR187" s="76"/>
      <c r="AS187" s="76"/>
      <c r="AT187" s="76"/>
      <c r="AU187" s="76"/>
      <c r="AV187" s="76"/>
      <c r="AW187" s="76"/>
      <c r="AX187" s="76"/>
    </row>
    <row r="188" ht="15.75" customHeight="1">
      <c r="A188" s="146" t="s">
        <v>237</v>
      </c>
      <c r="B188" s="147" t="s">
        <v>1217</v>
      </c>
      <c r="C188" s="31" t="s">
        <v>2426</v>
      </c>
      <c r="D188" s="31" t="s">
        <v>2428</v>
      </c>
      <c r="E188" s="31" t="s">
        <v>2429</v>
      </c>
      <c r="F188" s="31"/>
      <c r="G188" s="31"/>
      <c r="H188" s="31"/>
      <c r="I188" s="175"/>
      <c r="J188" s="175"/>
      <c r="K188" s="176" t="s">
        <v>2389</v>
      </c>
      <c r="L188" s="176"/>
      <c r="M188" s="176"/>
      <c r="N188" s="176"/>
      <c r="O188" s="175"/>
      <c r="P188" s="175"/>
      <c r="Q188" s="175" t="s">
        <v>166</v>
      </c>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c r="AO188" s="76"/>
      <c r="AP188" s="76"/>
      <c r="AQ188" s="76"/>
      <c r="AR188" s="76"/>
      <c r="AS188" s="76"/>
      <c r="AT188" s="76"/>
      <c r="AU188" s="76"/>
      <c r="AV188" s="76"/>
      <c r="AW188" s="76"/>
      <c r="AX188" s="76"/>
    </row>
    <row r="189" ht="15.75" customHeight="1">
      <c r="A189" s="81" t="s">
        <v>485</v>
      </c>
      <c r="B189" s="142" t="s">
        <v>1226</v>
      </c>
      <c r="C189" s="31" t="s">
        <v>2433</v>
      </c>
      <c r="D189" s="31" t="s">
        <v>2434</v>
      </c>
      <c r="E189" s="31" t="s">
        <v>2435</v>
      </c>
      <c r="F189" s="31"/>
      <c r="G189" s="31"/>
      <c r="H189" s="31"/>
      <c r="I189" s="84"/>
      <c r="J189" s="159"/>
      <c r="K189" s="84"/>
      <c r="L189" s="84"/>
      <c r="M189" s="84"/>
      <c r="N189" s="84"/>
      <c r="O189" s="84"/>
      <c r="P189" s="84"/>
      <c r="Q189" s="84" t="s">
        <v>166</v>
      </c>
      <c r="R189" s="84"/>
      <c r="S189" s="84"/>
      <c r="T189" s="84"/>
      <c r="U189" s="84"/>
      <c r="V189" s="84"/>
      <c r="W189" s="84"/>
      <c r="X189" s="84"/>
      <c r="Y189" s="84"/>
      <c r="Z189" s="84"/>
      <c r="AA189" s="84"/>
      <c r="AB189" s="84"/>
      <c r="AC189" s="84"/>
      <c r="AD189" s="84"/>
      <c r="AE189" s="84"/>
      <c r="AF189" s="84"/>
      <c r="AG189" s="84"/>
      <c r="AH189" s="84"/>
      <c r="AI189" s="84"/>
      <c r="AJ189" s="84"/>
      <c r="AK189" s="84"/>
      <c r="AL189" s="84"/>
      <c r="AM189" s="84"/>
      <c r="AN189" s="84"/>
      <c r="AO189" s="76"/>
      <c r="AP189" s="76"/>
      <c r="AQ189" s="76"/>
      <c r="AR189" s="76"/>
      <c r="AS189" s="76"/>
      <c r="AT189" s="76"/>
      <c r="AU189" s="76"/>
      <c r="AV189" s="76"/>
      <c r="AW189" s="76"/>
      <c r="AX189" s="76"/>
    </row>
    <row r="190" ht="15.75" customHeight="1">
      <c r="A190" s="146" t="s">
        <v>237</v>
      </c>
      <c r="B190" s="147" t="s">
        <v>1238</v>
      </c>
      <c r="C190" s="31" t="s">
        <v>2446</v>
      </c>
      <c r="D190" s="31" t="s">
        <v>2447</v>
      </c>
      <c r="E190" s="31" t="s">
        <v>2448</v>
      </c>
      <c r="F190" s="31"/>
      <c r="G190" s="31"/>
      <c r="H190" s="31"/>
      <c r="I190" s="175"/>
      <c r="J190" s="175"/>
      <c r="K190" s="176" t="s">
        <v>2389</v>
      </c>
      <c r="L190" s="176"/>
      <c r="M190" s="176"/>
      <c r="N190" s="176"/>
      <c r="O190" s="230" t="s">
        <v>2449</v>
      </c>
      <c r="P190" s="175"/>
      <c r="Q190" s="175" t="s">
        <v>166</v>
      </c>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c r="AO190" s="76"/>
      <c r="AP190" s="76"/>
      <c r="AQ190" s="76"/>
      <c r="AR190" s="76"/>
      <c r="AS190" s="76"/>
      <c r="AT190" s="76"/>
      <c r="AU190" s="76"/>
      <c r="AV190" s="76"/>
      <c r="AW190" s="76"/>
      <c r="AX190" s="76"/>
    </row>
    <row r="191" ht="15.75" customHeight="1">
      <c r="A191" s="81" t="s">
        <v>485</v>
      </c>
      <c r="B191" s="142" t="s">
        <v>1245</v>
      </c>
      <c r="C191" s="31" t="s">
        <v>2457</v>
      </c>
      <c r="D191" s="31" t="s">
        <v>2459</v>
      </c>
      <c r="E191" s="31" t="s">
        <v>2461</v>
      </c>
      <c r="F191" s="31"/>
      <c r="G191" s="31"/>
      <c r="H191" s="31"/>
      <c r="I191" s="84"/>
      <c r="J191" s="159"/>
      <c r="K191" s="84"/>
      <c r="L191" s="84"/>
      <c r="M191" s="84"/>
      <c r="N191" s="84"/>
      <c r="O191" s="84"/>
      <c r="P191" s="84"/>
      <c r="Q191" s="84" t="s">
        <v>166</v>
      </c>
      <c r="R191" s="84"/>
      <c r="S191" s="84"/>
      <c r="T191" s="84"/>
      <c r="U191" s="84"/>
      <c r="V191" s="84"/>
      <c r="W191" s="84"/>
      <c r="X191" s="84"/>
      <c r="Y191" s="84"/>
      <c r="Z191" s="84"/>
      <c r="AA191" s="84"/>
      <c r="AB191" s="84"/>
      <c r="AC191" s="84"/>
      <c r="AD191" s="84"/>
      <c r="AE191" s="84"/>
      <c r="AF191" s="84"/>
      <c r="AG191" s="84"/>
      <c r="AH191" s="84"/>
      <c r="AI191" s="84"/>
      <c r="AJ191" s="84"/>
      <c r="AK191" s="84"/>
      <c r="AL191" s="84"/>
      <c r="AM191" s="84"/>
      <c r="AN191" s="84"/>
      <c r="AO191" s="76"/>
      <c r="AP191" s="76"/>
      <c r="AQ191" s="76"/>
      <c r="AR191" s="76"/>
      <c r="AS191" s="76"/>
      <c r="AT191" s="76"/>
      <c r="AU191" s="76"/>
      <c r="AV191" s="76"/>
      <c r="AW191" s="76"/>
      <c r="AX191" s="76"/>
    </row>
    <row r="192" ht="15.75" customHeight="1">
      <c r="A192" s="146" t="s">
        <v>237</v>
      </c>
      <c r="B192" s="147" t="s">
        <v>1256</v>
      </c>
      <c r="C192" s="31" t="s">
        <v>2470</v>
      </c>
      <c r="D192" s="31" t="s">
        <v>2471</v>
      </c>
      <c r="E192" s="31" t="s">
        <v>2472</v>
      </c>
      <c r="F192" s="31"/>
      <c r="G192" s="31"/>
      <c r="H192" s="31"/>
      <c r="I192" s="175"/>
      <c r="J192" s="175"/>
      <c r="K192" s="176" t="s">
        <v>2389</v>
      </c>
      <c r="L192" s="176"/>
      <c r="M192" s="176"/>
      <c r="N192" s="176"/>
      <c r="O192" s="230" t="s">
        <v>2473</v>
      </c>
      <c r="P192" s="175"/>
      <c r="Q192" s="175" t="s">
        <v>166</v>
      </c>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N192" s="175"/>
      <c r="AO192" s="76"/>
      <c r="AP192" s="76"/>
      <c r="AQ192" s="76"/>
      <c r="AR192" s="76"/>
      <c r="AS192" s="76"/>
      <c r="AT192" s="76"/>
      <c r="AU192" s="76"/>
      <c r="AV192" s="76"/>
      <c r="AW192" s="76"/>
      <c r="AX192" s="76"/>
    </row>
    <row r="193" ht="15.75" customHeight="1">
      <c r="A193" s="146" t="s">
        <v>237</v>
      </c>
      <c r="B193" s="147" t="s">
        <v>1261</v>
      </c>
      <c r="C193" s="31" t="s">
        <v>2476</v>
      </c>
      <c r="D193" s="31" t="s">
        <v>2477</v>
      </c>
      <c r="E193" s="31" t="s">
        <v>2478</v>
      </c>
      <c r="F193" s="31"/>
      <c r="G193" s="31"/>
      <c r="H193" s="31"/>
      <c r="I193" s="175"/>
      <c r="J193" s="175"/>
      <c r="K193" s="176" t="s">
        <v>2389</v>
      </c>
      <c r="L193" s="176"/>
      <c r="M193" s="176"/>
      <c r="N193" s="176"/>
      <c r="O193" s="175"/>
      <c r="P193" s="175"/>
      <c r="Q193" s="175" t="s">
        <v>166</v>
      </c>
      <c r="R193" s="175"/>
      <c r="S193" s="175"/>
      <c r="T193" s="175"/>
      <c r="U193" s="175"/>
      <c r="V193" s="175"/>
      <c r="W193" s="175"/>
      <c r="X193" s="175"/>
      <c r="Y193" s="175"/>
      <c r="Z193" s="175"/>
      <c r="AA193" s="175"/>
      <c r="AB193" s="175"/>
      <c r="AC193" s="175"/>
      <c r="AD193" s="175"/>
      <c r="AE193" s="175"/>
      <c r="AF193" s="175"/>
      <c r="AG193" s="175"/>
      <c r="AH193" s="175"/>
      <c r="AI193" s="175"/>
      <c r="AJ193" s="175"/>
      <c r="AK193" s="175"/>
      <c r="AL193" s="175"/>
      <c r="AM193" s="175"/>
      <c r="AN193" s="175"/>
      <c r="AO193" s="76"/>
      <c r="AP193" s="76"/>
      <c r="AQ193" s="76"/>
      <c r="AR193" s="76"/>
      <c r="AS193" s="76"/>
      <c r="AT193" s="76"/>
      <c r="AU193" s="76"/>
      <c r="AV193" s="76"/>
      <c r="AW193" s="76"/>
      <c r="AX193" s="76"/>
    </row>
    <row r="194" ht="15.75" customHeight="1">
      <c r="A194" s="169"/>
      <c r="B194" s="170"/>
      <c r="C194" s="31" t="s">
        <v>53</v>
      </c>
      <c r="D194" s="31" t="s">
        <v>53</v>
      </c>
      <c r="E194" s="31" t="s">
        <v>53</v>
      </c>
      <c r="F194" s="76"/>
      <c r="G194" s="76"/>
      <c r="H194" s="76"/>
      <c r="I194" s="76"/>
      <c r="J194" s="76"/>
      <c r="K194" s="76"/>
      <c r="L194" s="76"/>
      <c r="M194" s="76"/>
      <c r="N194" s="76"/>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6"/>
      <c r="AN194" s="76"/>
      <c r="AO194" s="76"/>
      <c r="AP194" s="76"/>
      <c r="AQ194" s="76"/>
      <c r="AR194" s="76"/>
      <c r="AS194" s="76"/>
      <c r="AT194" s="76"/>
      <c r="AU194" s="76"/>
      <c r="AV194" s="76"/>
      <c r="AW194" s="76"/>
      <c r="AX194" s="76"/>
    </row>
    <row r="195" ht="15.75" customHeight="1">
      <c r="A195" s="122" t="s">
        <v>150</v>
      </c>
      <c r="B195" s="171" t="s">
        <v>1271</v>
      </c>
      <c r="C195" s="31"/>
      <c r="D195" s="31"/>
      <c r="E195" s="31"/>
      <c r="F195" s="70"/>
      <c r="G195" s="70"/>
      <c r="H195" s="70"/>
      <c r="I195" s="70"/>
      <c r="J195" s="71"/>
      <c r="K195" s="70"/>
      <c r="L195" s="70"/>
      <c r="M195" s="70"/>
      <c r="N195" s="70"/>
      <c r="O195" s="71"/>
      <c r="P195" s="70"/>
      <c r="Q195" s="70"/>
      <c r="R195" s="70"/>
      <c r="S195" s="70"/>
      <c r="T195" s="70"/>
      <c r="U195" s="70"/>
      <c r="V195" s="70"/>
      <c r="W195" s="70"/>
      <c r="X195" s="70"/>
      <c r="Y195" s="70"/>
      <c r="Z195" s="70"/>
      <c r="AA195" s="70"/>
      <c r="AB195" s="70"/>
      <c r="AC195" s="70"/>
      <c r="AD195" s="76"/>
      <c r="AE195" s="76"/>
      <c r="AF195" s="76"/>
      <c r="AG195" s="76"/>
      <c r="AH195" s="76"/>
      <c r="AI195" s="76"/>
      <c r="AJ195" s="76"/>
      <c r="AK195" s="76"/>
      <c r="AL195" s="76"/>
      <c r="AM195" s="76"/>
      <c r="AN195" s="76"/>
      <c r="AO195" s="76"/>
      <c r="AP195" s="76"/>
      <c r="AQ195" s="76"/>
      <c r="AR195" s="76"/>
      <c r="AS195" s="76"/>
      <c r="AT195" s="76"/>
      <c r="AU195" s="76"/>
      <c r="AV195" s="76"/>
      <c r="AW195" s="76"/>
      <c r="AX195" s="76"/>
    </row>
    <row r="196" ht="15.75" customHeight="1">
      <c r="A196" s="81" t="s">
        <v>1272</v>
      </c>
      <c r="B196" s="142" t="s">
        <v>1273</v>
      </c>
      <c r="C196" s="31" t="s">
        <v>2503</v>
      </c>
      <c r="D196" s="31" t="s">
        <v>2504</v>
      </c>
      <c r="E196" s="31" t="s">
        <v>2505</v>
      </c>
      <c r="F196" s="31"/>
      <c r="G196" s="31"/>
      <c r="H196" s="31"/>
      <c r="I196" s="84"/>
      <c r="J196" s="159"/>
      <c r="K196" s="84" t="s">
        <v>2506</v>
      </c>
      <c r="L196" s="84"/>
      <c r="M196" s="84"/>
      <c r="N196" s="84"/>
      <c r="O196" s="84"/>
      <c r="P196" s="84"/>
      <c r="Q196" s="84" t="s">
        <v>166</v>
      </c>
      <c r="R196" s="84"/>
      <c r="S196" s="84"/>
      <c r="T196" s="84"/>
      <c r="U196" s="84"/>
      <c r="V196" s="84"/>
      <c r="W196" s="84"/>
      <c r="X196" s="84"/>
      <c r="Y196" s="84"/>
      <c r="Z196" s="84"/>
      <c r="AA196" s="84"/>
      <c r="AB196" s="84"/>
      <c r="AC196" s="84"/>
      <c r="AD196" s="84"/>
      <c r="AE196" s="84"/>
      <c r="AF196" s="84"/>
      <c r="AG196" s="84"/>
      <c r="AH196" s="84"/>
      <c r="AI196" s="84"/>
      <c r="AJ196" s="84"/>
      <c r="AK196" s="84"/>
      <c r="AL196" s="84"/>
      <c r="AM196" s="84"/>
      <c r="AN196" s="84"/>
      <c r="AO196" s="76"/>
      <c r="AP196" s="76"/>
      <c r="AQ196" s="76"/>
      <c r="AR196" s="76"/>
      <c r="AS196" s="76"/>
      <c r="AT196" s="76"/>
      <c r="AU196" s="76"/>
      <c r="AV196" s="76"/>
      <c r="AW196" s="76"/>
      <c r="AX196" s="76"/>
    </row>
    <row r="197" ht="15.75" customHeight="1">
      <c r="A197" s="144" t="s">
        <v>648</v>
      </c>
      <c r="B197" s="145" t="s">
        <v>1281</v>
      </c>
      <c r="C197" s="31" t="s">
        <v>1282</v>
      </c>
      <c r="D197" s="31" t="s">
        <v>1283</v>
      </c>
      <c r="E197" s="31" t="s">
        <v>1284</v>
      </c>
      <c r="F197" s="173"/>
      <c r="G197" s="173"/>
      <c r="H197" s="173"/>
      <c r="I197" s="173"/>
      <c r="J197" s="173"/>
      <c r="K197" s="173"/>
      <c r="L197" s="173"/>
      <c r="M197" s="173"/>
      <c r="N197" s="173"/>
      <c r="O197" s="187" t="s">
        <v>2520</v>
      </c>
      <c r="P197" s="173"/>
      <c r="Q197" s="173"/>
      <c r="R197" s="173"/>
      <c r="S197" s="173"/>
      <c r="T197" s="173"/>
      <c r="U197" s="187" t="s">
        <v>2522</v>
      </c>
      <c r="V197" s="173"/>
      <c r="W197" s="173"/>
      <c r="X197" s="173"/>
      <c r="Y197" s="173"/>
      <c r="Z197" s="173"/>
      <c r="AA197" s="173"/>
      <c r="AB197" s="173"/>
      <c r="AC197" s="173"/>
      <c r="AD197" s="173"/>
      <c r="AE197" s="173"/>
      <c r="AF197" s="173"/>
      <c r="AG197" s="173"/>
      <c r="AH197" s="173"/>
      <c r="AI197" s="173"/>
      <c r="AJ197" s="173"/>
      <c r="AK197" s="173"/>
      <c r="AL197" s="173"/>
      <c r="AM197" s="173"/>
      <c r="AN197" s="173"/>
      <c r="AO197" s="76"/>
      <c r="AP197" s="76"/>
      <c r="AQ197" s="76"/>
      <c r="AR197" s="76"/>
      <c r="AS197" s="76"/>
      <c r="AT197" s="76"/>
      <c r="AU197" s="76"/>
      <c r="AV197" s="76"/>
      <c r="AW197" s="76"/>
      <c r="AX197" s="76"/>
    </row>
    <row r="198" ht="15.75" customHeight="1">
      <c r="A198" s="104" t="s">
        <v>108</v>
      </c>
      <c r="B198" s="105" t="s">
        <v>1285</v>
      </c>
      <c r="C198" s="31" t="s">
        <v>1286</v>
      </c>
      <c r="D198" s="31" t="s">
        <v>1287</v>
      </c>
      <c r="E198" s="31" t="s">
        <v>1288</v>
      </c>
      <c r="F198" s="108"/>
      <c r="G198" s="108"/>
      <c r="H198" s="108"/>
      <c r="I198" s="108"/>
      <c r="J198" s="108"/>
      <c r="K198" s="108"/>
      <c r="L198" s="108"/>
      <c r="M198" s="108"/>
      <c r="N198" s="108"/>
      <c r="O198" s="108"/>
      <c r="P198" s="108"/>
      <c r="Q198" s="108"/>
      <c r="R198" s="108"/>
      <c r="S198" s="108"/>
      <c r="T198" s="132" t="s">
        <v>2528</v>
      </c>
      <c r="U198" s="108"/>
      <c r="V198" s="108"/>
      <c r="W198" s="108"/>
      <c r="X198" s="108"/>
      <c r="Y198" s="108"/>
      <c r="Z198" s="108"/>
      <c r="AA198" s="108"/>
      <c r="AB198" s="108"/>
      <c r="AC198" s="108"/>
      <c r="AD198" s="108"/>
      <c r="AE198" s="108"/>
      <c r="AF198" s="108"/>
      <c r="AG198" s="108"/>
      <c r="AH198" s="108"/>
      <c r="AI198" s="108"/>
      <c r="AJ198" s="108"/>
      <c r="AK198" s="108"/>
      <c r="AL198" s="108"/>
      <c r="AM198" s="108"/>
      <c r="AN198" s="108"/>
      <c r="AO198" s="76"/>
      <c r="AP198" s="76"/>
      <c r="AQ198" s="76"/>
      <c r="AR198" s="76"/>
      <c r="AS198" s="76"/>
      <c r="AT198" s="76"/>
      <c r="AU198" s="76"/>
      <c r="AV198" s="76"/>
      <c r="AW198" s="76"/>
      <c r="AX198" s="76"/>
    </row>
    <row r="199" ht="15.75" customHeight="1">
      <c r="A199" s="146" t="s">
        <v>237</v>
      </c>
      <c r="B199" s="147" t="s">
        <v>1289</v>
      </c>
      <c r="C199" s="31" t="s">
        <v>2533</v>
      </c>
      <c r="D199" s="31" t="s">
        <v>2534</v>
      </c>
      <c r="E199" s="31" t="s">
        <v>2535</v>
      </c>
      <c r="F199" s="31"/>
      <c r="G199" s="31"/>
      <c r="H199" s="31"/>
      <c r="I199" s="175"/>
      <c r="J199" s="175"/>
      <c r="K199" s="176" t="s">
        <v>2539</v>
      </c>
      <c r="L199" s="176"/>
      <c r="M199" s="176"/>
      <c r="N199" s="176"/>
      <c r="O199" s="175"/>
      <c r="P199" s="175"/>
      <c r="Q199" s="175" t="s">
        <v>166</v>
      </c>
      <c r="R199" s="175"/>
      <c r="S199" s="175"/>
      <c r="T199" s="175"/>
      <c r="U199" s="175"/>
      <c r="V199" s="175"/>
      <c r="W199" s="175"/>
      <c r="X199" s="175"/>
      <c r="Y199" s="175"/>
      <c r="Z199" s="175"/>
      <c r="AA199" s="175"/>
      <c r="AB199" s="175"/>
      <c r="AC199" s="175"/>
      <c r="AD199" s="175"/>
      <c r="AE199" s="175"/>
      <c r="AF199" s="175"/>
      <c r="AG199" s="175"/>
      <c r="AH199" s="175"/>
      <c r="AI199" s="175"/>
      <c r="AJ199" s="175"/>
      <c r="AK199" s="175"/>
      <c r="AL199" s="175"/>
      <c r="AM199" s="175"/>
      <c r="AN199" s="175"/>
      <c r="AO199" s="76"/>
      <c r="AP199" s="76"/>
      <c r="AQ199" s="76"/>
      <c r="AR199" s="76"/>
      <c r="AS199" s="76"/>
      <c r="AT199" s="76"/>
      <c r="AU199" s="76"/>
      <c r="AV199" s="76"/>
      <c r="AW199" s="76"/>
      <c r="AX199" s="76"/>
    </row>
    <row r="200" ht="15.75" customHeight="1">
      <c r="A200" s="144" t="s">
        <v>691</v>
      </c>
      <c r="B200" s="150" t="s">
        <v>1281</v>
      </c>
      <c r="C200" s="31" t="s">
        <v>1282</v>
      </c>
      <c r="D200" s="31" t="s">
        <v>1283</v>
      </c>
      <c r="E200" s="31" t="s">
        <v>1284</v>
      </c>
      <c r="F200" s="173"/>
      <c r="G200" s="173"/>
      <c r="H200" s="173"/>
      <c r="I200" s="173"/>
      <c r="J200" s="173"/>
      <c r="K200" s="173"/>
      <c r="L200" s="173"/>
      <c r="M200" s="173"/>
      <c r="N200" s="173"/>
      <c r="O200" s="173"/>
      <c r="P200" s="173"/>
      <c r="Q200" s="173"/>
      <c r="R200" s="173"/>
      <c r="S200" s="173"/>
      <c r="T200" s="173"/>
      <c r="U200" s="173"/>
      <c r="V200" s="173"/>
      <c r="W200" s="173"/>
      <c r="X200" s="173"/>
      <c r="Y200" s="173"/>
      <c r="Z200" s="173"/>
      <c r="AA200" s="173"/>
      <c r="AB200" s="173"/>
      <c r="AC200" s="173"/>
      <c r="AD200" s="173"/>
      <c r="AE200" s="173"/>
      <c r="AF200" s="173"/>
      <c r="AG200" s="173"/>
      <c r="AH200" s="173"/>
      <c r="AI200" s="173"/>
      <c r="AJ200" s="173"/>
      <c r="AK200" s="173"/>
      <c r="AL200" s="173"/>
      <c r="AM200" s="173"/>
      <c r="AN200" s="173"/>
      <c r="AO200" s="76"/>
      <c r="AP200" s="76"/>
      <c r="AQ200" s="76"/>
      <c r="AR200" s="76"/>
      <c r="AS200" s="76"/>
      <c r="AT200" s="76"/>
      <c r="AU200" s="76"/>
      <c r="AV200" s="76"/>
      <c r="AW200" s="76"/>
      <c r="AX200" s="76"/>
    </row>
    <row r="201" ht="15.75" customHeight="1">
      <c r="A201" s="81" t="s">
        <v>1301</v>
      </c>
      <c r="B201" s="142" t="s">
        <v>1302</v>
      </c>
      <c r="C201" s="31" t="s">
        <v>2559</v>
      </c>
      <c r="D201" s="31" t="s">
        <v>2560</v>
      </c>
      <c r="E201" s="31" t="s">
        <v>2561</v>
      </c>
      <c r="F201" s="31"/>
      <c r="G201" s="31"/>
      <c r="H201" s="31"/>
      <c r="I201" s="84"/>
      <c r="J201" s="159"/>
      <c r="K201" s="84" t="s">
        <v>2506</v>
      </c>
      <c r="L201" s="84"/>
      <c r="M201" s="84"/>
      <c r="N201" s="84"/>
      <c r="O201" s="84"/>
      <c r="P201" s="84"/>
      <c r="Q201" s="84" t="s">
        <v>166</v>
      </c>
      <c r="R201" s="84"/>
      <c r="S201" s="84"/>
      <c r="T201" s="84"/>
      <c r="U201" s="84"/>
      <c r="V201" s="84"/>
      <c r="W201" s="84"/>
      <c r="X201" s="84"/>
      <c r="Y201" s="84"/>
      <c r="Z201" s="84"/>
      <c r="AA201" s="84"/>
      <c r="AB201" s="84"/>
      <c r="AC201" s="84"/>
      <c r="AD201" s="84"/>
      <c r="AE201" s="84"/>
      <c r="AF201" s="84"/>
      <c r="AG201" s="84"/>
      <c r="AH201" s="84"/>
      <c r="AI201" s="84"/>
      <c r="AJ201" s="84"/>
      <c r="AK201" s="84"/>
      <c r="AL201" s="84"/>
      <c r="AM201" s="84"/>
      <c r="AN201" s="84"/>
      <c r="AO201" s="76"/>
      <c r="AP201" s="76"/>
      <c r="AQ201" s="76"/>
      <c r="AR201" s="76"/>
      <c r="AS201" s="76"/>
      <c r="AT201" s="76"/>
      <c r="AU201" s="76"/>
      <c r="AV201" s="76"/>
      <c r="AW201" s="76"/>
      <c r="AX201" s="76"/>
    </row>
    <row r="202" ht="15.75" customHeight="1">
      <c r="A202" s="144" t="s">
        <v>648</v>
      </c>
      <c r="B202" s="145" t="s">
        <v>1310</v>
      </c>
      <c r="C202" s="31" t="s">
        <v>1311</v>
      </c>
      <c r="D202" s="31" t="s">
        <v>1312</v>
      </c>
      <c r="E202" s="31" t="s">
        <v>1313</v>
      </c>
      <c r="F202" s="173"/>
      <c r="G202" s="173"/>
      <c r="H202" s="173"/>
      <c r="I202" s="173"/>
      <c r="J202" s="173"/>
      <c r="K202" s="173"/>
      <c r="L202" s="173"/>
      <c r="M202" s="173"/>
      <c r="N202" s="173"/>
      <c r="O202" s="187" t="s">
        <v>2573</v>
      </c>
      <c r="P202" s="173"/>
      <c r="Q202" s="173"/>
      <c r="R202" s="173"/>
      <c r="S202" s="173"/>
      <c r="T202" s="173"/>
      <c r="U202" s="187" t="s">
        <v>2574</v>
      </c>
      <c r="V202" s="173"/>
      <c r="W202" s="173"/>
      <c r="X202" s="173"/>
      <c r="Y202" s="173"/>
      <c r="Z202" s="173"/>
      <c r="AA202" s="173"/>
      <c r="AB202" s="173"/>
      <c r="AC202" s="173"/>
      <c r="AD202" s="173"/>
      <c r="AE202" s="173"/>
      <c r="AF202" s="173"/>
      <c r="AG202" s="173"/>
      <c r="AH202" s="173"/>
      <c r="AI202" s="173"/>
      <c r="AJ202" s="173"/>
      <c r="AK202" s="173"/>
      <c r="AL202" s="173"/>
      <c r="AM202" s="173"/>
      <c r="AN202" s="173"/>
      <c r="AO202" s="76"/>
      <c r="AP202" s="76"/>
      <c r="AQ202" s="76"/>
      <c r="AR202" s="76"/>
      <c r="AS202" s="76"/>
      <c r="AT202" s="76"/>
      <c r="AU202" s="76"/>
      <c r="AV202" s="76"/>
      <c r="AW202" s="76"/>
      <c r="AX202" s="76"/>
    </row>
    <row r="203" ht="15.75" customHeight="1">
      <c r="A203" s="104" t="s">
        <v>108</v>
      </c>
      <c r="B203" s="105" t="s">
        <v>1319</v>
      </c>
      <c r="C203" s="31" t="s">
        <v>1320</v>
      </c>
      <c r="D203" s="31" t="s">
        <v>1321</v>
      </c>
      <c r="E203" s="31" t="s">
        <v>1322</v>
      </c>
      <c r="F203" s="108"/>
      <c r="G203" s="108"/>
      <c r="H203" s="108"/>
      <c r="I203" s="108"/>
      <c r="J203" s="108"/>
      <c r="K203" s="108"/>
      <c r="L203" s="108"/>
      <c r="M203" s="108"/>
      <c r="N203" s="108"/>
      <c r="O203" s="108"/>
      <c r="P203" s="108"/>
      <c r="Q203" s="108"/>
      <c r="R203" s="108"/>
      <c r="S203" s="108"/>
      <c r="T203" s="132" t="s">
        <v>2585</v>
      </c>
      <c r="U203" s="108"/>
      <c r="V203" s="108"/>
      <c r="W203" s="108"/>
      <c r="X203" s="108"/>
      <c r="Y203" s="108"/>
      <c r="Z203" s="108"/>
      <c r="AA203" s="108"/>
      <c r="AB203" s="108"/>
      <c r="AC203" s="108"/>
      <c r="AD203" s="108"/>
      <c r="AE203" s="108"/>
      <c r="AF203" s="108"/>
      <c r="AG203" s="108"/>
      <c r="AH203" s="108"/>
      <c r="AI203" s="108"/>
      <c r="AJ203" s="108"/>
      <c r="AK203" s="108"/>
      <c r="AL203" s="108"/>
      <c r="AM203" s="108"/>
      <c r="AN203" s="108"/>
      <c r="AO203" s="76"/>
      <c r="AP203" s="76"/>
      <c r="AQ203" s="76"/>
      <c r="AR203" s="76"/>
      <c r="AS203" s="76"/>
      <c r="AT203" s="76"/>
      <c r="AU203" s="76"/>
      <c r="AV203" s="76"/>
      <c r="AW203" s="76"/>
      <c r="AX203" s="76"/>
    </row>
    <row r="204" ht="15.75" customHeight="1">
      <c r="A204" s="146" t="s">
        <v>237</v>
      </c>
      <c r="B204" s="147" t="s">
        <v>1329</v>
      </c>
      <c r="C204" s="31" t="s">
        <v>2593</v>
      </c>
      <c r="D204" s="31" t="s">
        <v>2594</v>
      </c>
      <c r="E204" s="31" t="s">
        <v>2595</v>
      </c>
      <c r="F204" s="31"/>
      <c r="G204" s="31"/>
      <c r="H204" s="31"/>
      <c r="I204" s="175"/>
      <c r="J204" s="175"/>
      <c r="K204" s="176" t="s">
        <v>2539</v>
      </c>
      <c r="L204" s="176"/>
      <c r="M204" s="176"/>
      <c r="N204" s="176"/>
      <c r="O204" s="175"/>
      <c r="P204" s="175"/>
      <c r="Q204" s="175" t="s">
        <v>166</v>
      </c>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c r="AO204" s="76"/>
      <c r="AP204" s="76"/>
      <c r="AQ204" s="76"/>
      <c r="AR204" s="76"/>
      <c r="AS204" s="76"/>
      <c r="AT204" s="76"/>
      <c r="AU204" s="76"/>
      <c r="AV204" s="76"/>
      <c r="AW204" s="76"/>
      <c r="AX204" s="76"/>
    </row>
    <row r="205" ht="15.75" customHeight="1">
      <c r="A205" s="144" t="s">
        <v>691</v>
      </c>
      <c r="B205" s="150" t="s">
        <v>1310</v>
      </c>
      <c r="C205" s="31" t="s">
        <v>1311</v>
      </c>
      <c r="D205" s="31" t="s">
        <v>1312</v>
      </c>
      <c r="E205" s="31" t="s">
        <v>1313</v>
      </c>
      <c r="F205" s="173"/>
      <c r="G205" s="173"/>
      <c r="H205" s="173"/>
      <c r="I205" s="173"/>
      <c r="J205" s="173"/>
      <c r="K205" s="173"/>
      <c r="L205" s="173"/>
      <c r="M205" s="173"/>
      <c r="N205" s="173"/>
      <c r="O205" s="173"/>
      <c r="P205" s="173"/>
      <c r="Q205" s="173"/>
      <c r="R205" s="173"/>
      <c r="S205" s="173"/>
      <c r="T205" s="173"/>
      <c r="U205" s="173"/>
      <c r="V205" s="173"/>
      <c r="W205" s="173"/>
      <c r="X205" s="173"/>
      <c r="Y205" s="173"/>
      <c r="Z205" s="173"/>
      <c r="AA205" s="173"/>
      <c r="AB205" s="173"/>
      <c r="AC205" s="173"/>
      <c r="AD205" s="173"/>
      <c r="AE205" s="173"/>
      <c r="AF205" s="173"/>
      <c r="AG205" s="173"/>
      <c r="AH205" s="173"/>
      <c r="AI205" s="173"/>
      <c r="AJ205" s="173"/>
      <c r="AK205" s="173"/>
      <c r="AL205" s="173"/>
      <c r="AM205" s="173"/>
      <c r="AN205" s="173"/>
      <c r="AO205" s="76"/>
      <c r="AP205" s="76"/>
      <c r="AQ205" s="76"/>
      <c r="AR205" s="76"/>
      <c r="AS205" s="76"/>
      <c r="AT205" s="76"/>
      <c r="AU205" s="76"/>
      <c r="AV205" s="76"/>
      <c r="AW205" s="76"/>
      <c r="AX205" s="76"/>
    </row>
    <row r="206" ht="15.75" customHeight="1">
      <c r="A206" s="122" t="s">
        <v>150</v>
      </c>
      <c r="B206" s="69" t="s">
        <v>1340</v>
      </c>
      <c r="C206" s="31"/>
      <c r="D206" s="31"/>
      <c r="E206" s="31"/>
      <c r="F206" s="70"/>
      <c r="G206" s="70"/>
      <c r="H206" s="70"/>
      <c r="I206" s="70"/>
      <c r="J206" s="71" t="s">
        <v>1736</v>
      </c>
      <c r="K206" s="70"/>
      <c r="L206" s="70"/>
      <c r="M206" s="71"/>
      <c r="N206" s="71"/>
      <c r="O206" s="71"/>
      <c r="P206" s="70"/>
      <c r="Q206" s="70"/>
      <c r="R206" s="70"/>
      <c r="S206" s="70"/>
      <c r="T206" s="70"/>
      <c r="U206" s="70"/>
      <c r="V206" s="70"/>
      <c r="W206" s="70"/>
      <c r="X206" s="70"/>
      <c r="Y206" s="70"/>
      <c r="Z206" s="70"/>
      <c r="AA206" s="70"/>
      <c r="AB206" s="70"/>
      <c r="AC206" s="70"/>
      <c r="AD206" s="76"/>
      <c r="AE206" s="76"/>
      <c r="AF206" s="76"/>
      <c r="AG206" s="76"/>
      <c r="AH206" s="76"/>
      <c r="AI206" s="76"/>
      <c r="AJ206" s="76"/>
      <c r="AK206" s="76"/>
      <c r="AL206" s="76"/>
      <c r="AM206" s="76"/>
      <c r="AN206" s="76"/>
      <c r="AO206" s="76"/>
      <c r="AP206" s="76"/>
      <c r="AQ206" s="76"/>
      <c r="AR206" s="76"/>
      <c r="AS206" s="76"/>
      <c r="AT206" s="76"/>
      <c r="AU206" s="76"/>
      <c r="AV206" s="76"/>
      <c r="AW206" s="76"/>
      <c r="AX206" s="76"/>
    </row>
    <row r="207" ht="15.75" customHeight="1">
      <c r="A207" s="81" t="s">
        <v>485</v>
      </c>
      <c r="B207" s="131" t="s">
        <v>1345</v>
      </c>
      <c r="C207" s="31" t="s">
        <v>2613</v>
      </c>
      <c r="D207" s="31" t="s">
        <v>2615</v>
      </c>
      <c r="E207" s="31" t="s">
        <v>2617</v>
      </c>
      <c r="F207" s="31"/>
      <c r="G207" s="31"/>
      <c r="H207" s="31"/>
      <c r="I207" s="84"/>
      <c r="J207" s="159" t="s">
        <v>7</v>
      </c>
      <c r="K207" s="84"/>
      <c r="L207" s="84"/>
      <c r="M207" s="84"/>
      <c r="N207" s="84"/>
      <c r="O207" s="84"/>
      <c r="P207" s="84"/>
      <c r="Q207" s="84"/>
      <c r="R207" s="84"/>
      <c r="S207" s="84"/>
      <c r="T207" s="84"/>
      <c r="U207" s="84"/>
      <c r="V207" s="84"/>
      <c r="W207" s="84"/>
      <c r="X207" s="84"/>
      <c r="Y207" s="84"/>
      <c r="Z207" s="84"/>
      <c r="AA207" s="84"/>
      <c r="AB207" s="84"/>
      <c r="AC207" s="84"/>
      <c r="AD207" s="76"/>
      <c r="AE207" s="76"/>
      <c r="AF207" s="76"/>
      <c r="AG207" s="76"/>
      <c r="AH207" s="76"/>
      <c r="AI207" s="76"/>
      <c r="AJ207" s="76"/>
      <c r="AK207" s="76"/>
      <c r="AL207" s="76"/>
      <c r="AM207" s="76"/>
      <c r="AN207" s="76"/>
      <c r="AO207" s="76"/>
      <c r="AP207" s="76"/>
      <c r="AQ207" s="76"/>
      <c r="AR207" s="76"/>
      <c r="AS207" s="76"/>
      <c r="AT207" s="76"/>
      <c r="AU207" s="76"/>
      <c r="AV207" s="76"/>
      <c r="AW207" s="76"/>
      <c r="AX207" s="76"/>
    </row>
    <row r="208" ht="15.75" customHeight="1">
      <c r="A208" s="81" t="s">
        <v>485</v>
      </c>
      <c r="B208" s="131" t="s">
        <v>1352</v>
      </c>
      <c r="C208" s="31" t="s">
        <v>2625</v>
      </c>
      <c r="D208" s="31" t="s">
        <v>2626</v>
      </c>
      <c r="E208" s="31" t="s">
        <v>2628</v>
      </c>
      <c r="F208" s="31"/>
      <c r="G208" s="31"/>
      <c r="H208" s="31"/>
      <c r="I208" s="84"/>
      <c r="J208" s="159" t="s">
        <v>1756</v>
      </c>
      <c r="K208" s="84"/>
      <c r="L208" s="84"/>
      <c r="M208" s="84"/>
      <c r="N208" s="84"/>
      <c r="O208" s="84"/>
      <c r="P208" s="84"/>
      <c r="Q208" s="84" t="s">
        <v>166</v>
      </c>
      <c r="R208" s="84"/>
      <c r="S208" s="84"/>
      <c r="T208" s="84"/>
      <c r="U208" s="84"/>
      <c r="V208" s="84"/>
      <c r="W208" s="84"/>
      <c r="X208" s="84"/>
      <c r="Y208" s="84"/>
      <c r="Z208" s="84"/>
      <c r="AA208" s="84"/>
      <c r="AB208" s="84"/>
      <c r="AC208" s="84"/>
      <c r="AD208" s="76"/>
      <c r="AE208" s="76"/>
      <c r="AF208" s="76"/>
      <c r="AG208" s="76"/>
      <c r="AH208" s="76"/>
      <c r="AI208" s="76"/>
      <c r="AJ208" s="76"/>
      <c r="AK208" s="76"/>
      <c r="AL208" s="76"/>
      <c r="AM208" s="76"/>
      <c r="AN208" s="76"/>
      <c r="AO208" s="76"/>
      <c r="AP208" s="76"/>
      <c r="AQ208" s="76"/>
      <c r="AR208" s="76"/>
      <c r="AS208" s="76"/>
      <c r="AT208" s="76"/>
      <c r="AU208" s="76"/>
      <c r="AV208" s="76"/>
      <c r="AW208" s="76"/>
      <c r="AX208" s="76"/>
    </row>
    <row r="209" ht="15.75" customHeight="1">
      <c r="A209" s="81" t="s">
        <v>485</v>
      </c>
      <c r="B209" s="131" t="s">
        <v>1360</v>
      </c>
      <c r="C209" s="31" t="s">
        <v>2641</v>
      </c>
      <c r="D209" s="31" t="s">
        <v>2642</v>
      </c>
      <c r="E209" s="31" t="s">
        <v>2643</v>
      </c>
      <c r="F209" s="31"/>
      <c r="G209" s="31"/>
      <c r="H209" s="31"/>
      <c r="I209" s="84"/>
      <c r="J209" s="159" t="s">
        <v>1756</v>
      </c>
      <c r="K209" s="84"/>
      <c r="L209" s="84"/>
      <c r="M209" s="84"/>
      <c r="N209" s="84"/>
      <c r="O209" s="84"/>
      <c r="P209" s="84"/>
      <c r="Q209" s="84" t="s">
        <v>166</v>
      </c>
      <c r="R209" s="84"/>
      <c r="S209" s="84"/>
      <c r="T209" s="84"/>
      <c r="U209" s="84"/>
      <c r="V209" s="84"/>
      <c r="W209" s="84"/>
      <c r="X209" s="84"/>
      <c r="Y209" s="84"/>
      <c r="Z209" s="84"/>
      <c r="AA209" s="84"/>
      <c r="AB209" s="84"/>
      <c r="AC209" s="84"/>
      <c r="AD209" s="76"/>
      <c r="AE209" s="76"/>
      <c r="AF209" s="76"/>
      <c r="AG209" s="76"/>
      <c r="AH209" s="76"/>
      <c r="AI209" s="76"/>
      <c r="AJ209" s="76"/>
      <c r="AK209" s="76"/>
      <c r="AL209" s="76"/>
      <c r="AM209" s="76"/>
      <c r="AN209" s="76"/>
      <c r="AO209" s="76"/>
      <c r="AP209" s="76"/>
      <c r="AQ209" s="76"/>
      <c r="AR209" s="76"/>
      <c r="AS209" s="76"/>
      <c r="AT209" s="76"/>
      <c r="AU209" s="76"/>
      <c r="AV209" s="76"/>
      <c r="AW209" s="76"/>
      <c r="AX209" s="76"/>
    </row>
    <row r="210" ht="15.75" customHeight="1">
      <c r="A210" s="81" t="s">
        <v>485</v>
      </c>
      <c r="B210" s="131" t="s">
        <v>1367</v>
      </c>
      <c r="C210" s="31" t="s">
        <v>2650</v>
      </c>
      <c r="D210" s="31" t="s">
        <v>2651</v>
      </c>
      <c r="E210" s="31" t="s">
        <v>2652</v>
      </c>
      <c r="F210" s="31"/>
      <c r="G210" s="31"/>
      <c r="H210" s="31"/>
      <c r="I210" s="84"/>
      <c r="J210" s="159" t="s">
        <v>1756</v>
      </c>
      <c r="K210" s="84"/>
      <c r="L210" s="84"/>
      <c r="M210" s="84"/>
      <c r="N210" s="84"/>
      <c r="O210" s="84"/>
      <c r="P210" s="84"/>
      <c r="Q210" s="84" t="s">
        <v>166</v>
      </c>
      <c r="R210" s="84"/>
      <c r="S210" s="84"/>
      <c r="T210" s="84"/>
      <c r="U210" s="84"/>
      <c r="V210" s="84"/>
      <c r="W210" s="84"/>
      <c r="X210" s="84"/>
      <c r="Y210" s="84"/>
      <c r="Z210" s="84"/>
      <c r="AA210" s="84"/>
      <c r="AB210" s="84"/>
      <c r="AC210" s="84"/>
      <c r="AD210" s="76"/>
      <c r="AE210" s="76"/>
      <c r="AF210" s="76"/>
      <c r="AG210" s="76"/>
      <c r="AH210" s="76"/>
      <c r="AI210" s="76"/>
      <c r="AJ210" s="76"/>
      <c r="AK210" s="76"/>
      <c r="AL210" s="76"/>
      <c r="AM210" s="76"/>
      <c r="AN210" s="76"/>
      <c r="AO210" s="76"/>
      <c r="AP210" s="76"/>
      <c r="AQ210" s="76"/>
      <c r="AR210" s="76"/>
      <c r="AS210" s="76"/>
      <c r="AT210" s="76"/>
      <c r="AU210" s="76"/>
      <c r="AV210" s="76"/>
      <c r="AW210" s="76"/>
      <c r="AX210" s="76"/>
    </row>
    <row r="211" ht="15.75" customHeight="1">
      <c r="A211" s="81" t="s">
        <v>485</v>
      </c>
      <c r="B211" s="131" t="s">
        <v>1372</v>
      </c>
      <c r="C211" s="31" t="s">
        <v>2657</v>
      </c>
      <c r="D211" s="31" t="s">
        <v>2658</v>
      </c>
      <c r="E211" s="31" t="s">
        <v>2659</v>
      </c>
      <c r="F211" s="31"/>
      <c r="G211" s="31"/>
      <c r="H211" s="31"/>
      <c r="I211" s="84"/>
      <c r="J211" s="159" t="s">
        <v>1756</v>
      </c>
      <c r="K211" s="84"/>
      <c r="L211" s="84"/>
      <c r="M211" s="84"/>
      <c r="N211" s="84"/>
      <c r="O211" s="84"/>
      <c r="P211" s="84"/>
      <c r="Q211" s="84" t="s">
        <v>166</v>
      </c>
      <c r="R211" s="84"/>
      <c r="S211" s="84"/>
      <c r="T211" s="84"/>
      <c r="U211" s="84"/>
      <c r="V211" s="84"/>
      <c r="W211" s="84"/>
      <c r="X211" s="84"/>
      <c r="Y211" s="84"/>
      <c r="Z211" s="84"/>
      <c r="AA211" s="84"/>
      <c r="AB211" s="84"/>
      <c r="AC211" s="84"/>
      <c r="AD211" s="76"/>
      <c r="AE211" s="76"/>
      <c r="AF211" s="76"/>
      <c r="AG211" s="76"/>
      <c r="AH211" s="76"/>
      <c r="AI211" s="76"/>
      <c r="AJ211" s="76"/>
      <c r="AK211" s="76"/>
      <c r="AL211" s="76"/>
      <c r="AM211" s="76"/>
      <c r="AN211" s="76"/>
      <c r="AO211" s="76"/>
      <c r="AP211" s="76"/>
      <c r="AQ211" s="76"/>
      <c r="AR211" s="76"/>
      <c r="AS211" s="76"/>
      <c r="AT211" s="76"/>
      <c r="AU211" s="76"/>
      <c r="AV211" s="76"/>
      <c r="AW211" s="76"/>
      <c r="AX211" s="76"/>
    </row>
    <row r="212" ht="15.75" customHeight="1">
      <c r="A212" s="122" t="s">
        <v>236</v>
      </c>
      <c r="B212" s="69" t="s">
        <v>1340</v>
      </c>
      <c r="C212" s="31"/>
      <c r="D212" s="31"/>
      <c r="E212" s="31"/>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6"/>
      <c r="AE212" s="76"/>
      <c r="AF212" s="76"/>
      <c r="AG212" s="76"/>
      <c r="AH212" s="76"/>
      <c r="AI212" s="76"/>
      <c r="AJ212" s="76"/>
      <c r="AK212" s="76"/>
      <c r="AL212" s="76"/>
      <c r="AM212" s="76"/>
      <c r="AN212" s="76"/>
      <c r="AO212" s="76"/>
      <c r="AP212" s="76"/>
      <c r="AQ212" s="76"/>
      <c r="AR212" s="76"/>
      <c r="AS212" s="76"/>
      <c r="AT212" s="76"/>
      <c r="AU212" s="76"/>
      <c r="AV212" s="76"/>
      <c r="AW212" s="76"/>
      <c r="AX212" s="76"/>
    </row>
    <row r="213" ht="15.75" customHeight="1">
      <c r="A213" s="122" t="s">
        <v>236</v>
      </c>
      <c r="B213" s="171" t="s">
        <v>1271</v>
      </c>
      <c r="C213" s="31"/>
      <c r="D213" s="31"/>
      <c r="E213" s="31"/>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6"/>
      <c r="AE213" s="76"/>
      <c r="AF213" s="76"/>
      <c r="AG213" s="76"/>
      <c r="AH213" s="76"/>
      <c r="AI213" s="76"/>
      <c r="AJ213" s="76"/>
      <c r="AK213" s="76"/>
      <c r="AL213" s="76"/>
      <c r="AM213" s="76"/>
      <c r="AN213" s="76"/>
      <c r="AO213" s="76"/>
      <c r="AP213" s="76"/>
      <c r="AQ213" s="76"/>
      <c r="AR213" s="76"/>
      <c r="AS213" s="76"/>
      <c r="AT213" s="76"/>
      <c r="AU213" s="76"/>
      <c r="AV213" s="76"/>
      <c r="AW213" s="76"/>
      <c r="AX213" s="76"/>
    </row>
    <row r="214" ht="15.75" customHeight="1">
      <c r="A214" s="166"/>
      <c r="B214" s="167"/>
      <c r="C214" s="31"/>
      <c r="D214" s="31"/>
      <c r="E214" s="31"/>
      <c r="F214" s="219"/>
      <c r="G214" s="219"/>
      <c r="H214" s="219"/>
      <c r="I214" s="219"/>
      <c r="J214" s="219"/>
      <c r="K214" s="219"/>
      <c r="L214" s="219"/>
      <c r="M214" s="219"/>
      <c r="N214" s="219"/>
      <c r="O214" s="219"/>
      <c r="P214" s="219"/>
      <c r="Q214" s="219"/>
      <c r="R214" s="219"/>
      <c r="S214" s="219"/>
      <c r="T214" s="219"/>
      <c r="U214" s="219"/>
      <c r="V214" s="219"/>
      <c r="W214" s="219"/>
      <c r="X214" s="219"/>
      <c r="Y214" s="219"/>
      <c r="Z214" s="219"/>
      <c r="AA214" s="219"/>
      <c r="AB214" s="219"/>
      <c r="AC214" s="219"/>
      <c r="AD214" s="219"/>
      <c r="AE214" s="219"/>
      <c r="AF214" s="219"/>
      <c r="AG214" s="219"/>
      <c r="AH214" s="219"/>
      <c r="AI214" s="219"/>
      <c r="AJ214" s="219"/>
      <c r="AK214" s="219"/>
      <c r="AL214" s="219"/>
      <c r="AM214" s="219"/>
      <c r="AN214" s="219"/>
      <c r="AO214" s="219"/>
      <c r="AP214" s="219"/>
      <c r="AQ214" s="219"/>
      <c r="AR214" s="219"/>
      <c r="AS214" s="219"/>
      <c r="AT214" s="219"/>
      <c r="AU214" s="219"/>
      <c r="AV214" s="219"/>
      <c r="AW214" s="219"/>
      <c r="AX214" s="219"/>
    </row>
    <row r="215" ht="15.75" customHeight="1">
      <c r="A215" s="81" t="s">
        <v>1394</v>
      </c>
      <c r="B215" s="142" t="s">
        <v>1396</v>
      </c>
      <c r="C215" s="31" t="s">
        <v>2685</v>
      </c>
      <c r="D215" s="31" t="s">
        <v>2686</v>
      </c>
      <c r="E215" s="31" t="s">
        <v>2687</v>
      </c>
      <c r="F215" s="31" t="s">
        <v>2688</v>
      </c>
      <c r="G215" s="31" t="s">
        <v>2689</v>
      </c>
      <c r="H215" s="31" t="s">
        <v>2690</v>
      </c>
      <c r="I215" s="84"/>
      <c r="J215" s="159"/>
      <c r="K215" s="84" t="s">
        <v>2693</v>
      </c>
      <c r="L215" s="84"/>
      <c r="M215" s="84"/>
      <c r="N215" s="84"/>
      <c r="O215" s="84"/>
      <c r="P215" s="84"/>
      <c r="Q215" s="84" t="s">
        <v>166</v>
      </c>
      <c r="R215" s="84"/>
      <c r="S215" s="84"/>
      <c r="T215" s="84"/>
      <c r="U215" s="84"/>
      <c r="V215" s="84"/>
      <c r="W215" s="84"/>
      <c r="X215" s="84"/>
      <c r="Y215" s="84"/>
      <c r="Z215" s="84"/>
      <c r="AA215" s="84"/>
      <c r="AB215" s="84"/>
      <c r="AC215" s="84"/>
      <c r="AD215" s="84"/>
      <c r="AE215" s="84"/>
      <c r="AF215" s="84"/>
      <c r="AG215" s="84"/>
      <c r="AH215" s="84"/>
      <c r="AI215" s="84"/>
      <c r="AJ215" s="84"/>
      <c r="AK215" s="84"/>
      <c r="AL215" s="84"/>
      <c r="AM215" s="84"/>
      <c r="AN215" s="84"/>
      <c r="AO215" s="76"/>
      <c r="AP215" s="76"/>
      <c r="AQ215" s="76"/>
      <c r="AR215" s="76"/>
      <c r="AS215" s="76"/>
      <c r="AT215" s="76"/>
      <c r="AU215" s="76"/>
      <c r="AV215" s="76"/>
      <c r="AW215" s="76"/>
      <c r="AX215" s="76"/>
    </row>
    <row r="216" ht="15.75" customHeight="1">
      <c r="A216" s="133" t="s">
        <v>214</v>
      </c>
      <c r="B216" s="143" t="s">
        <v>1407</v>
      </c>
      <c r="C216" s="31" t="s">
        <v>2698</v>
      </c>
      <c r="D216" s="31" t="s">
        <v>2700</v>
      </c>
      <c r="E216" s="31" t="s">
        <v>2702</v>
      </c>
      <c r="F216" s="31"/>
      <c r="G216" s="31"/>
      <c r="H216" s="31"/>
      <c r="I216" s="162"/>
      <c r="J216" s="163"/>
      <c r="K216" s="162"/>
      <c r="L216" s="162"/>
      <c r="M216" s="162"/>
      <c r="N216" s="162"/>
      <c r="O216" s="164" t="s">
        <v>2705</v>
      </c>
      <c r="P216" s="162"/>
      <c r="Q216" s="162" t="s">
        <v>166</v>
      </c>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76"/>
      <c r="AP216" s="76"/>
      <c r="AQ216" s="76"/>
      <c r="AR216" s="76"/>
      <c r="AS216" s="76"/>
      <c r="AT216" s="76"/>
      <c r="AU216" s="76"/>
      <c r="AV216" s="76"/>
      <c r="AW216" s="76"/>
      <c r="AX216" s="76"/>
    </row>
    <row r="217" ht="15.75" customHeight="1">
      <c r="A217" s="144" t="s">
        <v>648</v>
      </c>
      <c r="B217" s="145" t="s">
        <v>1417</v>
      </c>
      <c r="C217" s="31" t="s">
        <v>1418</v>
      </c>
      <c r="D217" s="31"/>
      <c r="E217" s="31"/>
      <c r="F217" s="173"/>
      <c r="G217" s="173"/>
      <c r="H217" s="173"/>
      <c r="I217" s="173"/>
      <c r="J217" s="173"/>
      <c r="K217" s="173"/>
      <c r="L217" s="173"/>
      <c r="M217" s="173"/>
      <c r="N217" s="173"/>
      <c r="O217" s="187" t="s">
        <v>2712</v>
      </c>
      <c r="P217" s="173"/>
      <c r="Q217" s="173"/>
      <c r="R217" s="173"/>
      <c r="S217" s="173"/>
      <c r="T217" s="173"/>
      <c r="U217" s="174" t="s">
        <v>2713</v>
      </c>
      <c r="V217" s="173"/>
      <c r="W217" s="173"/>
      <c r="X217" s="173"/>
      <c r="Y217" s="173"/>
      <c r="Z217" s="173"/>
      <c r="AA217" s="173"/>
      <c r="AB217" s="173"/>
      <c r="AC217" s="173"/>
      <c r="AD217" s="173"/>
      <c r="AE217" s="173"/>
      <c r="AF217" s="173"/>
      <c r="AG217" s="173"/>
      <c r="AH217" s="173"/>
      <c r="AI217" s="173"/>
      <c r="AJ217" s="173"/>
      <c r="AK217" s="173"/>
      <c r="AL217" s="173"/>
      <c r="AM217" s="173"/>
      <c r="AN217" s="173"/>
      <c r="AO217" s="76"/>
      <c r="AP217" s="76"/>
      <c r="AQ217" s="76"/>
      <c r="AR217" s="76"/>
      <c r="AS217" s="76"/>
      <c r="AT217" s="76"/>
      <c r="AU217" s="76"/>
      <c r="AV217" s="76"/>
      <c r="AW217" s="76"/>
      <c r="AX217" s="76"/>
    </row>
    <row r="218" ht="15.75" customHeight="1">
      <c r="A218" s="104" t="s">
        <v>108</v>
      </c>
      <c r="B218" s="105" t="s">
        <v>1431</v>
      </c>
      <c r="C218" s="31" t="s">
        <v>1432</v>
      </c>
      <c r="D218" s="31"/>
      <c r="E218" s="31"/>
      <c r="F218" s="108"/>
      <c r="G218" s="108"/>
      <c r="H218" s="108"/>
      <c r="I218" s="108"/>
      <c r="J218" s="108"/>
      <c r="K218" s="108"/>
      <c r="L218" s="108"/>
      <c r="M218" s="108"/>
      <c r="N218" s="108"/>
      <c r="O218" s="108"/>
      <c r="P218" s="108"/>
      <c r="Q218" s="108"/>
      <c r="R218" s="108"/>
      <c r="S218" s="108"/>
      <c r="T218" s="132" t="s">
        <v>2718</v>
      </c>
      <c r="U218" s="108"/>
      <c r="V218" s="108"/>
      <c r="W218" s="108"/>
      <c r="X218" s="108"/>
      <c r="Y218" s="108"/>
      <c r="Z218" s="108"/>
      <c r="AA218" s="108"/>
      <c r="AB218" s="108"/>
      <c r="AC218" s="108"/>
      <c r="AD218" s="108"/>
      <c r="AE218" s="108"/>
      <c r="AF218" s="108"/>
      <c r="AG218" s="108"/>
      <c r="AH218" s="108"/>
      <c r="AI218" s="108"/>
      <c r="AJ218" s="108"/>
      <c r="AK218" s="108"/>
      <c r="AL218" s="108"/>
      <c r="AM218" s="108"/>
      <c r="AN218" s="108"/>
      <c r="AO218" s="76"/>
      <c r="AP218" s="76"/>
      <c r="AQ218" s="76"/>
      <c r="AR218" s="76"/>
      <c r="AS218" s="76"/>
      <c r="AT218" s="76"/>
      <c r="AU218" s="76"/>
      <c r="AV218" s="76"/>
      <c r="AW218" s="76"/>
      <c r="AX218" s="76"/>
    </row>
    <row r="219" ht="15.75" customHeight="1">
      <c r="A219" s="122" t="s">
        <v>150</v>
      </c>
      <c r="B219" s="123" t="s">
        <v>1438</v>
      </c>
      <c r="C219" s="31"/>
      <c r="D219" s="31"/>
      <c r="E219" s="31"/>
      <c r="F219" s="70"/>
      <c r="G219" s="70"/>
      <c r="H219" s="70"/>
      <c r="I219" s="70"/>
      <c r="J219" s="71" t="s">
        <v>1736</v>
      </c>
      <c r="K219" s="70"/>
      <c r="L219" s="70"/>
      <c r="M219" s="70"/>
      <c r="N219" s="70"/>
      <c r="O219" s="71"/>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6"/>
      <c r="AP219" s="76"/>
      <c r="AQ219" s="76"/>
      <c r="AR219" s="76"/>
      <c r="AS219" s="76"/>
      <c r="AT219" s="76"/>
      <c r="AU219" s="76"/>
      <c r="AV219" s="76"/>
      <c r="AW219" s="76"/>
      <c r="AX219" s="76"/>
    </row>
    <row r="220" ht="15.75" customHeight="1">
      <c r="A220" s="81" t="s">
        <v>485</v>
      </c>
      <c r="B220" s="142" t="s">
        <v>1442</v>
      </c>
      <c r="C220" s="31" t="s">
        <v>2735</v>
      </c>
      <c r="D220" s="31" t="s">
        <v>2736</v>
      </c>
      <c r="E220" s="31" t="s">
        <v>2737</v>
      </c>
      <c r="F220" s="31"/>
      <c r="G220" s="31"/>
      <c r="H220" s="31"/>
      <c r="I220" s="84"/>
      <c r="J220" s="159" t="s">
        <v>7</v>
      </c>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c r="AK220" s="84"/>
      <c r="AL220" s="84"/>
      <c r="AM220" s="84"/>
      <c r="AN220" s="84"/>
      <c r="AO220" s="76"/>
      <c r="AP220" s="76"/>
      <c r="AQ220" s="76"/>
      <c r="AR220" s="76"/>
      <c r="AS220" s="76"/>
      <c r="AT220" s="76"/>
      <c r="AU220" s="76"/>
      <c r="AV220" s="76"/>
      <c r="AW220" s="76"/>
      <c r="AX220" s="76"/>
    </row>
    <row r="221" ht="15.75" customHeight="1">
      <c r="A221" s="81" t="s">
        <v>485</v>
      </c>
      <c r="B221" s="142" t="s">
        <v>1457</v>
      </c>
      <c r="C221" s="31" t="s">
        <v>2751</v>
      </c>
      <c r="D221" s="31" t="s">
        <v>2752</v>
      </c>
      <c r="E221" s="31" t="s">
        <v>2753</v>
      </c>
      <c r="F221" s="31"/>
      <c r="G221" s="31"/>
      <c r="H221" s="31"/>
      <c r="I221" s="84"/>
      <c r="J221" s="159" t="s">
        <v>1756</v>
      </c>
      <c r="K221" s="84"/>
      <c r="L221" s="84"/>
      <c r="M221" s="84"/>
      <c r="N221" s="84"/>
      <c r="O221" s="84"/>
      <c r="P221" s="84"/>
      <c r="Q221" s="84" t="s">
        <v>166</v>
      </c>
      <c r="R221" s="84"/>
      <c r="S221" s="84"/>
      <c r="T221" s="84"/>
      <c r="U221" s="84"/>
      <c r="V221" s="84"/>
      <c r="W221" s="84"/>
      <c r="X221" s="84"/>
      <c r="Y221" s="84"/>
      <c r="Z221" s="84"/>
      <c r="AA221" s="84"/>
      <c r="AB221" s="84"/>
      <c r="AC221" s="84"/>
      <c r="AD221" s="84"/>
      <c r="AE221" s="84"/>
      <c r="AF221" s="84"/>
      <c r="AG221" s="84"/>
      <c r="AH221" s="84"/>
      <c r="AI221" s="84"/>
      <c r="AJ221" s="84"/>
      <c r="AK221" s="84"/>
      <c r="AL221" s="84"/>
      <c r="AM221" s="84"/>
      <c r="AN221" s="84"/>
      <c r="AO221" s="76"/>
      <c r="AP221" s="76"/>
      <c r="AQ221" s="76"/>
      <c r="AR221" s="76"/>
      <c r="AS221" s="76"/>
      <c r="AT221" s="76"/>
      <c r="AU221" s="76"/>
      <c r="AV221" s="76"/>
      <c r="AW221" s="76"/>
      <c r="AX221" s="76"/>
    </row>
    <row r="222" ht="15.75" customHeight="1">
      <c r="A222" s="81" t="s">
        <v>485</v>
      </c>
      <c r="B222" s="142" t="s">
        <v>1472</v>
      </c>
      <c r="C222" s="31" t="s">
        <v>2765</v>
      </c>
      <c r="D222" s="31" t="s">
        <v>2766</v>
      </c>
      <c r="E222" s="31" t="s">
        <v>2767</v>
      </c>
      <c r="F222" s="31"/>
      <c r="G222" s="31"/>
      <c r="H222" s="31"/>
      <c r="I222" s="84"/>
      <c r="J222" s="159" t="s">
        <v>1756</v>
      </c>
      <c r="K222" s="84"/>
      <c r="L222" s="84"/>
      <c r="M222" s="84"/>
      <c r="N222" s="84"/>
      <c r="O222" s="84"/>
      <c r="P222" s="84"/>
      <c r="Q222" s="84" t="s">
        <v>166</v>
      </c>
      <c r="R222" s="84"/>
      <c r="S222" s="84"/>
      <c r="T222" s="84"/>
      <c r="U222" s="84"/>
      <c r="V222" s="84"/>
      <c r="W222" s="84"/>
      <c r="X222" s="84"/>
      <c r="Y222" s="84"/>
      <c r="Z222" s="84"/>
      <c r="AA222" s="84"/>
      <c r="AB222" s="84"/>
      <c r="AC222" s="84"/>
      <c r="AD222" s="84"/>
      <c r="AE222" s="84"/>
      <c r="AF222" s="84"/>
      <c r="AG222" s="84"/>
      <c r="AH222" s="84"/>
      <c r="AI222" s="84"/>
      <c r="AJ222" s="84"/>
      <c r="AK222" s="84"/>
      <c r="AL222" s="84"/>
      <c r="AM222" s="84"/>
      <c r="AN222" s="84"/>
      <c r="AO222" s="76"/>
      <c r="AP222" s="76"/>
      <c r="AQ222" s="76"/>
      <c r="AR222" s="76"/>
      <c r="AS222" s="76"/>
      <c r="AT222" s="76"/>
      <c r="AU222" s="76"/>
      <c r="AV222" s="76"/>
      <c r="AW222" s="76"/>
      <c r="AX222" s="76"/>
    </row>
    <row r="223" ht="15.75" customHeight="1">
      <c r="A223" s="81" t="s">
        <v>485</v>
      </c>
      <c r="B223" s="142" t="s">
        <v>1492</v>
      </c>
      <c r="C223" s="31" t="s">
        <v>2780</v>
      </c>
      <c r="D223" s="31" t="s">
        <v>2781</v>
      </c>
      <c r="E223" s="31" t="s">
        <v>2782</v>
      </c>
      <c r="F223" s="31"/>
      <c r="G223" s="31"/>
      <c r="H223" s="31"/>
      <c r="I223" s="84"/>
      <c r="J223" s="159" t="s">
        <v>1756</v>
      </c>
      <c r="K223" s="84"/>
      <c r="L223" s="84"/>
      <c r="M223" s="84"/>
      <c r="N223" s="84"/>
      <c r="O223" s="84"/>
      <c r="P223" s="84"/>
      <c r="Q223" s="84" t="s">
        <v>166</v>
      </c>
      <c r="R223" s="84"/>
      <c r="S223" s="84"/>
      <c r="T223" s="84"/>
      <c r="U223" s="84"/>
      <c r="V223" s="84"/>
      <c r="W223" s="84"/>
      <c r="X223" s="84"/>
      <c r="Y223" s="84"/>
      <c r="Z223" s="84"/>
      <c r="AA223" s="84"/>
      <c r="AB223" s="84"/>
      <c r="AC223" s="84"/>
      <c r="AD223" s="84"/>
      <c r="AE223" s="84"/>
      <c r="AF223" s="84"/>
      <c r="AG223" s="84"/>
      <c r="AH223" s="84"/>
      <c r="AI223" s="84"/>
      <c r="AJ223" s="84"/>
      <c r="AK223" s="84"/>
      <c r="AL223" s="84"/>
      <c r="AM223" s="84"/>
      <c r="AN223" s="84"/>
      <c r="AO223" s="76"/>
      <c r="AP223" s="76"/>
      <c r="AQ223" s="76"/>
      <c r="AR223" s="76"/>
      <c r="AS223" s="76"/>
      <c r="AT223" s="76"/>
      <c r="AU223" s="76"/>
      <c r="AV223" s="76"/>
      <c r="AW223" s="76"/>
      <c r="AX223" s="76"/>
    </row>
    <row r="224" ht="15.75" customHeight="1">
      <c r="A224" s="81" t="s">
        <v>485</v>
      </c>
      <c r="B224" s="142" t="s">
        <v>1506</v>
      </c>
      <c r="C224" s="31" t="s">
        <v>2803</v>
      </c>
      <c r="D224" s="31" t="s">
        <v>2804</v>
      </c>
      <c r="E224" s="31" t="s">
        <v>2805</v>
      </c>
      <c r="F224" s="31"/>
      <c r="G224" s="31"/>
      <c r="H224" s="31"/>
      <c r="I224" s="84"/>
      <c r="J224" s="159" t="s">
        <v>1756</v>
      </c>
      <c r="K224" s="84"/>
      <c r="L224" s="84"/>
      <c r="M224" s="84"/>
      <c r="N224" s="84"/>
      <c r="O224" s="84"/>
      <c r="P224" s="84"/>
      <c r="Q224" s="84" t="s">
        <v>166</v>
      </c>
      <c r="R224" s="84"/>
      <c r="S224" s="84"/>
      <c r="T224" s="84"/>
      <c r="U224" s="84"/>
      <c r="V224" s="84"/>
      <c r="W224" s="84"/>
      <c r="X224" s="84"/>
      <c r="Y224" s="84"/>
      <c r="Z224" s="84"/>
      <c r="AA224" s="84"/>
      <c r="AB224" s="84"/>
      <c r="AC224" s="84"/>
      <c r="AD224" s="84"/>
      <c r="AE224" s="84"/>
      <c r="AF224" s="84"/>
      <c r="AG224" s="84"/>
      <c r="AH224" s="84"/>
      <c r="AI224" s="84"/>
      <c r="AJ224" s="84"/>
      <c r="AK224" s="84"/>
      <c r="AL224" s="84"/>
      <c r="AM224" s="84"/>
      <c r="AN224" s="84"/>
      <c r="AO224" s="76"/>
      <c r="AP224" s="76"/>
      <c r="AQ224" s="76"/>
      <c r="AR224" s="76"/>
      <c r="AS224" s="76"/>
      <c r="AT224" s="76"/>
      <c r="AU224" s="76"/>
      <c r="AV224" s="76"/>
      <c r="AW224" s="76"/>
      <c r="AX224" s="76"/>
    </row>
    <row r="225" ht="15.75" customHeight="1">
      <c r="A225" s="122" t="s">
        <v>236</v>
      </c>
      <c r="B225" s="153" t="s">
        <v>1438</v>
      </c>
      <c r="C225" s="31"/>
      <c r="D225" s="31"/>
      <c r="E225" s="31"/>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6"/>
      <c r="AP225" s="76"/>
      <c r="AQ225" s="76"/>
      <c r="AR225" s="76"/>
      <c r="AS225" s="76"/>
      <c r="AT225" s="76"/>
      <c r="AU225" s="76"/>
      <c r="AV225" s="76"/>
      <c r="AW225" s="76"/>
      <c r="AX225" s="76"/>
    </row>
    <row r="226" ht="15.75" customHeight="1">
      <c r="A226" s="122" t="s">
        <v>150</v>
      </c>
      <c r="B226" s="123" t="s">
        <v>1523</v>
      </c>
      <c r="C226" s="31"/>
      <c r="D226" s="31"/>
      <c r="E226" s="31"/>
      <c r="F226" s="70"/>
      <c r="G226" s="70"/>
      <c r="H226" s="70"/>
      <c r="I226" s="70"/>
      <c r="J226" s="71" t="s">
        <v>1736</v>
      </c>
      <c r="K226" s="70"/>
      <c r="L226" s="70"/>
      <c r="M226" s="70"/>
      <c r="N226" s="70"/>
      <c r="O226" s="72" t="s">
        <v>2838</v>
      </c>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6"/>
      <c r="AP226" s="76"/>
      <c r="AQ226" s="76"/>
      <c r="AR226" s="76"/>
      <c r="AS226" s="76"/>
      <c r="AT226" s="76"/>
      <c r="AU226" s="76"/>
      <c r="AV226" s="76"/>
      <c r="AW226" s="76"/>
      <c r="AX226" s="76"/>
    </row>
    <row r="227" ht="15.75" customHeight="1">
      <c r="A227" s="126" t="s">
        <v>42</v>
      </c>
      <c r="B227" s="127" t="s">
        <v>1531</v>
      </c>
      <c r="C227" s="31" t="s">
        <v>2845</v>
      </c>
      <c r="D227" s="31" t="s">
        <v>2847</v>
      </c>
      <c r="E227" s="31" t="s">
        <v>2850</v>
      </c>
      <c r="F227" s="31"/>
      <c r="G227" s="31"/>
      <c r="H227" s="31"/>
      <c r="I227" s="154"/>
      <c r="J227" s="154" t="s">
        <v>7</v>
      </c>
      <c r="K227" s="154"/>
      <c r="L227" s="154"/>
      <c r="M227" s="154"/>
      <c r="N227" s="154"/>
      <c r="O227" s="154"/>
      <c r="P227" s="154"/>
      <c r="Q227" s="154"/>
      <c r="R227" s="154"/>
      <c r="S227" s="154"/>
      <c r="T227" s="154"/>
      <c r="U227" s="154"/>
      <c r="V227" s="154"/>
      <c r="W227" s="154"/>
      <c r="X227" s="154"/>
      <c r="Y227" s="154"/>
      <c r="Z227" s="154"/>
      <c r="AA227" s="154"/>
      <c r="AB227" s="154"/>
      <c r="AC227" s="154"/>
      <c r="AD227" s="154"/>
      <c r="AE227" s="154"/>
      <c r="AF227" s="154"/>
      <c r="AG227" s="154"/>
      <c r="AH227" s="154"/>
      <c r="AI227" s="154"/>
      <c r="AJ227" s="154"/>
      <c r="AK227" s="154"/>
      <c r="AL227" s="154"/>
      <c r="AM227" s="154"/>
      <c r="AN227" s="154"/>
      <c r="AO227" s="76"/>
      <c r="AP227" s="76"/>
      <c r="AQ227" s="76"/>
      <c r="AR227" s="76"/>
      <c r="AS227" s="76"/>
      <c r="AT227" s="76"/>
      <c r="AU227" s="76"/>
      <c r="AV227" s="76"/>
      <c r="AW227" s="76"/>
      <c r="AX227" s="76"/>
    </row>
    <row r="228" ht="15.75" customHeight="1">
      <c r="A228" s="146" t="s">
        <v>237</v>
      </c>
      <c r="B228" s="147" t="s">
        <v>1540</v>
      </c>
      <c r="C228" s="31" t="s">
        <v>2864</v>
      </c>
      <c r="D228" s="31" t="s">
        <v>2865</v>
      </c>
      <c r="E228" s="31" t="s">
        <v>2866</v>
      </c>
      <c r="F228" s="31" t="s">
        <v>2867</v>
      </c>
      <c r="G228" s="31" t="s">
        <v>2868</v>
      </c>
      <c r="H228" s="31" t="s">
        <v>2869</v>
      </c>
      <c r="I228" s="175"/>
      <c r="J228" s="175" t="s">
        <v>1756</v>
      </c>
      <c r="K228" s="176" t="s">
        <v>2539</v>
      </c>
      <c r="L228" s="176"/>
      <c r="M228" s="176"/>
      <c r="N228" s="176"/>
      <c r="O228" s="230" t="s">
        <v>2873</v>
      </c>
      <c r="P228" s="175"/>
      <c r="Q228" s="175" t="s">
        <v>166</v>
      </c>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76"/>
      <c r="AP228" s="76"/>
      <c r="AQ228" s="76"/>
      <c r="AR228" s="76"/>
      <c r="AS228" s="76"/>
      <c r="AT228" s="76"/>
      <c r="AU228" s="76"/>
      <c r="AV228" s="76"/>
      <c r="AW228" s="76"/>
      <c r="AX228" s="76"/>
    </row>
    <row r="229" ht="15.75" customHeight="1">
      <c r="A229" s="146" t="s">
        <v>237</v>
      </c>
      <c r="B229" s="147" t="s">
        <v>1549</v>
      </c>
      <c r="C229" s="31" t="s">
        <v>2888</v>
      </c>
      <c r="D229" s="31" t="s">
        <v>2889</v>
      </c>
      <c r="E229" s="31" t="s">
        <v>2890</v>
      </c>
      <c r="F229" s="31"/>
      <c r="G229" s="31"/>
      <c r="H229" s="31"/>
      <c r="I229" s="175"/>
      <c r="J229" s="175" t="s">
        <v>1756</v>
      </c>
      <c r="K229" s="176" t="s">
        <v>2539</v>
      </c>
      <c r="L229" s="176"/>
      <c r="M229" s="176"/>
      <c r="N229" s="176"/>
      <c r="O229" s="230" t="s">
        <v>2898</v>
      </c>
      <c r="P229" s="175"/>
      <c r="Q229" s="175" t="s">
        <v>166</v>
      </c>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76"/>
      <c r="AP229" s="76"/>
      <c r="AQ229" s="76"/>
      <c r="AR229" s="76"/>
      <c r="AS229" s="76"/>
      <c r="AT229" s="76"/>
      <c r="AU229" s="76"/>
      <c r="AV229" s="76"/>
      <c r="AW229" s="76"/>
      <c r="AX229" s="76"/>
    </row>
    <row r="230" ht="15.75" customHeight="1">
      <c r="A230" s="146" t="s">
        <v>237</v>
      </c>
      <c r="B230" s="147" t="s">
        <v>1563</v>
      </c>
      <c r="C230" s="31" t="s">
        <v>2906</v>
      </c>
      <c r="D230" s="31" t="s">
        <v>2907</v>
      </c>
      <c r="E230" s="31" t="s">
        <v>2908</v>
      </c>
      <c r="F230" s="31"/>
      <c r="G230" s="31"/>
      <c r="H230" s="31"/>
      <c r="I230" s="175"/>
      <c r="J230" s="175" t="s">
        <v>1756</v>
      </c>
      <c r="K230" s="176" t="s">
        <v>2539</v>
      </c>
      <c r="L230" s="176"/>
      <c r="M230" s="176"/>
      <c r="N230" s="176"/>
      <c r="O230" s="230" t="s">
        <v>2909</v>
      </c>
      <c r="P230" s="175"/>
      <c r="Q230" s="175" t="s">
        <v>166</v>
      </c>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76"/>
      <c r="AP230" s="76"/>
      <c r="AQ230" s="76"/>
      <c r="AR230" s="76"/>
      <c r="AS230" s="76"/>
      <c r="AT230" s="76"/>
      <c r="AU230" s="76"/>
      <c r="AV230" s="76"/>
      <c r="AW230" s="76"/>
      <c r="AX230" s="76"/>
    </row>
    <row r="231" ht="15.75" customHeight="1">
      <c r="A231" s="122" t="s">
        <v>236</v>
      </c>
      <c r="B231" s="153" t="s">
        <v>1523</v>
      </c>
      <c r="C231" s="31"/>
      <c r="D231" s="31"/>
      <c r="E231" s="31"/>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c r="AJ231" s="70"/>
      <c r="AK231" s="70"/>
      <c r="AL231" s="70"/>
      <c r="AM231" s="70"/>
      <c r="AN231" s="70"/>
      <c r="AO231" s="76"/>
      <c r="AP231" s="76"/>
      <c r="AQ231" s="76"/>
      <c r="AR231" s="76"/>
      <c r="AS231" s="76"/>
      <c r="AT231" s="76"/>
      <c r="AU231" s="76"/>
      <c r="AV231" s="76"/>
      <c r="AW231" s="76"/>
      <c r="AX231" s="76"/>
    </row>
    <row r="232" ht="15.75" customHeight="1">
      <c r="A232" s="144" t="s">
        <v>691</v>
      </c>
      <c r="B232" s="150" t="s">
        <v>1417</v>
      </c>
      <c r="C232" s="31" t="s">
        <v>1418</v>
      </c>
      <c r="D232" s="31"/>
      <c r="E232" s="31"/>
      <c r="F232" s="173"/>
      <c r="G232" s="173"/>
      <c r="H232" s="173"/>
      <c r="I232" s="173"/>
      <c r="J232" s="173"/>
      <c r="K232" s="173"/>
      <c r="L232" s="173"/>
      <c r="M232" s="173"/>
      <c r="N232" s="173"/>
      <c r="O232" s="173"/>
      <c r="P232" s="173"/>
      <c r="Q232" s="173"/>
      <c r="R232" s="173"/>
      <c r="S232" s="173"/>
      <c r="T232" s="173"/>
      <c r="U232" s="173"/>
      <c r="V232" s="173"/>
      <c r="W232" s="173"/>
      <c r="X232" s="173"/>
      <c r="Y232" s="173"/>
      <c r="Z232" s="173"/>
      <c r="AA232" s="173"/>
      <c r="AB232" s="173"/>
      <c r="AC232" s="173"/>
      <c r="AD232" s="173"/>
      <c r="AE232" s="173"/>
      <c r="AF232" s="173"/>
      <c r="AG232" s="173"/>
      <c r="AH232" s="173"/>
      <c r="AI232" s="173"/>
      <c r="AJ232" s="173"/>
      <c r="AK232" s="173"/>
      <c r="AL232" s="173"/>
      <c r="AM232" s="173"/>
      <c r="AN232" s="173"/>
      <c r="AO232" s="76"/>
      <c r="AP232" s="76"/>
      <c r="AQ232" s="76"/>
      <c r="AR232" s="76"/>
      <c r="AS232" s="76"/>
      <c r="AT232" s="76"/>
      <c r="AU232" s="76"/>
      <c r="AV232" s="76"/>
      <c r="AW232" s="76"/>
      <c r="AX232" s="76"/>
    </row>
    <row r="233" ht="15.75" customHeight="1">
      <c r="A233" s="122"/>
      <c r="B233" s="123"/>
      <c r="C233" s="31"/>
      <c r="D233" s="31"/>
      <c r="E233" s="31"/>
      <c r="F233" s="70"/>
      <c r="G233" s="70"/>
      <c r="H233" s="70"/>
      <c r="I233" s="71"/>
      <c r="J233" s="71"/>
      <c r="K233" s="70"/>
      <c r="L233" s="71"/>
      <c r="M233" s="71"/>
      <c r="N233" s="71"/>
      <c r="O233" s="71"/>
      <c r="P233" s="70"/>
      <c r="Q233" s="70"/>
      <c r="R233" s="70"/>
      <c r="S233" s="70"/>
      <c r="T233" s="70"/>
      <c r="U233" s="70"/>
      <c r="V233" s="70"/>
      <c r="W233" s="70"/>
      <c r="X233" s="70"/>
      <c r="Y233" s="70"/>
      <c r="Z233" s="70"/>
      <c r="AA233" s="70"/>
      <c r="AB233" s="70"/>
      <c r="AC233" s="70"/>
      <c r="AD233" s="76"/>
      <c r="AE233" s="76"/>
      <c r="AF233" s="76"/>
      <c r="AG233" s="76"/>
      <c r="AH233" s="76"/>
      <c r="AI233" s="76"/>
      <c r="AJ233" s="76"/>
      <c r="AK233" s="76"/>
      <c r="AL233" s="76"/>
      <c r="AM233" s="76"/>
      <c r="AN233" s="76"/>
      <c r="AO233" s="76"/>
      <c r="AP233" s="76"/>
      <c r="AQ233" s="76"/>
      <c r="AR233" s="76"/>
      <c r="AS233" s="76"/>
      <c r="AT233" s="76"/>
      <c r="AU233" s="76"/>
      <c r="AV233" s="76"/>
      <c r="AW233" s="76"/>
      <c r="AX233" s="76"/>
    </row>
    <row r="234" ht="15.75" customHeight="1">
      <c r="A234" s="126" t="s">
        <v>42</v>
      </c>
      <c r="B234" s="127" t="s">
        <v>1602</v>
      </c>
      <c r="C234" s="31" t="s">
        <v>2931</v>
      </c>
      <c r="D234" s="31" t="s">
        <v>2933</v>
      </c>
      <c r="E234" s="31" t="s">
        <v>2935</v>
      </c>
      <c r="F234" s="31"/>
      <c r="G234" s="31"/>
      <c r="H234" s="31"/>
      <c r="I234" s="154"/>
      <c r="J234" s="154"/>
      <c r="K234" s="154"/>
      <c r="L234" s="154"/>
      <c r="M234" s="154"/>
      <c r="N234" s="154"/>
      <c r="O234" s="154"/>
      <c r="P234" s="154"/>
      <c r="Q234" s="154"/>
      <c r="R234" s="154"/>
      <c r="S234" s="154"/>
      <c r="T234" s="154"/>
      <c r="U234" s="154"/>
      <c r="V234" s="154"/>
      <c r="W234" s="154"/>
      <c r="X234" s="154"/>
      <c r="Y234" s="154"/>
      <c r="Z234" s="154"/>
      <c r="AA234" s="154"/>
      <c r="AB234" s="154"/>
      <c r="AC234" s="154"/>
      <c r="AD234" s="76"/>
      <c r="AE234" s="76"/>
      <c r="AF234" s="76"/>
      <c r="AG234" s="76"/>
      <c r="AH234" s="76"/>
      <c r="AI234" s="76"/>
      <c r="AJ234" s="76"/>
      <c r="AK234" s="76"/>
      <c r="AL234" s="76"/>
      <c r="AM234" s="76"/>
      <c r="AN234" s="76"/>
      <c r="AO234" s="76"/>
      <c r="AP234" s="76"/>
      <c r="AQ234" s="76"/>
      <c r="AR234" s="76"/>
      <c r="AS234" s="76"/>
      <c r="AT234" s="76"/>
      <c r="AU234" s="76"/>
      <c r="AV234" s="76"/>
      <c r="AW234" s="76"/>
      <c r="AX234" s="76"/>
    </row>
    <row r="235" ht="15.75" customHeight="1">
      <c r="A235" s="122" t="s">
        <v>150</v>
      </c>
      <c r="B235" s="123" t="s">
        <v>1622</v>
      </c>
      <c r="C235" s="31"/>
      <c r="D235" s="31"/>
      <c r="E235" s="31"/>
      <c r="F235" s="70"/>
      <c r="G235" s="70"/>
      <c r="H235" s="70"/>
      <c r="I235" s="70"/>
      <c r="J235" s="71" t="s">
        <v>1736</v>
      </c>
      <c r="K235" s="70"/>
      <c r="L235" s="70"/>
      <c r="M235" s="71"/>
      <c r="N235" s="71"/>
      <c r="O235" s="71"/>
      <c r="P235" s="70"/>
      <c r="Q235" s="70"/>
      <c r="R235" s="70"/>
      <c r="S235" s="70"/>
      <c r="T235" s="70"/>
      <c r="U235" s="70"/>
      <c r="V235" s="70"/>
      <c r="W235" s="70"/>
      <c r="X235" s="70"/>
      <c r="Y235" s="70"/>
      <c r="Z235" s="70"/>
      <c r="AA235" s="70"/>
      <c r="AB235" s="70"/>
      <c r="AC235" s="70"/>
      <c r="AD235" s="76"/>
      <c r="AE235" s="76"/>
      <c r="AF235" s="76"/>
      <c r="AG235" s="76"/>
      <c r="AH235" s="76"/>
      <c r="AI235" s="76"/>
      <c r="AJ235" s="76"/>
      <c r="AK235" s="76"/>
      <c r="AL235" s="76"/>
      <c r="AM235" s="76"/>
      <c r="AN235" s="76"/>
      <c r="AO235" s="76"/>
      <c r="AP235" s="76"/>
      <c r="AQ235" s="76"/>
      <c r="AR235" s="76"/>
      <c r="AS235" s="76"/>
      <c r="AT235" s="76"/>
      <c r="AU235" s="76"/>
      <c r="AV235" s="76"/>
      <c r="AW235" s="76"/>
      <c r="AX235" s="76"/>
    </row>
    <row r="236" ht="15.75" customHeight="1">
      <c r="A236" s="81" t="s">
        <v>1633</v>
      </c>
      <c r="B236" s="142" t="s">
        <v>1634</v>
      </c>
      <c r="C236" s="31" t="s">
        <v>2959</v>
      </c>
      <c r="D236" s="31" t="s">
        <v>2961</v>
      </c>
      <c r="E236" s="31" t="s">
        <v>2962</v>
      </c>
      <c r="F236" s="31"/>
      <c r="G236" s="31"/>
      <c r="H236" s="31"/>
      <c r="I236" s="84"/>
      <c r="J236" s="159" t="s">
        <v>7</v>
      </c>
      <c r="K236" s="84"/>
      <c r="L236" s="84"/>
      <c r="M236" s="84"/>
      <c r="N236" s="84"/>
      <c r="O236" s="84"/>
      <c r="P236" s="84"/>
      <c r="Q236" s="84"/>
      <c r="R236" s="84"/>
      <c r="S236" s="84"/>
      <c r="T236" s="84"/>
      <c r="U236" s="84"/>
      <c r="V236" s="84"/>
      <c r="W236" s="84"/>
      <c r="X236" s="84"/>
      <c r="Y236" s="84"/>
      <c r="Z236" s="84"/>
      <c r="AA236" s="84"/>
      <c r="AB236" s="84"/>
      <c r="AC236" s="84"/>
      <c r="AD236" s="76"/>
      <c r="AE236" s="76"/>
      <c r="AF236" s="76"/>
      <c r="AG236" s="76"/>
      <c r="AH236" s="76"/>
      <c r="AI236" s="76"/>
      <c r="AJ236" s="76"/>
      <c r="AK236" s="76"/>
      <c r="AL236" s="76"/>
      <c r="AM236" s="76"/>
      <c r="AN236" s="76"/>
      <c r="AO236" s="76"/>
      <c r="AP236" s="76"/>
      <c r="AQ236" s="76"/>
      <c r="AR236" s="76"/>
      <c r="AS236" s="76"/>
      <c r="AT236" s="76"/>
      <c r="AU236" s="76"/>
      <c r="AV236" s="76"/>
      <c r="AW236" s="76"/>
      <c r="AX236" s="76"/>
    </row>
    <row r="237" ht="15.75" customHeight="1">
      <c r="A237" s="81" t="s">
        <v>1633</v>
      </c>
      <c r="B237" s="142" t="s">
        <v>1651</v>
      </c>
      <c r="C237" s="31" t="s">
        <v>2985</v>
      </c>
      <c r="D237" s="31" t="s">
        <v>2988</v>
      </c>
      <c r="E237" s="31" t="s">
        <v>2989</v>
      </c>
      <c r="F237" s="31"/>
      <c r="G237" s="31"/>
      <c r="H237" s="31"/>
      <c r="I237" s="84"/>
      <c r="J237" s="159" t="s">
        <v>1756</v>
      </c>
      <c r="K237" s="84"/>
      <c r="L237" s="84"/>
      <c r="M237" s="84"/>
      <c r="N237" s="84"/>
      <c r="O237" s="84"/>
      <c r="P237" s="84"/>
      <c r="Q237" s="84" t="s">
        <v>166</v>
      </c>
      <c r="R237" s="84"/>
      <c r="S237" s="84"/>
      <c r="T237" s="84"/>
      <c r="U237" s="84"/>
      <c r="V237" s="84"/>
      <c r="W237" s="84"/>
      <c r="X237" s="84"/>
      <c r="Y237" s="84"/>
      <c r="Z237" s="84"/>
      <c r="AA237" s="84"/>
      <c r="AB237" s="84"/>
      <c r="AC237" s="84"/>
      <c r="AD237" s="76"/>
      <c r="AE237" s="76"/>
      <c r="AF237" s="76"/>
      <c r="AG237" s="76"/>
      <c r="AH237" s="76"/>
      <c r="AI237" s="76"/>
      <c r="AJ237" s="76"/>
      <c r="AK237" s="76"/>
      <c r="AL237" s="76"/>
      <c r="AM237" s="76"/>
      <c r="AN237" s="76"/>
      <c r="AO237" s="76"/>
      <c r="AP237" s="76"/>
      <c r="AQ237" s="76"/>
      <c r="AR237" s="76"/>
      <c r="AS237" s="76"/>
      <c r="AT237" s="76"/>
      <c r="AU237" s="76"/>
      <c r="AV237" s="76"/>
      <c r="AW237" s="76"/>
      <c r="AX237" s="76"/>
    </row>
    <row r="238" ht="15.75" customHeight="1">
      <c r="A238" s="81" t="s">
        <v>1633</v>
      </c>
      <c r="B238" s="142" t="s">
        <v>1666</v>
      </c>
      <c r="C238" s="31" t="s">
        <v>3002</v>
      </c>
      <c r="D238" s="31" t="s">
        <v>3003</v>
      </c>
      <c r="E238" s="31" t="s">
        <v>3004</v>
      </c>
      <c r="F238" s="31"/>
      <c r="G238" s="31"/>
      <c r="H238" s="31"/>
      <c r="I238" s="84"/>
      <c r="J238" s="159" t="s">
        <v>1756</v>
      </c>
      <c r="K238" s="84"/>
      <c r="L238" s="84"/>
      <c r="M238" s="84"/>
      <c r="N238" s="84"/>
      <c r="O238" s="84"/>
      <c r="P238" s="84"/>
      <c r="Q238" s="84" t="s">
        <v>166</v>
      </c>
      <c r="R238" s="84"/>
      <c r="S238" s="84"/>
      <c r="T238" s="84"/>
      <c r="U238" s="84"/>
      <c r="V238" s="84"/>
      <c r="W238" s="84"/>
      <c r="X238" s="84"/>
      <c r="Y238" s="84"/>
      <c r="Z238" s="84"/>
      <c r="AA238" s="84"/>
      <c r="AB238" s="84"/>
      <c r="AC238" s="84"/>
      <c r="AD238" s="76"/>
      <c r="AE238" s="76"/>
      <c r="AF238" s="76"/>
      <c r="AG238" s="76"/>
      <c r="AH238" s="76"/>
      <c r="AI238" s="76"/>
      <c r="AJ238" s="76"/>
      <c r="AK238" s="76"/>
      <c r="AL238" s="76"/>
      <c r="AM238" s="76"/>
      <c r="AN238" s="76"/>
      <c r="AO238" s="76"/>
      <c r="AP238" s="76"/>
      <c r="AQ238" s="76"/>
      <c r="AR238" s="76"/>
      <c r="AS238" s="76"/>
      <c r="AT238" s="76"/>
      <c r="AU238" s="76"/>
      <c r="AV238" s="76"/>
      <c r="AW238" s="76"/>
      <c r="AX238" s="76"/>
    </row>
    <row r="239" ht="15.75" customHeight="1">
      <c r="A239" s="81" t="s">
        <v>1633</v>
      </c>
      <c r="B239" s="142" t="s">
        <v>1673</v>
      </c>
      <c r="C239" s="31" t="s">
        <v>3020</v>
      </c>
      <c r="D239" s="31" t="s">
        <v>3022</v>
      </c>
      <c r="E239" s="31" t="s">
        <v>3024</v>
      </c>
      <c r="F239" s="31"/>
      <c r="G239" s="31"/>
      <c r="H239" s="31"/>
      <c r="I239" s="84"/>
      <c r="J239" s="159" t="s">
        <v>1756</v>
      </c>
      <c r="K239" s="84"/>
      <c r="L239" s="84"/>
      <c r="M239" s="84"/>
      <c r="N239" s="84"/>
      <c r="O239" s="84"/>
      <c r="P239" s="84"/>
      <c r="Q239" s="84" t="s">
        <v>166</v>
      </c>
      <c r="R239" s="84"/>
      <c r="S239" s="84"/>
      <c r="T239" s="84"/>
      <c r="U239" s="84"/>
      <c r="V239" s="84"/>
      <c r="W239" s="84"/>
      <c r="X239" s="84"/>
      <c r="Y239" s="84"/>
      <c r="Z239" s="84"/>
      <c r="AA239" s="84"/>
      <c r="AB239" s="84"/>
      <c r="AC239" s="84"/>
      <c r="AD239" s="76"/>
      <c r="AE239" s="76"/>
      <c r="AF239" s="76"/>
      <c r="AG239" s="76"/>
      <c r="AH239" s="76"/>
      <c r="AI239" s="76"/>
      <c r="AJ239" s="76"/>
      <c r="AK239" s="76"/>
      <c r="AL239" s="76"/>
      <c r="AM239" s="76"/>
      <c r="AN239" s="76"/>
      <c r="AO239" s="76"/>
      <c r="AP239" s="76"/>
      <c r="AQ239" s="76"/>
      <c r="AR239" s="76"/>
      <c r="AS239" s="76"/>
      <c r="AT239" s="76"/>
      <c r="AU239" s="76"/>
      <c r="AV239" s="76"/>
      <c r="AW239" s="76"/>
      <c r="AX239" s="76"/>
    </row>
    <row r="240" ht="15.75" customHeight="1">
      <c r="A240" s="81" t="s">
        <v>1633</v>
      </c>
      <c r="B240" s="142" t="s">
        <v>1681</v>
      </c>
      <c r="C240" s="31" t="s">
        <v>3038</v>
      </c>
      <c r="D240" s="31" t="s">
        <v>3039</v>
      </c>
      <c r="E240" s="31" t="s">
        <v>3041</v>
      </c>
      <c r="F240" s="31"/>
      <c r="G240" s="31"/>
      <c r="H240" s="31"/>
      <c r="I240" s="84"/>
      <c r="J240" s="159" t="s">
        <v>1756</v>
      </c>
      <c r="K240" s="84"/>
      <c r="L240" s="84"/>
      <c r="M240" s="84"/>
      <c r="N240" s="84"/>
      <c r="O240" s="84"/>
      <c r="P240" s="84"/>
      <c r="Q240" s="84" t="s">
        <v>166</v>
      </c>
      <c r="R240" s="84"/>
      <c r="S240" s="84"/>
      <c r="T240" s="84"/>
      <c r="U240" s="84"/>
      <c r="V240" s="84"/>
      <c r="W240" s="84"/>
      <c r="X240" s="84"/>
      <c r="Y240" s="84"/>
      <c r="Z240" s="84"/>
      <c r="AA240" s="84"/>
      <c r="AB240" s="84"/>
      <c r="AC240" s="84"/>
      <c r="AD240" s="76"/>
      <c r="AE240" s="76"/>
      <c r="AF240" s="76"/>
      <c r="AG240" s="76"/>
      <c r="AH240" s="76"/>
      <c r="AI240" s="76"/>
      <c r="AJ240" s="76"/>
      <c r="AK240" s="76"/>
      <c r="AL240" s="76"/>
      <c r="AM240" s="76"/>
      <c r="AN240" s="76"/>
      <c r="AO240" s="76"/>
      <c r="AP240" s="76"/>
      <c r="AQ240" s="76"/>
      <c r="AR240" s="76"/>
      <c r="AS240" s="76"/>
      <c r="AT240" s="76"/>
      <c r="AU240" s="76"/>
      <c r="AV240" s="76"/>
      <c r="AW240" s="76"/>
      <c r="AX240" s="76"/>
    </row>
    <row r="241" ht="15.75" customHeight="1">
      <c r="A241" s="81" t="s">
        <v>1633</v>
      </c>
      <c r="B241" s="142" t="s">
        <v>1691</v>
      </c>
      <c r="C241" s="31" t="s">
        <v>3064</v>
      </c>
      <c r="D241" s="31" t="s">
        <v>3065</v>
      </c>
      <c r="E241" s="31" t="s">
        <v>3067</v>
      </c>
      <c r="F241" s="31"/>
      <c r="G241" s="31"/>
      <c r="H241" s="31"/>
      <c r="I241" s="84"/>
      <c r="J241" s="159" t="s">
        <v>1756</v>
      </c>
      <c r="K241" s="84"/>
      <c r="L241" s="84"/>
      <c r="M241" s="84"/>
      <c r="N241" s="84"/>
      <c r="O241" s="84"/>
      <c r="P241" s="84"/>
      <c r="Q241" s="84" t="s">
        <v>166</v>
      </c>
      <c r="R241" s="84"/>
      <c r="S241" s="84"/>
      <c r="T241" s="84"/>
      <c r="U241" s="84"/>
      <c r="V241" s="84"/>
      <c r="W241" s="84"/>
      <c r="X241" s="84"/>
      <c r="Y241" s="84"/>
      <c r="Z241" s="84"/>
      <c r="AA241" s="84"/>
      <c r="AB241" s="84"/>
      <c r="AC241" s="84"/>
      <c r="AD241" s="76"/>
      <c r="AE241" s="76"/>
      <c r="AF241" s="76"/>
      <c r="AG241" s="76"/>
      <c r="AH241" s="76"/>
      <c r="AI241" s="76"/>
      <c r="AJ241" s="76"/>
      <c r="AK241" s="76"/>
      <c r="AL241" s="76"/>
      <c r="AM241" s="76"/>
      <c r="AN241" s="76"/>
      <c r="AO241" s="76"/>
      <c r="AP241" s="76"/>
      <c r="AQ241" s="76"/>
      <c r="AR241" s="76"/>
      <c r="AS241" s="76"/>
      <c r="AT241" s="76"/>
      <c r="AU241" s="76"/>
      <c r="AV241" s="76"/>
      <c r="AW241" s="76"/>
      <c r="AX241" s="76"/>
    </row>
    <row r="242" ht="15.75" customHeight="1">
      <c r="A242" s="81" t="s">
        <v>1633</v>
      </c>
      <c r="B242" s="142" t="s">
        <v>1698</v>
      </c>
      <c r="C242" s="31" t="s">
        <v>3084</v>
      </c>
      <c r="D242" s="31" t="s">
        <v>3085</v>
      </c>
      <c r="E242" s="31" t="s">
        <v>3086</v>
      </c>
      <c r="F242" s="31"/>
      <c r="G242" s="31"/>
      <c r="H242" s="31"/>
      <c r="I242" s="84"/>
      <c r="J242" s="159" t="s">
        <v>1756</v>
      </c>
      <c r="K242" s="84"/>
      <c r="L242" s="84"/>
      <c r="M242" s="84"/>
      <c r="N242" s="84"/>
      <c r="O242" s="84"/>
      <c r="P242" s="84"/>
      <c r="Q242" s="84" t="s">
        <v>166</v>
      </c>
      <c r="R242" s="84"/>
      <c r="S242" s="84"/>
      <c r="T242" s="84"/>
      <c r="U242" s="84"/>
      <c r="V242" s="84"/>
      <c r="W242" s="84"/>
      <c r="X242" s="84"/>
      <c r="Y242" s="84"/>
      <c r="Z242" s="84"/>
      <c r="AA242" s="84"/>
      <c r="AB242" s="84"/>
      <c r="AC242" s="84"/>
      <c r="AD242" s="76"/>
      <c r="AE242" s="76"/>
      <c r="AF242" s="76"/>
      <c r="AG242" s="76"/>
      <c r="AH242" s="76"/>
      <c r="AI242" s="76"/>
      <c r="AJ242" s="76"/>
      <c r="AK242" s="76"/>
      <c r="AL242" s="76"/>
      <c r="AM242" s="76"/>
      <c r="AN242" s="76"/>
      <c r="AO242" s="76"/>
      <c r="AP242" s="76"/>
      <c r="AQ242" s="76"/>
      <c r="AR242" s="76"/>
      <c r="AS242" s="76"/>
      <c r="AT242" s="76"/>
      <c r="AU242" s="76"/>
      <c r="AV242" s="76"/>
      <c r="AW242" s="76"/>
      <c r="AX242" s="76"/>
    </row>
    <row r="243" ht="15.75" customHeight="1">
      <c r="A243" s="122" t="s">
        <v>236</v>
      </c>
      <c r="B243" s="153" t="s">
        <v>1622</v>
      </c>
      <c r="C243" s="31"/>
      <c r="D243" s="31"/>
      <c r="E243" s="31"/>
      <c r="F243" s="70"/>
      <c r="G243" s="70"/>
      <c r="H243" s="70"/>
      <c r="I243" s="70"/>
      <c r="J243" s="135"/>
      <c r="K243" s="70"/>
      <c r="L243" s="70"/>
      <c r="M243" s="70"/>
      <c r="N243" s="70"/>
      <c r="O243" s="70"/>
      <c r="P243" s="70"/>
      <c r="Q243" s="70"/>
      <c r="R243" s="70"/>
      <c r="S243" s="70"/>
      <c r="T243" s="70"/>
      <c r="U243" s="70"/>
      <c r="V243" s="70"/>
      <c r="W243" s="70"/>
      <c r="X243" s="70"/>
      <c r="Y243" s="70"/>
      <c r="Z243" s="70"/>
      <c r="AA243" s="70"/>
      <c r="AB243" s="70"/>
      <c r="AC243" s="70"/>
      <c r="AD243" s="76"/>
      <c r="AE243" s="76"/>
      <c r="AF243" s="76"/>
      <c r="AG243" s="76"/>
      <c r="AH243" s="76"/>
      <c r="AI243" s="76"/>
      <c r="AJ243" s="76"/>
      <c r="AK243" s="76"/>
      <c r="AL243" s="76"/>
      <c r="AM243" s="76"/>
      <c r="AN243" s="76"/>
      <c r="AO243" s="76"/>
      <c r="AP243" s="76"/>
      <c r="AQ243" s="76"/>
      <c r="AR243" s="76"/>
      <c r="AS243" s="76"/>
      <c r="AT243" s="76"/>
      <c r="AU243" s="76"/>
      <c r="AV243" s="76"/>
      <c r="AW243" s="76"/>
      <c r="AX243" s="76"/>
    </row>
    <row r="244" ht="15.75" customHeight="1">
      <c r="A244" s="128" t="s">
        <v>150</v>
      </c>
      <c r="B244" s="129" t="s">
        <v>1713</v>
      </c>
      <c r="C244" s="31"/>
      <c r="D244" s="31"/>
      <c r="E244" s="31"/>
      <c r="F244" s="31"/>
      <c r="G244" s="31"/>
      <c r="H244" s="31"/>
      <c r="I244" s="154"/>
      <c r="J244" s="71" t="s">
        <v>1736</v>
      </c>
      <c r="K244" s="154"/>
      <c r="L244" s="154"/>
      <c r="M244" s="154"/>
      <c r="N244" s="154"/>
      <c r="O244" s="154"/>
      <c r="P244" s="154"/>
      <c r="Q244" s="154"/>
      <c r="R244" s="154"/>
      <c r="S244" s="154"/>
      <c r="T244" s="154"/>
      <c r="U244" s="154"/>
      <c r="V244" s="154"/>
      <c r="W244" s="154"/>
      <c r="X244" s="154"/>
      <c r="Y244" s="154"/>
      <c r="Z244" s="154"/>
      <c r="AA244" s="154"/>
      <c r="AB244" s="154"/>
      <c r="AC244" s="154"/>
      <c r="AD244" s="76"/>
      <c r="AE244" s="76"/>
      <c r="AF244" s="76"/>
      <c r="AG244" s="76"/>
      <c r="AH244" s="76"/>
      <c r="AI244" s="76"/>
      <c r="AJ244" s="76"/>
      <c r="AK244" s="76"/>
      <c r="AL244" s="76"/>
      <c r="AM244" s="76"/>
      <c r="AN244" s="76"/>
      <c r="AO244" s="76"/>
      <c r="AP244" s="76"/>
      <c r="AQ244" s="76"/>
      <c r="AR244" s="76"/>
      <c r="AS244" s="76"/>
      <c r="AT244" s="76"/>
      <c r="AU244" s="76"/>
      <c r="AV244" s="76"/>
      <c r="AW244" s="76"/>
      <c r="AX244" s="76"/>
    </row>
    <row r="245" ht="15.75" customHeight="1">
      <c r="A245" s="81" t="s">
        <v>841</v>
      </c>
      <c r="B245" s="127" t="s">
        <v>1716</v>
      </c>
      <c r="C245" s="31" t="s">
        <v>3129</v>
      </c>
      <c r="D245" s="31" t="s">
        <v>3130</v>
      </c>
      <c r="E245" s="31" t="s">
        <v>3131</v>
      </c>
      <c r="F245" s="31"/>
      <c r="G245" s="31"/>
      <c r="H245" s="31"/>
      <c r="I245" s="154"/>
      <c r="J245" s="159" t="s">
        <v>7</v>
      </c>
      <c r="K245" s="154"/>
      <c r="L245" s="154"/>
      <c r="M245" s="154"/>
      <c r="N245" s="154"/>
      <c r="O245" s="154"/>
      <c r="P245" s="154"/>
      <c r="Q245" s="154"/>
      <c r="R245" s="154"/>
      <c r="S245" s="154"/>
      <c r="T245" s="154"/>
      <c r="U245" s="154"/>
      <c r="V245" s="154"/>
      <c r="W245" s="154"/>
      <c r="X245" s="154"/>
      <c r="Y245" s="154"/>
      <c r="Z245" s="154"/>
      <c r="AA245" s="154"/>
      <c r="AB245" s="154"/>
      <c r="AC245" s="154"/>
      <c r="AD245" s="76"/>
      <c r="AE245" s="76"/>
      <c r="AF245" s="76"/>
      <c r="AG245" s="76"/>
      <c r="AH245" s="76"/>
      <c r="AI245" s="76"/>
      <c r="AJ245" s="76"/>
      <c r="AK245" s="76"/>
      <c r="AL245" s="76"/>
      <c r="AM245" s="76"/>
      <c r="AN245" s="76"/>
      <c r="AO245" s="76"/>
      <c r="AP245" s="76"/>
      <c r="AQ245" s="76"/>
      <c r="AR245" s="76"/>
      <c r="AS245" s="76"/>
      <c r="AT245" s="76"/>
      <c r="AU245" s="76"/>
      <c r="AV245" s="76"/>
      <c r="AW245" s="76"/>
      <c r="AX245" s="76"/>
    </row>
    <row r="246" ht="15.75" customHeight="1">
      <c r="A246" s="81" t="s">
        <v>841</v>
      </c>
      <c r="B246" s="142" t="s">
        <v>1723</v>
      </c>
      <c r="C246" s="31" t="s">
        <v>3143</v>
      </c>
      <c r="D246" s="31" t="s">
        <v>3145</v>
      </c>
      <c r="E246" s="31" t="s">
        <v>3148</v>
      </c>
      <c r="F246" s="31"/>
      <c r="G246" s="31"/>
      <c r="H246" s="31"/>
      <c r="I246" s="84"/>
      <c r="J246" s="159" t="s">
        <v>1756</v>
      </c>
      <c r="K246" s="84"/>
      <c r="L246" s="84"/>
      <c r="M246" s="84"/>
      <c r="N246" s="84"/>
      <c r="O246" s="84"/>
      <c r="P246" s="84"/>
      <c r="Q246" s="84" t="s">
        <v>166</v>
      </c>
      <c r="R246" s="84"/>
      <c r="S246" s="84"/>
      <c r="T246" s="84"/>
      <c r="U246" s="84"/>
      <c r="V246" s="84"/>
      <c r="W246" s="84"/>
      <c r="X246" s="84"/>
      <c r="Y246" s="84"/>
      <c r="Z246" s="84"/>
      <c r="AA246" s="84"/>
      <c r="AB246" s="84"/>
      <c r="AC246" s="84"/>
      <c r="AD246" s="76"/>
      <c r="AE246" s="76"/>
      <c r="AF246" s="76"/>
      <c r="AG246" s="76"/>
      <c r="AH246" s="76"/>
      <c r="AI246" s="76"/>
      <c r="AJ246" s="76"/>
      <c r="AK246" s="76"/>
      <c r="AL246" s="76"/>
      <c r="AM246" s="76"/>
      <c r="AN246" s="76"/>
      <c r="AO246" s="76"/>
      <c r="AP246" s="76"/>
      <c r="AQ246" s="76"/>
      <c r="AR246" s="76"/>
      <c r="AS246" s="76"/>
      <c r="AT246" s="76"/>
      <c r="AU246" s="76"/>
      <c r="AV246" s="76"/>
      <c r="AW246" s="76"/>
      <c r="AX246" s="76"/>
    </row>
    <row r="247" ht="15.75" customHeight="1">
      <c r="A247" s="81" t="s">
        <v>841</v>
      </c>
      <c r="B247" s="142" t="s">
        <v>1730</v>
      </c>
      <c r="C247" s="31" t="s">
        <v>3165</v>
      </c>
      <c r="D247" s="31" t="s">
        <v>3166</v>
      </c>
      <c r="E247" s="31" t="s">
        <v>3167</v>
      </c>
      <c r="F247" s="31"/>
      <c r="G247" s="31"/>
      <c r="H247" s="31"/>
      <c r="I247" s="84"/>
      <c r="J247" s="159" t="s">
        <v>1756</v>
      </c>
      <c r="K247" s="84"/>
      <c r="L247" s="84"/>
      <c r="M247" s="84"/>
      <c r="N247" s="84"/>
      <c r="O247" s="84"/>
      <c r="P247" s="84"/>
      <c r="Q247" s="84" t="s">
        <v>166</v>
      </c>
      <c r="R247" s="84"/>
      <c r="S247" s="84"/>
      <c r="T247" s="84"/>
      <c r="U247" s="84"/>
      <c r="V247" s="84"/>
      <c r="W247" s="84"/>
      <c r="X247" s="84"/>
      <c r="Y247" s="84"/>
      <c r="Z247" s="84"/>
      <c r="AA247" s="84"/>
      <c r="AB247" s="84"/>
      <c r="AC247" s="84"/>
      <c r="AD247" s="76"/>
      <c r="AE247" s="76"/>
      <c r="AF247" s="76"/>
      <c r="AG247" s="76"/>
      <c r="AH247" s="76"/>
      <c r="AI247" s="76"/>
      <c r="AJ247" s="76"/>
      <c r="AK247" s="76"/>
      <c r="AL247" s="76"/>
      <c r="AM247" s="76"/>
      <c r="AN247" s="76"/>
      <c r="AO247" s="76"/>
      <c r="AP247" s="76"/>
      <c r="AQ247" s="76"/>
      <c r="AR247" s="76"/>
      <c r="AS247" s="76"/>
      <c r="AT247" s="76"/>
      <c r="AU247" s="76"/>
      <c r="AV247" s="76"/>
      <c r="AW247" s="76"/>
      <c r="AX247" s="76"/>
    </row>
    <row r="248" ht="15.75" customHeight="1">
      <c r="A248" s="81" t="s">
        <v>841</v>
      </c>
      <c r="B248" s="142" t="s">
        <v>1738</v>
      </c>
      <c r="C248" s="31" t="s">
        <v>3172</v>
      </c>
      <c r="D248" s="31" t="s">
        <v>3173</v>
      </c>
      <c r="E248" s="31" t="s">
        <v>3174</v>
      </c>
      <c r="F248" s="31"/>
      <c r="G248" s="31"/>
      <c r="H248" s="31"/>
      <c r="I248" s="84"/>
      <c r="J248" s="159" t="s">
        <v>1756</v>
      </c>
      <c r="K248" s="84"/>
      <c r="L248" s="84"/>
      <c r="M248" s="84"/>
      <c r="N248" s="84"/>
      <c r="O248" s="84"/>
      <c r="P248" s="84"/>
      <c r="Q248" s="84" t="s">
        <v>166</v>
      </c>
      <c r="R248" s="84"/>
      <c r="S248" s="84"/>
      <c r="T248" s="84"/>
      <c r="U248" s="84"/>
      <c r="V248" s="84"/>
      <c r="W248" s="84"/>
      <c r="X248" s="84"/>
      <c r="Y248" s="84"/>
      <c r="Z248" s="84"/>
      <c r="AA248" s="84"/>
      <c r="AB248" s="84"/>
      <c r="AC248" s="84"/>
      <c r="AD248" s="76"/>
      <c r="AE248" s="76"/>
      <c r="AF248" s="76"/>
      <c r="AG248" s="76"/>
      <c r="AH248" s="76"/>
      <c r="AI248" s="76"/>
      <c r="AJ248" s="76"/>
      <c r="AK248" s="76"/>
      <c r="AL248" s="76"/>
      <c r="AM248" s="76"/>
      <c r="AN248" s="76"/>
      <c r="AO248" s="76"/>
      <c r="AP248" s="76"/>
      <c r="AQ248" s="76"/>
      <c r="AR248" s="76"/>
      <c r="AS248" s="76"/>
      <c r="AT248" s="76"/>
      <c r="AU248" s="76"/>
      <c r="AV248" s="76"/>
      <c r="AW248" s="76"/>
      <c r="AX248" s="76"/>
    </row>
    <row r="249" ht="15.75" customHeight="1">
      <c r="A249" s="81" t="s">
        <v>841</v>
      </c>
      <c r="B249" s="142" t="s">
        <v>1745</v>
      </c>
      <c r="C249" s="31" t="s">
        <v>3176</v>
      </c>
      <c r="D249" s="31" t="s">
        <v>3177</v>
      </c>
      <c r="E249" s="31" t="s">
        <v>3179</v>
      </c>
      <c r="F249" s="31"/>
      <c r="G249" s="31"/>
      <c r="H249" s="31"/>
      <c r="I249" s="84"/>
      <c r="J249" s="159" t="s">
        <v>1756</v>
      </c>
      <c r="K249" s="84"/>
      <c r="L249" s="84"/>
      <c r="M249" s="84"/>
      <c r="N249" s="84"/>
      <c r="O249" s="84"/>
      <c r="P249" s="84"/>
      <c r="Q249" s="84" t="s">
        <v>166</v>
      </c>
      <c r="R249" s="84"/>
      <c r="S249" s="84"/>
      <c r="T249" s="84"/>
      <c r="U249" s="84"/>
      <c r="V249" s="84"/>
      <c r="W249" s="84"/>
      <c r="X249" s="84"/>
      <c r="Y249" s="84"/>
      <c r="Z249" s="84"/>
      <c r="AA249" s="84"/>
      <c r="AB249" s="84"/>
      <c r="AC249" s="84"/>
      <c r="AD249" s="76"/>
      <c r="AE249" s="76"/>
      <c r="AF249" s="76"/>
      <c r="AG249" s="76"/>
      <c r="AH249" s="76"/>
      <c r="AI249" s="76"/>
      <c r="AJ249" s="76"/>
      <c r="AK249" s="76"/>
      <c r="AL249" s="76"/>
      <c r="AM249" s="76"/>
      <c r="AN249" s="76"/>
      <c r="AO249" s="76"/>
      <c r="AP249" s="76"/>
      <c r="AQ249" s="76"/>
      <c r="AR249" s="76"/>
      <c r="AS249" s="76"/>
      <c r="AT249" s="76"/>
      <c r="AU249" s="76"/>
      <c r="AV249" s="76"/>
      <c r="AW249" s="76"/>
      <c r="AX249" s="76"/>
    </row>
    <row r="250" ht="15.75" customHeight="1">
      <c r="A250" s="81" t="s">
        <v>841</v>
      </c>
      <c r="B250" s="142" t="s">
        <v>1749</v>
      </c>
      <c r="C250" s="31" t="s">
        <v>3192</v>
      </c>
      <c r="D250" s="31" t="s">
        <v>3193</v>
      </c>
      <c r="E250" s="31" t="s">
        <v>3194</v>
      </c>
      <c r="F250" s="31"/>
      <c r="G250" s="31"/>
      <c r="H250" s="31"/>
      <c r="I250" s="84"/>
      <c r="J250" s="159" t="s">
        <v>1756</v>
      </c>
      <c r="K250" s="84"/>
      <c r="L250" s="84"/>
      <c r="M250" s="84"/>
      <c r="N250" s="84"/>
      <c r="O250" s="84"/>
      <c r="P250" s="84"/>
      <c r="Q250" s="84" t="s">
        <v>166</v>
      </c>
      <c r="R250" s="84"/>
      <c r="S250" s="84"/>
      <c r="T250" s="84"/>
      <c r="U250" s="84"/>
      <c r="V250" s="84"/>
      <c r="W250" s="84"/>
      <c r="X250" s="84"/>
      <c r="Y250" s="84"/>
      <c r="Z250" s="84"/>
      <c r="AA250" s="84"/>
      <c r="AB250" s="84"/>
      <c r="AC250" s="84"/>
      <c r="AD250" s="76"/>
      <c r="AE250" s="76"/>
      <c r="AF250" s="76"/>
      <c r="AG250" s="76"/>
      <c r="AH250" s="76"/>
      <c r="AI250" s="76"/>
      <c r="AJ250" s="76"/>
      <c r="AK250" s="76"/>
      <c r="AL250" s="76"/>
      <c r="AM250" s="76"/>
      <c r="AN250" s="76"/>
      <c r="AO250" s="76"/>
      <c r="AP250" s="76"/>
      <c r="AQ250" s="76"/>
      <c r="AR250" s="76"/>
      <c r="AS250" s="76"/>
      <c r="AT250" s="76"/>
      <c r="AU250" s="76"/>
      <c r="AV250" s="76"/>
      <c r="AW250" s="76"/>
      <c r="AX250" s="76"/>
    </row>
    <row r="251" ht="15.75" customHeight="1">
      <c r="A251" s="128" t="s">
        <v>236</v>
      </c>
      <c r="B251" s="129" t="s">
        <v>1713</v>
      </c>
      <c r="C251" s="31"/>
      <c r="D251" s="31"/>
      <c r="E251" s="31"/>
      <c r="F251" s="31"/>
      <c r="G251" s="31"/>
      <c r="H251" s="31"/>
      <c r="I251" s="154"/>
      <c r="J251" s="71"/>
      <c r="K251" s="154"/>
      <c r="L251" s="154"/>
      <c r="M251" s="154"/>
      <c r="N251" s="154"/>
      <c r="O251" s="128"/>
      <c r="P251" s="154"/>
      <c r="Q251" s="154"/>
      <c r="R251" s="154"/>
      <c r="S251" s="154"/>
      <c r="T251" s="154"/>
      <c r="U251" s="154"/>
      <c r="V251" s="154"/>
      <c r="W251" s="154"/>
      <c r="X251" s="154"/>
      <c r="Y251" s="154"/>
      <c r="Z251" s="154"/>
      <c r="AA251" s="154"/>
      <c r="AB251" s="154"/>
      <c r="AC251" s="154"/>
      <c r="AD251" s="76"/>
      <c r="AE251" s="76"/>
      <c r="AF251" s="76"/>
      <c r="AG251" s="76"/>
      <c r="AH251" s="76"/>
      <c r="AI251" s="76"/>
      <c r="AJ251" s="76"/>
      <c r="AK251" s="76"/>
      <c r="AL251" s="76"/>
      <c r="AM251" s="76"/>
      <c r="AN251" s="76"/>
      <c r="AO251" s="76"/>
      <c r="AP251" s="76"/>
      <c r="AQ251" s="76"/>
      <c r="AR251" s="76"/>
      <c r="AS251" s="76"/>
      <c r="AT251" s="76"/>
      <c r="AU251" s="76"/>
      <c r="AV251" s="76"/>
      <c r="AW251" s="76"/>
      <c r="AX251" s="76"/>
    </row>
    <row r="255" ht="15.75" customHeight="1">
      <c r="A255" s="149" t="s">
        <v>150</v>
      </c>
      <c r="B255" s="129" t="s">
        <v>3210</v>
      </c>
      <c r="C255" s="31"/>
      <c r="D255" s="31"/>
      <c r="E255" s="31"/>
      <c r="F255" s="31"/>
      <c r="G255" s="31"/>
      <c r="H255" s="31"/>
      <c r="I255" s="154"/>
      <c r="J255" s="71" t="s">
        <v>1736</v>
      </c>
      <c r="K255" s="154"/>
      <c r="L255" s="154"/>
      <c r="M255" s="154"/>
      <c r="N255" s="154"/>
      <c r="O255" s="128"/>
      <c r="P255" s="154"/>
      <c r="Q255" s="154"/>
      <c r="R255" s="154"/>
      <c r="S255" s="154"/>
      <c r="T255" s="154"/>
      <c r="U255" s="154"/>
      <c r="V255" s="154"/>
      <c r="W255" s="154"/>
      <c r="X255" s="154"/>
      <c r="Y255" s="154"/>
      <c r="Z255" s="154"/>
      <c r="AA255" s="154"/>
      <c r="AB255" s="154"/>
      <c r="AC255" s="154"/>
      <c r="AD255" s="76"/>
      <c r="AE255" s="76"/>
      <c r="AF255" s="76"/>
      <c r="AG255" s="76"/>
      <c r="AH255" s="76"/>
      <c r="AI255" s="76"/>
      <c r="AJ255" s="76"/>
      <c r="AK255" s="76"/>
      <c r="AL255" s="76"/>
      <c r="AM255" s="76"/>
      <c r="AN255" s="76"/>
      <c r="AO255" s="76"/>
      <c r="AP255" s="76"/>
      <c r="AQ255" s="76"/>
      <c r="AR255" s="76"/>
      <c r="AS255" s="76"/>
      <c r="AT255" s="76"/>
      <c r="AU255" s="76"/>
      <c r="AV255" s="76"/>
      <c r="AW255" s="76"/>
      <c r="AX255" s="76"/>
    </row>
    <row r="256" ht="15.75" customHeight="1">
      <c r="A256" s="81" t="s">
        <v>841</v>
      </c>
      <c r="B256" s="127" t="s">
        <v>1785</v>
      </c>
      <c r="C256" s="31" t="s">
        <v>3219</v>
      </c>
      <c r="D256" s="31" t="s">
        <v>3221</v>
      </c>
      <c r="E256" s="31" t="s">
        <v>3223</v>
      </c>
      <c r="F256" s="31"/>
      <c r="G256" s="31"/>
      <c r="H256" s="31"/>
      <c r="I256" s="154"/>
      <c r="J256" s="159" t="s">
        <v>7</v>
      </c>
      <c r="K256" s="154"/>
      <c r="L256" s="154"/>
      <c r="M256" s="154"/>
      <c r="N256" s="154"/>
      <c r="O256" s="128" t="s">
        <v>1234</v>
      </c>
      <c r="P256" s="154"/>
      <c r="Q256" s="154"/>
      <c r="R256" s="154"/>
      <c r="S256" s="154"/>
      <c r="T256" s="154"/>
      <c r="U256" s="154"/>
      <c r="V256" s="154"/>
      <c r="W256" s="154"/>
      <c r="X256" s="154"/>
      <c r="Y256" s="154"/>
      <c r="Z256" s="154"/>
      <c r="AA256" s="154"/>
      <c r="AB256" s="154"/>
      <c r="AC256" s="154"/>
      <c r="AD256" s="76"/>
      <c r="AE256" s="76"/>
      <c r="AF256" s="76"/>
      <c r="AG256" s="76"/>
      <c r="AH256" s="76"/>
      <c r="AI256" s="76"/>
      <c r="AJ256" s="76"/>
      <c r="AK256" s="76"/>
      <c r="AL256" s="76"/>
      <c r="AM256" s="76"/>
      <c r="AN256" s="76"/>
      <c r="AO256" s="76"/>
      <c r="AP256" s="76"/>
      <c r="AQ256" s="76"/>
      <c r="AR256" s="76"/>
      <c r="AS256" s="76"/>
      <c r="AT256" s="76"/>
      <c r="AU256" s="76"/>
      <c r="AV256" s="76"/>
      <c r="AW256" s="76"/>
      <c r="AX256" s="76"/>
    </row>
    <row r="257" ht="15.75" customHeight="1">
      <c r="A257" s="81" t="s">
        <v>841</v>
      </c>
      <c r="B257" s="142" t="s">
        <v>1793</v>
      </c>
      <c r="C257" s="31" t="s">
        <v>3287</v>
      </c>
      <c r="D257" s="31" t="s">
        <v>3288</v>
      </c>
      <c r="E257" s="31" t="s">
        <v>3289</v>
      </c>
      <c r="F257" s="31"/>
      <c r="G257" s="31"/>
      <c r="H257" s="31"/>
      <c r="I257" s="84"/>
      <c r="J257" s="159" t="s">
        <v>1756</v>
      </c>
      <c r="K257" s="84"/>
      <c r="L257" s="84"/>
      <c r="M257" s="84"/>
      <c r="N257" s="84"/>
      <c r="O257" s="128" t="s">
        <v>1234</v>
      </c>
      <c r="P257" s="84"/>
      <c r="Q257" s="84" t="s">
        <v>166</v>
      </c>
      <c r="R257" s="84"/>
      <c r="S257" s="84"/>
      <c r="T257" s="84"/>
      <c r="U257" s="84"/>
      <c r="V257" s="84"/>
      <c r="W257" s="84"/>
      <c r="X257" s="84"/>
      <c r="Y257" s="84"/>
      <c r="Z257" s="84"/>
      <c r="AA257" s="84"/>
      <c r="AB257" s="84"/>
      <c r="AC257" s="84"/>
      <c r="AD257" s="76"/>
      <c r="AE257" s="76"/>
      <c r="AF257" s="76"/>
      <c r="AG257" s="76"/>
      <c r="AH257" s="76"/>
      <c r="AI257" s="76"/>
      <c r="AJ257" s="76"/>
      <c r="AK257" s="76"/>
      <c r="AL257" s="76"/>
      <c r="AM257" s="76"/>
      <c r="AN257" s="76"/>
      <c r="AO257" s="76"/>
      <c r="AP257" s="76"/>
      <c r="AQ257" s="76"/>
      <c r="AR257" s="76"/>
      <c r="AS257" s="76"/>
      <c r="AT257" s="76"/>
      <c r="AU257" s="76"/>
      <c r="AV257" s="76"/>
      <c r="AW257" s="76"/>
      <c r="AX257" s="76"/>
    </row>
    <row r="258" ht="15.75" customHeight="1">
      <c r="A258" s="81" t="s">
        <v>841</v>
      </c>
      <c r="B258" s="142" t="s">
        <v>1800</v>
      </c>
      <c r="C258" s="31" t="s">
        <v>3305</v>
      </c>
      <c r="D258" s="31" t="s">
        <v>3306</v>
      </c>
      <c r="E258" s="31" t="s">
        <v>3307</v>
      </c>
      <c r="F258" s="31"/>
      <c r="G258" s="31"/>
      <c r="H258" s="31"/>
      <c r="I258" s="84"/>
      <c r="J258" s="159" t="s">
        <v>1756</v>
      </c>
      <c r="K258" s="84"/>
      <c r="L258" s="84"/>
      <c r="M258" s="84"/>
      <c r="N258" s="84"/>
      <c r="O258" s="128" t="s">
        <v>1234</v>
      </c>
      <c r="P258" s="84"/>
      <c r="Q258" s="84" t="s">
        <v>166</v>
      </c>
      <c r="R258" s="84"/>
      <c r="S258" s="84"/>
      <c r="T258" s="84"/>
      <c r="U258" s="84"/>
      <c r="V258" s="84"/>
      <c r="W258" s="84"/>
      <c r="X258" s="84"/>
      <c r="Y258" s="84"/>
      <c r="Z258" s="84"/>
      <c r="AA258" s="84"/>
      <c r="AB258" s="84"/>
      <c r="AC258" s="84"/>
      <c r="AD258" s="76"/>
      <c r="AE258" s="76"/>
      <c r="AF258" s="76"/>
      <c r="AG258" s="76"/>
      <c r="AH258" s="76"/>
      <c r="AI258" s="76"/>
      <c r="AJ258" s="76"/>
      <c r="AK258" s="76"/>
      <c r="AL258" s="76"/>
      <c r="AM258" s="76"/>
      <c r="AN258" s="76"/>
      <c r="AO258" s="76"/>
      <c r="AP258" s="76"/>
      <c r="AQ258" s="76"/>
      <c r="AR258" s="76"/>
      <c r="AS258" s="76"/>
      <c r="AT258" s="76"/>
      <c r="AU258" s="76"/>
      <c r="AV258" s="76"/>
      <c r="AW258" s="76"/>
      <c r="AX258" s="76"/>
    </row>
    <row r="259" ht="15.75" customHeight="1">
      <c r="A259" s="81" t="s">
        <v>841</v>
      </c>
      <c r="B259" s="142" t="s">
        <v>1810</v>
      </c>
      <c r="C259" s="31" t="s">
        <v>3322</v>
      </c>
      <c r="D259" s="31" t="s">
        <v>3324</v>
      </c>
      <c r="E259" s="31" t="s">
        <v>3325</v>
      </c>
      <c r="F259" s="31"/>
      <c r="G259" s="31"/>
      <c r="H259" s="31"/>
      <c r="I259" s="84"/>
      <c r="J259" s="159" t="s">
        <v>1756</v>
      </c>
      <c r="K259" s="84"/>
      <c r="L259" s="84"/>
      <c r="M259" s="84"/>
      <c r="N259" s="84"/>
      <c r="O259" s="128" t="s">
        <v>1234</v>
      </c>
      <c r="P259" s="84"/>
      <c r="Q259" s="84" t="s">
        <v>166</v>
      </c>
      <c r="R259" s="84"/>
      <c r="S259" s="84"/>
      <c r="T259" s="84"/>
      <c r="U259" s="84"/>
      <c r="V259" s="84"/>
      <c r="W259" s="84"/>
      <c r="X259" s="84"/>
      <c r="Y259" s="84"/>
      <c r="Z259" s="84"/>
      <c r="AA259" s="84"/>
      <c r="AB259" s="84"/>
      <c r="AC259" s="84"/>
      <c r="AD259" s="76"/>
      <c r="AE259" s="76"/>
      <c r="AF259" s="76"/>
      <c r="AG259" s="76"/>
      <c r="AH259" s="76"/>
      <c r="AI259" s="76"/>
      <c r="AJ259" s="76"/>
      <c r="AK259" s="76"/>
      <c r="AL259" s="76"/>
      <c r="AM259" s="76"/>
      <c r="AN259" s="76"/>
      <c r="AO259" s="76"/>
      <c r="AP259" s="76"/>
      <c r="AQ259" s="76"/>
      <c r="AR259" s="76"/>
      <c r="AS259" s="76"/>
      <c r="AT259" s="76"/>
      <c r="AU259" s="76"/>
      <c r="AV259" s="76"/>
      <c r="AW259" s="76"/>
      <c r="AX259" s="76"/>
    </row>
    <row r="260" ht="15.75" customHeight="1">
      <c r="A260" s="81" t="s">
        <v>841</v>
      </c>
      <c r="B260" s="142" t="s">
        <v>1817</v>
      </c>
      <c r="C260" s="31" t="s">
        <v>3334</v>
      </c>
      <c r="D260" s="31" t="s">
        <v>3335</v>
      </c>
      <c r="E260" s="31" t="s">
        <v>3336</v>
      </c>
      <c r="F260" s="31"/>
      <c r="G260" s="31"/>
      <c r="H260" s="31"/>
      <c r="I260" s="84"/>
      <c r="J260" s="159" t="s">
        <v>1756</v>
      </c>
      <c r="K260" s="84"/>
      <c r="L260" s="84"/>
      <c r="M260" s="84"/>
      <c r="N260" s="84"/>
      <c r="O260" s="128" t="s">
        <v>1234</v>
      </c>
      <c r="P260" s="84"/>
      <c r="Q260" s="84" t="s">
        <v>166</v>
      </c>
      <c r="R260" s="84"/>
      <c r="S260" s="84"/>
      <c r="T260" s="84"/>
      <c r="U260" s="84"/>
      <c r="V260" s="84"/>
      <c r="W260" s="84"/>
      <c r="X260" s="84"/>
      <c r="Y260" s="84"/>
      <c r="Z260" s="84"/>
      <c r="AA260" s="84"/>
      <c r="AB260" s="84"/>
      <c r="AC260" s="84"/>
      <c r="AD260" s="76"/>
      <c r="AE260" s="76"/>
      <c r="AF260" s="76"/>
      <c r="AG260" s="76"/>
      <c r="AH260" s="76"/>
      <c r="AI260" s="76"/>
      <c r="AJ260" s="76"/>
      <c r="AK260" s="76"/>
      <c r="AL260" s="76"/>
      <c r="AM260" s="76"/>
      <c r="AN260" s="76"/>
      <c r="AO260" s="76"/>
      <c r="AP260" s="76"/>
      <c r="AQ260" s="76"/>
      <c r="AR260" s="76"/>
      <c r="AS260" s="76"/>
      <c r="AT260" s="76"/>
      <c r="AU260" s="76"/>
      <c r="AV260" s="76"/>
      <c r="AW260" s="76"/>
      <c r="AX260" s="76"/>
    </row>
    <row r="261" ht="15.75" customHeight="1">
      <c r="A261" s="81" t="s">
        <v>841</v>
      </c>
      <c r="B261" s="142" t="s">
        <v>1825</v>
      </c>
      <c r="C261" s="31" t="s">
        <v>3349</v>
      </c>
      <c r="D261" s="31" t="s">
        <v>3351</v>
      </c>
      <c r="E261" s="31" t="s">
        <v>3352</v>
      </c>
      <c r="F261" s="31"/>
      <c r="G261" s="31"/>
      <c r="H261" s="31"/>
      <c r="I261" s="84"/>
      <c r="J261" s="159" t="s">
        <v>1756</v>
      </c>
      <c r="K261" s="84"/>
      <c r="L261" s="84"/>
      <c r="M261" s="84"/>
      <c r="N261" s="84"/>
      <c r="O261" s="128" t="s">
        <v>1234</v>
      </c>
      <c r="P261" s="84"/>
      <c r="Q261" s="84" t="s">
        <v>166</v>
      </c>
      <c r="R261" s="84"/>
      <c r="S261" s="84"/>
      <c r="T261" s="84"/>
      <c r="U261" s="84"/>
      <c r="V261" s="84"/>
      <c r="W261" s="84"/>
      <c r="X261" s="84"/>
      <c r="Y261" s="84"/>
      <c r="Z261" s="84"/>
      <c r="AA261" s="84"/>
      <c r="AB261" s="84"/>
      <c r="AC261" s="84"/>
      <c r="AD261" s="76"/>
      <c r="AE261" s="76"/>
      <c r="AF261" s="76"/>
      <c r="AG261" s="76"/>
      <c r="AH261" s="76"/>
      <c r="AI261" s="76"/>
      <c r="AJ261" s="76"/>
      <c r="AK261" s="76"/>
      <c r="AL261" s="76"/>
      <c r="AM261" s="76"/>
      <c r="AN261" s="76"/>
      <c r="AO261" s="76"/>
      <c r="AP261" s="76"/>
      <c r="AQ261" s="76"/>
      <c r="AR261" s="76"/>
      <c r="AS261" s="76"/>
      <c r="AT261" s="76"/>
      <c r="AU261" s="76"/>
      <c r="AV261" s="76"/>
      <c r="AW261" s="76"/>
      <c r="AX261" s="76"/>
    </row>
    <row r="262" ht="15.75" customHeight="1">
      <c r="A262" s="81" t="s">
        <v>841</v>
      </c>
      <c r="B262" s="131" t="s">
        <v>1831</v>
      </c>
      <c r="C262" s="31" t="s">
        <v>3371</v>
      </c>
      <c r="D262" s="31" t="s">
        <v>3372</v>
      </c>
      <c r="E262" s="31" t="s">
        <v>3373</v>
      </c>
      <c r="F262" s="31"/>
      <c r="G262" s="31"/>
      <c r="H262" s="31"/>
      <c r="I262" s="84"/>
      <c r="J262" s="159" t="s">
        <v>1756</v>
      </c>
      <c r="K262" s="84"/>
      <c r="L262" s="84"/>
      <c r="M262" s="84"/>
      <c r="N262" s="84"/>
      <c r="O262" s="128" t="s">
        <v>1234</v>
      </c>
      <c r="P262" s="84"/>
      <c r="Q262" s="84" t="s">
        <v>166</v>
      </c>
      <c r="R262" s="84"/>
      <c r="S262" s="84"/>
      <c r="T262" s="84"/>
      <c r="U262" s="84"/>
      <c r="V262" s="84"/>
      <c r="W262" s="84"/>
      <c r="X262" s="84"/>
      <c r="Y262" s="84"/>
      <c r="Z262" s="84"/>
      <c r="AA262" s="84"/>
      <c r="AB262" s="84"/>
      <c r="AC262" s="84"/>
      <c r="AD262" s="76"/>
      <c r="AE262" s="76"/>
      <c r="AF262" s="76"/>
      <c r="AG262" s="76"/>
      <c r="AH262" s="76"/>
      <c r="AI262" s="76"/>
      <c r="AJ262" s="76"/>
      <c r="AK262" s="76"/>
      <c r="AL262" s="76"/>
      <c r="AM262" s="76"/>
      <c r="AN262" s="76"/>
      <c r="AO262" s="76"/>
      <c r="AP262" s="76"/>
      <c r="AQ262" s="76"/>
      <c r="AR262" s="76"/>
      <c r="AS262" s="76"/>
      <c r="AT262" s="76"/>
      <c r="AU262" s="76"/>
      <c r="AV262" s="76"/>
      <c r="AW262" s="76"/>
      <c r="AX262" s="76"/>
    </row>
    <row r="263" ht="15.75" customHeight="1">
      <c r="A263" s="81" t="s">
        <v>841</v>
      </c>
      <c r="B263" s="131" t="s">
        <v>1842</v>
      </c>
      <c r="C263" s="31" t="s">
        <v>3386</v>
      </c>
      <c r="D263" s="31" t="s">
        <v>3387</v>
      </c>
      <c r="E263" s="31" t="s">
        <v>3388</v>
      </c>
      <c r="F263" s="31"/>
      <c r="G263" s="31"/>
      <c r="H263" s="31"/>
      <c r="I263" s="84"/>
      <c r="J263" s="159" t="s">
        <v>1756</v>
      </c>
      <c r="K263" s="84"/>
      <c r="L263" s="84"/>
      <c r="M263" s="84"/>
      <c r="N263" s="84"/>
      <c r="O263" s="128" t="s">
        <v>1234</v>
      </c>
      <c r="P263" s="84"/>
      <c r="Q263" s="84" t="s">
        <v>166</v>
      </c>
      <c r="R263" s="84"/>
      <c r="S263" s="84"/>
      <c r="T263" s="84"/>
      <c r="U263" s="84"/>
      <c r="V263" s="84"/>
      <c r="W263" s="84"/>
      <c r="X263" s="84"/>
      <c r="Y263" s="84"/>
      <c r="Z263" s="84"/>
      <c r="AA263" s="84"/>
      <c r="AB263" s="84"/>
      <c r="AC263" s="84"/>
      <c r="AD263" s="76"/>
      <c r="AE263" s="76"/>
      <c r="AF263" s="76"/>
      <c r="AG263" s="76"/>
      <c r="AH263" s="76"/>
      <c r="AI263" s="76"/>
      <c r="AJ263" s="76"/>
      <c r="AK263" s="76"/>
      <c r="AL263" s="76"/>
      <c r="AM263" s="76"/>
      <c r="AN263" s="76"/>
      <c r="AO263" s="76"/>
      <c r="AP263" s="76"/>
      <c r="AQ263" s="76"/>
      <c r="AR263" s="76"/>
      <c r="AS263" s="76"/>
      <c r="AT263" s="76"/>
      <c r="AU263" s="76"/>
      <c r="AV263" s="76"/>
      <c r="AW263" s="76"/>
      <c r="AX263" s="76"/>
    </row>
    <row r="264" ht="15.75" customHeight="1">
      <c r="A264" s="81" t="s">
        <v>841</v>
      </c>
      <c r="B264" s="142" t="s">
        <v>1848</v>
      </c>
      <c r="C264" s="31" t="s">
        <v>3407</v>
      </c>
      <c r="D264" s="31" t="s">
        <v>3408</v>
      </c>
      <c r="E264" s="31" t="s">
        <v>3409</v>
      </c>
      <c r="F264" s="31"/>
      <c r="G264" s="31"/>
      <c r="H264" s="31"/>
      <c r="I264" s="84"/>
      <c r="J264" s="159" t="s">
        <v>1756</v>
      </c>
      <c r="K264" s="84"/>
      <c r="L264" s="84"/>
      <c r="M264" s="84"/>
      <c r="N264" s="84"/>
      <c r="O264" s="128" t="s">
        <v>1234</v>
      </c>
      <c r="P264" s="84"/>
      <c r="Q264" s="84" t="s">
        <v>166</v>
      </c>
      <c r="R264" s="84"/>
      <c r="S264" s="84"/>
      <c r="T264" s="84"/>
      <c r="U264" s="84"/>
      <c r="V264" s="84"/>
      <c r="W264" s="84"/>
      <c r="X264" s="84"/>
      <c r="Y264" s="84"/>
      <c r="Z264" s="84"/>
      <c r="AA264" s="84"/>
      <c r="AB264" s="84"/>
      <c r="AC264" s="84"/>
      <c r="AD264" s="76"/>
      <c r="AE264" s="76"/>
      <c r="AF264" s="76"/>
      <c r="AG264" s="76"/>
      <c r="AH264" s="76"/>
      <c r="AI264" s="76"/>
      <c r="AJ264" s="76"/>
      <c r="AK264" s="76"/>
      <c r="AL264" s="76"/>
      <c r="AM264" s="76"/>
      <c r="AN264" s="76"/>
      <c r="AO264" s="76"/>
      <c r="AP264" s="76"/>
      <c r="AQ264" s="76"/>
      <c r="AR264" s="76"/>
      <c r="AS264" s="76"/>
      <c r="AT264" s="76"/>
      <c r="AU264" s="76"/>
      <c r="AV264" s="76"/>
      <c r="AW264" s="76"/>
      <c r="AX264" s="76"/>
    </row>
    <row r="265" ht="15.75" customHeight="1">
      <c r="A265" s="128" t="s">
        <v>236</v>
      </c>
      <c r="B265" s="129" t="s">
        <v>3210</v>
      </c>
      <c r="C265" s="31"/>
      <c r="D265" s="31"/>
      <c r="E265" s="31"/>
      <c r="F265" s="31"/>
      <c r="G265" s="31"/>
      <c r="H265" s="31"/>
      <c r="I265" s="154"/>
      <c r="J265" s="71"/>
      <c r="K265" s="154"/>
      <c r="L265" s="154"/>
      <c r="M265" s="154"/>
      <c r="N265" s="154"/>
      <c r="O265" s="128"/>
      <c r="P265" s="154"/>
      <c r="Q265" s="128"/>
      <c r="R265" s="154"/>
      <c r="S265" s="154"/>
      <c r="T265" s="154"/>
      <c r="U265" s="154"/>
      <c r="V265" s="154"/>
      <c r="W265" s="154"/>
      <c r="X265" s="154"/>
      <c r="Y265" s="154"/>
      <c r="Z265" s="154"/>
      <c r="AA265" s="154"/>
      <c r="AB265" s="154"/>
      <c r="AC265" s="154"/>
      <c r="AD265" s="76"/>
      <c r="AE265" s="76"/>
      <c r="AF265" s="76"/>
      <c r="AG265" s="76"/>
      <c r="AH265" s="76"/>
      <c r="AI265" s="76"/>
      <c r="AJ265" s="76"/>
      <c r="AK265" s="76"/>
      <c r="AL265" s="76"/>
      <c r="AM265" s="76"/>
      <c r="AN265" s="76"/>
      <c r="AO265" s="76"/>
      <c r="AP265" s="76"/>
      <c r="AQ265" s="76"/>
      <c r="AR265" s="76"/>
      <c r="AS265" s="76"/>
      <c r="AT265" s="76"/>
      <c r="AU265" s="76"/>
      <c r="AV265" s="76"/>
      <c r="AW265" s="76"/>
      <c r="AX265" s="76"/>
    </row>
    <row r="266" ht="15.75" customHeight="1">
      <c r="A266" s="81" t="s">
        <v>841</v>
      </c>
      <c r="B266" s="142" t="s">
        <v>1855</v>
      </c>
      <c r="C266" s="31" t="s">
        <v>3438</v>
      </c>
      <c r="D266" s="31" t="s">
        <v>3439</v>
      </c>
      <c r="E266" s="31" t="s">
        <v>3440</v>
      </c>
      <c r="F266" s="31"/>
      <c r="G266" s="31"/>
      <c r="H266" s="31"/>
      <c r="I266" s="84"/>
      <c r="J266" s="159"/>
      <c r="K266" s="84"/>
      <c r="L266" s="84"/>
      <c r="M266" s="84"/>
      <c r="N266" s="84"/>
      <c r="O266" s="128" t="s">
        <v>1234</v>
      </c>
      <c r="P266" s="84"/>
      <c r="Q266" s="84" t="s">
        <v>166</v>
      </c>
      <c r="R266" s="84"/>
      <c r="S266" s="84"/>
      <c r="T266" s="84"/>
      <c r="U266" s="84"/>
      <c r="V266" s="84"/>
      <c r="W266" s="84"/>
      <c r="X266" s="84"/>
      <c r="Y266" s="84"/>
      <c r="Z266" s="84"/>
      <c r="AA266" s="84"/>
      <c r="AB266" s="84"/>
      <c r="AC266" s="84"/>
      <c r="AD266" s="76"/>
      <c r="AE266" s="76"/>
      <c r="AF266" s="76"/>
      <c r="AG266" s="76"/>
      <c r="AH266" s="76"/>
      <c r="AI266" s="76"/>
      <c r="AJ266" s="76"/>
      <c r="AK266" s="76"/>
      <c r="AL266" s="76"/>
      <c r="AM266" s="76"/>
      <c r="AN266" s="76"/>
      <c r="AO266" s="76"/>
      <c r="AP266" s="76"/>
      <c r="AQ266" s="76"/>
      <c r="AR266" s="76"/>
      <c r="AS266" s="76"/>
      <c r="AT266" s="76"/>
      <c r="AU266" s="76"/>
      <c r="AV266" s="76"/>
      <c r="AW266" s="76"/>
      <c r="AX266" s="76"/>
    </row>
    <row r="267" ht="15.75" customHeight="1">
      <c r="A267" s="128" t="s">
        <v>338</v>
      </c>
      <c r="B267" s="129" t="s">
        <v>1862</v>
      </c>
      <c r="C267" s="31" t="s">
        <v>3455</v>
      </c>
      <c r="D267" s="31" t="s">
        <v>3456</v>
      </c>
      <c r="E267" s="31" t="s">
        <v>3457</v>
      </c>
      <c r="F267" s="31"/>
      <c r="G267" s="31"/>
      <c r="H267" s="31"/>
      <c r="I267" s="154"/>
      <c r="J267" s="71"/>
      <c r="K267" s="154"/>
      <c r="L267" s="154"/>
      <c r="M267" s="154"/>
      <c r="N267" s="154"/>
      <c r="O267" s="128" t="s">
        <v>1234</v>
      </c>
      <c r="P267" s="154"/>
      <c r="Q267" s="128" t="s">
        <v>166</v>
      </c>
      <c r="R267" s="154"/>
      <c r="S267" s="154"/>
      <c r="T267" s="154"/>
      <c r="U267" s="154"/>
      <c r="V267" s="154"/>
      <c r="W267" s="154"/>
      <c r="X267" s="154"/>
      <c r="Y267" s="154"/>
      <c r="Z267" s="154"/>
      <c r="AA267" s="154"/>
      <c r="AB267" s="154"/>
      <c r="AC267" s="154"/>
      <c r="AD267" s="76"/>
      <c r="AE267" s="76"/>
      <c r="AF267" s="76"/>
      <c r="AG267" s="76"/>
      <c r="AH267" s="76"/>
      <c r="AI267" s="76"/>
      <c r="AJ267" s="76"/>
      <c r="AK267" s="76"/>
      <c r="AL267" s="76"/>
      <c r="AM267" s="76"/>
      <c r="AN267" s="76"/>
      <c r="AO267" s="76"/>
      <c r="AP267" s="76"/>
      <c r="AQ267" s="76"/>
      <c r="AR267" s="76"/>
      <c r="AS267" s="76"/>
      <c r="AT267" s="76"/>
      <c r="AU267" s="76"/>
      <c r="AV267" s="76"/>
      <c r="AW267" s="76"/>
      <c r="AX267" s="76"/>
    </row>
    <row r="268" ht="15.75" customHeight="1">
      <c r="A268" s="128" t="s">
        <v>1869</v>
      </c>
      <c r="B268" s="129" t="s">
        <v>1870</v>
      </c>
      <c r="C268" s="31" t="s">
        <v>3470</v>
      </c>
      <c r="D268" s="31" t="s">
        <v>3471</v>
      </c>
      <c r="E268" s="31" t="s">
        <v>3473</v>
      </c>
      <c r="F268" s="31"/>
      <c r="G268" s="31"/>
      <c r="H268" s="31"/>
      <c r="I268" s="154"/>
      <c r="J268" s="71"/>
      <c r="K268" s="154"/>
      <c r="L268" s="154"/>
      <c r="M268" s="154"/>
      <c r="N268" s="154"/>
      <c r="O268" s="128" t="s">
        <v>3480</v>
      </c>
      <c r="P268" s="154"/>
      <c r="Q268" s="128" t="s">
        <v>166</v>
      </c>
      <c r="R268" s="154"/>
      <c r="S268" s="154"/>
      <c r="T268" s="154"/>
      <c r="U268" s="154"/>
      <c r="V268" s="154"/>
      <c r="W268" s="154"/>
      <c r="X268" s="154"/>
      <c r="Y268" s="154"/>
      <c r="Z268" s="154"/>
      <c r="AA268" s="154"/>
      <c r="AB268" s="154"/>
      <c r="AC268" s="154"/>
      <c r="AD268" s="76"/>
      <c r="AE268" s="76"/>
      <c r="AF268" s="76"/>
      <c r="AG268" s="76"/>
      <c r="AH268" s="76"/>
      <c r="AI268" s="76"/>
      <c r="AJ268" s="76"/>
      <c r="AK268" s="76"/>
      <c r="AL268" s="76"/>
      <c r="AM268" s="76"/>
      <c r="AN268" s="76"/>
      <c r="AO268" s="76"/>
      <c r="AP268" s="76"/>
      <c r="AQ268" s="76"/>
      <c r="AR268" s="76"/>
      <c r="AS268" s="76"/>
      <c r="AT268" s="76"/>
      <c r="AU268" s="76"/>
      <c r="AV268" s="76"/>
      <c r="AW268" s="76"/>
      <c r="AX268" s="76"/>
    </row>
    <row r="269" ht="15.75" customHeight="1">
      <c r="A269" s="128" t="s">
        <v>214</v>
      </c>
      <c r="B269" s="129" t="s">
        <v>1874</v>
      </c>
      <c r="C269" s="31" t="s">
        <v>3485</v>
      </c>
      <c r="D269" s="31" t="s">
        <v>3486</v>
      </c>
      <c r="E269" s="31" t="s">
        <v>3487</v>
      </c>
      <c r="F269" s="31"/>
      <c r="G269" s="31"/>
      <c r="H269" s="31"/>
      <c r="I269" s="154"/>
      <c r="J269" s="71"/>
      <c r="K269" s="154"/>
      <c r="L269" s="154"/>
      <c r="M269" s="154"/>
      <c r="N269" s="154"/>
      <c r="O269" s="128" t="s">
        <v>3492</v>
      </c>
      <c r="P269" s="154"/>
      <c r="Q269" s="128" t="s">
        <v>166</v>
      </c>
      <c r="R269" s="154"/>
      <c r="S269" s="154"/>
      <c r="T269" s="154"/>
      <c r="U269" s="154"/>
      <c r="V269" s="154"/>
      <c r="W269" s="154"/>
      <c r="X269" s="154"/>
      <c r="Y269" s="154"/>
      <c r="Z269" s="154"/>
      <c r="AA269" s="154"/>
      <c r="AB269" s="154"/>
      <c r="AC269" s="154"/>
      <c r="AD269" s="76"/>
      <c r="AE269" s="76"/>
      <c r="AF269" s="76"/>
      <c r="AG269" s="76"/>
      <c r="AH269" s="76"/>
      <c r="AI269" s="76"/>
      <c r="AJ269" s="76"/>
      <c r="AK269" s="76"/>
      <c r="AL269" s="76"/>
      <c r="AM269" s="76"/>
      <c r="AN269" s="76"/>
      <c r="AO269" s="76"/>
      <c r="AP269" s="76"/>
      <c r="AQ269" s="76"/>
      <c r="AR269" s="76"/>
      <c r="AS269" s="76"/>
      <c r="AT269" s="76"/>
      <c r="AU269" s="76"/>
      <c r="AV269" s="76"/>
      <c r="AW269" s="76"/>
      <c r="AX269" s="76"/>
    </row>
    <row r="270" ht="15.75" customHeight="1">
      <c r="A270" s="126" t="s">
        <v>42</v>
      </c>
      <c r="B270" s="127" t="s">
        <v>1880</v>
      </c>
      <c r="C270" s="31" t="s">
        <v>3494</v>
      </c>
      <c r="D270" s="31" t="s">
        <v>3495</v>
      </c>
      <c r="E270" s="31" t="s">
        <v>3496</v>
      </c>
      <c r="F270" s="31" t="s">
        <v>3497</v>
      </c>
      <c r="G270" s="31" t="s">
        <v>3499</v>
      </c>
      <c r="H270" s="31" t="s">
        <v>3501</v>
      </c>
      <c r="I270" s="154"/>
      <c r="J270" s="71"/>
      <c r="K270" s="154"/>
      <c r="L270" s="154"/>
      <c r="M270" s="154"/>
      <c r="N270" s="154"/>
      <c r="O270" s="128"/>
      <c r="P270" s="154"/>
      <c r="Q270" s="154"/>
      <c r="R270" s="154"/>
      <c r="S270" s="154"/>
      <c r="T270" s="154"/>
      <c r="U270" s="154"/>
      <c r="V270" s="154"/>
      <c r="W270" s="154"/>
      <c r="X270" s="154"/>
      <c r="Y270" s="154"/>
      <c r="Z270" s="154"/>
      <c r="AA270" s="154"/>
      <c r="AB270" s="154"/>
      <c r="AC270" s="154"/>
      <c r="AD270" s="76"/>
      <c r="AE270" s="76"/>
      <c r="AF270" s="76"/>
      <c r="AG270" s="76"/>
      <c r="AH270" s="76"/>
      <c r="AI270" s="76"/>
      <c r="AJ270" s="76"/>
      <c r="AK270" s="76"/>
      <c r="AL270" s="76"/>
      <c r="AM270" s="76"/>
      <c r="AN270" s="76"/>
      <c r="AO270" s="76"/>
      <c r="AP270" s="76"/>
      <c r="AQ270" s="76"/>
      <c r="AR270" s="76"/>
      <c r="AS270" s="76"/>
      <c r="AT270" s="76"/>
      <c r="AU270" s="76"/>
      <c r="AV270" s="76"/>
      <c r="AW270" s="76"/>
      <c r="AX270" s="76"/>
    </row>
    <row r="271" ht="15.75" customHeight="1">
      <c r="A271" s="81" t="s">
        <v>906</v>
      </c>
      <c r="B271" s="142" t="s">
        <v>1888</v>
      </c>
      <c r="C271" s="31" t="s">
        <v>3514</v>
      </c>
      <c r="D271" s="31" t="s">
        <v>3515</v>
      </c>
      <c r="E271" s="31" t="s">
        <v>3516</v>
      </c>
      <c r="F271" s="31"/>
      <c r="G271" s="31"/>
      <c r="H271" s="31"/>
      <c r="I271" s="84"/>
      <c r="J271" s="159"/>
      <c r="K271" s="84"/>
      <c r="L271" s="84"/>
      <c r="M271" s="84"/>
      <c r="N271" s="84"/>
      <c r="O271" s="84"/>
      <c r="P271" s="84"/>
      <c r="Q271" s="84" t="s">
        <v>166</v>
      </c>
      <c r="R271" s="84"/>
      <c r="S271" s="84"/>
      <c r="T271" s="84"/>
      <c r="U271" s="84"/>
      <c r="V271" s="84"/>
      <c r="W271" s="84"/>
      <c r="X271" s="84"/>
      <c r="Y271" s="84"/>
      <c r="Z271" s="84"/>
      <c r="AA271" s="84"/>
      <c r="AB271" s="84"/>
      <c r="AC271" s="84"/>
      <c r="AD271" s="76"/>
      <c r="AE271" s="76"/>
      <c r="AF271" s="76"/>
      <c r="AG271" s="76"/>
      <c r="AH271" s="76"/>
      <c r="AI271" s="76"/>
      <c r="AJ271" s="76"/>
      <c r="AK271" s="76"/>
      <c r="AL271" s="76"/>
      <c r="AM271" s="76"/>
      <c r="AN271" s="76"/>
      <c r="AO271" s="76"/>
      <c r="AP271" s="76"/>
      <c r="AQ271" s="76"/>
      <c r="AR271" s="76"/>
      <c r="AS271" s="76"/>
      <c r="AT271" s="76"/>
      <c r="AU271" s="76"/>
      <c r="AV271" s="76"/>
      <c r="AW271" s="76"/>
      <c r="AX271" s="76"/>
    </row>
    <row r="272" ht="15.75" customHeight="1">
      <c r="A272" s="81" t="s">
        <v>906</v>
      </c>
      <c r="B272" s="142" t="s">
        <v>1898</v>
      </c>
      <c r="C272" s="31" t="s">
        <v>3521</v>
      </c>
      <c r="D272" s="31" t="s">
        <v>3522</v>
      </c>
      <c r="E272" s="31" t="s">
        <v>3523</v>
      </c>
      <c r="F272" s="31"/>
      <c r="G272" s="31"/>
      <c r="H272" s="31"/>
      <c r="I272" s="84"/>
      <c r="J272" s="159"/>
      <c r="K272" s="84"/>
      <c r="L272" s="84"/>
      <c r="M272" s="84"/>
      <c r="N272" s="84"/>
      <c r="O272" s="84"/>
      <c r="P272" s="84"/>
      <c r="Q272" s="84" t="s">
        <v>166</v>
      </c>
      <c r="R272" s="84"/>
      <c r="S272" s="84"/>
      <c r="T272" s="84"/>
      <c r="U272" s="84"/>
      <c r="V272" s="84"/>
      <c r="W272" s="84"/>
      <c r="X272" s="84"/>
      <c r="Y272" s="84"/>
      <c r="Z272" s="84"/>
      <c r="AA272" s="84"/>
      <c r="AB272" s="84"/>
      <c r="AC272" s="84"/>
      <c r="AD272" s="76"/>
      <c r="AE272" s="76"/>
      <c r="AF272" s="76"/>
      <c r="AG272" s="76"/>
      <c r="AH272" s="76"/>
      <c r="AI272" s="76"/>
      <c r="AJ272" s="76"/>
      <c r="AK272" s="76"/>
      <c r="AL272" s="76"/>
      <c r="AM272" s="76"/>
      <c r="AN272" s="76"/>
      <c r="AO272" s="76"/>
      <c r="AP272" s="76"/>
      <c r="AQ272" s="76"/>
      <c r="AR272" s="76"/>
      <c r="AS272" s="76"/>
      <c r="AT272" s="76"/>
      <c r="AU272" s="76"/>
      <c r="AV272" s="76"/>
      <c r="AW272" s="76"/>
      <c r="AX272" s="76"/>
    </row>
    <row r="273" ht="15.75" customHeight="1">
      <c r="A273" s="81" t="s">
        <v>906</v>
      </c>
      <c r="B273" s="142" t="s">
        <v>1903</v>
      </c>
      <c r="C273" s="31" t="s">
        <v>3532</v>
      </c>
      <c r="D273" s="31" t="s">
        <v>3533</v>
      </c>
      <c r="E273" s="31" t="s">
        <v>3534</v>
      </c>
      <c r="F273" s="31"/>
      <c r="G273" s="31"/>
      <c r="H273" s="31"/>
      <c r="I273" s="84"/>
      <c r="J273" s="159"/>
      <c r="K273" s="84"/>
      <c r="L273" s="84"/>
      <c r="M273" s="84"/>
      <c r="N273" s="84"/>
      <c r="O273" s="84"/>
      <c r="P273" s="84"/>
      <c r="Q273" s="84" t="s">
        <v>166</v>
      </c>
      <c r="R273" s="84"/>
      <c r="S273" s="84"/>
      <c r="T273" s="84"/>
      <c r="U273" s="84"/>
      <c r="V273" s="84"/>
      <c r="W273" s="84"/>
      <c r="X273" s="84"/>
      <c r="Y273" s="84"/>
      <c r="Z273" s="84"/>
      <c r="AA273" s="84"/>
      <c r="AB273" s="84"/>
      <c r="AC273" s="84"/>
      <c r="AD273" s="76"/>
      <c r="AE273" s="76"/>
      <c r="AF273" s="76"/>
      <c r="AG273" s="76"/>
      <c r="AH273" s="76"/>
      <c r="AI273" s="76"/>
      <c r="AJ273" s="76"/>
      <c r="AK273" s="76"/>
      <c r="AL273" s="76"/>
      <c r="AM273" s="76"/>
      <c r="AN273" s="76"/>
      <c r="AO273" s="76"/>
      <c r="AP273" s="76"/>
      <c r="AQ273" s="76"/>
      <c r="AR273" s="76"/>
      <c r="AS273" s="76"/>
      <c r="AT273" s="76"/>
      <c r="AU273" s="76"/>
      <c r="AV273" s="76"/>
      <c r="AW273" s="76"/>
      <c r="AX273" s="76"/>
    </row>
    <row r="274" ht="15.75" customHeight="1">
      <c r="A274" s="81" t="s">
        <v>1909</v>
      </c>
      <c r="B274" s="142" t="s">
        <v>1910</v>
      </c>
      <c r="C274" s="31" t="s">
        <v>3542</v>
      </c>
      <c r="D274" s="31" t="s">
        <v>3543</v>
      </c>
      <c r="E274" s="31" t="s">
        <v>3544</v>
      </c>
      <c r="F274" s="31" t="s">
        <v>1655</v>
      </c>
      <c r="G274" s="31" t="s">
        <v>1657</v>
      </c>
      <c r="H274" s="31" t="s">
        <v>1659</v>
      </c>
      <c r="I274" s="84"/>
      <c r="J274" s="159"/>
      <c r="K274" s="84"/>
      <c r="L274" s="84"/>
      <c r="M274" s="84"/>
      <c r="N274" s="84"/>
      <c r="O274" s="84"/>
      <c r="P274" s="84"/>
      <c r="Q274" s="84" t="s">
        <v>166</v>
      </c>
      <c r="R274" s="84"/>
      <c r="S274" s="84"/>
      <c r="T274" s="84"/>
      <c r="U274" s="84"/>
      <c r="V274" s="84"/>
      <c r="W274" s="84"/>
      <c r="X274" s="84"/>
      <c r="Y274" s="84"/>
      <c r="Z274" s="84"/>
      <c r="AA274" s="84"/>
      <c r="AB274" s="84"/>
      <c r="AC274" s="84"/>
      <c r="AD274" s="76"/>
      <c r="AE274" s="76"/>
      <c r="AF274" s="76"/>
      <c r="AG274" s="76"/>
      <c r="AH274" s="76"/>
      <c r="AI274" s="76"/>
      <c r="AJ274" s="76"/>
      <c r="AK274" s="76"/>
      <c r="AL274" s="76"/>
      <c r="AM274" s="76"/>
      <c r="AN274" s="76"/>
      <c r="AO274" s="76"/>
      <c r="AP274" s="76"/>
      <c r="AQ274" s="76"/>
      <c r="AR274" s="76"/>
      <c r="AS274" s="76"/>
      <c r="AT274" s="76"/>
      <c r="AU274" s="76"/>
      <c r="AV274" s="76"/>
      <c r="AW274" s="76"/>
      <c r="AX274" s="76"/>
    </row>
    <row r="275" ht="15.75" customHeight="1">
      <c r="A275" s="133" t="s">
        <v>214</v>
      </c>
      <c r="B275" s="143" t="s">
        <v>1923</v>
      </c>
      <c r="C275" s="31" t="s">
        <v>3549</v>
      </c>
      <c r="D275" s="31" t="s">
        <v>3550</v>
      </c>
      <c r="E275" s="31" t="s">
        <v>3551</v>
      </c>
      <c r="F275" s="31"/>
      <c r="G275" s="31"/>
      <c r="H275" s="31"/>
      <c r="I275" s="162"/>
      <c r="J275" s="159"/>
      <c r="K275" s="162"/>
      <c r="L275" s="162"/>
      <c r="M275" s="162"/>
      <c r="N275" s="162"/>
      <c r="O275" s="164" t="s">
        <v>3552</v>
      </c>
      <c r="P275" s="162"/>
      <c r="Q275" s="162" t="s">
        <v>166</v>
      </c>
      <c r="R275" s="162"/>
      <c r="S275" s="162"/>
      <c r="T275" s="162"/>
      <c r="U275" s="162"/>
      <c r="V275" s="162"/>
      <c r="W275" s="162"/>
      <c r="X275" s="162"/>
      <c r="Y275" s="162"/>
      <c r="Z275" s="162"/>
      <c r="AA275" s="162"/>
      <c r="AB275" s="162"/>
      <c r="AC275" s="162"/>
      <c r="AD275" s="76"/>
      <c r="AE275" s="76"/>
      <c r="AF275" s="76"/>
      <c r="AG275" s="76"/>
      <c r="AH275" s="76"/>
      <c r="AI275" s="76"/>
      <c r="AJ275" s="76"/>
      <c r="AK275" s="76"/>
      <c r="AL275" s="76"/>
      <c r="AM275" s="76"/>
      <c r="AN275" s="76"/>
      <c r="AO275" s="76"/>
      <c r="AP275" s="76"/>
      <c r="AQ275" s="76"/>
      <c r="AR275" s="76"/>
      <c r="AS275" s="76"/>
      <c r="AT275" s="76"/>
      <c r="AU275" s="76"/>
      <c r="AV275" s="76"/>
      <c r="AW275" s="76"/>
      <c r="AX275" s="76"/>
    </row>
    <row r="276" ht="15.75" customHeight="1">
      <c r="A276" s="126" t="s">
        <v>42</v>
      </c>
      <c r="B276" s="127" t="s">
        <v>1930</v>
      </c>
      <c r="C276" s="31" t="s">
        <v>3562</v>
      </c>
      <c r="D276" s="31" t="s">
        <v>3564</v>
      </c>
      <c r="E276" s="31" t="s">
        <v>3566</v>
      </c>
      <c r="F276" s="31"/>
      <c r="G276" s="31"/>
      <c r="H276" s="31"/>
      <c r="I276" s="154"/>
      <c r="J276" s="159"/>
      <c r="K276" s="154"/>
      <c r="L276" s="154"/>
      <c r="M276" s="154"/>
      <c r="N276" s="154"/>
      <c r="O276" s="154"/>
      <c r="P276" s="154"/>
      <c r="Q276" s="154"/>
      <c r="R276" s="154"/>
      <c r="S276" s="154"/>
      <c r="T276" s="154"/>
      <c r="U276" s="154"/>
      <c r="V276" s="154"/>
      <c r="W276" s="154"/>
      <c r="X276" s="154"/>
      <c r="Y276" s="154"/>
      <c r="Z276" s="154"/>
      <c r="AA276" s="154"/>
      <c r="AB276" s="154"/>
      <c r="AC276" s="154"/>
      <c r="AD276" s="76"/>
      <c r="AE276" s="76"/>
      <c r="AF276" s="76"/>
      <c r="AG276" s="76"/>
      <c r="AH276" s="76"/>
      <c r="AI276" s="76"/>
      <c r="AJ276" s="76"/>
      <c r="AK276" s="76"/>
      <c r="AL276" s="76"/>
      <c r="AM276" s="76"/>
      <c r="AN276" s="76"/>
      <c r="AO276" s="76"/>
      <c r="AP276" s="76"/>
      <c r="AQ276" s="76"/>
      <c r="AR276" s="76"/>
      <c r="AS276" s="76"/>
      <c r="AT276" s="76"/>
      <c r="AU276" s="76"/>
      <c r="AV276" s="76"/>
      <c r="AW276" s="76"/>
      <c r="AX276" s="76"/>
    </row>
    <row r="277" ht="15.75" customHeight="1">
      <c r="A277" s="81" t="s">
        <v>841</v>
      </c>
      <c r="B277" s="142" t="s">
        <v>1937</v>
      </c>
      <c r="C277" s="31" t="s">
        <v>3571</v>
      </c>
      <c r="D277" s="31" t="s">
        <v>3572</v>
      </c>
      <c r="E277" s="31" t="s">
        <v>3573</v>
      </c>
      <c r="F277" s="31"/>
      <c r="G277" s="31"/>
      <c r="H277" s="31"/>
      <c r="I277" s="84"/>
      <c r="J277" s="159"/>
      <c r="K277" s="84"/>
      <c r="L277" s="84"/>
      <c r="M277" s="84"/>
      <c r="N277" s="84"/>
      <c r="O277" s="84"/>
      <c r="P277" s="84"/>
      <c r="Q277" s="84" t="s">
        <v>166</v>
      </c>
      <c r="R277" s="84"/>
      <c r="S277" s="84"/>
      <c r="T277" s="84"/>
      <c r="U277" s="84"/>
      <c r="V277" s="84"/>
      <c r="W277" s="84"/>
      <c r="X277" s="84"/>
      <c r="Y277" s="84"/>
      <c r="Z277" s="84"/>
      <c r="AA277" s="84"/>
      <c r="AB277" s="84"/>
      <c r="AC277" s="84"/>
      <c r="AD277" s="76"/>
      <c r="AE277" s="76"/>
      <c r="AF277" s="76"/>
      <c r="AG277" s="76"/>
      <c r="AH277" s="76"/>
      <c r="AI277" s="76"/>
      <c r="AJ277" s="76"/>
      <c r="AK277" s="76"/>
      <c r="AL277" s="76"/>
      <c r="AM277" s="76"/>
      <c r="AN277" s="76"/>
      <c r="AO277" s="76"/>
      <c r="AP277" s="76"/>
      <c r="AQ277" s="76"/>
      <c r="AR277" s="76"/>
      <c r="AS277" s="76"/>
      <c r="AT277" s="76"/>
      <c r="AU277" s="76"/>
      <c r="AV277" s="76"/>
      <c r="AW277" s="76"/>
      <c r="AX277" s="76"/>
    </row>
    <row r="278" ht="15.75" customHeight="1">
      <c r="A278" s="126" t="s">
        <v>42</v>
      </c>
      <c r="B278" s="127" t="s">
        <v>1944</v>
      </c>
      <c r="C278" s="31" t="s">
        <v>3580</v>
      </c>
      <c r="D278" s="31" t="s">
        <v>3583</v>
      </c>
      <c r="E278" s="31" t="s">
        <v>3586</v>
      </c>
      <c r="F278" s="31"/>
      <c r="G278" s="31"/>
      <c r="H278" s="31"/>
      <c r="I278" s="154"/>
      <c r="J278" s="154"/>
      <c r="K278" s="154"/>
      <c r="L278" s="154"/>
      <c r="M278" s="154"/>
      <c r="N278" s="154"/>
      <c r="O278" s="154"/>
      <c r="P278" s="154"/>
      <c r="Q278" s="154"/>
      <c r="R278" s="154"/>
      <c r="S278" s="154"/>
      <c r="T278" s="154"/>
      <c r="U278" s="154"/>
      <c r="V278" s="154"/>
      <c r="W278" s="154"/>
      <c r="X278" s="154"/>
      <c r="Y278" s="154"/>
      <c r="Z278" s="154"/>
      <c r="AA278" s="154"/>
      <c r="AB278" s="154"/>
      <c r="AC278" s="154"/>
      <c r="AD278" s="76"/>
      <c r="AE278" s="76"/>
      <c r="AF278" s="76"/>
      <c r="AG278" s="76"/>
      <c r="AH278" s="76"/>
      <c r="AI278" s="76"/>
      <c r="AJ278" s="76"/>
      <c r="AK278" s="76"/>
      <c r="AL278" s="76"/>
      <c r="AM278" s="76"/>
      <c r="AN278" s="76"/>
      <c r="AO278" s="76"/>
      <c r="AP278" s="76"/>
      <c r="AQ278" s="76"/>
      <c r="AR278" s="76"/>
      <c r="AS278" s="76"/>
      <c r="AT278" s="76"/>
      <c r="AU278" s="76"/>
      <c r="AV278" s="76"/>
      <c r="AW278" s="76"/>
      <c r="AX278" s="76"/>
    </row>
    <row r="279" ht="15.75" customHeight="1">
      <c r="A279" s="81" t="s">
        <v>1948</v>
      </c>
      <c r="B279" s="142" t="s">
        <v>1949</v>
      </c>
      <c r="C279" s="31" t="s">
        <v>3606</v>
      </c>
      <c r="D279" s="31" t="s">
        <v>3607</v>
      </c>
      <c r="E279" s="31" t="s">
        <v>3608</v>
      </c>
      <c r="F279" s="31"/>
      <c r="G279" s="31"/>
      <c r="H279" s="31"/>
      <c r="I279" s="84"/>
      <c r="J279" s="159"/>
      <c r="K279" s="84"/>
      <c r="L279" s="84"/>
      <c r="M279" s="84"/>
      <c r="N279" s="84"/>
      <c r="O279" s="84"/>
      <c r="P279" s="84"/>
      <c r="Q279" s="84" t="s">
        <v>166</v>
      </c>
      <c r="R279" s="84"/>
      <c r="S279" s="84"/>
      <c r="T279" s="84"/>
      <c r="U279" s="84"/>
      <c r="V279" s="84"/>
      <c r="W279" s="84"/>
      <c r="X279" s="84"/>
      <c r="Y279" s="84"/>
      <c r="Z279" s="84"/>
      <c r="AA279" s="84"/>
      <c r="AB279" s="84"/>
      <c r="AC279" s="84"/>
      <c r="AD279" s="76"/>
      <c r="AE279" s="76"/>
      <c r="AF279" s="76"/>
      <c r="AG279" s="76"/>
      <c r="AH279" s="76"/>
      <c r="AI279" s="76"/>
      <c r="AJ279" s="76"/>
      <c r="AK279" s="76"/>
      <c r="AL279" s="76"/>
      <c r="AM279" s="76"/>
      <c r="AN279" s="76"/>
      <c r="AO279" s="76"/>
      <c r="AP279" s="76"/>
      <c r="AQ279" s="76"/>
      <c r="AR279" s="76"/>
      <c r="AS279" s="76"/>
      <c r="AT279" s="76"/>
      <c r="AU279" s="76"/>
      <c r="AV279" s="76"/>
      <c r="AW279" s="76"/>
      <c r="AX279" s="76"/>
    </row>
    <row r="280" ht="15.75" customHeight="1">
      <c r="A280" s="81" t="s">
        <v>1948</v>
      </c>
      <c r="B280" s="142" t="s">
        <v>1956</v>
      </c>
      <c r="C280" s="31" t="s">
        <v>3622</v>
      </c>
      <c r="D280" s="31" t="s">
        <v>3623</v>
      </c>
      <c r="E280" s="31" t="s">
        <v>3624</v>
      </c>
      <c r="F280" s="31"/>
      <c r="G280" s="31"/>
      <c r="H280" s="31"/>
      <c r="I280" s="84"/>
      <c r="J280" s="159"/>
      <c r="K280" s="84"/>
      <c r="L280" s="84"/>
      <c r="M280" s="84"/>
      <c r="N280" s="84"/>
      <c r="O280" s="84"/>
      <c r="P280" s="84"/>
      <c r="Q280" s="84" t="s">
        <v>166</v>
      </c>
      <c r="R280" s="84"/>
      <c r="S280" s="84"/>
      <c r="T280" s="84"/>
      <c r="U280" s="84"/>
      <c r="V280" s="84"/>
      <c r="W280" s="84"/>
      <c r="X280" s="84"/>
      <c r="Y280" s="84"/>
      <c r="Z280" s="84"/>
      <c r="AA280" s="84"/>
      <c r="AB280" s="84"/>
      <c r="AC280" s="84"/>
      <c r="AD280" s="76"/>
      <c r="AE280" s="76"/>
      <c r="AF280" s="76"/>
      <c r="AG280" s="76"/>
      <c r="AH280" s="76"/>
      <c r="AI280" s="76"/>
      <c r="AJ280" s="76"/>
      <c r="AK280" s="76"/>
      <c r="AL280" s="76"/>
      <c r="AM280" s="76"/>
      <c r="AN280" s="76"/>
      <c r="AO280" s="76"/>
      <c r="AP280" s="76"/>
      <c r="AQ280" s="76"/>
      <c r="AR280" s="76"/>
      <c r="AS280" s="76"/>
      <c r="AT280" s="76"/>
      <c r="AU280" s="76"/>
      <c r="AV280" s="76"/>
      <c r="AW280" s="76"/>
      <c r="AX280" s="76"/>
    </row>
    <row r="281" ht="15.75" customHeight="1">
      <c r="A281" s="81" t="s">
        <v>1948</v>
      </c>
      <c r="B281" s="142" t="s">
        <v>1960</v>
      </c>
      <c r="C281" s="31" t="s">
        <v>3632</v>
      </c>
      <c r="D281" s="31" t="s">
        <v>3633</v>
      </c>
      <c r="E281" s="31" t="s">
        <v>3634</v>
      </c>
      <c r="F281" s="31"/>
      <c r="G281" s="31"/>
      <c r="H281" s="31"/>
      <c r="I281" s="84"/>
      <c r="J281" s="159"/>
      <c r="K281" s="84"/>
      <c r="L281" s="84"/>
      <c r="M281" s="84"/>
      <c r="N281" s="84"/>
      <c r="O281" s="84"/>
      <c r="P281" s="84"/>
      <c r="Q281" s="84" t="s">
        <v>166</v>
      </c>
      <c r="R281" s="84"/>
      <c r="S281" s="84"/>
      <c r="T281" s="84"/>
      <c r="U281" s="84"/>
      <c r="V281" s="84"/>
      <c r="W281" s="84"/>
      <c r="X281" s="84"/>
      <c r="Y281" s="84"/>
      <c r="Z281" s="84"/>
      <c r="AA281" s="84"/>
      <c r="AB281" s="84"/>
      <c r="AC281" s="84"/>
      <c r="AD281" s="76"/>
      <c r="AE281" s="76"/>
      <c r="AF281" s="76"/>
      <c r="AG281" s="76"/>
      <c r="AH281" s="76"/>
      <c r="AI281" s="76"/>
      <c r="AJ281" s="76"/>
      <c r="AK281" s="76"/>
      <c r="AL281" s="76"/>
      <c r="AM281" s="76"/>
      <c r="AN281" s="76"/>
      <c r="AO281" s="76"/>
      <c r="AP281" s="76"/>
      <c r="AQ281" s="76"/>
      <c r="AR281" s="76"/>
      <c r="AS281" s="76"/>
      <c r="AT281" s="76"/>
      <c r="AU281" s="76"/>
      <c r="AV281" s="76"/>
      <c r="AW281" s="76"/>
      <c r="AX281" s="76"/>
    </row>
    <row r="282" ht="15.75" customHeight="1">
      <c r="A282" s="81" t="s">
        <v>1948</v>
      </c>
      <c r="B282" s="142" t="s">
        <v>1971</v>
      </c>
      <c r="C282" s="31" t="s">
        <v>3645</v>
      </c>
      <c r="D282" s="31" t="s">
        <v>3647</v>
      </c>
      <c r="E282" s="31" t="s">
        <v>3649</v>
      </c>
      <c r="F282" s="31"/>
      <c r="G282" s="31"/>
      <c r="H282" s="31"/>
      <c r="I282" s="84"/>
      <c r="J282" s="159"/>
      <c r="K282" s="84"/>
      <c r="L282" s="84"/>
      <c r="M282" s="84"/>
      <c r="N282" s="84"/>
      <c r="O282" s="84"/>
      <c r="P282" s="84"/>
      <c r="Q282" s="84" t="s">
        <v>166</v>
      </c>
      <c r="R282" s="84"/>
      <c r="S282" s="84"/>
      <c r="T282" s="84"/>
      <c r="U282" s="84"/>
      <c r="V282" s="84"/>
      <c r="W282" s="84"/>
      <c r="X282" s="84"/>
      <c r="Y282" s="84"/>
      <c r="Z282" s="84"/>
      <c r="AA282" s="84"/>
      <c r="AB282" s="84"/>
      <c r="AC282" s="84"/>
      <c r="AD282" s="76"/>
      <c r="AE282" s="76"/>
      <c r="AF282" s="76"/>
      <c r="AG282" s="76"/>
      <c r="AH282" s="76"/>
      <c r="AI282" s="76"/>
      <c r="AJ282" s="76"/>
      <c r="AK282" s="76"/>
      <c r="AL282" s="76"/>
      <c r="AM282" s="76"/>
      <c r="AN282" s="76"/>
      <c r="AO282" s="76"/>
      <c r="AP282" s="76"/>
      <c r="AQ282" s="76"/>
      <c r="AR282" s="76"/>
      <c r="AS282" s="76"/>
      <c r="AT282" s="76"/>
      <c r="AU282" s="76"/>
      <c r="AV282" s="76"/>
      <c r="AW282" s="76"/>
      <c r="AX282" s="76"/>
    </row>
    <row r="283" ht="15.75" customHeight="1">
      <c r="A283" s="81" t="s">
        <v>1948</v>
      </c>
      <c r="B283" s="142" t="s">
        <v>1975</v>
      </c>
      <c r="C283" s="31" t="s">
        <v>3661</v>
      </c>
      <c r="D283" s="31" t="s">
        <v>3662</v>
      </c>
      <c r="E283" s="31" t="s">
        <v>3663</v>
      </c>
      <c r="F283" s="31"/>
      <c r="G283" s="31"/>
      <c r="H283" s="31"/>
      <c r="I283" s="84"/>
      <c r="J283" s="159"/>
      <c r="K283" s="84"/>
      <c r="L283" s="84"/>
      <c r="M283" s="84"/>
      <c r="N283" s="84"/>
      <c r="O283" s="84"/>
      <c r="P283" s="84"/>
      <c r="Q283" s="84" t="s">
        <v>166</v>
      </c>
      <c r="R283" s="84"/>
      <c r="S283" s="84"/>
      <c r="T283" s="84"/>
      <c r="U283" s="84"/>
      <c r="V283" s="84"/>
      <c r="W283" s="84"/>
      <c r="X283" s="84"/>
      <c r="Y283" s="84"/>
      <c r="Z283" s="84"/>
      <c r="AA283" s="84"/>
      <c r="AB283" s="84"/>
      <c r="AC283" s="84"/>
      <c r="AD283" s="76"/>
      <c r="AE283" s="76"/>
      <c r="AF283" s="76"/>
      <c r="AG283" s="76"/>
      <c r="AH283" s="76"/>
      <c r="AI283" s="76"/>
      <c r="AJ283" s="76"/>
      <c r="AK283" s="76"/>
      <c r="AL283" s="76"/>
      <c r="AM283" s="76"/>
      <c r="AN283" s="76"/>
      <c r="AO283" s="76"/>
      <c r="AP283" s="76"/>
      <c r="AQ283" s="76"/>
      <c r="AR283" s="76"/>
      <c r="AS283" s="76"/>
      <c r="AT283" s="76"/>
      <c r="AU283" s="76"/>
      <c r="AV283" s="76"/>
      <c r="AW283" s="76"/>
      <c r="AX283" s="76"/>
    </row>
    <row r="284" ht="15.75" customHeight="1">
      <c r="A284" s="81" t="s">
        <v>1948</v>
      </c>
      <c r="B284" s="142" t="s">
        <v>1985</v>
      </c>
      <c r="C284" s="31" t="s">
        <v>3671</v>
      </c>
      <c r="D284" s="31" t="s">
        <v>3673</v>
      </c>
      <c r="E284" s="31" t="s">
        <v>3675</v>
      </c>
      <c r="F284" s="31"/>
      <c r="G284" s="31"/>
      <c r="H284" s="31"/>
      <c r="I284" s="84"/>
      <c r="J284" s="159"/>
      <c r="K284" s="84"/>
      <c r="L284" s="84"/>
      <c r="M284" s="84"/>
      <c r="N284" s="84"/>
      <c r="O284" s="84"/>
      <c r="P284" s="84"/>
      <c r="Q284" s="84" t="s">
        <v>166</v>
      </c>
      <c r="R284" s="84"/>
      <c r="S284" s="84"/>
      <c r="T284" s="84"/>
      <c r="U284" s="84"/>
      <c r="V284" s="84"/>
      <c r="W284" s="84"/>
      <c r="X284" s="84"/>
      <c r="Y284" s="84"/>
      <c r="Z284" s="84"/>
      <c r="AA284" s="84"/>
      <c r="AB284" s="84"/>
      <c r="AC284" s="84"/>
      <c r="AD284" s="76"/>
      <c r="AE284" s="76"/>
      <c r="AF284" s="76"/>
      <c r="AG284" s="76"/>
      <c r="AH284" s="76"/>
      <c r="AI284" s="76"/>
      <c r="AJ284" s="76"/>
      <c r="AK284" s="76"/>
      <c r="AL284" s="76"/>
      <c r="AM284" s="76"/>
      <c r="AN284" s="76"/>
      <c r="AO284" s="76"/>
      <c r="AP284" s="76"/>
      <c r="AQ284" s="76"/>
      <c r="AR284" s="76"/>
      <c r="AS284" s="76"/>
      <c r="AT284" s="76"/>
      <c r="AU284" s="76"/>
      <c r="AV284" s="76"/>
      <c r="AW284" s="76"/>
      <c r="AX284" s="76"/>
    </row>
    <row r="285" ht="15.75" customHeight="1">
      <c r="A285" s="81" t="s">
        <v>1948</v>
      </c>
      <c r="B285" s="131" t="s">
        <v>1992</v>
      </c>
      <c r="C285" s="31" t="s">
        <v>3682</v>
      </c>
      <c r="D285" s="31" t="s">
        <v>3684</v>
      </c>
      <c r="E285" s="31" t="s">
        <v>3686</v>
      </c>
      <c r="F285" s="31"/>
      <c r="G285" s="31"/>
      <c r="H285" s="31"/>
      <c r="I285" s="84"/>
      <c r="J285" s="159"/>
      <c r="K285" s="84"/>
      <c r="L285" s="84"/>
      <c r="M285" s="84"/>
      <c r="N285" s="84"/>
      <c r="O285" s="84"/>
      <c r="P285" s="84"/>
      <c r="Q285" s="84"/>
      <c r="R285" s="84"/>
      <c r="S285" s="84"/>
      <c r="T285" s="84"/>
      <c r="U285" s="84"/>
      <c r="V285" s="84"/>
      <c r="W285" s="84"/>
      <c r="X285" s="84"/>
      <c r="Y285" s="84"/>
      <c r="Z285" s="84"/>
      <c r="AA285" s="84"/>
      <c r="AB285" s="84"/>
      <c r="AC285" s="84"/>
      <c r="AD285" s="76"/>
      <c r="AE285" s="76"/>
      <c r="AF285" s="76"/>
      <c r="AG285" s="76"/>
      <c r="AH285" s="76"/>
      <c r="AI285" s="76"/>
      <c r="AJ285" s="76"/>
      <c r="AK285" s="76"/>
      <c r="AL285" s="76"/>
      <c r="AM285" s="76"/>
      <c r="AN285" s="76"/>
      <c r="AO285" s="76"/>
      <c r="AP285" s="76"/>
      <c r="AQ285" s="76"/>
      <c r="AR285" s="76"/>
      <c r="AS285" s="76"/>
      <c r="AT285" s="76"/>
      <c r="AU285" s="76"/>
      <c r="AV285" s="76"/>
      <c r="AW285" s="76"/>
      <c r="AX285" s="76"/>
    </row>
    <row r="286" ht="15.75" customHeight="1">
      <c r="A286" s="81" t="s">
        <v>1948</v>
      </c>
      <c r="B286" s="142" t="s">
        <v>2000</v>
      </c>
      <c r="C286" s="31" t="s">
        <v>3696</v>
      </c>
      <c r="D286" s="31" t="s">
        <v>3697</v>
      </c>
      <c r="E286" s="31" t="s">
        <v>3698</v>
      </c>
      <c r="F286" s="31"/>
      <c r="G286" s="31"/>
      <c r="H286" s="31"/>
      <c r="I286" s="84"/>
      <c r="J286" s="159"/>
      <c r="K286" s="84"/>
      <c r="L286" s="84"/>
      <c r="M286" s="84"/>
      <c r="N286" s="84"/>
      <c r="O286" s="84"/>
      <c r="P286" s="84"/>
      <c r="Q286" s="84" t="s">
        <v>166</v>
      </c>
      <c r="R286" s="84"/>
      <c r="S286" s="84"/>
      <c r="T286" s="84"/>
      <c r="U286" s="84"/>
      <c r="V286" s="84"/>
      <c r="W286" s="84"/>
      <c r="X286" s="84"/>
      <c r="Y286" s="84"/>
      <c r="Z286" s="84"/>
      <c r="AA286" s="84"/>
      <c r="AB286" s="84"/>
      <c r="AC286" s="84"/>
      <c r="AD286" s="76"/>
      <c r="AE286" s="76"/>
      <c r="AF286" s="76"/>
      <c r="AG286" s="76"/>
      <c r="AH286" s="76"/>
      <c r="AI286" s="76"/>
      <c r="AJ286" s="76"/>
      <c r="AK286" s="76"/>
      <c r="AL286" s="76"/>
      <c r="AM286" s="76"/>
      <c r="AN286" s="76"/>
      <c r="AO286" s="76"/>
      <c r="AP286" s="76"/>
      <c r="AQ286" s="76"/>
      <c r="AR286" s="76"/>
      <c r="AS286" s="76"/>
      <c r="AT286" s="76"/>
      <c r="AU286" s="76"/>
      <c r="AV286" s="76"/>
      <c r="AW286" s="76"/>
      <c r="AX286" s="76"/>
    </row>
    <row r="287" ht="15.75" customHeight="1">
      <c r="A287" s="81" t="s">
        <v>338</v>
      </c>
      <c r="B287" s="142" t="s">
        <v>2010</v>
      </c>
      <c r="C287" s="31" t="s">
        <v>3707</v>
      </c>
      <c r="D287" s="31" t="s">
        <v>3708</v>
      </c>
      <c r="E287" s="31" t="s">
        <v>3709</v>
      </c>
      <c r="F287" s="31"/>
      <c r="G287" s="31"/>
      <c r="H287" s="31"/>
      <c r="I287" s="84"/>
      <c r="J287" s="159"/>
      <c r="K287" s="84"/>
      <c r="L287" s="84"/>
      <c r="M287" s="84"/>
      <c r="N287" s="84"/>
      <c r="O287" s="84"/>
      <c r="P287" s="84"/>
      <c r="Q287" s="84" t="s">
        <v>166</v>
      </c>
      <c r="R287" s="84"/>
      <c r="S287" s="84"/>
      <c r="T287" s="84"/>
      <c r="U287" s="84"/>
      <c r="V287" s="84"/>
      <c r="W287" s="84"/>
      <c r="X287" s="84"/>
      <c r="Y287" s="84"/>
      <c r="Z287" s="84"/>
      <c r="AA287" s="84"/>
      <c r="AB287" s="84"/>
      <c r="AC287" s="84"/>
      <c r="AD287" s="76"/>
      <c r="AE287" s="76"/>
      <c r="AF287" s="76"/>
      <c r="AG287" s="76"/>
      <c r="AH287" s="76"/>
      <c r="AI287" s="76"/>
      <c r="AJ287" s="76"/>
      <c r="AK287" s="76"/>
      <c r="AL287" s="76"/>
      <c r="AM287" s="76"/>
      <c r="AN287" s="76"/>
      <c r="AO287" s="76"/>
      <c r="AP287" s="76"/>
      <c r="AQ287" s="76"/>
      <c r="AR287" s="76"/>
      <c r="AS287" s="76"/>
      <c r="AT287" s="76"/>
      <c r="AU287" s="76"/>
      <c r="AV287" s="76"/>
      <c r="AW287" s="76"/>
      <c r="AX287" s="76"/>
    </row>
    <row r="288" ht="15.75" customHeight="1">
      <c r="A288" s="81" t="s">
        <v>338</v>
      </c>
      <c r="B288" s="142" t="s">
        <v>2017</v>
      </c>
      <c r="C288" s="31" t="s">
        <v>3720</v>
      </c>
      <c r="D288" s="31" t="s">
        <v>3721</v>
      </c>
      <c r="E288" s="31" t="s">
        <v>3722</v>
      </c>
      <c r="F288" s="31"/>
      <c r="G288" s="31"/>
      <c r="H288" s="31"/>
      <c r="I288" s="84"/>
      <c r="J288" s="159"/>
      <c r="K288" s="84"/>
      <c r="L288" s="84"/>
      <c r="M288" s="84"/>
      <c r="N288" s="84"/>
      <c r="O288" s="84"/>
      <c r="P288" s="84"/>
      <c r="Q288" s="84" t="s">
        <v>166</v>
      </c>
      <c r="R288" s="84"/>
      <c r="S288" s="84"/>
      <c r="T288" s="84"/>
      <c r="U288" s="84"/>
      <c r="V288" s="84"/>
      <c r="W288" s="84"/>
      <c r="X288" s="84"/>
      <c r="Y288" s="84"/>
      <c r="Z288" s="84"/>
      <c r="AA288" s="84"/>
      <c r="AB288" s="84"/>
      <c r="AC288" s="84"/>
      <c r="AD288" s="76"/>
      <c r="AE288" s="76"/>
      <c r="AF288" s="76"/>
      <c r="AG288" s="76"/>
      <c r="AH288" s="76"/>
      <c r="AI288" s="76"/>
      <c r="AJ288" s="76"/>
      <c r="AK288" s="76"/>
      <c r="AL288" s="76"/>
      <c r="AM288" s="76"/>
      <c r="AN288" s="76"/>
      <c r="AO288" s="76"/>
      <c r="AP288" s="76"/>
      <c r="AQ288" s="76"/>
      <c r="AR288" s="76"/>
      <c r="AS288" s="76"/>
      <c r="AT288" s="76"/>
      <c r="AU288" s="76"/>
      <c r="AV288" s="76"/>
      <c r="AW288" s="76"/>
      <c r="AX288" s="76"/>
    </row>
    <row r="289" ht="15.75" customHeight="1">
      <c r="A289" s="81" t="s">
        <v>338</v>
      </c>
      <c r="B289" s="142" t="s">
        <v>2024</v>
      </c>
      <c r="C289" s="31" t="s">
        <v>3732</v>
      </c>
      <c r="D289" s="31" t="s">
        <v>3734</v>
      </c>
      <c r="E289" s="31" t="s">
        <v>3735</v>
      </c>
      <c r="F289" s="31"/>
      <c r="G289" s="31"/>
      <c r="H289" s="31"/>
      <c r="I289" s="84"/>
      <c r="J289" s="159"/>
      <c r="K289" s="84"/>
      <c r="L289" s="84"/>
      <c r="M289" s="84"/>
      <c r="N289" s="84"/>
      <c r="O289" s="84"/>
      <c r="P289" s="84"/>
      <c r="Q289" s="84" t="s">
        <v>166</v>
      </c>
      <c r="R289" s="84"/>
      <c r="S289" s="84"/>
      <c r="T289" s="84"/>
      <c r="U289" s="84"/>
      <c r="V289" s="84"/>
      <c r="W289" s="84"/>
      <c r="X289" s="84"/>
      <c r="Y289" s="84"/>
      <c r="Z289" s="84"/>
      <c r="AA289" s="84"/>
      <c r="AB289" s="84"/>
      <c r="AC289" s="84"/>
      <c r="AD289" s="76"/>
      <c r="AE289" s="76"/>
      <c r="AF289" s="76"/>
      <c r="AG289" s="76"/>
      <c r="AH289" s="76"/>
      <c r="AI289" s="76"/>
      <c r="AJ289" s="76"/>
      <c r="AK289" s="76"/>
      <c r="AL289" s="76"/>
      <c r="AM289" s="76"/>
      <c r="AN289" s="76"/>
      <c r="AO289" s="76"/>
      <c r="AP289" s="76"/>
      <c r="AQ289" s="76"/>
      <c r="AR289" s="76"/>
      <c r="AS289" s="76"/>
      <c r="AT289" s="76"/>
      <c r="AU289" s="76"/>
      <c r="AV289" s="76"/>
      <c r="AW289" s="76"/>
      <c r="AX289" s="76"/>
    </row>
    <row r="290" ht="15.75" customHeight="1">
      <c r="A290" s="81" t="s">
        <v>338</v>
      </c>
      <c r="B290" s="142" t="s">
        <v>2031</v>
      </c>
      <c r="C290" s="31" t="s">
        <v>3753</v>
      </c>
      <c r="D290" s="31" t="s">
        <v>3754</v>
      </c>
      <c r="E290" s="31" t="s">
        <v>3755</v>
      </c>
      <c r="F290" s="31"/>
      <c r="G290" s="31"/>
      <c r="H290" s="31"/>
      <c r="I290" s="84"/>
      <c r="J290" s="159"/>
      <c r="K290" s="84"/>
      <c r="L290" s="84"/>
      <c r="M290" s="84"/>
      <c r="N290" s="84"/>
      <c r="O290" s="84"/>
      <c r="P290" s="84"/>
      <c r="Q290" s="84" t="s">
        <v>166</v>
      </c>
      <c r="R290" s="84"/>
      <c r="S290" s="84"/>
      <c r="T290" s="84"/>
      <c r="U290" s="84"/>
      <c r="V290" s="84"/>
      <c r="W290" s="84"/>
      <c r="X290" s="84"/>
      <c r="Y290" s="84"/>
      <c r="Z290" s="84"/>
      <c r="AA290" s="84"/>
      <c r="AB290" s="84"/>
      <c r="AC290" s="84"/>
      <c r="AD290" s="76"/>
      <c r="AE290" s="76"/>
      <c r="AF290" s="76"/>
      <c r="AG290" s="76"/>
      <c r="AH290" s="76"/>
      <c r="AI290" s="76"/>
      <c r="AJ290" s="76"/>
      <c r="AK290" s="76"/>
      <c r="AL290" s="76"/>
      <c r="AM290" s="76"/>
      <c r="AN290" s="76"/>
      <c r="AO290" s="76"/>
      <c r="AP290" s="76"/>
      <c r="AQ290" s="76"/>
      <c r="AR290" s="76"/>
      <c r="AS290" s="76"/>
      <c r="AT290" s="76"/>
      <c r="AU290" s="76"/>
      <c r="AV290" s="76"/>
      <c r="AW290" s="76"/>
      <c r="AX290" s="76"/>
    </row>
    <row r="291" ht="15.75" customHeight="1">
      <c r="A291" s="126" t="s">
        <v>42</v>
      </c>
      <c r="B291" s="127" t="s">
        <v>2040</v>
      </c>
      <c r="C291" s="31" t="s">
        <v>3771</v>
      </c>
      <c r="D291" s="31" t="s">
        <v>3772</v>
      </c>
      <c r="E291" s="31" t="s">
        <v>3773</v>
      </c>
      <c r="F291" s="31"/>
      <c r="G291" s="31"/>
      <c r="H291" s="31"/>
      <c r="I291" s="154"/>
      <c r="J291" s="154"/>
      <c r="K291" s="154"/>
      <c r="L291" s="154"/>
      <c r="M291" s="154"/>
      <c r="N291" s="154"/>
      <c r="O291" s="154"/>
      <c r="P291" s="154"/>
      <c r="Q291" s="154"/>
      <c r="R291" s="154"/>
      <c r="S291" s="154"/>
      <c r="T291" s="154"/>
      <c r="U291" s="154"/>
      <c r="V291" s="154"/>
      <c r="W291" s="154"/>
      <c r="X291" s="154"/>
      <c r="Y291" s="154"/>
      <c r="Z291" s="154"/>
      <c r="AA291" s="154"/>
      <c r="AB291" s="154"/>
      <c r="AC291" s="154"/>
      <c r="AD291" s="76"/>
      <c r="AE291" s="76"/>
      <c r="AF291" s="76"/>
      <c r="AG291" s="76"/>
      <c r="AH291" s="76"/>
      <c r="AI291" s="76"/>
      <c r="AJ291" s="76"/>
      <c r="AK291" s="76"/>
      <c r="AL291" s="76"/>
      <c r="AM291" s="76"/>
      <c r="AN291" s="76"/>
      <c r="AO291" s="76"/>
      <c r="AP291" s="76"/>
      <c r="AQ291" s="76"/>
      <c r="AR291" s="76"/>
      <c r="AS291" s="76"/>
      <c r="AT291" s="76"/>
      <c r="AU291" s="76"/>
      <c r="AV291" s="76"/>
      <c r="AW291" s="76"/>
      <c r="AX291" s="76"/>
    </row>
    <row r="292" ht="15.75" customHeight="1">
      <c r="A292" s="81" t="s">
        <v>906</v>
      </c>
      <c r="B292" s="142" t="s">
        <v>2050</v>
      </c>
      <c r="C292" s="31" t="s">
        <v>3786</v>
      </c>
      <c r="D292" s="31" t="s">
        <v>3787</v>
      </c>
      <c r="E292" s="31" t="s">
        <v>3788</v>
      </c>
      <c r="F292" s="31"/>
      <c r="G292" s="31"/>
      <c r="H292" s="31"/>
      <c r="I292" s="84"/>
      <c r="J292" s="159"/>
      <c r="K292" s="84"/>
      <c r="L292" s="84"/>
      <c r="M292" s="84"/>
      <c r="N292" s="84"/>
      <c r="O292" s="84"/>
      <c r="P292" s="84"/>
      <c r="Q292" s="84" t="s">
        <v>166</v>
      </c>
      <c r="R292" s="84"/>
      <c r="S292" s="84"/>
      <c r="T292" s="84"/>
      <c r="U292" s="84"/>
      <c r="V292" s="84"/>
      <c r="W292" s="84"/>
      <c r="X292" s="84"/>
      <c r="Y292" s="84"/>
      <c r="Z292" s="84"/>
      <c r="AA292" s="84"/>
      <c r="AB292" s="84"/>
      <c r="AC292" s="84"/>
      <c r="AD292" s="76"/>
      <c r="AE292" s="76"/>
      <c r="AF292" s="76"/>
      <c r="AG292" s="76"/>
      <c r="AH292" s="76"/>
      <c r="AI292" s="76"/>
      <c r="AJ292" s="76"/>
      <c r="AK292" s="76"/>
      <c r="AL292" s="76"/>
      <c r="AM292" s="76"/>
      <c r="AN292" s="76"/>
      <c r="AO292" s="76"/>
      <c r="AP292" s="76"/>
      <c r="AQ292" s="76"/>
      <c r="AR292" s="76"/>
      <c r="AS292" s="76"/>
      <c r="AT292" s="76"/>
      <c r="AU292" s="76"/>
      <c r="AV292" s="76"/>
      <c r="AW292" s="76"/>
      <c r="AX292" s="76"/>
    </row>
    <row r="293" ht="15.75" customHeight="1">
      <c r="A293" s="81" t="s">
        <v>906</v>
      </c>
      <c r="B293" s="142" t="s">
        <v>2054</v>
      </c>
      <c r="C293" s="31" t="s">
        <v>3804</v>
      </c>
      <c r="D293" s="31" t="s">
        <v>3805</v>
      </c>
      <c r="E293" s="31" t="s">
        <v>3806</v>
      </c>
      <c r="F293" s="31"/>
      <c r="G293" s="31"/>
      <c r="H293" s="31"/>
      <c r="I293" s="84"/>
      <c r="J293" s="159"/>
      <c r="K293" s="84"/>
      <c r="L293" s="84"/>
      <c r="M293" s="84"/>
      <c r="N293" s="84"/>
      <c r="O293" s="84"/>
      <c r="P293" s="84"/>
      <c r="Q293" s="84" t="s">
        <v>166</v>
      </c>
      <c r="R293" s="84"/>
      <c r="S293" s="84"/>
      <c r="T293" s="84"/>
      <c r="U293" s="84"/>
      <c r="V293" s="84"/>
      <c r="W293" s="84"/>
      <c r="X293" s="84"/>
      <c r="Y293" s="84"/>
      <c r="Z293" s="84"/>
      <c r="AA293" s="84"/>
      <c r="AB293" s="84"/>
      <c r="AC293" s="84"/>
      <c r="AD293" s="76"/>
      <c r="AE293" s="76"/>
      <c r="AF293" s="76"/>
      <c r="AG293" s="76"/>
      <c r="AH293" s="76"/>
      <c r="AI293" s="76"/>
      <c r="AJ293" s="76"/>
      <c r="AK293" s="76"/>
      <c r="AL293" s="76"/>
      <c r="AM293" s="76"/>
      <c r="AN293" s="76"/>
      <c r="AO293" s="76"/>
      <c r="AP293" s="76"/>
      <c r="AQ293" s="76"/>
      <c r="AR293" s="76"/>
      <c r="AS293" s="76"/>
      <c r="AT293" s="76"/>
      <c r="AU293" s="76"/>
      <c r="AV293" s="76"/>
      <c r="AW293" s="76"/>
      <c r="AX293" s="76"/>
    </row>
    <row r="294" ht="15.75" customHeight="1">
      <c r="A294" s="81" t="s">
        <v>906</v>
      </c>
      <c r="B294" s="142" t="s">
        <v>2064</v>
      </c>
      <c r="C294" s="31" t="s">
        <v>3821</v>
      </c>
      <c r="D294" s="31" t="s">
        <v>3822</v>
      </c>
      <c r="E294" s="31" t="s">
        <v>3823</v>
      </c>
      <c r="F294" s="31"/>
      <c r="G294" s="31"/>
      <c r="H294" s="31"/>
      <c r="I294" s="84"/>
      <c r="J294" s="159"/>
      <c r="K294" s="84"/>
      <c r="L294" s="84"/>
      <c r="M294" s="84"/>
      <c r="N294" s="84"/>
      <c r="O294" s="84"/>
      <c r="P294" s="84"/>
      <c r="Q294" s="84" t="s">
        <v>166</v>
      </c>
      <c r="R294" s="84"/>
      <c r="S294" s="84"/>
      <c r="T294" s="84"/>
      <c r="U294" s="84"/>
      <c r="V294" s="84"/>
      <c r="W294" s="84"/>
      <c r="X294" s="84"/>
      <c r="Y294" s="84"/>
      <c r="Z294" s="84"/>
      <c r="AA294" s="84"/>
      <c r="AB294" s="84"/>
      <c r="AC294" s="84"/>
      <c r="AD294" s="76"/>
      <c r="AE294" s="76"/>
      <c r="AF294" s="76"/>
      <c r="AG294" s="76"/>
      <c r="AH294" s="76"/>
      <c r="AI294" s="76"/>
      <c r="AJ294" s="76"/>
      <c r="AK294" s="76"/>
      <c r="AL294" s="76"/>
      <c r="AM294" s="76"/>
      <c r="AN294" s="76"/>
      <c r="AO294" s="76"/>
      <c r="AP294" s="76"/>
      <c r="AQ294" s="76"/>
      <c r="AR294" s="76"/>
      <c r="AS294" s="76"/>
      <c r="AT294" s="76"/>
      <c r="AU294" s="76"/>
      <c r="AV294" s="76"/>
      <c r="AW294" s="76"/>
      <c r="AX294" s="76"/>
    </row>
    <row r="295" ht="15.75" customHeight="1">
      <c r="A295" s="81" t="s">
        <v>906</v>
      </c>
      <c r="B295" s="142" t="s">
        <v>2071</v>
      </c>
      <c r="C295" s="31" t="s">
        <v>3844</v>
      </c>
      <c r="D295" s="31" t="s">
        <v>3845</v>
      </c>
      <c r="E295" s="31" t="s">
        <v>3846</v>
      </c>
      <c r="F295" s="31"/>
      <c r="G295" s="31"/>
      <c r="H295" s="31"/>
      <c r="I295" s="84"/>
      <c r="J295" s="159"/>
      <c r="K295" s="84"/>
      <c r="L295" s="84"/>
      <c r="M295" s="84"/>
      <c r="N295" s="84"/>
      <c r="O295" s="84"/>
      <c r="P295" s="84"/>
      <c r="Q295" s="84" t="s">
        <v>166</v>
      </c>
      <c r="R295" s="84"/>
      <c r="S295" s="84"/>
      <c r="T295" s="84"/>
      <c r="U295" s="84"/>
      <c r="V295" s="84"/>
      <c r="W295" s="84"/>
      <c r="X295" s="84"/>
      <c r="Y295" s="84"/>
      <c r="Z295" s="84"/>
      <c r="AA295" s="84"/>
      <c r="AB295" s="84"/>
      <c r="AC295" s="84"/>
      <c r="AD295" s="76"/>
      <c r="AE295" s="76"/>
      <c r="AF295" s="76"/>
      <c r="AG295" s="76"/>
      <c r="AH295" s="76"/>
      <c r="AI295" s="76"/>
      <c r="AJ295" s="76"/>
      <c r="AK295" s="76"/>
      <c r="AL295" s="76"/>
      <c r="AM295" s="76"/>
      <c r="AN295" s="76"/>
      <c r="AO295" s="76"/>
      <c r="AP295" s="76"/>
      <c r="AQ295" s="76"/>
      <c r="AR295" s="76"/>
      <c r="AS295" s="76"/>
      <c r="AT295" s="76"/>
      <c r="AU295" s="76"/>
      <c r="AV295" s="76"/>
      <c r="AW295" s="76"/>
      <c r="AX295" s="76"/>
    </row>
    <row r="296" ht="15.75" customHeight="1">
      <c r="A296" s="81" t="s">
        <v>906</v>
      </c>
      <c r="B296" s="142" t="s">
        <v>2081</v>
      </c>
      <c r="C296" s="31" t="s">
        <v>3852</v>
      </c>
      <c r="D296" s="31" t="s">
        <v>3853</v>
      </c>
      <c r="E296" s="31" t="s">
        <v>3854</v>
      </c>
      <c r="F296" s="31"/>
      <c r="G296" s="31"/>
      <c r="H296" s="31"/>
      <c r="I296" s="84"/>
      <c r="J296" s="159"/>
      <c r="K296" s="84"/>
      <c r="L296" s="84"/>
      <c r="M296" s="84"/>
      <c r="N296" s="84"/>
      <c r="O296" s="84"/>
      <c r="P296" s="84"/>
      <c r="Q296" s="84" t="s">
        <v>166</v>
      </c>
      <c r="R296" s="84"/>
      <c r="S296" s="84"/>
      <c r="T296" s="84"/>
      <c r="U296" s="84"/>
      <c r="V296" s="84"/>
      <c r="W296" s="84"/>
      <c r="X296" s="84"/>
      <c r="Y296" s="84"/>
      <c r="Z296" s="84"/>
      <c r="AA296" s="84"/>
      <c r="AB296" s="84"/>
      <c r="AC296" s="84"/>
      <c r="AD296" s="76"/>
      <c r="AE296" s="76"/>
      <c r="AF296" s="76"/>
      <c r="AG296" s="76"/>
      <c r="AH296" s="76"/>
      <c r="AI296" s="76"/>
      <c r="AJ296" s="76"/>
      <c r="AK296" s="76"/>
      <c r="AL296" s="76"/>
      <c r="AM296" s="76"/>
      <c r="AN296" s="76"/>
      <c r="AO296" s="76"/>
      <c r="AP296" s="76"/>
      <c r="AQ296" s="76"/>
      <c r="AR296" s="76"/>
      <c r="AS296" s="76"/>
      <c r="AT296" s="76"/>
      <c r="AU296" s="76"/>
      <c r="AV296" s="76"/>
      <c r="AW296" s="76"/>
      <c r="AX296" s="76"/>
    </row>
    <row r="297" ht="15.75" customHeight="1">
      <c r="A297" s="122" t="s">
        <v>150</v>
      </c>
      <c r="B297" s="123" t="s">
        <v>2089</v>
      </c>
      <c r="C297" s="31"/>
      <c r="D297" s="31"/>
      <c r="E297" s="31"/>
      <c r="F297" s="70"/>
      <c r="G297" s="70"/>
      <c r="H297" s="70"/>
      <c r="I297" s="70"/>
      <c r="J297" s="71" t="s">
        <v>1736</v>
      </c>
      <c r="K297" s="70"/>
      <c r="L297" s="70"/>
      <c r="M297" s="71"/>
      <c r="N297" s="71"/>
      <c r="O297" s="71"/>
      <c r="P297" s="70"/>
      <c r="Q297" s="70"/>
      <c r="R297" s="70"/>
      <c r="S297" s="70"/>
      <c r="T297" s="70"/>
      <c r="U297" s="70"/>
      <c r="V297" s="70"/>
      <c r="W297" s="70"/>
      <c r="X297" s="70"/>
      <c r="Y297" s="70"/>
      <c r="Z297" s="70"/>
      <c r="AA297" s="70"/>
      <c r="AB297" s="70"/>
      <c r="AC297" s="70"/>
      <c r="AD297" s="76"/>
      <c r="AE297" s="76"/>
      <c r="AF297" s="76"/>
      <c r="AG297" s="76"/>
      <c r="AH297" s="76"/>
      <c r="AI297" s="76"/>
      <c r="AJ297" s="76"/>
      <c r="AK297" s="76"/>
      <c r="AL297" s="76"/>
      <c r="AM297" s="76"/>
      <c r="AN297" s="76"/>
      <c r="AO297" s="76"/>
      <c r="AP297" s="76"/>
      <c r="AQ297" s="76"/>
      <c r="AR297" s="76"/>
      <c r="AS297" s="76"/>
      <c r="AT297" s="76"/>
      <c r="AU297" s="76"/>
      <c r="AV297" s="76"/>
      <c r="AW297" s="76"/>
      <c r="AX297" s="76"/>
    </row>
    <row r="298" ht="15.75" customHeight="1">
      <c r="A298" s="81" t="s">
        <v>338</v>
      </c>
      <c r="B298" s="142" t="s">
        <v>2093</v>
      </c>
      <c r="C298" s="31" t="s">
        <v>3877</v>
      </c>
      <c r="D298" s="31" t="s">
        <v>3878</v>
      </c>
      <c r="E298" s="31" t="s">
        <v>3879</v>
      </c>
      <c r="F298" s="31"/>
      <c r="G298" s="31"/>
      <c r="H298" s="31"/>
      <c r="I298" s="84"/>
      <c r="J298" s="159" t="s">
        <v>7</v>
      </c>
      <c r="K298" s="84"/>
      <c r="L298" s="84"/>
      <c r="M298" s="84"/>
      <c r="N298" s="84"/>
      <c r="O298" s="84"/>
      <c r="P298" s="84"/>
      <c r="Q298" s="84"/>
      <c r="R298" s="84"/>
      <c r="S298" s="84"/>
      <c r="T298" s="84"/>
      <c r="U298" s="84"/>
      <c r="V298" s="84"/>
      <c r="W298" s="84"/>
      <c r="X298" s="84"/>
      <c r="Y298" s="84"/>
      <c r="Z298" s="84"/>
      <c r="AA298" s="84"/>
      <c r="AB298" s="84"/>
      <c r="AC298" s="84"/>
      <c r="AD298" s="76"/>
      <c r="AE298" s="76"/>
      <c r="AF298" s="76"/>
      <c r="AG298" s="76"/>
      <c r="AH298" s="76"/>
      <c r="AI298" s="76"/>
      <c r="AJ298" s="76"/>
      <c r="AK298" s="76"/>
      <c r="AL298" s="76"/>
      <c r="AM298" s="76"/>
      <c r="AN298" s="76"/>
      <c r="AO298" s="76"/>
      <c r="AP298" s="76"/>
      <c r="AQ298" s="76"/>
      <c r="AR298" s="76"/>
      <c r="AS298" s="76"/>
      <c r="AT298" s="76"/>
      <c r="AU298" s="76"/>
      <c r="AV298" s="76"/>
      <c r="AW298" s="76"/>
      <c r="AX298" s="76"/>
    </row>
    <row r="299" ht="15.75" customHeight="1">
      <c r="A299" s="81" t="s">
        <v>338</v>
      </c>
      <c r="B299" s="142" t="s">
        <v>2100</v>
      </c>
      <c r="C299" s="31" t="s">
        <v>3886</v>
      </c>
      <c r="D299" s="31" t="s">
        <v>3887</v>
      </c>
      <c r="E299" s="31" t="s">
        <v>3888</v>
      </c>
      <c r="F299" s="31"/>
      <c r="G299" s="31"/>
      <c r="H299" s="31"/>
      <c r="I299" s="84"/>
      <c r="J299" s="159" t="s">
        <v>1756</v>
      </c>
      <c r="K299" s="84"/>
      <c r="L299" s="84"/>
      <c r="M299" s="84"/>
      <c r="N299" s="84"/>
      <c r="O299" s="84"/>
      <c r="P299" s="84"/>
      <c r="Q299" s="84" t="s">
        <v>166</v>
      </c>
      <c r="R299" s="84"/>
      <c r="S299" s="84"/>
      <c r="T299" s="84"/>
      <c r="U299" s="84"/>
      <c r="V299" s="84"/>
      <c r="W299" s="84"/>
      <c r="X299" s="84"/>
      <c r="Y299" s="84"/>
      <c r="Z299" s="84"/>
      <c r="AA299" s="84"/>
      <c r="AB299" s="84"/>
      <c r="AC299" s="84"/>
      <c r="AD299" s="76"/>
      <c r="AE299" s="76"/>
      <c r="AF299" s="76"/>
      <c r="AG299" s="76"/>
      <c r="AH299" s="76"/>
      <c r="AI299" s="76"/>
      <c r="AJ299" s="76"/>
      <c r="AK299" s="76"/>
      <c r="AL299" s="76"/>
      <c r="AM299" s="76"/>
      <c r="AN299" s="76"/>
      <c r="AO299" s="76"/>
      <c r="AP299" s="76"/>
      <c r="AQ299" s="76"/>
      <c r="AR299" s="76"/>
      <c r="AS299" s="76"/>
      <c r="AT299" s="76"/>
      <c r="AU299" s="76"/>
      <c r="AV299" s="76"/>
      <c r="AW299" s="76"/>
      <c r="AX299" s="76"/>
    </row>
    <row r="300" ht="15.75" customHeight="1">
      <c r="A300" s="81" t="s">
        <v>338</v>
      </c>
      <c r="B300" s="142" t="s">
        <v>2108</v>
      </c>
      <c r="C300" s="31" t="s">
        <v>3893</v>
      </c>
      <c r="D300" s="31" t="s">
        <v>3894</v>
      </c>
      <c r="E300" s="31" t="s">
        <v>3895</v>
      </c>
      <c r="F300" s="31"/>
      <c r="G300" s="31"/>
      <c r="H300" s="31"/>
      <c r="I300" s="84"/>
      <c r="J300" s="159" t="s">
        <v>1756</v>
      </c>
      <c r="K300" s="84"/>
      <c r="L300" s="84"/>
      <c r="M300" s="84"/>
      <c r="N300" s="84"/>
      <c r="O300" s="84"/>
      <c r="P300" s="84"/>
      <c r="Q300" s="84" t="s">
        <v>166</v>
      </c>
      <c r="R300" s="84"/>
      <c r="S300" s="84"/>
      <c r="T300" s="84"/>
      <c r="U300" s="84"/>
      <c r="V300" s="84"/>
      <c r="W300" s="84"/>
      <c r="X300" s="84"/>
      <c r="Y300" s="84"/>
      <c r="Z300" s="84"/>
      <c r="AA300" s="84"/>
      <c r="AB300" s="84"/>
      <c r="AC300" s="84"/>
      <c r="AD300" s="76"/>
      <c r="AE300" s="76"/>
      <c r="AF300" s="76"/>
      <c r="AG300" s="76"/>
      <c r="AH300" s="76"/>
      <c r="AI300" s="76"/>
      <c r="AJ300" s="76"/>
      <c r="AK300" s="76"/>
      <c r="AL300" s="76"/>
      <c r="AM300" s="76"/>
      <c r="AN300" s="76"/>
      <c r="AO300" s="76"/>
      <c r="AP300" s="76"/>
      <c r="AQ300" s="76"/>
      <c r="AR300" s="76"/>
      <c r="AS300" s="76"/>
      <c r="AT300" s="76"/>
      <c r="AU300" s="76"/>
      <c r="AV300" s="76"/>
      <c r="AW300" s="76"/>
      <c r="AX300" s="76"/>
    </row>
    <row r="301" ht="15.75" customHeight="1">
      <c r="A301" s="81" t="s">
        <v>338</v>
      </c>
      <c r="B301" s="142" t="s">
        <v>2115</v>
      </c>
      <c r="C301" s="31" t="s">
        <v>3898</v>
      </c>
      <c r="D301" s="31" t="s">
        <v>3899</v>
      </c>
      <c r="E301" s="31" t="s">
        <v>3900</v>
      </c>
      <c r="F301" s="31"/>
      <c r="G301" s="31"/>
      <c r="H301" s="31"/>
      <c r="I301" s="84"/>
      <c r="J301" s="159" t="s">
        <v>1756</v>
      </c>
      <c r="K301" s="84"/>
      <c r="L301" s="84"/>
      <c r="M301" s="84"/>
      <c r="N301" s="84"/>
      <c r="O301" s="84"/>
      <c r="P301" s="84"/>
      <c r="Q301" s="84" t="s">
        <v>166</v>
      </c>
      <c r="R301" s="84"/>
      <c r="S301" s="84"/>
      <c r="T301" s="84"/>
      <c r="U301" s="84"/>
      <c r="V301" s="84"/>
      <c r="W301" s="84"/>
      <c r="X301" s="84"/>
      <c r="Y301" s="84"/>
      <c r="Z301" s="84"/>
      <c r="AA301" s="84"/>
      <c r="AB301" s="84"/>
      <c r="AC301" s="84"/>
      <c r="AD301" s="76"/>
      <c r="AE301" s="76"/>
      <c r="AF301" s="76"/>
      <c r="AG301" s="76"/>
      <c r="AH301" s="76"/>
      <c r="AI301" s="76"/>
      <c r="AJ301" s="76"/>
      <c r="AK301" s="76"/>
      <c r="AL301" s="76"/>
      <c r="AM301" s="76"/>
      <c r="AN301" s="76"/>
      <c r="AO301" s="76"/>
      <c r="AP301" s="76"/>
      <c r="AQ301" s="76"/>
      <c r="AR301" s="76"/>
      <c r="AS301" s="76"/>
      <c r="AT301" s="76"/>
      <c r="AU301" s="76"/>
      <c r="AV301" s="76"/>
      <c r="AW301" s="76"/>
      <c r="AX301" s="76"/>
    </row>
    <row r="302" ht="15.75" customHeight="1">
      <c r="A302" s="81" t="s">
        <v>338</v>
      </c>
      <c r="B302" s="142" t="s">
        <v>2122</v>
      </c>
      <c r="C302" s="31" t="s">
        <v>3905</v>
      </c>
      <c r="D302" s="31" t="s">
        <v>3906</v>
      </c>
      <c r="E302" s="31" t="s">
        <v>3907</v>
      </c>
      <c r="F302" s="31"/>
      <c r="G302" s="31"/>
      <c r="H302" s="31"/>
      <c r="I302" s="84"/>
      <c r="J302" s="159" t="s">
        <v>1756</v>
      </c>
      <c r="K302" s="84"/>
      <c r="L302" s="84"/>
      <c r="M302" s="84"/>
      <c r="N302" s="84"/>
      <c r="O302" s="84"/>
      <c r="P302" s="84"/>
      <c r="Q302" s="84" t="s">
        <v>166</v>
      </c>
      <c r="R302" s="84"/>
      <c r="S302" s="84"/>
      <c r="T302" s="84"/>
      <c r="U302" s="84"/>
      <c r="V302" s="84"/>
      <c r="W302" s="84"/>
      <c r="X302" s="84"/>
      <c r="Y302" s="84"/>
      <c r="Z302" s="84"/>
      <c r="AA302" s="84"/>
      <c r="AB302" s="84"/>
      <c r="AC302" s="84"/>
      <c r="AD302" s="76"/>
      <c r="AE302" s="76"/>
      <c r="AF302" s="76"/>
      <c r="AG302" s="76"/>
      <c r="AH302" s="76"/>
      <c r="AI302" s="76"/>
      <c r="AJ302" s="76"/>
      <c r="AK302" s="76"/>
      <c r="AL302" s="76"/>
      <c r="AM302" s="76"/>
      <c r="AN302" s="76"/>
      <c r="AO302" s="76"/>
      <c r="AP302" s="76"/>
      <c r="AQ302" s="76"/>
      <c r="AR302" s="76"/>
      <c r="AS302" s="76"/>
      <c r="AT302" s="76"/>
      <c r="AU302" s="76"/>
      <c r="AV302" s="76"/>
      <c r="AW302" s="76"/>
      <c r="AX302" s="76"/>
    </row>
    <row r="303" ht="15.75" customHeight="1">
      <c r="A303" s="122" t="s">
        <v>236</v>
      </c>
      <c r="B303" s="153" t="s">
        <v>2089</v>
      </c>
      <c r="C303" s="31"/>
      <c r="D303" s="31"/>
      <c r="E303" s="31"/>
      <c r="F303" s="70"/>
      <c r="G303" s="70"/>
      <c r="H303" s="70"/>
      <c r="I303" s="70"/>
      <c r="J303" s="70"/>
      <c r="K303" s="70"/>
      <c r="L303" s="70"/>
      <c r="M303" s="70"/>
      <c r="N303" s="70"/>
      <c r="O303" s="70"/>
      <c r="P303" s="70"/>
      <c r="Q303" s="70"/>
      <c r="R303" s="70"/>
      <c r="S303" s="70"/>
      <c r="T303" s="70"/>
      <c r="U303" s="70"/>
      <c r="V303" s="70"/>
      <c r="W303" s="70"/>
      <c r="X303" s="70"/>
      <c r="Y303" s="70"/>
      <c r="Z303" s="70"/>
      <c r="AA303" s="70"/>
      <c r="AB303" s="70"/>
      <c r="AC303" s="70"/>
      <c r="AD303" s="76"/>
      <c r="AE303" s="76"/>
      <c r="AF303" s="76"/>
      <c r="AG303" s="76"/>
      <c r="AH303" s="76"/>
      <c r="AI303" s="76"/>
      <c r="AJ303" s="76"/>
      <c r="AK303" s="76"/>
      <c r="AL303" s="76"/>
      <c r="AM303" s="76"/>
      <c r="AN303" s="76"/>
      <c r="AO303" s="76"/>
      <c r="AP303" s="76"/>
      <c r="AQ303" s="76"/>
      <c r="AR303" s="76"/>
      <c r="AS303" s="76"/>
      <c r="AT303" s="76"/>
      <c r="AU303" s="76"/>
      <c r="AV303" s="76"/>
      <c r="AW303" s="76"/>
      <c r="AX303" s="76"/>
    </row>
    <row r="304" ht="15.75" customHeight="1">
      <c r="A304" s="81" t="s">
        <v>2132</v>
      </c>
      <c r="B304" s="142" t="s">
        <v>2133</v>
      </c>
      <c r="C304" s="31" t="s">
        <v>3914</v>
      </c>
      <c r="D304" s="31" t="s">
        <v>3915</v>
      </c>
      <c r="E304" s="31" t="s">
        <v>3916</v>
      </c>
      <c r="F304" s="31" t="s">
        <v>1655</v>
      </c>
      <c r="G304" s="31" t="s">
        <v>3917</v>
      </c>
      <c r="H304" s="31" t="s">
        <v>3918</v>
      </c>
      <c r="I304" s="84"/>
      <c r="J304" s="159"/>
      <c r="K304" s="84" t="s">
        <v>2506</v>
      </c>
      <c r="L304" s="84"/>
      <c r="M304" s="84"/>
      <c r="N304" s="84"/>
      <c r="O304" s="84"/>
      <c r="P304" s="84"/>
      <c r="Q304" s="84" t="s">
        <v>166</v>
      </c>
      <c r="R304" s="84"/>
      <c r="S304" s="84"/>
      <c r="T304" s="84"/>
      <c r="U304" s="84"/>
      <c r="V304" s="84"/>
      <c r="W304" s="84"/>
      <c r="X304" s="84"/>
      <c r="Y304" s="84"/>
      <c r="Z304" s="84"/>
      <c r="AA304" s="84"/>
      <c r="AB304" s="84"/>
      <c r="AC304" s="84"/>
      <c r="AD304" s="76"/>
      <c r="AE304" s="76"/>
      <c r="AF304" s="76"/>
      <c r="AG304" s="76"/>
      <c r="AH304" s="76"/>
      <c r="AI304" s="76"/>
      <c r="AJ304" s="76"/>
      <c r="AK304" s="76"/>
      <c r="AL304" s="76"/>
      <c r="AM304" s="76"/>
      <c r="AN304" s="76"/>
      <c r="AO304" s="76"/>
      <c r="AP304" s="76"/>
      <c r="AQ304" s="76"/>
      <c r="AR304" s="76"/>
      <c r="AS304" s="76"/>
      <c r="AT304" s="76"/>
      <c r="AU304" s="76"/>
      <c r="AV304" s="76"/>
      <c r="AW304" s="76"/>
      <c r="AX304" s="76"/>
    </row>
    <row r="305" ht="15.75" customHeight="1">
      <c r="A305" s="133" t="s">
        <v>214</v>
      </c>
      <c r="B305" s="143" t="s">
        <v>2145</v>
      </c>
      <c r="C305" s="31" t="s">
        <v>3922</v>
      </c>
      <c r="D305" s="31" t="s">
        <v>3923</v>
      </c>
      <c r="E305" s="31" t="s">
        <v>3924</v>
      </c>
      <c r="F305" s="31"/>
      <c r="G305" s="31"/>
      <c r="H305" s="31"/>
      <c r="I305" s="162"/>
      <c r="J305" s="163"/>
      <c r="K305" s="162"/>
      <c r="L305" s="162"/>
      <c r="M305" s="162"/>
      <c r="N305" s="162"/>
      <c r="O305" s="164" t="s">
        <v>3929</v>
      </c>
      <c r="P305" s="162"/>
      <c r="Q305" s="162" t="s">
        <v>166</v>
      </c>
      <c r="R305" s="162"/>
      <c r="S305" s="162"/>
      <c r="T305" s="162"/>
      <c r="U305" s="162"/>
      <c r="V305" s="162"/>
      <c r="W305" s="162"/>
      <c r="X305" s="162"/>
      <c r="Y305" s="162"/>
      <c r="Z305" s="162"/>
      <c r="AA305" s="162"/>
      <c r="AB305" s="162"/>
      <c r="AC305" s="162"/>
      <c r="AD305" s="76"/>
      <c r="AE305" s="76"/>
      <c r="AF305" s="76"/>
      <c r="AG305" s="76"/>
      <c r="AH305" s="76"/>
      <c r="AI305" s="76"/>
      <c r="AJ305" s="76"/>
      <c r="AK305" s="76"/>
      <c r="AL305" s="76"/>
      <c r="AM305" s="76"/>
      <c r="AN305" s="76"/>
      <c r="AO305" s="76"/>
      <c r="AP305" s="76"/>
      <c r="AQ305" s="76"/>
      <c r="AR305" s="76"/>
      <c r="AS305" s="76"/>
      <c r="AT305" s="76"/>
      <c r="AU305" s="76"/>
      <c r="AV305" s="76"/>
      <c r="AW305" s="76"/>
      <c r="AX305" s="76"/>
    </row>
    <row r="306" ht="15.75" customHeight="1">
      <c r="A306" s="67" t="s">
        <v>236</v>
      </c>
      <c r="B306" s="69" t="s">
        <v>753</v>
      </c>
      <c r="C306" s="31"/>
      <c r="D306" s="31"/>
      <c r="E306" s="31"/>
      <c r="F306" s="70"/>
      <c r="G306" s="70"/>
      <c r="H306" s="70"/>
      <c r="I306" s="71"/>
      <c r="J306" s="71"/>
      <c r="K306" s="70"/>
      <c r="L306" s="71"/>
      <c r="M306" s="71"/>
      <c r="N306" s="71"/>
      <c r="O306" s="71"/>
      <c r="P306" s="70"/>
      <c r="Q306" s="70"/>
      <c r="R306" s="70"/>
      <c r="S306" s="70"/>
      <c r="T306" s="70"/>
      <c r="U306" s="70"/>
      <c r="V306" s="70"/>
      <c r="W306" s="70"/>
      <c r="X306" s="70"/>
      <c r="Y306" s="70"/>
      <c r="Z306" s="70"/>
      <c r="AA306" s="70"/>
      <c r="AB306" s="70"/>
      <c r="AC306" s="70"/>
      <c r="AD306" s="76"/>
      <c r="AE306" s="76"/>
      <c r="AF306" s="76"/>
      <c r="AG306" s="76"/>
      <c r="AH306" s="76"/>
      <c r="AI306" s="76"/>
      <c r="AJ306" s="76"/>
      <c r="AK306" s="76"/>
      <c r="AL306" s="76"/>
      <c r="AM306" s="76"/>
      <c r="AN306" s="76"/>
      <c r="AO306" s="76"/>
      <c r="AP306" s="76"/>
      <c r="AQ306" s="76"/>
      <c r="AR306" s="76"/>
      <c r="AS306" s="76"/>
      <c r="AT306" s="76"/>
      <c r="AU306" s="76"/>
      <c r="AV306" s="76"/>
      <c r="AW306" s="76"/>
      <c r="AX306" s="76"/>
    </row>
    <row r="307" ht="15.75" customHeight="1">
      <c r="A307" s="217" t="s">
        <v>139</v>
      </c>
      <c r="B307" s="218" t="s">
        <v>2160</v>
      </c>
      <c r="C307" s="31"/>
      <c r="D307" s="31"/>
      <c r="E307" s="31"/>
      <c r="F307" s="193"/>
      <c r="G307" s="193"/>
      <c r="H307" s="193"/>
      <c r="I307" s="193"/>
      <c r="J307" s="193"/>
      <c r="K307" s="193"/>
      <c r="L307" s="193"/>
      <c r="M307" s="193"/>
      <c r="N307" s="193"/>
      <c r="O307" s="193"/>
      <c r="P307" s="193"/>
      <c r="Q307" s="193"/>
      <c r="R307" s="193"/>
      <c r="S307" s="193"/>
      <c r="T307" s="259" t="s">
        <v>145</v>
      </c>
      <c r="U307" s="193"/>
      <c r="V307" s="193"/>
      <c r="W307" s="193"/>
      <c r="X307" s="193"/>
      <c r="Y307" s="193"/>
      <c r="Z307" s="193"/>
      <c r="AA307" s="193"/>
      <c r="AB307" s="193"/>
      <c r="AC307" s="193"/>
      <c r="AD307" s="194"/>
      <c r="AE307" s="194"/>
      <c r="AF307" s="194"/>
      <c r="AG307" s="194"/>
      <c r="AH307" s="194"/>
      <c r="AI307" s="194"/>
      <c r="AJ307" s="194"/>
      <c r="AK307" s="194"/>
      <c r="AL307" s="194"/>
      <c r="AM307" s="194"/>
      <c r="AN307" s="194"/>
      <c r="AO307" s="194"/>
      <c r="AP307" s="194"/>
      <c r="AQ307" s="194"/>
      <c r="AR307" s="194"/>
      <c r="AS307" s="194"/>
      <c r="AT307" s="194"/>
      <c r="AU307" s="194"/>
      <c r="AV307" s="194"/>
      <c r="AW307" s="194"/>
      <c r="AX307" s="194"/>
    </row>
    <row r="308" ht="14.25" customHeight="1">
      <c r="A308" s="217" t="s">
        <v>108</v>
      </c>
      <c r="B308" s="218" t="s">
        <v>2165</v>
      </c>
      <c r="C308" s="31"/>
      <c r="D308" s="31"/>
      <c r="E308" s="31"/>
      <c r="F308" s="193"/>
      <c r="G308" s="193"/>
      <c r="H308" s="193"/>
      <c r="I308" s="193"/>
      <c r="J308" s="193"/>
      <c r="K308" s="193"/>
      <c r="L308" s="193"/>
      <c r="M308" s="193"/>
      <c r="N308" s="193"/>
      <c r="O308" s="193"/>
      <c r="P308" s="193"/>
      <c r="Q308" s="193"/>
      <c r="R308" s="193"/>
      <c r="S308" s="193"/>
      <c r="T308" s="259" t="s">
        <v>3946</v>
      </c>
      <c r="U308" s="193"/>
      <c r="V308" s="193"/>
      <c r="W308" s="193"/>
      <c r="X308" s="193"/>
      <c r="Y308" s="193"/>
      <c r="Z308" s="193"/>
      <c r="AA308" s="193"/>
      <c r="AB308" s="193"/>
      <c r="AC308" s="193"/>
      <c r="AD308" s="194"/>
      <c r="AE308" s="194"/>
      <c r="AF308" s="194"/>
      <c r="AG308" s="194"/>
      <c r="AH308" s="194"/>
      <c r="AI308" s="194"/>
      <c r="AJ308" s="194"/>
      <c r="AK308" s="194"/>
      <c r="AL308" s="194"/>
      <c r="AM308" s="194"/>
      <c r="AN308" s="194"/>
      <c r="AO308" s="194"/>
      <c r="AP308" s="194"/>
      <c r="AQ308" s="194"/>
      <c r="AR308" s="194"/>
      <c r="AS308" s="194"/>
      <c r="AT308" s="194"/>
      <c r="AU308" s="194"/>
      <c r="AV308" s="194"/>
      <c r="AW308" s="194"/>
      <c r="AX308" s="194"/>
    </row>
    <row r="309" ht="15.75" customHeight="1">
      <c r="A309" s="122" t="s">
        <v>150</v>
      </c>
      <c r="B309" s="123" t="s">
        <v>2170</v>
      </c>
      <c r="C309" s="31"/>
      <c r="D309" s="31"/>
      <c r="E309" s="31"/>
      <c r="F309" s="70"/>
      <c r="G309" s="70"/>
      <c r="H309" s="70"/>
      <c r="I309" s="71"/>
      <c r="J309" s="71" t="s">
        <v>1736</v>
      </c>
      <c r="K309" s="70"/>
      <c r="L309" s="71"/>
      <c r="M309" s="71"/>
      <c r="N309" s="71"/>
      <c r="O309" s="71"/>
      <c r="P309" s="70"/>
      <c r="Q309" s="70"/>
      <c r="R309" s="70"/>
      <c r="S309" s="70"/>
      <c r="T309" s="70"/>
      <c r="U309" s="70"/>
      <c r="V309" s="70"/>
      <c r="W309" s="70"/>
      <c r="X309" s="70"/>
      <c r="Y309" s="70"/>
      <c r="Z309" s="70"/>
      <c r="AA309" s="70"/>
      <c r="AB309" s="70"/>
      <c r="AC309" s="70"/>
      <c r="AD309" s="76"/>
      <c r="AE309" s="76"/>
      <c r="AF309" s="76"/>
      <c r="AG309" s="76"/>
      <c r="AH309" s="76"/>
      <c r="AI309" s="76"/>
      <c r="AJ309" s="76"/>
      <c r="AK309" s="76"/>
      <c r="AL309" s="76"/>
      <c r="AM309" s="76"/>
      <c r="AN309" s="76"/>
      <c r="AO309" s="76"/>
      <c r="AP309" s="76"/>
      <c r="AQ309" s="76"/>
      <c r="AR309" s="76"/>
      <c r="AS309" s="76"/>
      <c r="AT309" s="76"/>
      <c r="AU309" s="76"/>
      <c r="AV309" s="76"/>
      <c r="AW309" s="76"/>
      <c r="AX309" s="76"/>
    </row>
    <row r="310" ht="15.75" customHeight="1">
      <c r="A310" s="81" t="s">
        <v>338</v>
      </c>
      <c r="B310" s="142" t="s">
        <v>2171</v>
      </c>
      <c r="C310" s="31" t="s">
        <v>3952</v>
      </c>
      <c r="D310" s="31" t="s">
        <v>3953</v>
      </c>
      <c r="E310" s="31" t="s">
        <v>3954</v>
      </c>
      <c r="F310" s="31"/>
      <c r="G310" s="31"/>
      <c r="H310" s="31"/>
      <c r="I310" s="159"/>
      <c r="J310" s="84" t="s">
        <v>7</v>
      </c>
      <c r="K310" s="84"/>
      <c r="L310" s="84"/>
      <c r="M310" s="84"/>
      <c r="N310" s="84"/>
      <c r="O310" s="84"/>
      <c r="P310" s="84"/>
      <c r="Q310" s="84"/>
      <c r="R310" s="84"/>
      <c r="S310" s="84"/>
      <c r="T310" s="84"/>
      <c r="U310" s="84"/>
      <c r="V310" s="84"/>
      <c r="W310" s="84"/>
      <c r="X310" s="84"/>
      <c r="Y310" s="84"/>
      <c r="Z310" s="84"/>
      <c r="AA310" s="84"/>
      <c r="AB310" s="84"/>
      <c r="AC310" s="84"/>
      <c r="AD310" s="76"/>
      <c r="AE310" s="76"/>
      <c r="AF310" s="76"/>
      <c r="AG310" s="76"/>
      <c r="AH310" s="76"/>
      <c r="AI310" s="76"/>
      <c r="AJ310" s="76"/>
      <c r="AK310" s="76"/>
      <c r="AL310" s="76"/>
      <c r="AM310" s="76"/>
      <c r="AN310" s="76"/>
      <c r="AO310" s="76"/>
      <c r="AP310" s="76"/>
      <c r="AQ310" s="76"/>
      <c r="AR310" s="76"/>
      <c r="AS310" s="76"/>
      <c r="AT310" s="76"/>
      <c r="AU310" s="76"/>
      <c r="AV310" s="76"/>
      <c r="AW310" s="76"/>
      <c r="AX310" s="76"/>
    </row>
    <row r="311" ht="15.75" customHeight="1">
      <c r="A311" s="81" t="s">
        <v>338</v>
      </c>
      <c r="B311" s="142" t="s">
        <v>2178</v>
      </c>
      <c r="C311" s="31" t="s">
        <v>3959</v>
      </c>
      <c r="D311" s="31" t="s">
        <v>3960</v>
      </c>
      <c r="E311" s="31" t="s">
        <v>3961</v>
      </c>
      <c r="F311" s="31"/>
      <c r="G311" s="31"/>
      <c r="H311" s="31"/>
      <c r="I311" s="159"/>
      <c r="J311" s="84" t="s">
        <v>1756</v>
      </c>
      <c r="K311" s="84"/>
      <c r="L311" s="84"/>
      <c r="M311" s="84"/>
      <c r="N311" s="84"/>
      <c r="O311" s="84"/>
      <c r="P311" s="84"/>
      <c r="Q311" s="84" t="s">
        <v>166</v>
      </c>
      <c r="R311" s="84"/>
      <c r="S311" s="84"/>
      <c r="T311" s="84"/>
      <c r="U311" s="84"/>
      <c r="V311" s="84"/>
      <c r="W311" s="84"/>
      <c r="X311" s="84"/>
      <c r="Y311" s="84"/>
      <c r="Z311" s="84"/>
      <c r="AA311" s="84"/>
      <c r="AB311" s="84"/>
      <c r="AC311" s="84"/>
      <c r="AD311" s="76"/>
      <c r="AE311" s="76"/>
      <c r="AF311" s="76"/>
      <c r="AG311" s="76"/>
      <c r="AH311" s="76"/>
      <c r="AI311" s="76"/>
      <c r="AJ311" s="76"/>
      <c r="AK311" s="76"/>
      <c r="AL311" s="76"/>
      <c r="AM311" s="76"/>
      <c r="AN311" s="76"/>
      <c r="AO311" s="76"/>
      <c r="AP311" s="76"/>
      <c r="AQ311" s="76"/>
      <c r="AR311" s="76"/>
      <c r="AS311" s="76"/>
      <c r="AT311" s="76"/>
      <c r="AU311" s="76"/>
      <c r="AV311" s="76"/>
      <c r="AW311" s="76"/>
      <c r="AX311" s="76"/>
    </row>
    <row r="312" ht="15.75" customHeight="1">
      <c r="A312" s="81" t="s">
        <v>338</v>
      </c>
      <c r="B312" s="142" t="s">
        <v>2182</v>
      </c>
      <c r="C312" s="31" t="s">
        <v>3966</v>
      </c>
      <c r="D312" s="31" t="s">
        <v>3967</v>
      </c>
      <c r="E312" s="31" t="s">
        <v>3968</v>
      </c>
      <c r="F312" s="31"/>
      <c r="G312" s="31"/>
      <c r="H312" s="31"/>
      <c r="I312" s="159"/>
      <c r="J312" s="84" t="s">
        <v>1756</v>
      </c>
      <c r="K312" s="84"/>
      <c r="L312" s="84"/>
      <c r="M312" s="84"/>
      <c r="N312" s="84"/>
      <c r="O312" s="84"/>
      <c r="P312" s="84"/>
      <c r="Q312" s="84" t="s">
        <v>166</v>
      </c>
      <c r="R312" s="84"/>
      <c r="S312" s="84"/>
      <c r="T312" s="84"/>
      <c r="U312" s="84"/>
      <c r="V312" s="84"/>
      <c r="W312" s="84"/>
      <c r="X312" s="84"/>
      <c r="Y312" s="84"/>
      <c r="Z312" s="84"/>
      <c r="AA312" s="84"/>
      <c r="AB312" s="84"/>
      <c r="AC312" s="84"/>
      <c r="AD312" s="76"/>
      <c r="AE312" s="76"/>
      <c r="AF312" s="76"/>
      <c r="AG312" s="76"/>
      <c r="AH312" s="76"/>
      <c r="AI312" s="76"/>
      <c r="AJ312" s="76"/>
      <c r="AK312" s="76"/>
      <c r="AL312" s="76"/>
      <c r="AM312" s="76"/>
      <c r="AN312" s="76"/>
      <c r="AO312" s="76"/>
      <c r="AP312" s="76"/>
      <c r="AQ312" s="76"/>
      <c r="AR312" s="76"/>
      <c r="AS312" s="76"/>
      <c r="AT312" s="76"/>
      <c r="AU312" s="76"/>
      <c r="AV312" s="76"/>
      <c r="AW312" s="76"/>
      <c r="AX312" s="76"/>
    </row>
    <row r="313" ht="15.75" customHeight="1">
      <c r="A313" s="122" t="s">
        <v>236</v>
      </c>
      <c r="B313" s="153" t="s">
        <v>2170</v>
      </c>
      <c r="C313" s="31"/>
      <c r="D313" s="31"/>
      <c r="E313" s="31"/>
      <c r="F313" s="70"/>
      <c r="G313" s="70"/>
      <c r="H313" s="70"/>
      <c r="I313" s="70"/>
      <c r="J313" s="70"/>
      <c r="K313" s="70"/>
      <c r="L313" s="70"/>
      <c r="M313" s="70"/>
      <c r="N313" s="70"/>
      <c r="O313" s="70"/>
      <c r="P313" s="70"/>
      <c r="Q313" s="70"/>
      <c r="R313" s="70"/>
      <c r="S313" s="70"/>
      <c r="T313" s="70"/>
      <c r="U313" s="70"/>
      <c r="V313" s="70"/>
      <c r="W313" s="70"/>
      <c r="X313" s="70"/>
      <c r="Y313" s="70"/>
      <c r="Z313" s="70"/>
      <c r="AA313" s="70"/>
      <c r="AB313" s="70"/>
      <c r="AC313" s="70"/>
      <c r="AD313" s="76"/>
      <c r="AE313" s="76"/>
      <c r="AF313" s="76"/>
      <c r="AG313" s="76"/>
      <c r="AH313" s="76"/>
      <c r="AI313" s="76"/>
      <c r="AJ313" s="76"/>
      <c r="AK313" s="76"/>
      <c r="AL313" s="76"/>
      <c r="AM313" s="76"/>
      <c r="AN313" s="76"/>
      <c r="AO313" s="76"/>
      <c r="AP313" s="76"/>
      <c r="AQ313" s="76"/>
      <c r="AR313" s="76"/>
      <c r="AS313" s="76"/>
      <c r="AT313" s="76"/>
      <c r="AU313" s="76"/>
      <c r="AV313" s="76"/>
      <c r="AW313" s="76"/>
      <c r="AX313" s="76"/>
    </row>
    <row r="314" ht="15.75" customHeight="1">
      <c r="A314" s="122"/>
      <c r="B314" s="123"/>
      <c r="C314" s="31"/>
      <c r="D314" s="31"/>
      <c r="E314" s="31"/>
      <c r="F314" s="70"/>
      <c r="G314" s="70"/>
      <c r="H314" s="70"/>
      <c r="I314" s="70"/>
      <c r="J314" s="71"/>
      <c r="K314" s="70"/>
      <c r="L314" s="70"/>
      <c r="M314" s="71"/>
      <c r="N314" s="71"/>
      <c r="O314" s="71"/>
      <c r="P314" s="70"/>
      <c r="Q314" s="70"/>
      <c r="R314" s="70"/>
      <c r="S314" s="70"/>
      <c r="T314" s="70"/>
      <c r="U314" s="70"/>
      <c r="V314" s="70"/>
      <c r="W314" s="70"/>
      <c r="X314" s="70"/>
      <c r="Y314" s="70"/>
      <c r="Z314" s="70"/>
      <c r="AA314" s="70"/>
      <c r="AB314" s="70"/>
      <c r="AC314" s="70"/>
      <c r="AD314" s="76"/>
      <c r="AE314" s="76"/>
      <c r="AF314" s="76"/>
      <c r="AG314" s="76"/>
      <c r="AH314" s="76"/>
      <c r="AI314" s="76"/>
      <c r="AJ314" s="76"/>
      <c r="AK314" s="76"/>
      <c r="AL314" s="76"/>
      <c r="AM314" s="76"/>
      <c r="AN314" s="76"/>
      <c r="AO314" s="76"/>
      <c r="AP314" s="76"/>
      <c r="AQ314" s="76"/>
      <c r="AR314" s="76"/>
      <c r="AS314" s="76"/>
      <c r="AT314" s="76"/>
      <c r="AU314" s="76"/>
      <c r="AV314" s="76"/>
      <c r="AW314" s="76"/>
      <c r="AX314" s="76"/>
    </row>
    <row r="315">
      <c r="A315" s="130"/>
      <c r="B315" s="130"/>
      <c r="C315" s="31"/>
      <c r="D315" s="31"/>
      <c r="E315" s="31"/>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row>
    <row r="316" ht="15.75" customHeight="1">
      <c r="A316" s="122" t="s">
        <v>150</v>
      </c>
      <c r="B316" s="123" t="s">
        <v>2186</v>
      </c>
      <c r="C316" s="31"/>
      <c r="D316" s="31"/>
      <c r="E316" s="31"/>
      <c r="F316" s="70"/>
      <c r="G316" s="70"/>
      <c r="H316" s="70"/>
      <c r="I316" s="71"/>
      <c r="J316" s="71"/>
      <c r="K316" s="70"/>
      <c r="L316" s="71"/>
      <c r="M316" s="71"/>
      <c r="N316" s="71"/>
      <c r="O316" s="71" t="s">
        <v>1234</v>
      </c>
      <c r="P316" s="70"/>
      <c r="Q316" s="70"/>
      <c r="R316" s="70"/>
      <c r="S316" s="70"/>
      <c r="T316" s="70"/>
      <c r="U316" s="70"/>
      <c r="V316" s="70"/>
      <c r="W316" s="70"/>
      <c r="X316" s="70"/>
      <c r="Y316" s="70"/>
      <c r="Z316" s="70"/>
      <c r="AA316" s="70"/>
      <c r="AB316" s="70"/>
      <c r="AC316" s="70"/>
      <c r="AD316" s="76"/>
      <c r="AE316" s="76"/>
      <c r="AF316" s="76"/>
      <c r="AG316" s="76"/>
      <c r="AH316" s="76"/>
      <c r="AI316" s="76"/>
      <c r="AJ316" s="76"/>
      <c r="AK316" s="76"/>
      <c r="AL316" s="76"/>
      <c r="AM316" s="76"/>
      <c r="AN316" s="76"/>
      <c r="AO316" s="76"/>
      <c r="AP316" s="76"/>
      <c r="AQ316" s="76"/>
      <c r="AR316" s="76"/>
      <c r="AS316" s="76"/>
      <c r="AT316" s="76"/>
      <c r="AU316" s="76"/>
      <c r="AV316" s="76"/>
      <c r="AW316" s="76"/>
      <c r="AX316" s="76"/>
    </row>
    <row r="317" ht="15.75" customHeight="1">
      <c r="A317" s="122" t="s">
        <v>150</v>
      </c>
      <c r="B317" s="123" t="s">
        <v>2191</v>
      </c>
      <c r="C317" s="31"/>
      <c r="D317" s="31"/>
      <c r="E317" s="31"/>
      <c r="F317" s="70"/>
      <c r="G317" s="70"/>
      <c r="H317" s="70"/>
      <c r="I317" s="71"/>
      <c r="J317" s="71" t="s">
        <v>1736</v>
      </c>
      <c r="K317" s="70"/>
      <c r="L317" s="71"/>
      <c r="M317" s="71"/>
      <c r="N317" s="71"/>
      <c r="O317" s="71"/>
      <c r="P317" s="70"/>
      <c r="Q317" s="70"/>
      <c r="R317" s="70"/>
      <c r="S317" s="70"/>
      <c r="T317" s="70"/>
      <c r="U317" s="70"/>
      <c r="V317" s="70"/>
      <c r="W317" s="70"/>
      <c r="X317" s="70"/>
      <c r="Y317" s="70"/>
      <c r="Z317" s="70"/>
      <c r="AA317" s="70"/>
      <c r="AB317" s="70"/>
      <c r="AC317" s="70"/>
      <c r="AD317" s="76"/>
      <c r="AE317" s="76"/>
      <c r="AF317" s="76"/>
      <c r="AG317" s="76"/>
      <c r="AH317" s="76"/>
      <c r="AI317" s="76"/>
      <c r="AJ317" s="76"/>
      <c r="AK317" s="76"/>
      <c r="AL317" s="76"/>
      <c r="AM317" s="76"/>
      <c r="AN317" s="76"/>
      <c r="AO317" s="76"/>
      <c r="AP317" s="76"/>
      <c r="AQ317" s="76"/>
      <c r="AR317" s="76"/>
      <c r="AS317" s="76"/>
      <c r="AT317" s="76"/>
      <c r="AU317" s="76"/>
      <c r="AV317" s="76"/>
      <c r="AW317" s="76"/>
      <c r="AX317" s="76"/>
    </row>
    <row r="318" ht="15.75" customHeight="1">
      <c r="A318" s="149" t="s">
        <v>42</v>
      </c>
      <c r="B318" s="131" t="s">
        <v>2195</v>
      </c>
      <c r="C318" s="31" t="s">
        <v>3996</v>
      </c>
      <c r="D318" s="31" t="e">
        <v>#VALUE!</v>
      </c>
      <c r="E318" s="31" t="e">
        <v>#VALUE!</v>
      </c>
      <c r="F318" s="31"/>
      <c r="G318" s="31"/>
      <c r="H318" s="31"/>
      <c r="I318" s="159"/>
      <c r="J318" s="84"/>
      <c r="K318" s="84"/>
      <c r="L318" s="84"/>
      <c r="M318" s="84"/>
      <c r="N318" s="84"/>
      <c r="O318" s="84"/>
      <c r="P318" s="84"/>
      <c r="Q318" s="84"/>
      <c r="R318" s="84"/>
      <c r="S318" s="84"/>
      <c r="T318" s="84"/>
      <c r="U318" s="84"/>
      <c r="V318" s="84"/>
      <c r="W318" s="84"/>
      <c r="X318" s="84"/>
      <c r="Y318" s="84"/>
      <c r="Z318" s="84"/>
      <c r="AA318" s="84"/>
      <c r="AB318" s="84"/>
      <c r="AC318" s="84"/>
      <c r="AD318" s="76"/>
      <c r="AE318" s="76"/>
      <c r="AF318" s="76"/>
      <c r="AG318" s="76"/>
      <c r="AH318" s="76"/>
      <c r="AI318" s="76"/>
      <c r="AJ318" s="76"/>
      <c r="AK318" s="76"/>
      <c r="AL318" s="76"/>
      <c r="AM318" s="76"/>
      <c r="AN318" s="76"/>
      <c r="AO318" s="76"/>
      <c r="AP318" s="76"/>
      <c r="AQ318" s="76"/>
      <c r="AR318" s="76"/>
      <c r="AS318" s="76"/>
      <c r="AT318" s="76"/>
      <c r="AU318" s="76"/>
      <c r="AV318" s="76"/>
      <c r="AW318" s="76"/>
      <c r="AX318" s="76"/>
    </row>
    <row r="319" ht="15.75" customHeight="1">
      <c r="A319" s="81" t="s">
        <v>841</v>
      </c>
      <c r="B319" s="142" t="s">
        <v>2201</v>
      </c>
      <c r="C319" s="31" t="s">
        <v>4004</v>
      </c>
      <c r="D319" s="31" t="s">
        <v>4005</v>
      </c>
      <c r="E319" s="31" t="s">
        <v>4006</v>
      </c>
      <c r="F319" s="31"/>
      <c r="G319" s="31"/>
      <c r="H319" s="31"/>
      <c r="I319" s="159"/>
      <c r="J319" s="84" t="s">
        <v>7</v>
      </c>
      <c r="K319" s="84"/>
      <c r="L319" s="84"/>
      <c r="M319" s="84"/>
      <c r="N319" s="84"/>
      <c r="O319" s="84"/>
      <c r="P319" s="84"/>
      <c r="Q319" s="84"/>
      <c r="R319" s="84"/>
      <c r="S319" s="84"/>
      <c r="T319" s="84"/>
      <c r="U319" s="84"/>
      <c r="V319" s="84"/>
      <c r="W319" s="84"/>
      <c r="X319" s="84"/>
      <c r="Y319" s="84"/>
      <c r="Z319" s="84"/>
      <c r="AA319" s="84"/>
      <c r="AB319" s="84"/>
      <c r="AC319" s="84"/>
      <c r="AD319" s="76"/>
      <c r="AE319" s="76"/>
      <c r="AF319" s="76"/>
      <c r="AG319" s="76"/>
      <c r="AH319" s="76"/>
      <c r="AI319" s="76"/>
      <c r="AJ319" s="76"/>
      <c r="AK319" s="76"/>
      <c r="AL319" s="76"/>
      <c r="AM319" s="76"/>
      <c r="AN319" s="76"/>
      <c r="AO319" s="76"/>
      <c r="AP319" s="76"/>
      <c r="AQ319" s="76"/>
      <c r="AR319" s="76"/>
      <c r="AS319" s="76"/>
      <c r="AT319" s="76"/>
      <c r="AU319" s="76"/>
      <c r="AV319" s="76"/>
      <c r="AW319" s="76"/>
      <c r="AX319" s="76"/>
    </row>
    <row r="320" ht="15.75" customHeight="1">
      <c r="A320" s="81" t="s">
        <v>841</v>
      </c>
      <c r="B320" s="142" t="s">
        <v>2206</v>
      </c>
      <c r="C320" s="31" t="s">
        <v>4014</v>
      </c>
      <c r="D320" s="31" t="s">
        <v>4015</v>
      </c>
      <c r="E320" s="31" t="s">
        <v>4016</v>
      </c>
      <c r="F320" s="31"/>
      <c r="G320" s="31"/>
      <c r="H320" s="31"/>
      <c r="I320" s="159"/>
      <c r="J320" s="84" t="s">
        <v>1756</v>
      </c>
      <c r="K320" s="84"/>
      <c r="L320" s="84"/>
      <c r="M320" s="84"/>
      <c r="N320" s="84"/>
      <c r="O320" s="84"/>
      <c r="P320" s="84"/>
      <c r="Q320" s="84" t="s">
        <v>166</v>
      </c>
      <c r="R320" s="84"/>
      <c r="S320" s="84"/>
      <c r="T320" s="84"/>
      <c r="U320" s="84"/>
      <c r="V320" s="84"/>
      <c r="W320" s="84"/>
      <c r="X320" s="84"/>
      <c r="Y320" s="84"/>
      <c r="Z320" s="84"/>
      <c r="AA320" s="84"/>
      <c r="AB320" s="84"/>
      <c r="AC320" s="84"/>
      <c r="AD320" s="76"/>
      <c r="AE320" s="76"/>
      <c r="AF320" s="76"/>
      <c r="AG320" s="76"/>
      <c r="AH320" s="76"/>
      <c r="AI320" s="76"/>
      <c r="AJ320" s="76"/>
      <c r="AK320" s="76"/>
      <c r="AL320" s="76"/>
      <c r="AM320" s="76"/>
      <c r="AN320" s="76"/>
      <c r="AO320" s="76"/>
      <c r="AP320" s="76"/>
      <c r="AQ320" s="76"/>
      <c r="AR320" s="76"/>
      <c r="AS320" s="76"/>
      <c r="AT320" s="76"/>
      <c r="AU320" s="76"/>
      <c r="AV320" s="76"/>
      <c r="AW320" s="76"/>
      <c r="AX320" s="76"/>
    </row>
    <row r="321" ht="15.75" customHeight="1">
      <c r="A321" s="81" t="s">
        <v>841</v>
      </c>
      <c r="B321" s="142" t="s">
        <v>2211</v>
      </c>
      <c r="C321" s="31" t="s">
        <v>4022</v>
      </c>
      <c r="D321" s="31" t="s">
        <v>4024</v>
      </c>
      <c r="E321" s="31" t="s">
        <v>4026</v>
      </c>
      <c r="F321" s="31"/>
      <c r="G321" s="31"/>
      <c r="H321" s="31"/>
      <c r="I321" s="159"/>
      <c r="J321" s="84" t="s">
        <v>1756</v>
      </c>
      <c r="K321" s="84"/>
      <c r="L321" s="84"/>
      <c r="M321" s="84"/>
      <c r="N321" s="84"/>
      <c r="O321" s="84"/>
      <c r="P321" s="84"/>
      <c r="Q321" s="84" t="s">
        <v>166</v>
      </c>
      <c r="R321" s="84"/>
      <c r="S321" s="84"/>
      <c r="T321" s="84"/>
      <c r="U321" s="84"/>
      <c r="V321" s="84"/>
      <c r="W321" s="84"/>
      <c r="X321" s="84"/>
      <c r="Y321" s="84"/>
      <c r="Z321" s="84"/>
      <c r="AA321" s="84"/>
      <c r="AB321" s="84"/>
      <c r="AC321" s="84"/>
      <c r="AD321" s="76"/>
      <c r="AE321" s="76"/>
      <c r="AF321" s="76"/>
      <c r="AG321" s="76"/>
      <c r="AH321" s="76"/>
      <c r="AI321" s="76"/>
      <c r="AJ321" s="76"/>
      <c r="AK321" s="76"/>
      <c r="AL321" s="76"/>
      <c r="AM321" s="76"/>
      <c r="AN321" s="76"/>
      <c r="AO321" s="76"/>
      <c r="AP321" s="76"/>
      <c r="AQ321" s="76"/>
      <c r="AR321" s="76"/>
      <c r="AS321" s="76"/>
      <c r="AT321" s="76"/>
      <c r="AU321" s="76"/>
      <c r="AV321" s="76"/>
      <c r="AW321" s="76"/>
      <c r="AX321" s="76"/>
    </row>
    <row r="322" ht="15.75" customHeight="1">
      <c r="A322" s="122" t="s">
        <v>236</v>
      </c>
      <c r="B322" s="153" t="s">
        <v>2191</v>
      </c>
      <c r="C322" s="31"/>
      <c r="D322" s="31"/>
      <c r="E322" s="31"/>
      <c r="F322" s="70"/>
      <c r="G322" s="70"/>
      <c r="H322" s="70"/>
      <c r="I322" s="70"/>
      <c r="J322" s="70"/>
      <c r="K322" s="70"/>
      <c r="L322" s="70"/>
      <c r="M322" s="70"/>
      <c r="N322" s="70"/>
      <c r="O322" s="70"/>
      <c r="P322" s="70"/>
      <c r="Q322" s="70"/>
      <c r="R322" s="70"/>
      <c r="S322" s="70"/>
      <c r="T322" s="70"/>
      <c r="U322" s="70"/>
      <c r="V322" s="70"/>
      <c r="W322" s="70"/>
      <c r="X322" s="70"/>
      <c r="Y322" s="70"/>
      <c r="Z322" s="70"/>
      <c r="AA322" s="70"/>
      <c r="AB322" s="70"/>
      <c r="AC322" s="70"/>
      <c r="AD322" s="76"/>
      <c r="AE322" s="76"/>
      <c r="AF322" s="76"/>
      <c r="AG322" s="76"/>
      <c r="AH322" s="76"/>
      <c r="AI322" s="76"/>
      <c r="AJ322" s="76"/>
      <c r="AK322" s="76"/>
      <c r="AL322" s="76"/>
      <c r="AM322" s="76"/>
      <c r="AN322" s="76"/>
      <c r="AO322" s="76"/>
      <c r="AP322" s="76"/>
      <c r="AQ322" s="76"/>
      <c r="AR322" s="76"/>
      <c r="AS322" s="76"/>
      <c r="AT322" s="76"/>
      <c r="AU322" s="76"/>
      <c r="AV322" s="76"/>
      <c r="AW322" s="76"/>
      <c r="AX322" s="76"/>
    </row>
    <row r="323" ht="15.75" customHeight="1">
      <c r="A323" s="122" t="s">
        <v>150</v>
      </c>
      <c r="B323" s="123" t="s">
        <v>2219</v>
      </c>
      <c r="C323" s="31"/>
      <c r="D323" s="31"/>
      <c r="E323" s="31"/>
      <c r="F323" s="70"/>
      <c r="G323" s="70"/>
      <c r="H323" s="70"/>
      <c r="I323" s="71"/>
      <c r="J323" s="71" t="s">
        <v>1736</v>
      </c>
      <c r="K323" s="70"/>
      <c r="L323" s="71"/>
      <c r="M323" s="71"/>
      <c r="N323" s="71"/>
      <c r="O323" s="71"/>
      <c r="P323" s="70"/>
      <c r="Q323" s="70"/>
      <c r="R323" s="70"/>
      <c r="S323" s="70"/>
      <c r="T323" s="70"/>
      <c r="U323" s="70"/>
      <c r="V323" s="70"/>
      <c r="W323" s="70"/>
      <c r="X323" s="70"/>
      <c r="Y323" s="70"/>
      <c r="Z323" s="70"/>
      <c r="AA323" s="70"/>
      <c r="AB323" s="70"/>
      <c r="AC323" s="70"/>
      <c r="AD323" s="76"/>
      <c r="AE323" s="76"/>
      <c r="AF323" s="76"/>
      <c r="AG323" s="76"/>
      <c r="AH323" s="76"/>
      <c r="AI323" s="76"/>
      <c r="AJ323" s="76"/>
      <c r="AK323" s="76"/>
      <c r="AL323" s="76"/>
      <c r="AM323" s="76"/>
      <c r="AN323" s="76"/>
      <c r="AO323" s="76"/>
      <c r="AP323" s="76"/>
      <c r="AQ323" s="76"/>
      <c r="AR323" s="76"/>
      <c r="AS323" s="76"/>
      <c r="AT323" s="76"/>
      <c r="AU323" s="76"/>
      <c r="AV323" s="76"/>
      <c r="AW323" s="76"/>
      <c r="AX323" s="76"/>
    </row>
    <row r="324" ht="15.75" customHeight="1">
      <c r="A324" s="81" t="s">
        <v>485</v>
      </c>
      <c r="B324" s="142" t="s">
        <v>2225</v>
      </c>
      <c r="C324" s="31" t="s">
        <v>4041</v>
      </c>
      <c r="D324" s="31" t="s">
        <v>4042</v>
      </c>
      <c r="E324" s="31" t="s">
        <v>4043</v>
      </c>
      <c r="F324" s="31"/>
      <c r="G324" s="31"/>
      <c r="H324" s="31"/>
      <c r="I324" s="159"/>
      <c r="J324" s="84" t="s">
        <v>7</v>
      </c>
      <c r="K324" s="84"/>
      <c r="L324" s="84"/>
      <c r="M324" s="84"/>
      <c r="N324" s="84"/>
      <c r="O324" s="84"/>
      <c r="P324" s="84"/>
      <c r="Q324" s="84"/>
      <c r="R324" s="84"/>
      <c r="S324" s="84"/>
      <c r="T324" s="84"/>
      <c r="U324" s="84"/>
      <c r="V324" s="84"/>
      <c r="W324" s="84"/>
      <c r="X324" s="84"/>
      <c r="Y324" s="84"/>
      <c r="Z324" s="84"/>
      <c r="AA324" s="84"/>
      <c r="AB324" s="84"/>
      <c r="AC324" s="84"/>
      <c r="AD324" s="76"/>
      <c r="AE324" s="76"/>
      <c r="AF324" s="76"/>
      <c r="AG324" s="76"/>
      <c r="AH324" s="76"/>
      <c r="AI324" s="76"/>
      <c r="AJ324" s="76"/>
      <c r="AK324" s="76"/>
      <c r="AL324" s="76"/>
      <c r="AM324" s="76"/>
      <c r="AN324" s="76"/>
      <c r="AO324" s="76"/>
      <c r="AP324" s="76"/>
      <c r="AQ324" s="76"/>
      <c r="AR324" s="76"/>
      <c r="AS324" s="76"/>
      <c r="AT324" s="76"/>
      <c r="AU324" s="76"/>
      <c r="AV324" s="76"/>
      <c r="AW324" s="76"/>
      <c r="AX324" s="76"/>
    </row>
    <row r="325" ht="15.75" customHeight="1">
      <c r="A325" s="81" t="s">
        <v>485</v>
      </c>
      <c r="B325" s="142" t="s">
        <v>2233</v>
      </c>
      <c r="C325" s="31" t="s">
        <v>4051</v>
      </c>
      <c r="D325" s="31" t="s">
        <v>4052</v>
      </c>
      <c r="E325" s="31" t="s">
        <v>4053</v>
      </c>
      <c r="F325" s="31"/>
      <c r="G325" s="31"/>
      <c r="H325" s="31"/>
      <c r="I325" s="159"/>
      <c r="J325" s="84" t="s">
        <v>1756</v>
      </c>
      <c r="K325" s="84"/>
      <c r="L325" s="84"/>
      <c r="M325" s="84"/>
      <c r="N325" s="84"/>
      <c r="O325" s="84"/>
      <c r="P325" s="84"/>
      <c r="Q325" s="84" t="s">
        <v>166</v>
      </c>
      <c r="R325" s="84"/>
      <c r="S325" s="84"/>
      <c r="T325" s="84"/>
      <c r="U325" s="84"/>
      <c r="V325" s="84"/>
      <c r="W325" s="84"/>
      <c r="X325" s="84"/>
      <c r="Y325" s="84"/>
      <c r="Z325" s="84"/>
      <c r="AA325" s="84"/>
      <c r="AB325" s="84"/>
      <c r="AC325" s="84"/>
      <c r="AD325" s="76"/>
      <c r="AE325" s="76"/>
      <c r="AF325" s="76"/>
      <c r="AG325" s="76"/>
      <c r="AH325" s="76"/>
      <c r="AI325" s="76"/>
      <c r="AJ325" s="76"/>
      <c r="AK325" s="76"/>
      <c r="AL325" s="76"/>
      <c r="AM325" s="76"/>
      <c r="AN325" s="76"/>
      <c r="AO325" s="76"/>
      <c r="AP325" s="76"/>
      <c r="AQ325" s="76"/>
      <c r="AR325" s="76"/>
      <c r="AS325" s="76"/>
      <c r="AT325" s="76"/>
      <c r="AU325" s="76"/>
      <c r="AV325" s="76"/>
      <c r="AW325" s="76"/>
      <c r="AX325" s="76"/>
    </row>
    <row r="326" ht="15.75" customHeight="1">
      <c r="A326" s="81" t="s">
        <v>485</v>
      </c>
      <c r="B326" s="142" t="s">
        <v>2250</v>
      </c>
      <c r="C326" s="31" t="s">
        <v>4057</v>
      </c>
      <c r="D326" s="31" t="s">
        <v>4059</v>
      </c>
      <c r="E326" s="31" t="s">
        <v>4060</v>
      </c>
      <c r="F326" s="31"/>
      <c r="G326" s="31"/>
      <c r="H326" s="31"/>
      <c r="I326" s="159"/>
      <c r="J326" s="84" t="s">
        <v>1756</v>
      </c>
      <c r="K326" s="84"/>
      <c r="L326" s="84"/>
      <c r="M326" s="84"/>
      <c r="N326" s="84"/>
      <c r="O326" s="84"/>
      <c r="P326" s="84"/>
      <c r="Q326" s="84" t="s">
        <v>166</v>
      </c>
      <c r="R326" s="84"/>
      <c r="S326" s="84"/>
      <c r="T326" s="84"/>
      <c r="U326" s="84"/>
      <c r="V326" s="84"/>
      <c r="W326" s="84"/>
      <c r="X326" s="84"/>
      <c r="Y326" s="84"/>
      <c r="Z326" s="84"/>
      <c r="AA326" s="84"/>
      <c r="AB326" s="84"/>
      <c r="AC326" s="84"/>
      <c r="AD326" s="76"/>
      <c r="AE326" s="76"/>
      <c r="AF326" s="76"/>
      <c r="AG326" s="76"/>
      <c r="AH326" s="76"/>
      <c r="AI326" s="76"/>
      <c r="AJ326" s="76"/>
      <c r="AK326" s="76"/>
      <c r="AL326" s="76"/>
      <c r="AM326" s="76"/>
      <c r="AN326" s="76"/>
      <c r="AO326" s="76"/>
      <c r="AP326" s="76"/>
      <c r="AQ326" s="76"/>
      <c r="AR326" s="76"/>
      <c r="AS326" s="76"/>
      <c r="AT326" s="76"/>
      <c r="AU326" s="76"/>
      <c r="AV326" s="76"/>
      <c r="AW326" s="76"/>
      <c r="AX326" s="76"/>
    </row>
    <row r="327" ht="15.75" customHeight="1">
      <c r="A327" s="81" t="s">
        <v>485</v>
      </c>
      <c r="B327" s="142" t="s">
        <v>2260</v>
      </c>
      <c r="C327" s="31" t="s">
        <v>4065</v>
      </c>
      <c r="D327" s="31" t="s">
        <v>4066</v>
      </c>
      <c r="E327" s="31" t="s">
        <v>4067</v>
      </c>
      <c r="F327" s="31"/>
      <c r="G327" s="31"/>
      <c r="H327" s="31"/>
      <c r="I327" s="159"/>
      <c r="J327" s="84" t="s">
        <v>1756</v>
      </c>
      <c r="K327" s="84"/>
      <c r="L327" s="84"/>
      <c r="M327" s="84"/>
      <c r="N327" s="84"/>
      <c r="O327" s="84"/>
      <c r="P327" s="84"/>
      <c r="Q327" s="84" t="s">
        <v>166</v>
      </c>
      <c r="R327" s="84"/>
      <c r="S327" s="84"/>
      <c r="T327" s="84"/>
      <c r="U327" s="84"/>
      <c r="V327" s="84"/>
      <c r="W327" s="84"/>
      <c r="X327" s="84"/>
      <c r="Y327" s="84"/>
      <c r="Z327" s="84"/>
      <c r="AA327" s="84"/>
      <c r="AB327" s="84"/>
      <c r="AC327" s="84"/>
      <c r="AD327" s="76"/>
      <c r="AE327" s="76"/>
      <c r="AF327" s="76"/>
      <c r="AG327" s="76"/>
      <c r="AH327" s="76"/>
      <c r="AI327" s="76"/>
      <c r="AJ327" s="76"/>
      <c r="AK327" s="76"/>
      <c r="AL327" s="76"/>
      <c r="AM327" s="76"/>
      <c r="AN327" s="76"/>
      <c r="AO327" s="76"/>
      <c r="AP327" s="76"/>
      <c r="AQ327" s="76"/>
      <c r="AR327" s="76"/>
      <c r="AS327" s="76"/>
      <c r="AT327" s="76"/>
      <c r="AU327" s="76"/>
      <c r="AV327" s="76"/>
      <c r="AW327" s="76"/>
      <c r="AX327" s="76"/>
    </row>
    <row r="328" ht="15.75" customHeight="1">
      <c r="A328" s="81" t="s">
        <v>485</v>
      </c>
      <c r="B328" s="131" t="s">
        <v>2271</v>
      </c>
      <c r="C328" s="31" t="s">
        <v>4076</v>
      </c>
      <c r="D328" s="31" t="s">
        <v>4077</v>
      </c>
      <c r="E328" s="31" t="s">
        <v>4078</v>
      </c>
      <c r="F328" s="70"/>
      <c r="G328" s="70"/>
      <c r="H328" s="70"/>
      <c r="I328" s="70"/>
      <c r="J328" s="84" t="s">
        <v>1756</v>
      </c>
      <c r="K328" s="70"/>
      <c r="L328" s="70"/>
      <c r="M328" s="70"/>
      <c r="N328" s="70"/>
      <c r="O328" s="70"/>
      <c r="P328" s="70"/>
      <c r="Q328" s="70"/>
      <c r="R328" s="70"/>
      <c r="S328" s="70"/>
      <c r="T328" s="70"/>
      <c r="U328" s="70"/>
      <c r="V328" s="70"/>
      <c r="W328" s="70"/>
      <c r="X328" s="70"/>
      <c r="Y328" s="70"/>
      <c r="Z328" s="70"/>
      <c r="AA328" s="70"/>
      <c r="AB328" s="70"/>
      <c r="AC328" s="70"/>
      <c r="AD328" s="76"/>
      <c r="AE328" s="76"/>
      <c r="AF328" s="76"/>
      <c r="AG328" s="76"/>
      <c r="AH328" s="76"/>
      <c r="AI328" s="76"/>
      <c r="AJ328" s="76"/>
      <c r="AK328" s="76"/>
      <c r="AL328" s="76"/>
      <c r="AM328" s="76"/>
      <c r="AN328" s="76"/>
      <c r="AO328" s="76"/>
      <c r="AP328" s="76"/>
      <c r="AQ328" s="76"/>
      <c r="AR328" s="76"/>
      <c r="AS328" s="76"/>
      <c r="AT328" s="76"/>
      <c r="AU328" s="76"/>
      <c r="AV328" s="76"/>
      <c r="AW328" s="76"/>
      <c r="AX328" s="76"/>
    </row>
    <row r="329" ht="15.75" customHeight="1">
      <c r="A329" s="81" t="s">
        <v>485</v>
      </c>
      <c r="B329" s="131" t="s">
        <v>2280</v>
      </c>
      <c r="C329" s="31" t="s">
        <v>4090</v>
      </c>
      <c r="D329" s="31" t="s">
        <v>4091</v>
      </c>
      <c r="E329" s="31" t="s">
        <v>4092</v>
      </c>
      <c r="F329" s="70"/>
      <c r="G329" s="70"/>
      <c r="H329" s="70"/>
      <c r="I329" s="70"/>
      <c r="J329" s="84" t="s">
        <v>1756</v>
      </c>
      <c r="K329" s="70"/>
      <c r="L329" s="70"/>
      <c r="M329" s="70"/>
      <c r="N329" s="70"/>
      <c r="O329" s="70"/>
      <c r="P329" s="70"/>
      <c r="Q329" s="70"/>
      <c r="R329" s="70"/>
      <c r="S329" s="70"/>
      <c r="T329" s="70"/>
      <c r="U329" s="70"/>
      <c r="V329" s="70"/>
      <c r="W329" s="70"/>
      <c r="X329" s="70"/>
      <c r="Y329" s="70"/>
      <c r="Z329" s="70"/>
      <c r="AA329" s="70"/>
      <c r="AB329" s="70"/>
      <c r="AC329" s="70"/>
      <c r="AD329" s="76"/>
      <c r="AE329" s="76"/>
      <c r="AF329" s="76"/>
      <c r="AG329" s="76"/>
      <c r="AH329" s="76"/>
      <c r="AI329" s="76"/>
      <c r="AJ329" s="76"/>
      <c r="AK329" s="76"/>
      <c r="AL329" s="76"/>
      <c r="AM329" s="76"/>
      <c r="AN329" s="76"/>
      <c r="AO329" s="76"/>
      <c r="AP329" s="76"/>
      <c r="AQ329" s="76"/>
      <c r="AR329" s="76"/>
      <c r="AS329" s="76"/>
      <c r="AT329" s="76"/>
      <c r="AU329" s="76"/>
      <c r="AV329" s="76"/>
      <c r="AW329" s="76"/>
      <c r="AX329" s="76"/>
    </row>
    <row r="330" ht="15.75" customHeight="1">
      <c r="A330" s="81" t="s">
        <v>485</v>
      </c>
      <c r="B330" s="171" t="s">
        <v>2287</v>
      </c>
      <c r="C330" s="31" t="s">
        <v>4101</v>
      </c>
      <c r="D330" s="31" t="s">
        <v>4102</v>
      </c>
      <c r="E330" s="31" t="s">
        <v>4103</v>
      </c>
      <c r="F330" s="70"/>
      <c r="G330" s="70"/>
      <c r="H330" s="70"/>
      <c r="I330" s="70"/>
      <c r="J330" s="84" t="s">
        <v>1756</v>
      </c>
      <c r="K330" s="70"/>
      <c r="L330" s="70"/>
      <c r="M330" s="70"/>
      <c r="N330" s="70"/>
      <c r="O330" s="70"/>
      <c r="P330" s="70"/>
      <c r="Q330" s="70"/>
      <c r="R330" s="70"/>
      <c r="S330" s="70"/>
      <c r="T330" s="70"/>
      <c r="U330" s="70"/>
      <c r="V330" s="70"/>
      <c r="W330" s="70"/>
      <c r="X330" s="70"/>
      <c r="Y330" s="70"/>
      <c r="Z330" s="70"/>
      <c r="AA330" s="70"/>
      <c r="AB330" s="70"/>
      <c r="AC330" s="70"/>
      <c r="AD330" s="76"/>
      <c r="AE330" s="76"/>
      <c r="AF330" s="76"/>
      <c r="AG330" s="76"/>
      <c r="AH330" s="76"/>
      <c r="AI330" s="76"/>
      <c r="AJ330" s="76"/>
      <c r="AK330" s="76"/>
      <c r="AL330" s="76"/>
      <c r="AM330" s="76"/>
      <c r="AN330" s="76"/>
      <c r="AO330" s="76"/>
      <c r="AP330" s="76"/>
      <c r="AQ330" s="76"/>
      <c r="AR330" s="76"/>
      <c r="AS330" s="76"/>
      <c r="AT330" s="76"/>
      <c r="AU330" s="76"/>
      <c r="AV330" s="76"/>
      <c r="AW330" s="76"/>
      <c r="AX330" s="76"/>
    </row>
    <row r="331" ht="15.75" customHeight="1">
      <c r="A331" s="122" t="s">
        <v>236</v>
      </c>
      <c r="B331" s="153" t="s">
        <v>2219</v>
      </c>
      <c r="C331" s="31"/>
      <c r="D331" s="31"/>
      <c r="E331" s="31"/>
      <c r="F331" s="70"/>
      <c r="G331" s="70"/>
      <c r="H331" s="70"/>
      <c r="I331" s="70"/>
      <c r="J331" s="70"/>
      <c r="K331" s="70"/>
      <c r="L331" s="70"/>
      <c r="M331" s="70"/>
      <c r="N331" s="70"/>
      <c r="O331" s="70"/>
      <c r="P331" s="70"/>
      <c r="Q331" s="70"/>
      <c r="R331" s="70"/>
      <c r="S331" s="70"/>
      <c r="T331" s="70"/>
      <c r="U331" s="70"/>
      <c r="V331" s="70"/>
      <c r="W331" s="70"/>
      <c r="X331" s="70"/>
      <c r="Y331" s="70"/>
      <c r="Z331" s="70"/>
      <c r="AA331" s="70"/>
      <c r="AB331" s="70"/>
      <c r="AC331" s="70"/>
      <c r="AD331" s="76"/>
      <c r="AE331" s="76"/>
      <c r="AF331" s="76"/>
      <c r="AG331" s="76"/>
      <c r="AH331" s="76"/>
      <c r="AI331" s="76"/>
      <c r="AJ331" s="76"/>
      <c r="AK331" s="76"/>
      <c r="AL331" s="76"/>
      <c r="AM331" s="76"/>
      <c r="AN331" s="76"/>
      <c r="AO331" s="76"/>
      <c r="AP331" s="76"/>
      <c r="AQ331" s="76"/>
      <c r="AR331" s="76"/>
      <c r="AS331" s="76"/>
      <c r="AT331" s="76"/>
      <c r="AU331" s="76"/>
      <c r="AV331" s="76"/>
      <c r="AW331" s="76"/>
      <c r="AX331" s="76"/>
    </row>
    <row r="332" ht="15.75" customHeight="1">
      <c r="A332" s="122" t="s">
        <v>150</v>
      </c>
      <c r="B332" s="123" t="s">
        <v>2304</v>
      </c>
      <c r="C332" s="31"/>
      <c r="D332" s="31"/>
      <c r="E332" s="31"/>
      <c r="F332" s="70"/>
      <c r="G332" s="70"/>
      <c r="H332" s="70"/>
      <c r="I332" s="71"/>
      <c r="J332" s="71" t="s">
        <v>1736</v>
      </c>
      <c r="K332" s="70"/>
      <c r="L332" s="71"/>
      <c r="M332" s="71"/>
      <c r="N332" s="71"/>
      <c r="O332" s="71"/>
      <c r="P332" s="70"/>
      <c r="Q332" s="70"/>
      <c r="R332" s="70"/>
      <c r="S332" s="70"/>
      <c r="T332" s="70"/>
      <c r="U332" s="70"/>
      <c r="V332" s="70"/>
      <c r="W332" s="70"/>
      <c r="X332" s="70"/>
      <c r="Y332" s="70"/>
      <c r="Z332" s="70"/>
      <c r="AA332" s="70"/>
      <c r="AB332" s="70"/>
      <c r="AC332" s="70"/>
      <c r="AD332" s="76"/>
      <c r="AE332" s="76"/>
      <c r="AF332" s="76"/>
      <c r="AG332" s="76"/>
      <c r="AH332" s="76"/>
      <c r="AI332" s="76"/>
      <c r="AJ332" s="76"/>
      <c r="AK332" s="76"/>
      <c r="AL332" s="76"/>
      <c r="AM332" s="76"/>
      <c r="AN332" s="76"/>
      <c r="AO332" s="76"/>
      <c r="AP332" s="76"/>
      <c r="AQ332" s="76"/>
      <c r="AR332" s="76"/>
      <c r="AS332" s="76"/>
      <c r="AT332" s="76"/>
      <c r="AU332" s="76"/>
      <c r="AV332" s="76"/>
      <c r="AW332" s="76"/>
      <c r="AX332" s="76"/>
    </row>
    <row r="333" ht="15.75" customHeight="1">
      <c r="A333" s="81" t="s">
        <v>338</v>
      </c>
      <c r="B333" s="142" t="s">
        <v>2309</v>
      </c>
      <c r="C333" s="31" t="s">
        <v>4137</v>
      </c>
      <c r="D333" s="31" t="s">
        <v>4138</v>
      </c>
      <c r="E333" s="31" t="s">
        <v>4139</v>
      </c>
      <c r="F333" s="31"/>
      <c r="G333" s="31"/>
      <c r="H333" s="31"/>
      <c r="I333" s="159"/>
      <c r="J333" s="84" t="s">
        <v>7</v>
      </c>
      <c r="K333" s="84"/>
      <c r="L333" s="84"/>
      <c r="M333" s="84"/>
      <c r="N333" s="84"/>
      <c r="O333" s="84"/>
      <c r="P333" s="84"/>
      <c r="Q333" s="84"/>
      <c r="R333" s="84"/>
      <c r="S333" s="84"/>
      <c r="T333" s="84"/>
      <c r="U333" s="84"/>
      <c r="V333" s="84"/>
      <c r="W333" s="84"/>
      <c r="X333" s="84"/>
      <c r="Y333" s="84"/>
      <c r="Z333" s="84"/>
      <c r="AA333" s="84"/>
      <c r="AB333" s="84"/>
      <c r="AC333" s="84"/>
      <c r="AD333" s="76"/>
      <c r="AE333" s="76"/>
      <c r="AF333" s="76"/>
      <c r="AG333" s="76"/>
      <c r="AH333" s="76"/>
      <c r="AI333" s="76"/>
      <c r="AJ333" s="76"/>
      <c r="AK333" s="76"/>
      <c r="AL333" s="76"/>
      <c r="AM333" s="76"/>
      <c r="AN333" s="76"/>
      <c r="AO333" s="76"/>
      <c r="AP333" s="76"/>
      <c r="AQ333" s="76"/>
      <c r="AR333" s="76"/>
      <c r="AS333" s="76"/>
      <c r="AT333" s="76"/>
      <c r="AU333" s="76"/>
      <c r="AV333" s="76"/>
      <c r="AW333" s="76"/>
      <c r="AX333" s="76"/>
    </row>
    <row r="334" ht="15.75" customHeight="1">
      <c r="A334" s="81" t="s">
        <v>338</v>
      </c>
      <c r="B334" s="142" t="s">
        <v>2324</v>
      </c>
      <c r="C334" s="31" t="s">
        <v>4154</v>
      </c>
      <c r="D334" s="31" t="s">
        <v>4155</v>
      </c>
      <c r="E334" s="31" t="s">
        <v>4157</v>
      </c>
      <c r="F334" s="31"/>
      <c r="G334" s="31"/>
      <c r="H334" s="31"/>
      <c r="I334" s="159"/>
      <c r="J334" s="84" t="s">
        <v>1756</v>
      </c>
      <c r="K334" s="84"/>
      <c r="L334" s="84"/>
      <c r="M334" s="84"/>
      <c r="N334" s="84"/>
      <c r="O334" s="84"/>
      <c r="P334" s="84"/>
      <c r="Q334" s="84" t="s">
        <v>166</v>
      </c>
      <c r="R334" s="84"/>
      <c r="S334" s="84"/>
      <c r="T334" s="84"/>
      <c r="U334" s="84"/>
      <c r="V334" s="84"/>
      <c r="W334" s="84"/>
      <c r="X334" s="84"/>
      <c r="Y334" s="84"/>
      <c r="Z334" s="84"/>
      <c r="AA334" s="84"/>
      <c r="AB334" s="84"/>
      <c r="AC334" s="84"/>
      <c r="AD334" s="76"/>
      <c r="AE334" s="76"/>
      <c r="AF334" s="76"/>
      <c r="AG334" s="76"/>
      <c r="AH334" s="76"/>
      <c r="AI334" s="76"/>
      <c r="AJ334" s="76"/>
      <c r="AK334" s="76"/>
      <c r="AL334" s="76"/>
      <c r="AM334" s="76"/>
      <c r="AN334" s="76"/>
      <c r="AO334" s="76"/>
      <c r="AP334" s="76"/>
      <c r="AQ334" s="76"/>
      <c r="AR334" s="76"/>
      <c r="AS334" s="76"/>
      <c r="AT334" s="76"/>
      <c r="AU334" s="76"/>
      <c r="AV334" s="76"/>
      <c r="AW334" s="76"/>
      <c r="AX334" s="76"/>
    </row>
    <row r="335" ht="15.75" customHeight="1">
      <c r="A335" s="81" t="s">
        <v>338</v>
      </c>
      <c r="B335" s="142" t="s">
        <v>2335</v>
      </c>
      <c r="C335" s="31" t="s">
        <v>4172</v>
      </c>
      <c r="D335" s="31" t="s">
        <v>4173</v>
      </c>
      <c r="E335" s="31" t="s">
        <v>4174</v>
      </c>
      <c r="F335" s="31"/>
      <c r="G335" s="31"/>
      <c r="H335" s="31"/>
      <c r="I335" s="159"/>
      <c r="J335" s="84" t="s">
        <v>1756</v>
      </c>
      <c r="K335" s="84"/>
      <c r="L335" s="84"/>
      <c r="M335" s="84"/>
      <c r="N335" s="84"/>
      <c r="O335" s="84"/>
      <c r="P335" s="84"/>
      <c r="Q335" s="84" t="s">
        <v>166</v>
      </c>
      <c r="R335" s="84"/>
      <c r="S335" s="84"/>
      <c r="T335" s="84"/>
      <c r="U335" s="84"/>
      <c r="V335" s="84"/>
      <c r="W335" s="84"/>
      <c r="X335" s="84"/>
      <c r="Y335" s="84"/>
      <c r="Z335" s="84"/>
      <c r="AA335" s="84"/>
      <c r="AB335" s="84"/>
      <c r="AC335" s="84"/>
      <c r="AD335" s="76"/>
      <c r="AE335" s="76"/>
      <c r="AF335" s="76"/>
      <c r="AG335" s="76"/>
      <c r="AH335" s="76"/>
      <c r="AI335" s="76"/>
      <c r="AJ335" s="76"/>
      <c r="AK335" s="76"/>
      <c r="AL335" s="76"/>
      <c r="AM335" s="76"/>
      <c r="AN335" s="76"/>
      <c r="AO335" s="76"/>
      <c r="AP335" s="76"/>
      <c r="AQ335" s="76"/>
      <c r="AR335" s="76"/>
      <c r="AS335" s="76"/>
      <c r="AT335" s="76"/>
      <c r="AU335" s="76"/>
      <c r="AV335" s="76"/>
      <c r="AW335" s="76"/>
      <c r="AX335" s="76"/>
    </row>
    <row r="336" ht="15.75" customHeight="1">
      <c r="A336" s="81" t="s">
        <v>338</v>
      </c>
      <c r="B336" s="142" t="s">
        <v>2342</v>
      </c>
      <c r="C336" s="31" t="s">
        <v>4179</v>
      </c>
      <c r="D336" s="31" t="s">
        <v>4180</v>
      </c>
      <c r="E336" s="31" t="s">
        <v>4181</v>
      </c>
      <c r="F336" s="31"/>
      <c r="G336" s="31"/>
      <c r="H336" s="31"/>
      <c r="I336" s="159"/>
      <c r="J336" s="84" t="s">
        <v>1756</v>
      </c>
      <c r="K336" s="84"/>
      <c r="L336" s="84"/>
      <c r="M336" s="84"/>
      <c r="N336" s="84"/>
      <c r="O336" s="84"/>
      <c r="P336" s="84"/>
      <c r="Q336" s="84" t="s">
        <v>166</v>
      </c>
      <c r="R336" s="84"/>
      <c r="S336" s="84"/>
      <c r="T336" s="84"/>
      <c r="U336" s="84"/>
      <c r="V336" s="84"/>
      <c r="W336" s="84"/>
      <c r="X336" s="84"/>
      <c r="Y336" s="84"/>
      <c r="Z336" s="84"/>
      <c r="AA336" s="84"/>
      <c r="AB336" s="84"/>
      <c r="AC336" s="84"/>
      <c r="AD336" s="76"/>
      <c r="AE336" s="76"/>
      <c r="AF336" s="76"/>
      <c r="AG336" s="76"/>
      <c r="AH336" s="76"/>
      <c r="AI336" s="76"/>
      <c r="AJ336" s="76"/>
      <c r="AK336" s="76"/>
      <c r="AL336" s="76"/>
      <c r="AM336" s="76"/>
      <c r="AN336" s="76"/>
      <c r="AO336" s="76"/>
      <c r="AP336" s="76"/>
      <c r="AQ336" s="76"/>
      <c r="AR336" s="76"/>
      <c r="AS336" s="76"/>
      <c r="AT336" s="76"/>
      <c r="AU336" s="76"/>
      <c r="AV336" s="76"/>
      <c r="AW336" s="76"/>
      <c r="AX336" s="76"/>
    </row>
    <row r="337" ht="15.75" customHeight="1">
      <c r="A337" s="81" t="s">
        <v>338</v>
      </c>
      <c r="B337" s="142" t="s">
        <v>2346</v>
      </c>
      <c r="C337" s="31" t="s">
        <v>4191</v>
      </c>
      <c r="D337" s="31" t="s">
        <v>4192</v>
      </c>
      <c r="E337" s="31" t="s">
        <v>4193</v>
      </c>
      <c r="F337" s="31"/>
      <c r="G337" s="31"/>
      <c r="H337" s="31"/>
      <c r="I337" s="159"/>
      <c r="J337" s="84" t="s">
        <v>1756</v>
      </c>
      <c r="K337" s="84"/>
      <c r="L337" s="84"/>
      <c r="M337" s="84"/>
      <c r="N337" s="84"/>
      <c r="O337" s="84"/>
      <c r="P337" s="84"/>
      <c r="Q337" s="84" t="s">
        <v>166</v>
      </c>
      <c r="R337" s="84"/>
      <c r="S337" s="84"/>
      <c r="T337" s="84"/>
      <c r="U337" s="84"/>
      <c r="V337" s="84"/>
      <c r="W337" s="84"/>
      <c r="X337" s="84"/>
      <c r="Y337" s="84"/>
      <c r="Z337" s="84"/>
      <c r="AA337" s="84"/>
      <c r="AB337" s="84"/>
      <c r="AC337" s="84"/>
      <c r="AD337" s="76"/>
      <c r="AE337" s="76"/>
      <c r="AF337" s="76"/>
      <c r="AG337" s="76"/>
      <c r="AH337" s="76"/>
      <c r="AI337" s="76"/>
      <c r="AJ337" s="76"/>
      <c r="AK337" s="76"/>
      <c r="AL337" s="76"/>
      <c r="AM337" s="76"/>
      <c r="AN337" s="76"/>
      <c r="AO337" s="76"/>
      <c r="AP337" s="76"/>
      <c r="AQ337" s="76"/>
      <c r="AR337" s="76"/>
      <c r="AS337" s="76"/>
      <c r="AT337" s="76"/>
      <c r="AU337" s="76"/>
      <c r="AV337" s="76"/>
      <c r="AW337" s="76"/>
      <c r="AX337" s="76"/>
    </row>
    <row r="338" ht="15.75" customHeight="1">
      <c r="A338" s="81" t="s">
        <v>338</v>
      </c>
      <c r="B338" s="142" t="s">
        <v>2355</v>
      </c>
      <c r="C338" s="31" t="s">
        <v>4210</v>
      </c>
      <c r="D338" s="31" t="s">
        <v>4212</v>
      </c>
      <c r="E338" s="31" t="s">
        <v>4213</v>
      </c>
      <c r="F338" s="31"/>
      <c r="G338" s="31"/>
      <c r="H338" s="31"/>
      <c r="I338" s="159"/>
      <c r="J338" s="84" t="s">
        <v>1756</v>
      </c>
      <c r="K338" s="84"/>
      <c r="L338" s="84"/>
      <c r="M338" s="84"/>
      <c r="N338" s="84"/>
      <c r="O338" s="84"/>
      <c r="P338" s="84"/>
      <c r="Q338" s="84" t="s">
        <v>166</v>
      </c>
      <c r="R338" s="84"/>
      <c r="S338" s="84"/>
      <c r="T338" s="84"/>
      <c r="U338" s="84"/>
      <c r="V338" s="84"/>
      <c r="W338" s="84"/>
      <c r="X338" s="84"/>
      <c r="Y338" s="84"/>
      <c r="Z338" s="84"/>
      <c r="AA338" s="84"/>
      <c r="AB338" s="84"/>
      <c r="AC338" s="84"/>
      <c r="AD338" s="76"/>
      <c r="AE338" s="76"/>
      <c r="AF338" s="76"/>
      <c r="AG338" s="76"/>
      <c r="AH338" s="76"/>
      <c r="AI338" s="76"/>
      <c r="AJ338" s="76"/>
      <c r="AK338" s="76"/>
      <c r="AL338" s="76"/>
      <c r="AM338" s="76"/>
      <c r="AN338" s="76"/>
      <c r="AO338" s="76"/>
      <c r="AP338" s="76"/>
      <c r="AQ338" s="76"/>
      <c r="AR338" s="76"/>
      <c r="AS338" s="76"/>
      <c r="AT338" s="76"/>
      <c r="AU338" s="76"/>
      <c r="AV338" s="76"/>
      <c r="AW338" s="76"/>
      <c r="AX338" s="76"/>
    </row>
    <row r="339" ht="15.75" customHeight="1">
      <c r="A339" s="81" t="s">
        <v>338</v>
      </c>
      <c r="B339" s="142" t="s">
        <v>2364</v>
      </c>
      <c r="C339" s="31" t="s">
        <v>4221</v>
      </c>
      <c r="D339" s="31" t="s">
        <v>4222</v>
      </c>
      <c r="E339" s="31" t="s">
        <v>4223</v>
      </c>
      <c r="F339" s="31"/>
      <c r="G339" s="31"/>
      <c r="H339" s="31"/>
      <c r="I339" s="159"/>
      <c r="J339" s="84" t="s">
        <v>1756</v>
      </c>
      <c r="K339" s="84"/>
      <c r="L339" s="84"/>
      <c r="M339" s="84"/>
      <c r="N339" s="84"/>
      <c r="O339" s="84"/>
      <c r="P339" s="84"/>
      <c r="Q339" s="84" t="s">
        <v>166</v>
      </c>
      <c r="R339" s="84"/>
      <c r="S339" s="84"/>
      <c r="T339" s="84"/>
      <c r="U339" s="84"/>
      <c r="V339" s="84"/>
      <c r="W339" s="84"/>
      <c r="X339" s="84"/>
      <c r="Y339" s="84"/>
      <c r="Z339" s="84"/>
      <c r="AA339" s="84"/>
      <c r="AB339" s="84"/>
      <c r="AC339" s="84"/>
      <c r="AD339" s="76"/>
      <c r="AE339" s="76"/>
      <c r="AF339" s="76"/>
      <c r="AG339" s="76"/>
      <c r="AH339" s="76"/>
      <c r="AI339" s="76"/>
      <c r="AJ339" s="76"/>
      <c r="AK339" s="76"/>
      <c r="AL339" s="76"/>
      <c r="AM339" s="76"/>
      <c r="AN339" s="76"/>
      <c r="AO339" s="76"/>
      <c r="AP339" s="76"/>
      <c r="AQ339" s="76"/>
      <c r="AR339" s="76"/>
      <c r="AS339" s="76"/>
      <c r="AT339" s="76"/>
      <c r="AU339" s="76"/>
      <c r="AV339" s="76"/>
      <c r="AW339" s="76"/>
      <c r="AX339" s="76"/>
    </row>
    <row r="340" ht="15.75" customHeight="1">
      <c r="A340" s="81" t="s">
        <v>338</v>
      </c>
      <c r="B340" s="142" t="s">
        <v>2377</v>
      </c>
      <c r="C340" s="31" t="s">
        <v>4237</v>
      </c>
      <c r="D340" s="31" t="s">
        <v>4238</v>
      </c>
      <c r="E340" s="31" t="s">
        <v>4242</v>
      </c>
      <c r="F340" s="31"/>
      <c r="G340" s="31"/>
      <c r="H340" s="31"/>
      <c r="I340" s="159"/>
      <c r="J340" s="84" t="s">
        <v>1756</v>
      </c>
      <c r="K340" s="84"/>
      <c r="L340" s="84"/>
      <c r="M340" s="84"/>
      <c r="N340" s="84"/>
      <c r="O340" s="84"/>
      <c r="P340" s="84"/>
      <c r="Q340" s="84" t="s">
        <v>166</v>
      </c>
      <c r="R340" s="84"/>
      <c r="S340" s="84"/>
      <c r="T340" s="84"/>
      <c r="U340" s="84"/>
      <c r="V340" s="84"/>
      <c r="W340" s="84"/>
      <c r="X340" s="84"/>
      <c r="Y340" s="84"/>
      <c r="Z340" s="84"/>
      <c r="AA340" s="84"/>
      <c r="AB340" s="84"/>
      <c r="AC340" s="84"/>
      <c r="AD340" s="76"/>
      <c r="AE340" s="76"/>
      <c r="AF340" s="76"/>
      <c r="AG340" s="76"/>
      <c r="AH340" s="76"/>
      <c r="AI340" s="76"/>
      <c r="AJ340" s="76"/>
      <c r="AK340" s="76"/>
      <c r="AL340" s="76"/>
      <c r="AM340" s="76"/>
      <c r="AN340" s="76"/>
      <c r="AO340" s="76"/>
      <c r="AP340" s="76"/>
      <c r="AQ340" s="76"/>
      <c r="AR340" s="76"/>
      <c r="AS340" s="76"/>
      <c r="AT340" s="76"/>
      <c r="AU340" s="76"/>
      <c r="AV340" s="76"/>
      <c r="AW340" s="76"/>
      <c r="AX340" s="76"/>
    </row>
    <row r="341" ht="15.75" customHeight="1">
      <c r="A341" s="81" t="s">
        <v>338</v>
      </c>
      <c r="B341" s="142" t="s">
        <v>2384</v>
      </c>
      <c r="C341" s="31" t="s">
        <v>4247</v>
      </c>
      <c r="D341" s="31" t="s">
        <v>4248</v>
      </c>
      <c r="E341" s="31" t="s">
        <v>4249</v>
      </c>
      <c r="F341" s="31"/>
      <c r="G341" s="31"/>
      <c r="H341" s="31"/>
      <c r="I341" s="159"/>
      <c r="J341" s="84" t="s">
        <v>1756</v>
      </c>
      <c r="K341" s="84"/>
      <c r="L341" s="84"/>
      <c r="M341" s="84"/>
      <c r="N341" s="84"/>
      <c r="O341" s="84"/>
      <c r="P341" s="84"/>
      <c r="Q341" s="84" t="s">
        <v>166</v>
      </c>
      <c r="R341" s="84"/>
      <c r="S341" s="84"/>
      <c r="T341" s="84"/>
      <c r="U341" s="84"/>
      <c r="V341" s="84"/>
      <c r="W341" s="84"/>
      <c r="X341" s="84"/>
      <c r="Y341" s="84"/>
      <c r="Z341" s="84"/>
      <c r="AA341" s="84"/>
      <c r="AB341" s="84"/>
      <c r="AC341" s="84"/>
      <c r="AD341" s="76"/>
      <c r="AE341" s="76"/>
      <c r="AF341" s="76"/>
      <c r="AG341" s="76"/>
      <c r="AH341" s="76"/>
      <c r="AI341" s="76"/>
      <c r="AJ341" s="76"/>
      <c r="AK341" s="76"/>
      <c r="AL341" s="76"/>
      <c r="AM341" s="76"/>
      <c r="AN341" s="76"/>
      <c r="AO341" s="76"/>
      <c r="AP341" s="76"/>
      <c r="AQ341" s="76"/>
      <c r="AR341" s="76"/>
      <c r="AS341" s="76"/>
      <c r="AT341" s="76"/>
      <c r="AU341" s="76"/>
      <c r="AV341" s="76"/>
      <c r="AW341" s="76"/>
      <c r="AX341" s="76"/>
    </row>
    <row r="342" ht="15.75" customHeight="1">
      <c r="A342" s="81" t="s">
        <v>338</v>
      </c>
      <c r="B342" s="142" t="s">
        <v>2391</v>
      </c>
      <c r="C342" s="31" t="s">
        <v>4262</v>
      </c>
      <c r="D342" s="31" t="s">
        <v>4264</v>
      </c>
      <c r="E342" s="31" t="s">
        <v>4265</v>
      </c>
      <c r="F342" s="31"/>
      <c r="G342" s="31"/>
      <c r="H342" s="31"/>
      <c r="I342" s="159"/>
      <c r="J342" s="84" t="s">
        <v>1756</v>
      </c>
      <c r="K342" s="84"/>
      <c r="L342" s="84"/>
      <c r="M342" s="84"/>
      <c r="N342" s="84"/>
      <c r="O342" s="84"/>
      <c r="P342" s="84"/>
      <c r="Q342" s="84" t="s">
        <v>166</v>
      </c>
      <c r="R342" s="84"/>
      <c r="S342" s="84"/>
      <c r="T342" s="84"/>
      <c r="U342" s="84"/>
      <c r="V342" s="84"/>
      <c r="W342" s="84"/>
      <c r="X342" s="84"/>
      <c r="Y342" s="84"/>
      <c r="Z342" s="84"/>
      <c r="AA342" s="84"/>
      <c r="AB342" s="84"/>
      <c r="AC342" s="84"/>
      <c r="AD342" s="76"/>
      <c r="AE342" s="76"/>
      <c r="AF342" s="76"/>
      <c r="AG342" s="76"/>
      <c r="AH342" s="76"/>
      <c r="AI342" s="76"/>
      <c r="AJ342" s="76"/>
      <c r="AK342" s="76"/>
      <c r="AL342" s="76"/>
      <c r="AM342" s="76"/>
      <c r="AN342" s="76"/>
      <c r="AO342" s="76"/>
      <c r="AP342" s="76"/>
      <c r="AQ342" s="76"/>
      <c r="AR342" s="76"/>
      <c r="AS342" s="76"/>
      <c r="AT342" s="76"/>
      <c r="AU342" s="76"/>
      <c r="AV342" s="76"/>
      <c r="AW342" s="76"/>
      <c r="AX342" s="76"/>
    </row>
    <row r="343" ht="15.75" customHeight="1">
      <c r="A343" s="81" t="s">
        <v>338</v>
      </c>
      <c r="B343" s="142" t="s">
        <v>2402</v>
      </c>
      <c r="C343" s="31" t="s">
        <v>4279</v>
      </c>
      <c r="D343" s="31" t="s">
        <v>4280</v>
      </c>
      <c r="E343" s="31" t="s">
        <v>4281</v>
      </c>
      <c r="F343" s="31"/>
      <c r="G343" s="31"/>
      <c r="H343" s="31"/>
      <c r="I343" s="159"/>
      <c r="J343" s="84" t="s">
        <v>1756</v>
      </c>
      <c r="K343" s="84"/>
      <c r="L343" s="84"/>
      <c r="M343" s="84"/>
      <c r="N343" s="72" t="s">
        <v>4283</v>
      </c>
      <c r="O343" s="84"/>
      <c r="P343" s="84"/>
      <c r="Q343" s="84" t="s">
        <v>166</v>
      </c>
      <c r="R343" s="84"/>
      <c r="S343" s="84"/>
      <c r="T343" s="84"/>
      <c r="U343" s="84"/>
      <c r="V343" s="84"/>
      <c r="W343" s="84"/>
      <c r="X343" s="84"/>
      <c r="Y343" s="84"/>
      <c r="Z343" s="84"/>
      <c r="AA343" s="84"/>
      <c r="AB343" s="84"/>
      <c r="AC343" s="84"/>
      <c r="AD343" s="76"/>
      <c r="AE343" s="76"/>
      <c r="AF343" s="76"/>
      <c r="AG343" s="76"/>
      <c r="AH343" s="76"/>
      <c r="AI343" s="76"/>
      <c r="AJ343" s="76"/>
      <c r="AK343" s="76"/>
      <c r="AL343" s="76"/>
      <c r="AM343" s="76"/>
      <c r="AN343" s="76"/>
      <c r="AO343" s="76"/>
      <c r="AP343" s="76"/>
      <c r="AQ343" s="76"/>
      <c r="AR343" s="76"/>
      <c r="AS343" s="76"/>
      <c r="AT343" s="76"/>
      <c r="AU343" s="76"/>
      <c r="AV343" s="76"/>
      <c r="AW343" s="76"/>
      <c r="AX343" s="76"/>
    </row>
    <row r="344" ht="15.75" customHeight="1">
      <c r="A344" s="81" t="s">
        <v>338</v>
      </c>
      <c r="B344" s="171" t="s">
        <v>2409</v>
      </c>
      <c r="C344" s="31" t="s">
        <v>4294</v>
      </c>
      <c r="D344" s="31" t="s">
        <v>4295</v>
      </c>
      <c r="E344" s="31" t="s">
        <v>4296</v>
      </c>
      <c r="F344" s="261" t="s">
        <v>4297</v>
      </c>
      <c r="G344" s="211" t="s">
        <v>4301</v>
      </c>
      <c r="H344" s="211" t="s">
        <v>4304</v>
      </c>
      <c r="I344" s="70"/>
      <c r="J344" s="84" t="s">
        <v>1756</v>
      </c>
      <c r="K344" s="70"/>
      <c r="L344" s="70"/>
      <c r="M344" s="70"/>
      <c r="N344" s="70"/>
      <c r="O344" s="70"/>
      <c r="P344" s="70"/>
      <c r="Q344" s="70"/>
      <c r="R344" s="70"/>
      <c r="S344" s="70"/>
      <c r="T344" s="70"/>
      <c r="U344" s="70"/>
      <c r="V344" s="70"/>
      <c r="W344" s="70"/>
      <c r="X344" s="70"/>
      <c r="Y344" s="70"/>
      <c r="Z344" s="70"/>
      <c r="AA344" s="70"/>
      <c r="AB344" s="70"/>
      <c r="AC344" s="70"/>
      <c r="AD344" s="76"/>
      <c r="AE344" s="76"/>
      <c r="AF344" s="76"/>
      <c r="AG344" s="76"/>
      <c r="AH344" s="76"/>
      <c r="AI344" s="76"/>
      <c r="AJ344" s="76"/>
      <c r="AK344" s="76"/>
      <c r="AL344" s="76"/>
      <c r="AM344" s="76"/>
      <c r="AN344" s="76"/>
      <c r="AO344" s="76"/>
      <c r="AP344" s="76"/>
      <c r="AQ344" s="76"/>
      <c r="AR344" s="76"/>
      <c r="AS344" s="76"/>
      <c r="AT344" s="76"/>
      <c r="AU344" s="76"/>
      <c r="AV344" s="76"/>
      <c r="AW344" s="76"/>
      <c r="AX344" s="76"/>
    </row>
    <row r="345" ht="15.75" customHeight="1">
      <c r="A345" s="122"/>
      <c r="B345" s="153"/>
      <c r="C345" s="31"/>
      <c r="D345" s="31"/>
      <c r="E345" s="31"/>
      <c r="F345" s="70"/>
      <c r="G345" s="70"/>
      <c r="H345" s="70"/>
      <c r="I345" s="70"/>
      <c r="J345" s="70"/>
      <c r="K345" s="70"/>
      <c r="L345" s="70"/>
      <c r="M345" s="70"/>
      <c r="N345" s="70"/>
      <c r="O345" s="70"/>
      <c r="P345" s="70"/>
      <c r="Q345" s="70"/>
      <c r="R345" s="70"/>
      <c r="S345" s="70"/>
      <c r="T345" s="70"/>
      <c r="U345" s="70"/>
      <c r="V345" s="70"/>
      <c r="W345" s="70"/>
      <c r="X345" s="70"/>
      <c r="Y345" s="70"/>
      <c r="Z345" s="70"/>
      <c r="AA345" s="70"/>
      <c r="AB345" s="70"/>
      <c r="AC345" s="70"/>
      <c r="AD345" s="76"/>
      <c r="AE345" s="76"/>
      <c r="AF345" s="76"/>
      <c r="AG345" s="76"/>
      <c r="AH345" s="76"/>
      <c r="AI345" s="76"/>
      <c r="AJ345" s="76"/>
      <c r="AK345" s="76"/>
      <c r="AL345" s="76"/>
      <c r="AM345" s="76"/>
      <c r="AN345" s="76"/>
      <c r="AO345" s="76"/>
      <c r="AP345" s="76"/>
      <c r="AQ345" s="76"/>
      <c r="AR345" s="76"/>
      <c r="AS345" s="76"/>
      <c r="AT345" s="76"/>
      <c r="AU345" s="76"/>
      <c r="AV345" s="76"/>
      <c r="AW345" s="76"/>
      <c r="AX345" s="76"/>
    </row>
    <row r="346" ht="15.75" customHeight="1">
      <c r="A346" s="122" t="s">
        <v>236</v>
      </c>
      <c r="B346" s="153" t="s">
        <v>2304</v>
      </c>
      <c r="C346" s="31"/>
      <c r="D346" s="31"/>
      <c r="E346" s="31"/>
      <c r="F346" s="70"/>
      <c r="G346" s="70"/>
      <c r="H346" s="70"/>
      <c r="I346" s="70"/>
      <c r="J346" s="70"/>
      <c r="K346" s="70"/>
      <c r="L346" s="70"/>
      <c r="M346" s="70"/>
      <c r="N346" s="70"/>
      <c r="O346" s="70"/>
      <c r="P346" s="70"/>
      <c r="Q346" s="70"/>
      <c r="R346" s="70"/>
      <c r="S346" s="70"/>
      <c r="T346" s="70"/>
      <c r="U346" s="70"/>
      <c r="V346" s="70"/>
      <c r="W346" s="70"/>
      <c r="X346" s="70"/>
      <c r="Y346" s="70"/>
      <c r="Z346" s="70"/>
      <c r="AA346" s="70"/>
      <c r="AB346" s="70"/>
      <c r="AC346" s="70"/>
      <c r="AD346" s="76"/>
      <c r="AE346" s="76"/>
      <c r="AF346" s="76"/>
      <c r="AG346" s="76"/>
      <c r="AH346" s="76"/>
      <c r="AI346" s="76"/>
      <c r="AJ346" s="76"/>
      <c r="AK346" s="76"/>
      <c r="AL346" s="76"/>
      <c r="AM346" s="76"/>
      <c r="AN346" s="76"/>
      <c r="AO346" s="76"/>
      <c r="AP346" s="76"/>
      <c r="AQ346" s="76"/>
      <c r="AR346" s="76"/>
      <c r="AS346" s="76"/>
      <c r="AT346" s="76"/>
      <c r="AU346" s="76"/>
      <c r="AV346" s="76"/>
      <c r="AW346" s="76"/>
      <c r="AX346" s="76"/>
    </row>
    <row r="347" ht="15.75" customHeight="1">
      <c r="A347" s="31" t="s">
        <v>150</v>
      </c>
      <c r="B347" s="31" t="s">
        <v>2436</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row>
    <row r="348" ht="15.75" customHeight="1">
      <c r="A348" s="31" t="s">
        <v>338</v>
      </c>
      <c r="B348" s="31" t="s">
        <v>2441</v>
      </c>
      <c r="C348" s="31" t="s">
        <v>4349</v>
      </c>
      <c r="D348" s="31" t="s">
        <v>4350</v>
      </c>
      <c r="E348" s="31" t="s">
        <v>4351</v>
      </c>
      <c r="F348" s="31"/>
      <c r="G348" s="31"/>
      <c r="H348" s="31"/>
      <c r="I348" s="31"/>
      <c r="J348" s="31"/>
      <c r="K348" s="31"/>
      <c r="L348" s="31"/>
      <c r="M348" s="31"/>
      <c r="N348" s="31"/>
      <c r="O348" s="31"/>
      <c r="P348" s="31"/>
      <c r="Q348" s="31" t="s">
        <v>166</v>
      </c>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row>
    <row r="349" ht="15.75" customHeight="1">
      <c r="A349" s="31" t="s">
        <v>259</v>
      </c>
      <c r="B349" s="31" t="s">
        <v>2451</v>
      </c>
      <c r="C349" s="31" t="s">
        <v>4363</v>
      </c>
      <c r="D349" s="31" t="s">
        <v>4364</v>
      </c>
      <c r="E349" s="31" t="s">
        <v>4365</v>
      </c>
      <c r="F349" s="31"/>
      <c r="G349" s="31"/>
      <c r="H349" s="31"/>
      <c r="I349" s="31"/>
      <c r="J349" s="31"/>
      <c r="K349" s="31" t="s">
        <v>4370</v>
      </c>
      <c r="L349" s="31"/>
      <c r="M349" s="31"/>
      <c r="N349" s="31"/>
      <c r="O349" s="31" t="s">
        <v>4371</v>
      </c>
      <c r="P349" s="31"/>
      <c r="Q349" s="31" t="s">
        <v>166</v>
      </c>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row>
    <row r="350" ht="15.75" customHeight="1">
      <c r="A350" s="31" t="s">
        <v>338</v>
      </c>
      <c r="B350" s="31" t="s">
        <v>2456</v>
      </c>
      <c r="C350" s="31" t="s">
        <v>4380</v>
      </c>
      <c r="D350" s="31" t="s">
        <v>4381</v>
      </c>
      <c r="E350" s="31" t="s">
        <v>4382</v>
      </c>
      <c r="F350" s="31"/>
      <c r="G350" s="31"/>
      <c r="H350" s="31"/>
      <c r="I350" s="31"/>
      <c r="J350" s="31"/>
      <c r="K350" s="31"/>
      <c r="L350" s="31"/>
      <c r="M350" s="31"/>
      <c r="N350" s="31"/>
      <c r="O350" s="31" t="s">
        <v>4371</v>
      </c>
      <c r="P350" s="31"/>
      <c r="Q350" s="31" t="s">
        <v>166</v>
      </c>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row>
    <row r="351" ht="15.75" customHeight="1">
      <c r="A351" s="31" t="s">
        <v>485</v>
      </c>
      <c r="B351" s="31" t="s">
        <v>2465</v>
      </c>
      <c r="C351" s="31" t="s">
        <v>4395</v>
      </c>
      <c r="D351" s="31" t="s">
        <v>4396</v>
      </c>
      <c r="E351" s="31" t="s">
        <v>4397</v>
      </c>
      <c r="F351" s="31"/>
      <c r="G351" s="31"/>
      <c r="H351" s="31"/>
      <c r="I351" s="31"/>
      <c r="J351" s="31"/>
      <c r="K351" s="31"/>
      <c r="L351" s="31"/>
      <c r="M351" s="31"/>
      <c r="N351" s="31"/>
      <c r="O351" s="31"/>
      <c r="P351" s="31"/>
      <c r="Q351" s="31" t="s">
        <v>166</v>
      </c>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row>
    <row r="352" ht="15.75" customHeight="1">
      <c r="A352" s="122" t="s">
        <v>236</v>
      </c>
      <c r="B352" s="31" t="s">
        <v>2436</v>
      </c>
      <c r="C352" s="31"/>
      <c r="D352" s="31"/>
      <c r="E352" s="31"/>
      <c r="F352" s="70"/>
      <c r="G352" s="70"/>
      <c r="H352" s="70"/>
      <c r="I352" s="70"/>
      <c r="J352" s="70"/>
      <c r="K352" s="70"/>
      <c r="L352" s="70"/>
      <c r="M352" s="70"/>
      <c r="N352" s="70"/>
      <c r="O352" s="70"/>
      <c r="P352" s="70"/>
      <c r="Q352" s="70"/>
      <c r="R352" s="70"/>
      <c r="S352" s="70"/>
      <c r="T352" s="70"/>
      <c r="U352" s="70"/>
      <c r="V352" s="70"/>
      <c r="W352" s="70"/>
      <c r="X352" s="70"/>
      <c r="Y352" s="70"/>
      <c r="Z352" s="70"/>
      <c r="AA352" s="70"/>
      <c r="AB352" s="70"/>
      <c r="AC352" s="70"/>
      <c r="AD352" s="76"/>
      <c r="AE352" s="76"/>
      <c r="AF352" s="76"/>
      <c r="AG352" s="76"/>
      <c r="AH352" s="76"/>
      <c r="AI352" s="76"/>
      <c r="AJ352" s="76"/>
      <c r="AK352" s="76"/>
      <c r="AL352" s="76"/>
      <c r="AM352" s="76"/>
      <c r="AN352" s="76"/>
      <c r="AO352" s="76"/>
      <c r="AP352" s="76"/>
      <c r="AQ352" s="76"/>
      <c r="AR352" s="76"/>
      <c r="AS352" s="76"/>
      <c r="AT352" s="76"/>
      <c r="AU352" s="76"/>
      <c r="AV352" s="76"/>
      <c r="AW352" s="76"/>
      <c r="AX352" s="76"/>
    </row>
    <row r="353" ht="15.75" customHeight="1">
      <c r="A353" s="122" t="s">
        <v>236</v>
      </c>
      <c r="B353" s="153" t="s">
        <v>2186</v>
      </c>
      <c r="C353" s="31"/>
      <c r="D353" s="31"/>
      <c r="E353" s="31"/>
      <c r="F353" s="70"/>
      <c r="G353" s="70"/>
      <c r="H353" s="70"/>
      <c r="I353" s="70"/>
      <c r="J353" s="70"/>
      <c r="K353" s="70"/>
      <c r="L353" s="70"/>
      <c r="M353" s="70"/>
      <c r="N353" s="70"/>
      <c r="O353" s="70"/>
      <c r="P353" s="70"/>
      <c r="Q353" s="70"/>
      <c r="R353" s="70"/>
      <c r="S353" s="70"/>
      <c r="T353" s="70"/>
      <c r="U353" s="70"/>
      <c r="V353" s="70"/>
      <c r="W353" s="70"/>
      <c r="X353" s="70"/>
      <c r="Y353" s="70"/>
      <c r="Z353" s="70"/>
      <c r="AA353" s="70"/>
      <c r="AB353" s="70"/>
      <c r="AC353" s="70"/>
      <c r="AD353" s="76"/>
      <c r="AE353" s="76"/>
      <c r="AF353" s="76"/>
      <c r="AG353" s="76"/>
      <c r="AH353" s="76"/>
      <c r="AI353" s="76"/>
      <c r="AJ353" s="76"/>
      <c r="AK353" s="76"/>
      <c r="AL353" s="76"/>
      <c r="AM353" s="76"/>
      <c r="AN353" s="76"/>
      <c r="AO353" s="76"/>
      <c r="AP353" s="76"/>
      <c r="AQ353" s="76"/>
      <c r="AR353" s="76"/>
      <c r="AS353" s="76"/>
      <c r="AT353" s="76"/>
      <c r="AU353" s="76"/>
      <c r="AV353" s="76"/>
      <c r="AW353" s="76"/>
      <c r="AX353" s="76"/>
    </row>
    <row r="354" ht="15.75" customHeight="1">
      <c r="A354" s="31" t="s">
        <v>42</v>
      </c>
      <c r="B354" s="31" t="s">
        <v>4428</v>
      </c>
      <c r="C354" s="127" t="s">
        <v>4429</v>
      </c>
      <c r="D354" s="127" t="s">
        <v>4430</v>
      </c>
      <c r="E354" s="127" t="s">
        <v>4431</v>
      </c>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row>
    <row r="355" ht="15.75" customHeight="1">
      <c r="A355" s="31" t="s">
        <v>108</v>
      </c>
      <c r="B355" s="31" t="s">
        <v>4441</v>
      </c>
      <c r="C355" s="31" t="s">
        <v>4442</v>
      </c>
      <c r="D355" s="31"/>
      <c r="E355" s="31"/>
      <c r="F355" s="31"/>
      <c r="G355" s="31"/>
      <c r="H355" s="31"/>
      <c r="I355" s="31"/>
      <c r="J355" s="31"/>
      <c r="K355" s="31"/>
      <c r="L355" s="31"/>
      <c r="M355" s="31"/>
      <c r="N355" s="31"/>
      <c r="O355" s="31"/>
      <c r="P355" s="31"/>
      <c r="Q355" s="31"/>
      <c r="R355" s="31"/>
      <c r="S355" s="31"/>
      <c r="T355" s="31" t="s">
        <v>4446</v>
      </c>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row>
    <row r="356" ht="15.75" customHeight="1">
      <c r="A356" s="31" t="s">
        <v>648</v>
      </c>
      <c r="B356" s="31" t="s">
        <v>4453</v>
      </c>
      <c r="C356" s="31" t="s">
        <v>4454</v>
      </c>
      <c r="D356" s="31"/>
      <c r="E356" s="31"/>
      <c r="F356" s="31"/>
      <c r="G356" s="31"/>
      <c r="H356" s="31"/>
      <c r="I356" s="31"/>
      <c r="J356" s="31"/>
      <c r="K356" s="31"/>
      <c r="L356" s="31"/>
      <c r="M356" s="31"/>
      <c r="N356" s="31"/>
      <c r="O356" s="31"/>
      <c r="P356" s="31"/>
      <c r="Q356" s="31"/>
      <c r="R356" s="31"/>
      <c r="S356" s="31"/>
      <c r="T356" s="31"/>
      <c r="U356" s="31">
        <v>6.0</v>
      </c>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row>
    <row r="357" ht="15.75" customHeight="1">
      <c r="A357" s="31" t="s">
        <v>150</v>
      </c>
      <c r="B357" s="31" t="s">
        <v>4466</v>
      </c>
      <c r="C357" s="31" t="s">
        <v>4468</v>
      </c>
      <c r="D357" s="31"/>
      <c r="E357" s="31"/>
      <c r="F357" s="31"/>
      <c r="G357" s="31"/>
      <c r="H357" s="31"/>
      <c r="I357" s="31"/>
      <c r="J357" s="31" t="s">
        <v>1736</v>
      </c>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row>
    <row r="358" ht="15.75" customHeight="1">
      <c r="A358" s="31" t="s">
        <v>108</v>
      </c>
      <c r="B358" s="31" t="s">
        <v>4479</v>
      </c>
      <c r="C358" s="31"/>
      <c r="D358" s="31"/>
      <c r="E358" s="31"/>
      <c r="F358" s="31"/>
      <c r="G358" s="31"/>
      <c r="H358" s="31"/>
      <c r="I358" s="31"/>
      <c r="J358" s="31"/>
      <c r="K358" s="31"/>
      <c r="L358" s="31"/>
      <c r="M358" s="31"/>
      <c r="N358" s="31"/>
      <c r="O358" s="31"/>
      <c r="P358" s="31"/>
      <c r="Q358" s="31"/>
      <c r="R358" s="31"/>
      <c r="S358" s="31"/>
      <c r="T358" s="31" t="s">
        <v>4487</v>
      </c>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row>
    <row r="359" ht="15.75" customHeight="1">
      <c r="A359" s="31" t="s">
        <v>259</v>
      </c>
      <c r="B359" s="31" t="s">
        <v>4494</v>
      </c>
      <c r="C359" s="31" t="s">
        <v>4495</v>
      </c>
      <c r="D359" s="31" t="s">
        <v>4496</v>
      </c>
      <c r="E359" s="31" t="s">
        <v>4497</v>
      </c>
      <c r="F359" s="31" t="s">
        <v>4498</v>
      </c>
      <c r="G359" s="31" t="s">
        <v>4499</v>
      </c>
      <c r="H359" s="31"/>
      <c r="I359" s="31"/>
      <c r="J359" s="31"/>
      <c r="K359" s="31" t="s">
        <v>4500</v>
      </c>
      <c r="L359" s="31"/>
      <c r="M359" s="31"/>
      <c r="N359" s="31"/>
      <c r="O359" s="31"/>
      <c r="P359" s="31"/>
      <c r="Q359" s="31" t="s">
        <v>166</v>
      </c>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row>
    <row r="360" ht="15.75" customHeight="1">
      <c r="A360" s="31" t="s">
        <v>236</v>
      </c>
      <c r="B360" s="31" t="s">
        <v>4466</v>
      </c>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row>
    <row r="361" ht="15.75" customHeight="1">
      <c r="A361" s="31" t="s">
        <v>691</v>
      </c>
      <c r="B361" s="31" t="s">
        <v>4453</v>
      </c>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row>
    <row r="362" ht="15.75" customHeight="1">
      <c r="A362" s="126" t="s">
        <v>42</v>
      </c>
      <c r="B362" s="127" t="s">
        <v>2482</v>
      </c>
      <c r="C362" s="31" t="s">
        <v>4528</v>
      </c>
      <c r="D362" s="31" t="s">
        <v>4529</v>
      </c>
      <c r="E362" s="31" t="s">
        <v>4530</v>
      </c>
      <c r="F362" s="31"/>
      <c r="G362" s="31"/>
      <c r="H362" s="31"/>
      <c r="I362" s="154"/>
      <c r="J362" s="154"/>
      <c r="K362" s="154"/>
      <c r="L362" s="154"/>
      <c r="M362" s="154"/>
      <c r="N362" s="154"/>
      <c r="O362" s="154"/>
      <c r="P362" s="154"/>
      <c r="Q362" s="154"/>
      <c r="R362" s="154"/>
      <c r="S362" s="154"/>
      <c r="T362" s="154"/>
      <c r="U362" s="154"/>
      <c r="V362" s="154"/>
      <c r="W362" s="154"/>
      <c r="X362" s="154"/>
      <c r="Y362" s="154"/>
      <c r="Z362" s="154"/>
      <c r="AA362" s="154"/>
      <c r="AB362" s="154"/>
      <c r="AC362" s="154"/>
      <c r="AD362" s="76"/>
      <c r="AE362" s="76"/>
      <c r="AF362" s="76"/>
      <c r="AG362" s="76"/>
      <c r="AH362" s="76"/>
      <c r="AI362" s="76"/>
      <c r="AJ362" s="76"/>
      <c r="AK362" s="76"/>
      <c r="AL362" s="76"/>
      <c r="AM362" s="76"/>
      <c r="AN362" s="76"/>
      <c r="AO362" s="76"/>
      <c r="AP362" s="76"/>
      <c r="AQ362" s="76"/>
      <c r="AR362" s="76"/>
      <c r="AS362" s="76"/>
      <c r="AT362" s="76"/>
      <c r="AU362" s="76"/>
      <c r="AV362" s="76"/>
      <c r="AW362" s="76"/>
      <c r="AX362" s="76"/>
    </row>
    <row r="363" ht="15.75" customHeight="1">
      <c r="A363" s="122" t="s">
        <v>236</v>
      </c>
      <c r="B363" s="153" t="s">
        <v>440</v>
      </c>
      <c r="C363" s="31" t="s">
        <v>441</v>
      </c>
      <c r="D363" s="31"/>
      <c r="E363" s="31"/>
      <c r="F363" s="70"/>
      <c r="G363" s="70"/>
      <c r="H363" s="70"/>
      <c r="I363" s="70"/>
      <c r="J363" s="70"/>
      <c r="K363" s="70"/>
      <c r="L363" s="70"/>
      <c r="M363" s="70"/>
      <c r="N363" s="70"/>
      <c r="O363" s="70"/>
      <c r="P363" s="70"/>
      <c r="Q363" s="70"/>
      <c r="R363" s="70"/>
      <c r="S363" s="70"/>
      <c r="T363" s="70"/>
      <c r="U363" s="70"/>
      <c r="V363" s="70"/>
      <c r="W363" s="70"/>
      <c r="X363" s="70"/>
      <c r="Y363" s="70"/>
      <c r="Z363" s="70"/>
      <c r="AA363" s="70"/>
      <c r="AB363" s="70"/>
      <c r="AC363" s="70"/>
      <c r="AD363" s="76"/>
      <c r="AE363" s="76"/>
      <c r="AF363" s="76"/>
      <c r="AG363" s="76"/>
      <c r="AH363" s="76"/>
      <c r="AI363" s="76"/>
      <c r="AJ363" s="76"/>
      <c r="AK363" s="76"/>
      <c r="AL363" s="76"/>
      <c r="AM363" s="76"/>
      <c r="AN363" s="76"/>
      <c r="AO363" s="76"/>
      <c r="AP363" s="76"/>
      <c r="AQ363" s="76"/>
      <c r="AR363" s="76"/>
      <c r="AS363" s="76"/>
      <c r="AT363" s="76"/>
      <c r="AU363" s="76"/>
      <c r="AV363" s="76"/>
      <c r="AW363" s="76"/>
      <c r="AX363" s="76"/>
    </row>
    <row r="364" ht="15.75" customHeight="1">
      <c r="A364" s="67" t="s">
        <v>139</v>
      </c>
      <c r="B364" s="69" t="s">
        <v>2493</v>
      </c>
      <c r="C364" s="31"/>
      <c r="D364" s="31"/>
      <c r="E364" s="31"/>
      <c r="F364" s="70"/>
      <c r="G364" s="70"/>
      <c r="H364" s="70"/>
      <c r="I364" s="70"/>
      <c r="J364" s="71"/>
      <c r="K364" s="70"/>
      <c r="L364" s="70"/>
      <c r="M364" s="71"/>
      <c r="N364" s="71"/>
      <c r="O364" s="72"/>
      <c r="P364" s="70"/>
      <c r="Q364" s="70"/>
      <c r="R364" s="70"/>
      <c r="S364" s="70"/>
      <c r="T364" s="73" t="s">
        <v>145</v>
      </c>
      <c r="U364" s="70"/>
      <c r="V364" s="70"/>
      <c r="W364" s="70"/>
      <c r="X364" s="70"/>
      <c r="Y364" s="70"/>
      <c r="Z364" s="70"/>
      <c r="AA364" s="70"/>
      <c r="AB364" s="70"/>
      <c r="AC364" s="70"/>
      <c r="AD364" s="76"/>
      <c r="AE364" s="76"/>
      <c r="AF364" s="76"/>
      <c r="AG364" s="76"/>
      <c r="AH364" s="76"/>
      <c r="AI364" s="76"/>
      <c r="AJ364" s="76"/>
      <c r="AK364" s="76"/>
      <c r="AL364" s="76"/>
      <c r="AM364" s="76"/>
      <c r="AN364" s="76"/>
      <c r="AO364" s="76"/>
      <c r="AP364" s="76"/>
      <c r="AQ364" s="76"/>
      <c r="AR364" s="76"/>
      <c r="AS364" s="76"/>
      <c r="AT364" s="76"/>
      <c r="AU364" s="76"/>
      <c r="AV364" s="76"/>
      <c r="AW364" s="76"/>
      <c r="AX364" s="76"/>
    </row>
    <row r="365" ht="15.75" customHeight="1">
      <c r="A365" s="67" t="s">
        <v>108</v>
      </c>
      <c r="B365" s="69" t="s">
        <v>2498</v>
      </c>
      <c r="C365" s="31"/>
      <c r="D365" s="31"/>
      <c r="E365" s="31"/>
      <c r="F365" s="70"/>
      <c r="G365" s="70"/>
      <c r="H365" s="70"/>
      <c r="I365" s="71"/>
      <c r="J365" s="71"/>
      <c r="K365" s="70"/>
      <c r="L365" s="71"/>
      <c r="M365" s="71"/>
      <c r="N365" s="71"/>
      <c r="O365" s="71"/>
      <c r="P365" s="70"/>
      <c r="Q365" s="70"/>
      <c r="R365" s="70"/>
      <c r="S365" s="70"/>
      <c r="T365" s="67" t="s">
        <v>4564</v>
      </c>
      <c r="U365" s="70"/>
      <c r="V365" s="70"/>
      <c r="W365" s="70"/>
      <c r="X365" s="70"/>
      <c r="Y365" s="70"/>
      <c r="Z365" s="70"/>
      <c r="AA365" s="70"/>
      <c r="AB365" s="70"/>
      <c r="AC365" s="70"/>
      <c r="AD365" s="76"/>
      <c r="AE365" s="76"/>
      <c r="AF365" s="76"/>
      <c r="AG365" s="76"/>
      <c r="AH365" s="76"/>
      <c r="AI365" s="76"/>
      <c r="AJ365" s="76"/>
      <c r="AK365" s="76"/>
      <c r="AL365" s="76"/>
      <c r="AM365" s="76"/>
      <c r="AN365" s="76"/>
      <c r="AO365" s="76"/>
      <c r="AP365" s="76"/>
      <c r="AQ365" s="76"/>
      <c r="AR365" s="76"/>
      <c r="AS365" s="76"/>
      <c r="AT365" s="76"/>
      <c r="AU365" s="76"/>
      <c r="AV365" s="76"/>
      <c r="AW365" s="76"/>
      <c r="AX365" s="76"/>
    </row>
    <row r="366">
      <c r="A366" s="130"/>
      <c r="B366" s="130"/>
      <c r="C366" s="31"/>
      <c r="D366" s="31"/>
      <c r="E366" s="31"/>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c r="AC366" s="130"/>
      <c r="AD366" s="130"/>
      <c r="AE366" s="130"/>
      <c r="AF366" s="130"/>
      <c r="AG366" s="130"/>
      <c r="AH366" s="130"/>
      <c r="AI366" s="130"/>
      <c r="AJ366" s="130"/>
      <c r="AK366" s="130"/>
      <c r="AL366" s="130"/>
      <c r="AM366" s="130"/>
      <c r="AN366" s="130"/>
      <c r="AO366" s="130"/>
      <c r="AP366" s="130"/>
      <c r="AQ366" s="130"/>
      <c r="AR366" s="130"/>
      <c r="AS366" s="130"/>
      <c r="AT366" s="130"/>
      <c r="AU366" s="130"/>
      <c r="AV366" s="130"/>
      <c r="AW366" s="130"/>
      <c r="AX366" s="130"/>
    </row>
    <row r="367" ht="15.75" customHeight="1">
      <c r="A367" s="67" t="s">
        <v>139</v>
      </c>
      <c r="B367" s="69" t="s">
        <v>2508</v>
      </c>
      <c r="C367" s="31"/>
      <c r="D367" s="31"/>
      <c r="E367" s="31"/>
      <c r="F367" s="70"/>
      <c r="G367" s="70"/>
      <c r="H367" s="70"/>
      <c r="I367" s="70"/>
      <c r="J367" s="71"/>
      <c r="K367" s="70"/>
      <c r="L367" s="70"/>
      <c r="M367" s="71"/>
      <c r="N367" s="71"/>
      <c r="O367" s="72"/>
      <c r="P367" s="70"/>
      <c r="Q367" s="70"/>
      <c r="R367" s="70"/>
      <c r="S367" s="70"/>
      <c r="T367" s="73" t="s">
        <v>145</v>
      </c>
      <c r="U367" s="70"/>
      <c r="V367" s="70"/>
      <c r="W367" s="70"/>
      <c r="X367" s="70"/>
      <c r="Y367" s="70"/>
      <c r="Z367" s="70"/>
      <c r="AA367" s="70"/>
      <c r="AB367" s="70"/>
      <c r="AC367" s="70"/>
      <c r="AD367" s="76"/>
      <c r="AE367" s="76"/>
      <c r="AF367" s="76"/>
      <c r="AG367" s="76"/>
      <c r="AH367" s="76"/>
      <c r="AI367" s="76"/>
      <c r="AJ367" s="76"/>
      <c r="AK367" s="76"/>
      <c r="AL367" s="76"/>
      <c r="AM367" s="76"/>
      <c r="AN367" s="76"/>
      <c r="AO367" s="76"/>
      <c r="AP367" s="76"/>
      <c r="AQ367" s="76"/>
      <c r="AR367" s="76"/>
      <c r="AS367" s="76"/>
      <c r="AT367" s="76"/>
      <c r="AU367" s="76"/>
      <c r="AV367" s="76"/>
      <c r="AW367" s="76"/>
      <c r="AX367" s="76"/>
    </row>
    <row r="368" ht="15.75" customHeight="1">
      <c r="A368" s="122" t="s">
        <v>150</v>
      </c>
      <c r="B368" s="242" t="s">
        <v>2515</v>
      </c>
      <c r="C368" s="31" t="s">
        <v>2519</v>
      </c>
      <c r="D368" s="31"/>
      <c r="E368" s="31"/>
      <c r="F368" s="70"/>
      <c r="G368" s="70"/>
      <c r="H368" s="70"/>
      <c r="I368" s="70"/>
      <c r="J368" s="71"/>
      <c r="K368" s="70"/>
      <c r="L368" s="70"/>
      <c r="M368" s="71"/>
      <c r="N368" s="71"/>
      <c r="O368" s="72" t="s">
        <v>4599</v>
      </c>
      <c r="P368" s="70"/>
      <c r="Q368" s="70"/>
      <c r="R368" s="70"/>
      <c r="S368" s="70"/>
      <c r="T368" s="70"/>
      <c r="U368" s="70"/>
      <c r="V368" s="70"/>
      <c r="W368" s="70"/>
      <c r="X368" s="70"/>
      <c r="Y368" s="70"/>
      <c r="Z368" s="70"/>
      <c r="AA368" s="70"/>
      <c r="AB368" s="70"/>
      <c r="AC368" s="70"/>
      <c r="AD368" s="76"/>
      <c r="AE368" s="76"/>
      <c r="AF368" s="76"/>
      <c r="AG368" s="76"/>
      <c r="AH368" s="76"/>
      <c r="AI368" s="76"/>
      <c r="AJ368" s="76"/>
      <c r="AK368" s="76"/>
      <c r="AL368" s="76"/>
      <c r="AM368" s="76"/>
      <c r="AN368" s="76"/>
      <c r="AO368" s="76"/>
      <c r="AP368" s="76"/>
      <c r="AQ368" s="76"/>
      <c r="AR368" s="76"/>
      <c r="AS368" s="76"/>
      <c r="AT368" s="76"/>
      <c r="AU368" s="76"/>
      <c r="AV368" s="76"/>
      <c r="AW368" s="76"/>
      <c r="AX368" s="76"/>
    </row>
    <row r="369" ht="15.75" customHeight="1">
      <c r="A369" s="126" t="s">
        <v>42</v>
      </c>
      <c r="B369" s="243" t="s">
        <v>2521</v>
      </c>
      <c r="C369" s="31" t="s">
        <v>4608</v>
      </c>
      <c r="D369" s="31"/>
      <c r="E369" s="31"/>
      <c r="F369" s="31"/>
      <c r="G369" s="31"/>
      <c r="H369" s="31"/>
      <c r="I369" s="154"/>
      <c r="J369" s="154"/>
      <c r="K369" s="154"/>
      <c r="L369" s="154"/>
      <c r="M369" s="154"/>
      <c r="N369" s="154"/>
      <c r="O369" s="154"/>
      <c r="P369" s="154"/>
      <c r="Q369" s="154"/>
      <c r="R369" s="154"/>
      <c r="S369" s="154"/>
      <c r="T369" s="154"/>
      <c r="U369" s="154"/>
      <c r="V369" s="154"/>
      <c r="W369" s="154"/>
      <c r="X369" s="154"/>
      <c r="Y369" s="154"/>
      <c r="Z369" s="154"/>
      <c r="AA369" s="154"/>
      <c r="AB369" s="154"/>
      <c r="AC369" s="154"/>
      <c r="AD369" s="76"/>
      <c r="AE369" s="76"/>
      <c r="AF369" s="76"/>
      <c r="AG369" s="76"/>
      <c r="AH369" s="76"/>
      <c r="AI369" s="76"/>
      <c r="AJ369" s="76"/>
      <c r="AK369" s="76"/>
      <c r="AL369" s="76"/>
      <c r="AM369" s="76"/>
      <c r="AN369" s="76"/>
      <c r="AO369" s="76"/>
      <c r="AP369" s="76"/>
      <c r="AQ369" s="76"/>
      <c r="AR369" s="76"/>
      <c r="AS369" s="76"/>
      <c r="AT369" s="76"/>
      <c r="AU369" s="76"/>
      <c r="AV369" s="76"/>
      <c r="AW369" s="76"/>
      <c r="AX369" s="76"/>
    </row>
    <row r="370" ht="15.75" customHeight="1">
      <c r="A370" s="104" t="s">
        <v>108</v>
      </c>
      <c r="B370" s="106" t="s">
        <v>2526</v>
      </c>
      <c r="C370" s="31"/>
      <c r="D370" s="31"/>
      <c r="E370" s="31"/>
      <c r="F370" s="108"/>
      <c r="G370" s="108"/>
      <c r="H370" s="108"/>
      <c r="I370" s="108"/>
      <c r="J370" s="108"/>
      <c r="K370" s="108"/>
      <c r="L370" s="108"/>
      <c r="M370" s="108"/>
      <c r="N370" s="108"/>
      <c r="O370" s="108"/>
      <c r="P370" s="108"/>
      <c r="Q370" s="108"/>
      <c r="R370" s="108"/>
      <c r="S370" s="108"/>
      <c r="T370" s="132" t="s">
        <v>4649</v>
      </c>
      <c r="U370" s="108"/>
      <c r="V370" s="108"/>
      <c r="W370" s="108"/>
      <c r="X370" s="108"/>
      <c r="Y370" s="108"/>
      <c r="Z370" s="108"/>
      <c r="AA370" s="108"/>
      <c r="AB370" s="108"/>
      <c r="AC370" s="108"/>
      <c r="AD370" s="108"/>
      <c r="AE370" s="108"/>
      <c r="AF370" s="108"/>
      <c r="AG370" s="108"/>
      <c r="AH370" s="108"/>
      <c r="AI370" s="108"/>
      <c r="AJ370" s="108"/>
      <c r="AK370" s="108"/>
      <c r="AL370" s="108"/>
      <c r="AM370" s="108"/>
      <c r="AN370" s="108"/>
      <c r="AO370" s="76"/>
      <c r="AP370" s="76"/>
      <c r="AQ370" s="76"/>
      <c r="AR370" s="76"/>
      <c r="AS370" s="76"/>
      <c r="AT370" s="76"/>
      <c r="AU370" s="76"/>
      <c r="AV370" s="76"/>
      <c r="AW370" s="76"/>
      <c r="AX370" s="76"/>
    </row>
    <row r="371" ht="15.75" customHeight="1">
      <c r="A371" s="144" t="s">
        <v>648</v>
      </c>
      <c r="B371" s="245" t="s">
        <v>2529</v>
      </c>
      <c r="C371" s="31" t="s">
        <v>2531</v>
      </c>
      <c r="D371" s="31"/>
      <c r="E371" s="31"/>
      <c r="F371" s="173"/>
      <c r="G371" s="173"/>
      <c r="H371" s="173"/>
      <c r="I371" s="173"/>
      <c r="J371" s="173"/>
      <c r="K371" s="173"/>
      <c r="L371" s="173"/>
      <c r="M371" s="174"/>
      <c r="N371" s="174"/>
      <c r="O371" s="174"/>
      <c r="P371" s="173"/>
      <c r="Q371" s="173"/>
      <c r="R371" s="173"/>
      <c r="S371" s="173"/>
      <c r="T371" s="173"/>
      <c r="U371" s="174" t="s">
        <v>4667</v>
      </c>
      <c r="V371" s="173"/>
      <c r="W371" s="173"/>
      <c r="X371" s="173"/>
      <c r="Y371" s="173"/>
      <c r="Z371" s="173"/>
      <c r="AA371" s="173"/>
      <c r="AB371" s="173"/>
      <c r="AC371" s="173"/>
      <c r="AD371" s="108"/>
      <c r="AE371" s="108"/>
      <c r="AF371" s="108"/>
      <c r="AG371" s="108"/>
      <c r="AH371" s="108"/>
      <c r="AI371" s="108"/>
      <c r="AJ371" s="108"/>
      <c r="AK371" s="108"/>
      <c r="AL371" s="108"/>
      <c r="AM371" s="108"/>
      <c r="AN371" s="108"/>
      <c r="AO371" s="76"/>
      <c r="AP371" s="76"/>
      <c r="AQ371" s="76"/>
      <c r="AR371" s="76"/>
      <c r="AS371" s="76"/>
      <c r="AT371" s="76"/>
      <c r="AU371" s="76"/>
      <c r="AV371" s="76"/>
      <c r="AW371" s="76"/>
      <c r="AX371" s="76"/>
    </row>
    <row r="372" ht="15.75" customHeight="1">
      <c r="A372" s="104" t="s">
        <v>108</v>
      </c>
      <c r="B372" s="106" t="s">
        <v>2532</v>
      </c>
      <c r="C372" s="31"/>
      <c r="D372" s="31"/>
      <c r="E372" s="31"/>
      <c r="F372" s="108"/>
      <c r="G372" s="108"/>
      <c r="H372" s="108"/>
      <c r="I372" s="108"/>
      <c r="J372" s="108"/>
      <c r="K372" s="108"/>
      <c r="L372" s="108"/>
      <c r="M372" s="108"/>
      <c r="N372" s="108"/>
      <c r="O372" s="108"/>
      <c r="P372" s="108"/>
      <c r="Q372" s="108"/>
      <c r="R372" s="108"/>
      <c r="S372" s="108"/>
      <c r="T372" s="121" t="s">
        <v>1570</v>
      </c>
      <c r="U372" s="108"/>
      <c r="V372" s="108"/>
      <c r="W372" s="108"/>
      <c r="X372" s="108"/>
      <c r="Y372" s="108"/>
      <c r="Z372" s="108"/>
      <c r="AA372" s="108"/>
      <c r="AB372" s="108"/>
      <c r="AC372" s="108"/>
      <c r="AD372" s="108"/>
      <c r="AE372" s="108"/>
      <c r="AF372" s="108"/>
      <c r="AG372" s="108"/>
      <c r="AH372" s="108"/>
      <c r="AI372" s="108"/>
      <c r="AJ372" s="108"/>
      <c r="AK372" s="108"/>
      <c r="AL372" s="108"/>
      <c r="AM372" s="108"/>
      <c r="AN372" s="108"/>
      <c r="AO372" s="76"/>
      <c r="AP372" s="76"/>
      <c r="AQ372" s="76"/>
      <c r="AR372" s="76"/>
      <c r="AS372" s="76"/>
      <c r="AT372" s="76"/>
      <c r="AU372" s="76"/>
      <c r="AV372" s="76"/>
      <c r="AW372" s="76"/>
      <c r="AX372" s="76"/>
    </row>
    <row r="373" ht="15.75" customHeight="1">
      <c r="A373" s="104" t="s">
        <v>108</v>
      </c>
      <c r="B373" s="106" t="s">
        <v>2537</v>
      </c>
      <c r="C373" s="31"/>
      <c r="D373" s="31"/>
      <c r="E373" s="31"/>
      <c r="F373" s="108"/>
      <c r="G373" s="108"/>
      <c r="H373" s="108"/>
      <c r="I373" s="108"/>
      <c r="J373" s="108"/>
      <c r="K373" s="108"/>
      <c r="L373" s="108"/>
      <c r="M373" s="108"/>
      <c r="N373" s="108"/>
      <c r="O373" s="108" t="s">
        <v>4686</v>
      </c>
      <c r="P373" s="108"/>
      <c r="Q373" s="108"/>
      <c r="R373" s="108"/>
      <c r="S373" s="108"/>
      <c r="T373" s="132" t="s">
        <v>4688</v>
      </c>
      <c r="U373" s="108"/>
      <c r="V373" s="108"/>
      <c r="W373" s="108"/>
      <c r="X373" s="108"/>
      <c r="Y373" s="108"/>
      <c r="Z373" s="108"/>
      <c r="AA373" s="108"/>
      <c r="AB373" s="108"/>
      <c r="AC373" s="108"/>
      <c r="AD373" s="108"/>
      <c r="AE373" s="108"/>
      <c r="AF373" s="108"/>
      <c r="AG373" s="108"/>
      <c r="AH373" s="108"/>
      <c r="AI373" s="108"/>
      <c r="AJ373" s="108"/>
      <c r="AK373" s="108"/>
      <c r="AL373" s="108"/>
      <c r="AM373" s="108"/>
      <c r="AN373" s="108"/>
      <c r="AO373" s="76"/>
      <c r="AP373" s="76"/>
      <c r="AQ373" s="76"/>
      <c r="AR373" s="76"/>
      <c r="AS373" s="76"/>
      <c r="AT373" s="76"/>
      <c r="AU373" s="76"/>
      <c r="AV373" s="76"/>
      <c r="AW373" s="76"/>
      <c r="AX373" s="76"/>
    </row>
    <row r="374" ht="15.75" customHeight="1">
      <c r="A374" s="104" t="s">
        <v>108</v>
      </c>
      <c r="B374" s="106" t="s">
        <v>2543</v>
      </c>
      <c r="C374" s="31"/>
      <c r="D374" s="31"/>
      <c r="E374" s="31"/>
      <c r="F374" s="108"/>
      <c r="G374" s="108"/>
      <c r="H374" s="108"/>
      <c r="I374" s="108"/>
      <c r="J374" s="108"/>
      <c r="K374" s="108"/>
      <c r="L374" s="108"/>
      <c r="M374" s="108"/>
      <c r="N374" s="108"/>
      <c r="O374" s="108"/>
      <c r="P374" s="108"/>
      <c r="Q374" s="108"/>
      <c r="R374" s="108"/>
      <c r="S374" s="108"/>
      <c r="T374" s="132" t="s">
        <v>4694</v>
      </c>
      <c r="U374" s="108"/>
      <c r="V374" s="108"/>
      <c r="W374" s="108"/>
      <c r="X374" s="108"/>
      <c r="Y374" s="108"/>
      <c r="Z374" s="108"/>
      <c r="AA374" s="108"/>
      <c r="AB374" s="108"/>
      <c r="AC374" s="108"/>
      <c r="AD374" s="108"/>
      <c r="AE374" s="108"/>
      <c r="AF374" s="108"/>
      <c r="AG374" s="108"/>
      <c r="AH374" s="108"/>
      <c r="AI374" s="108"/>
      <c r="AJ374" s="108"/>
      <c r="AK374" s="108"/>
      <c r="AL374" s="108"/>
      <c r="AM374" s="108"/>
      <c r="AN374" s="108"/>
      <c r="AO374" s="76"/>
      <c r="AP374" s="76"/>
      <c r="AQ374" s="76"/>
      <c r="AR374" s="76"/>
      <c r="AS374" s="76"/>
      <c r="AT374" s="76"/>
      <c r="AU374" s="76"/>
      <c r="AV374" s="76"/>
      <c r="AW374" s="76"/>
      <c r="AX374" s="76"/>
    </row>
    <row r="375" ht="15.75" customHeight="1">
      <c r="A375" s="104" t="s">
        <v>108</v>
      </c>
      <c r="B375" s="106" t="s">
        <v>2546</v>
      </c>
      <c r="C375" s="31"/>
      <c r="D375" s="31"/>
      <c r="E375" s="31"/>
      <c r="F375" s="108"/>
      <c r="G375" s="108"/>
      <c r="H375" s="108"/>
      <c r="I375" s="108"/>
      <c r="J375" s="108"/>
      <c r="K375" s="108"/>
      <c r="L375" s="108"/>
      <c r="M375" s="108"/>
      <c r="N375" s="108"/>
      <c r="O375" s="108"/>
      <c r="P375" s="108"/>
      <c r="Q375" s="108"/>
      <c r="R375" s="108"/>
      <c r="S375" s="108"/>
      <c r="T375" s="132" t="s">
        <v>4705</v>
      </c>
      <c r="U375" s="108"/>
      <c r="V375" s="108"/>
      <c r="W375" s="108"/>
      <c r="X375" s="108"/>
      <c r="Y375" s="108"/>
      <c r="Z375" s="108"/>
      <c r="AA375" s="108"/>
      <c r="AB375" s="108"/>
      <c r="AC375" s="108"/>
      <c r="AD375" s="108"/>
      <c r="AE375" s="108"/>
      <c r="AF375" s="108"/>
      <c r="AG375" s="108"/>
      <c r="AH375" s="108"/>
      <c r="AI375" s="108"/>
      <c r="AJ375" s="108"/>
      <c r="AK375" s="108"/>
      <c r="AL375" s="108"/>
      <c r="AM375" s="108"/>
      <c r="AN375" s="108"/>
      <c r="AO375" s="76"/>
      <c r="AP375" s="76"/>
      <c r="AQ375" s="76"/>
      <c r="AR375" s="76"/>
      <c r="AS375" s="76"/>
      <c r="AT375" s="76"/>
      <c r="AU375" s="76"/>
      <c r="AV375" s="76"/>
      <c r="AW375" s="76"/>
      <c r="AX375" s="76"/>
    </row>
    <row r="376" ht="15.75" customHeight="1">
      <c r="A376" s="104" t="s">
        <v>108</v>
      </c>
      <c r="B376" s="106" t="s">
        <v>2550</v>
      </c>
      <c r="C376" s="31"/>
      <c r="D376" s="31"/>
      <c r="E376" s="31"/>
      <c r="F376" s="108"/>
      <c r="G376" s="108"/>
      <c r="H376" s="108"/>
      <c r="I376" s="108"/>
      <c r="J376" s="108"/>
      <c r="K376" s="108"/>
      <c r="L376" s="108"/>
      <c r="M376" s="108"/>
      <c r="N376" s="108"/>
      <c r="O376" s="108"/>
      <c r="P376" s="108"/>
      <c r="Q376" s="108"/>
      <c r="R376" s="108"/>
      <c r="S376" s="108"/>
      <c r="T376" s="121" t="s">
        <v>4714</v>
      </c>
      <c r="U376" s="108"/>
      <c r="V376" s="108"/>
      <c r="W376" s="108"/>
      <c r="X376" s="108"/>
      <c r="Y376" s="108"/>
      <c r="Z376" s="108"/>
      <c r="AA376" s="108"/>
      <c r="AB376" s="108"/>
      <c r="AC376" s="108"/>
      <c r="AD376" s="108"/>
      <c r="AE376" s="108"/>
      <c r="AF376" s="108"/>
      <c r="AG376" s="108"/>
      <c r="AH376" s="108"/>
      <c r="AI376" s="108"/>
      <c r="AJ376" s="108"/>
      <c r="AK376" s="108"/>
      <c r="AL376" s="108"/>
      <c r="AM376" s="108"/>
      <c r="AN376" s="108"/>
      <c r="AO376" s="76"/>
      <c r="AP376" s="76"/>
      <c r="AQ376" s="76"/>
      <c r="AR376" s="76"/>
      <c r="AS376" s="76"/>
      <c r="AT376" s="76"/>
      <c r="AU376" s="76"/>
      <c r="AV376" s="76"/>
      <c r="AW376" s="76"/>
      <c r="AX376" s="76"/>
    </row>
    <row r="377" ht="15.75" customHeight="1">
      <c r="A377" s="144" t="s">
        <v>691</v>
      </c>
      <c r="B377" s="144" t="s">
        <v>2529</v>
      </c>
      <c r="C377" s="31"/>
      <c r="D377" s="31"/>
      <c r="E377" s="31"/>
      <c r="F377" s="173"/>
      <c r="G377" s="173"/>
      <c r="H377" s="173"/>
      <c r="I377" s="173"/>
      <c r="J377" s="173"/>
      <c r="K377" s="173"/>
      <c r="L377" s="173"/>
      <c r="M377" s="173"/>
      <c r="N377" s="173"/>
      <c r="O377" s="173"/>
      <c r="P377" s="173"/>
      <c r="Q377" s="173"/>
      <c r="R377" s="173"/>
      <c r="S377" s="173"/>
      <c r="T377" s="173"/>
      <c r="U377" s="173"/>
      <c r="V377" s="173"/>
      <c r="W377" s="173"/>
      <c r="X377" s="173"/>
      <c r="Y377" s="173"/>
      <c r="Z377" s="173"/>
      <c r="AA377" s="173"/>
      <c r="AB377" s="173"/>
      <c r="AC377" s="173"/>
      <c r="AD377" s="108"/>
      <c r="AE377" s="108"/>
      <c r="AF377" s="108"/>
      <c r="AG377" s="108"/>
      <c r="AH377" s="108"/>
      <c r="AI377" s="108"/>
      <c r="AJ377" s="108"/>
      <c r="AK377" s="108"/>
      <c r="AL377" s="108"/>
      <c r="AM377" s="108"/>
      <c r="AN377" s="108"/>
      <c r="AO377" s="76"/>
      <c r="AP377" s="76"/>
      <c r="AQ377" s="76"/>
      <c r="AR377" s="76"/>
      <c r="AS377" s="76"/>
      <c r="AT377" s="76"/>
      <c r="AU377" s="76"/>
      <c r="AV377" s="76"/>
      <c r="AW377" s="76"/>
      <c r="AX377" s="76"/>
    </row>
    <row r="378" ht="15.75" customHeight="1">
      <c r="A378" s="104" t="s">
        <v>108</v>
      </c>
      <c r="B378" s="106" t="s">
        <v>2557</v>
      </c>
      <c r="C378" s="31"/>
      <c r="D378" s="31"/>
      <c r="E378" s="31"/>
      <c r="F378" s="108"/>
      <c r="G378" s="108"/>
      <c r="H378" s="108"/>
      <c r="I378" s="108"/>
      <c r="J378" s="108"/>
      <c r="K378" s="108"/>
      <c r="L378" s="108"/>
      <c r="M378" s="108"/>
      <c r="N378" s="108"/>
      <c r="O378" s="108"/>
      <c r="P378" s="108"/>
      <c r="Q378" s="108"/>
      <c r="R378" s="108"/>
      <c r="S378" s="108"/>
      <c r="T378" s="121" t="s">
        <v>4728</v>
      </c>
      <c r="U378" s="108"/>
      <c r="V378" s="108"/>
      <c r="W378" s="108"/>
      <c r="X378" s="108"/>
      <c r="Y378" s="108"/>
      <c r="Z378" s="108"/>
      <c r="AA378" s="108"/>
      <c r="AB378" s="108"/>
      <c r="AC378" s="108"/>
      <c r="AD378" s="108"/>
      <c r="AE378" s="108"/>
      <c r="AF378" s="108"/>
      <c r="AG378" s="108"/>
      <c r="AH378" s="108"/>
      <c r="AI378" s="108"/>
      <c r="AJ378" s="108"/>
      <c r="AK378" s="108"/>
      <c r="AL378" s="108"/>
      <c r="AM378" s="108"/>
      <c r="AN378" s="108"/>
      <c r="AO378" s="76"/>
      <c r="AP378" s="76"/>
      <c r="AQ378" s="76"/>
      <c r="AR378" s="76"/>
      <c r="AS378" s="76"/>
      <c r="AT378" s="76"/>
      <c r="AU378" s="76"/>
      <c r="AV378" s="76"/>
      <c r="AW378" s="76"/>
      <c r="AX378" s="76"/>
    </row>
    <row r="379" ht="15.75" customHeight="1">
      <c r="A379" s="67" t="s">
        <v>139</v>
      </c>
      <c r="B379" s="141" t="s">
        <v>2565</v>
      </c>
      <c r="C379" s="31"/>
      <c r="D379" s="31"/>
      <c r="E379" s="31"/>
      <c r="F379" s="70"/>
      <c r="G379" s="70"/>
      <c r="H379" s="70"/>
      <c r="I379" s="70"/>
      <c r="J379" s="71"/>
      <c r="K379" s="70"/>
      <c r="L379" s="70"/>
      <c r="M379" s="71"/>
      <c r="N379" s="71"/>
      <c r="O379" s="72"/>
      <c r="P379" s="70"/>
      <c r="Q379" s="70"/>
      <c r="R379" s="70"/>
      <c r="S379" s="70"/>
      <c r="T379" s="73" t="s">
        <v>145</v>
      </c>
      <c r="U379" s="70"/>
      <c r="V379" s="70"/>
      <c r="W379" s="70"/>
      <c r="X379" s="70"/>
      <c r="Y379" s="70"/>
      <c r="Z379" s="70"/>
      <c r="AA379" s="70"/>
      <c r="AB379" s="70"/>
      <c r="AC379" s="70"/>
      <c r="AD379" s="76"/>
      <c r="AE379" s="76"/>
      <c r="AF379" s="76"/>
      <c r="AG379" s="76"/>
      <c r="AH379" s="76"/>
      <c r="AI379" s="76"/>
      <c r="AJ379" s="76"/>
      <c r="AK379" s="76"/>
      <c r="AL379" s="76"/>
      <c r="AM379" s="76"/>
      <c r="AN379" s="76"/>
      <c r="AO379" s="76"/>
      <c r="AP379" s="76"/>
      <c r="AQ379" s="76"/>
      <c r="AR379" s="76"/>
      <c r="AS379" s="76"/>
      <c r="AT379" s="76"/>
      <c r="AU379" s="76"/>
      <c r="AV379" s="76"/>
      <c r="AW379" s="76"/>
      <c r="AX379" s="76"/>
    </row>
    <row r="380" ht="15.75" customHeight="1">
      <c r="A380" s="149" t="s">
        <v>42</v>
      </c>
      <c r="B380" s="131" t="s">
        <v>2568</v>
      </c>
      <c r="C380" s="31" t="s">
        <v>4745</v>
      </c>
      <c r="D380" s="31" t="s">
        <v>4746</v>
      </c>
      <c r="E380" s="31" t="s">
        <v>4747</v>
      </c>
      <c r="F380" s="31"/>
      <c r="G380" s="31"/>
      <c r="H380" s="31"/>
      <c r="I380" s="84"/>
      <c r="J380" s="159"/>
      <c r="K380" s="84"/>
      <c r="L380" s="84"/>
      <c r="M380" s="84"/>
      <c r="N380" s="84"/>
      <c r="O380" s="84"/>
      <c r="P380" s="84"/>
      <c r="Q380" s="84"/>
      <c r="R380" s="84"/>
      <c r="S380" s="84"/>
      <c r="T380" s="84"/>
      <c r="U380" s="84"/>
      <c r="V380" s="84"/>
      <c r="W380" s="84"/>
      <c r="X380" s="84"/>
      <c r="Y380" s="84"/>
      <c r="Z380" s="84"/>
      <c r="AA380" s="84"/>
      <c r="AB380" s="84"/>
      <c r="AC380" s="84"/>
      <c r="AD380" s="70"/>
      <c r="AE380" s="70"/>
      <c r="AF380" s="70"/>
      <c r="AG380" s="70"/>
      <c r="AH380" s="70"/>
      <c r="AI380" s="70"/>
      <c r="AJ380" s="70"/>
      <c r="AK380" s="70"/>
      <c r="AL380" s="70"/>
      <c r="AM380" s="70"/>
      <c r="AN380" s="70"/>
      <c r="AO380" s="76"/>
      <c r="AP380" s="76"/>
      <c r="AQ380" s="76"/>
      <c r="AR380" s="76"/>
      <c r="AS380" s="76"/>
      <c r="AT380" s="76"/>
      <c r="AU380" s="76"/>
      <c r="AV380" s="76"/>
      <c r="AW380" s="76"/>
      <c r="AX380" s="76"/>
    </row>
    <row r="381" ht="15.75" customHeight="1">
      <c r="A381" s="81" t="s">
        <v>338</v>
      </c>
      <c r="B381" s="142" t="s">
        <v>2576</v>
      </c>
      <c r="C381" s="31" t="s">
        <v>4759</v>
      </c>
      <c r="D381" s="31" t="s">
        <v>4760</v>
      </c>
      <c r="E381" s="31" t="s">
        <v>4761</v>
      </c>
      <c r="F381" s="31"/>
      <c r="G381" s="31" t="s">
        <v>4762</v>
      </c>
      <c r="H381" s="31" t="s">
        <v>4763</v>
      </c>
      <c r="I381" s="84"/>
      <c r="J381" s="159"/>
      <c r="K381" s="84"/>
      <c r="L381" s="84"/>
      <c r="M381" s="84"/>
      <c r="N381" s="84"/>
      <c r="O381" s="84"/>
      <c r="P381" s="84"/>
      <c r="Q381" s="84" t="s">
        <v>166</v>
      </c>
      <c r="R381" s="84"/>
      <c r="S381" s="84"/>
      <c r="T381" s="84"/>
      <c r="U381" s="84"/>
      <c r="V381" s="84"/>
      <c r="W381" s="84"/>
      <c r="X381" s="84"/>
      <c r="Y381" s="84"/>
      <c r="Z381" s="84"/>
      <c r="AA381" s="84"/>
      <c r="AB381" s="84"/>
      <c r="AC381" s="84"/>
      <c r="AD381" s="70"/>
      <c r="AE381" s="70"/>
      <c r="AF381" s="70"/>
      <c r="AG381" s="70"/>
      <c r="AH381" s="70"/>
      <c r="AI381" s="70"/>
      <c r="AJ381" s="70"/>
      <c r="AK381" s="70"/>
      <c r="AL381" s="70"/>
      <c r="AM381" s="70"/>
      <c r="AN381" s="70"/>
      <c r="AO381" s="76"/>
      <c r="AP381" s="76"/>
      <c r="AQ381" s="76"/>
      <c r="AR381" s="76"/>
      <c r="AS381" s="76"/>
      <c r="AT381" s="76"/>
      <c r="AU381" s="76"/>
      <c r="AV381" s="76"/>
      <c r="AW381" s="76"/>
      <c r="AX381" s="76"/>
    </row>
    <row r="382" ht="15.75" customHeight="1">
      <c r="A382" s="146" t="s">
        <v>237</v>
      </c>
      <c r="B382" s="147" t="s">
        <v>2580</v>
      </c>
      <c r="C382" s="31" t="s">
        <v>4778</v>
      </c>
      <c r="D382" s="31" t="s">
        <v>4780</v>
      </c>
      <c r="E382" s="31" t="s">
        <v>4781</v>
      </c>
      <c r="F382" s="31"/>
      <c r="G382" s="31"/>
      <c r="H382" s="31"/>
      <c r="I382" s="175"/>
      <c r="J382" s="175"/>
      <c r="K382" s="176" t="s">
        <v>1341</v>
      </c>
      <c r="L382" s="176" t="s">
        <v>4786</v>
      </c>
      <c r="M382" s="175"/>
      <c r="N382" s="175"/>
      <c r="O382" s="175" t="s">
        <v>4787</v>
      </c>
      <c r="P382" s="175"/>
      <c r="Q382" s="175" t="s">
        <v>166</v>
      </c>
      <c r="R382" s="175"/>
      <c r="S382" s="175"/>
      <c r="T382" s="175"/>
      <c r="U382" s="175"/>
      <c r="V382" s="175"/>
      <c r="W382" s="175"/>
      <c r="X382" s="175"/>
      <c r="Y382" s="175"/>
      <c r="Z382" s="175"/>
      <c r="AA382" s="175"/>
      <c r="AB382" s="175"/>
      <c r="AC382" s="175"/>
      <c r="AD382" s="70"/>
      <c r="AE382" s="70"/>
      <c r="AF382" s="70"/>
      <c r="AG382" s="70"/>
      <c r="AH382" s="70"/>
      <c r="AI382" s="70"/>
      <c r="AJ382" s="70"/>
      <c r="AK382" s="70"/>
      <c r="AL382" s="70"/>
      <c r="AM382" s="70"/>
      <c r="AN382" s="70"/>
      <c r="AO382" s="76"/>
      <c r="AP382" s="76"/>
      <c r="AQ382" s="76"/>
      <c r="AR382" s="76"/>
      <c r="AS382" s="76"/>
      <c r="AT382" s="76"/>
      <c r="AU382" s="76"/>
      <c r="AV382" s="76"/>
      <c r="AW382" s="76"/>
      <c r="AX382" s="76"/>
    </row>
    <row r="383" ht="15.75" customHeight="1">
      <c r="A383" s="144" t="s">
        <v>648</v>
      </c>
      <c r="B383" s="145" t="s">
        <v>2586</v>
      </c>
      <c r="C383" s="31" t="s">
        <v>2587</v>
      </c>
      <c r="D383" s="31"/>
      <c r="E383" s="31"/>
      <c r="F383" s="173"/>
      <c r="G383" s="173"/>
      <c r="H383" s="173"/>
      <c r="I383" s="173"/>
      <c r="J383" s="173"/>
      <c r="K383" s="173"/>
      <c r="L383" s="173"/>
      <c r="M383" s="174"/>
      <c r="N383" s="174"/>
      <c r="O383" s="174" t="s">
        <v>4787</v>
      </c>
      <c r="P383" s="173"/>
      <c r="Q383" s="173"/>
      <c r="R383" s="173"/>
      <c r="S383" s="173"/>
      <c r="T383" s="173"/>
      <c r="U383" s="145" t="s">
        <v>4809</v>
      </c>
      <c r="V383" s="173"/>
      <c r="W383" s="173"/>
      <c r="X383" s="173"/>
      <c r="Y383" s="173"/>
      <c r="Z383" s="173"/>
      <c r="AA383" s="173"/>
      <c r="AB383" s="173"/>
      <c r="AC383" s="173"/>
      <c r="AD383" s="70"/>
      <c r="AE383" s="70"/>
      <c r="AF383" s="70"/>
      <c r="AG383" s="70"/>
      <c r="AH383" s="70"/>
      <c r="AI383" s="70"/>
      <c r="AJ383" s="70"/>
      <c r="AK383" s="70"/>
      <c r="AL383" s="70"/>
      <c r="AM383" s="70"/>
      <c r="AN383" s="70"/>
      <c r="AO383" s="76"/>
      <c r="AP383" s="76"/>
      <c r="AQ383" s="76"/>
      <c r="AR383" s="76"/>
      <c r="AS383" s="76"/>
      <c r="AT383" s="76"/>
      <c r="AU383" s="76"/>
      <c r="AV383" s="76"/>
      <c r="AW383" s="76"/>
      <c r="AX383" s="76"/>
    </row>
    <row r="384" ht="15.75" customHeight="1">
      <c r="A384" s="104" t="s">
        <v>108</v>
      </c>
      <c r="B384" s="105" t="s">
        <v>2591</v>
      </c>
      <c r="C384" s="31" t="s">
        <v>2592</v>
      </c>
      <c r="D384" s="31"/>
      <c r="E384" s="31"/>
      <c r="F384" s="108"/>
      <c r="G384" s="108"/>
      <c r="H384" s="108"/>
      <c r="I384" s="108"/>
      <c r="J384" s="108"/>
      <c r="K384" s="108"/>
      <c r="L384" s="108"/>
      <c r="M384" s="108"/>
      <c r="N384" s="108"/>
      <c r="O384" s="108"/>
      <c r="P384" s="108"/>
      <c r="Q384" s="108"/>
      <c r="R384" s="108"/>
      <c r="S384" s="108"/>
      <c r="T384" s="121" t="s">
        <v>1570</v>
      </c>
      <c r="U384" s="108"/>
      <c r="V384" s="108"/>
      <c r="W384" s="108"/>
      <c r="X384" s="108"/>
      <c r="Y384" s="108"/>
      <c r="Z384" s="108"/>
      <c r="AA384" s="108"/>
      <c r="AB384" s="108"/>
      <c r="AC384" s="108"/>
      <c r="AD384" s="76"/>
      <c r="AE384" s="76"/>
      <c r="AF384" s="76"/>
      <c r="AG384" s="76"/>
      <c r="AH384" s="76"/>
      <c r="AI384" s="76"/>
      <c r="AJ384" s="76"/>
      <c r="AK384" s="76"/>
      <c r="AL384" s="70"/>
      <c r="AM384" s="70"/>
      <c r="AN384" s="70"/>
      <c r="AO384" s="76"/>
      <c r="AP384" s="76"/>
      <c r="AQ384" s="76"/>
      <c r="AR384" s="76"/>
      <c r="AS384" s="76"/>
      <c r="AT384" s="76"/>
      <c r="AU384" s="76"/>
      <c r="AV384" s="76"/>
      <c r="AW384" s="76"/>
      <c r="AX384" s="76"/>
    </row>
    <row r="385" ht="15.75" customHeight="1">
      <c r="A385" s="104" t="s">
        <v>108</v>
      </c>
      <c r="B385" s="105" t="s">
        <v>2600</v>
      </c>
      <c r="C385" s="31"/>
      <c r="D385" s="31"/>
      <c r="E385" s="31"/>
      <c r="F385" s="108"/>
      <c r="G385" s="108"/>
      <c r="H385" s="108"/>
      <c r="I385" s="108"/>
      <c r="J385" s="108"/>
      <c r="K385" s="108"/>
      <c r="L385" s="108"/>
      <c r="M385" s="108"/>
      <c r="N385" s="108"/>
      <c r="O385" s="108"/>
      <c r="P385" s="108"/>
      <c r="Q385" s="108"/>
      <c r="R385" s="108"/>
      <c r="S385" s="108"/>
      <c r="T385" s="121" t="s">
        <v>4837</v>
      </c>
      <c r="U385" s="108"/>
      <c r="V385" s="108"/>
      <c r="W385" s="108"/>
      <c r="X385" s="108"/>
      <c r="Y385" s="108"/>
      <c r="Z385" s="108"/>
      <c r="AA385" s="108"/>
      <c r="AB385" s="108"/>
      <c r="AC385" s="108"/>
      <c r="AD385" s="76"/>
      <c r="AE385" s="76"/>
      <c r="AF385" s="76"/>
      <c r="AG385" s="76"/>
      <c r="AH385" s="76"/>
      <c r="AI385" s="76"/>
      <c r="AJ385" s="76"/>
      <c r="AK385" s="76"/>
      <c r="AL385" s="70"/>
      <c r="AM385" s="70"/>
      <c r="AN385" s="70"/>
      <c r="AO385" s="76"/>
      <c r="AP385" s="76"/>
      <c r="AQ385" s="76"/>
      <c r="AR385" s="76"/>
      <c r="AS385" s="76"/>
      <c r="AT385" s="76"/>
      <c r="AU385" s="76"/>
      <c r="AV385" s="76"/>
      <c r="AW385" s="76"/>
      <c r="AX385" s="76"/>
    </row>
    <row r="386" ht="15.75" customHeight="1">
      <c r="A386" s="104" t="s">
        <v>108</v>
      </c>
      <c r="B386" s="105" t="s">
        <v>2602</v>
      </c>
      <c r="C386" s="31"/>
      <c r="D386" s="31"/>
      <c r="E386" s="31"/>
      <c r="F386" s="108"/>
      <c r="G386" s="108"/>
      <c r="H386" s="108"/>
      <c r="I386" s="108"/>
      <c r="J386" s="108"/>
      <c r="K386" s="108"/>
      <c r="L386" s="108"/>
      <c r="M386" s="108"/>
      <c r="N386" s="108"/>
      <c r="O386" s="108"/>
      <c r="P386" s="108"/>
      <c r="Q386" s="108"/>
      <c r="R386" s="108"/>
      <c r="S386" s="108"/>
      <c r="T386" s="121" t="s">
        <v>4846</v>
      </c>
      <c r="U386" s="108"/>
      <c r="V386" s="108"/>
      <c r="W386" s="108"/>
      <c r="X386" s="108"/>
      <c r="Y386" s="108"/>
      <c r="Z386" s="108"/>
      <c r="AA386" s="108"/>
      <c r="AB386" s="108"/>
      <c r="AC386" s="108"/>
      <c r="AD386" s="76"/>
      <c r="AE386" s="76"/>
      <c r="AF386" s="76"/>
      <c r="AG386" s="76"/>
      <c r="AH386" s="76"/>
      <c r="AI386" s="76"/>
      <c r="AJ386" s="76"/>
      <c r="AK386" s="76"/>
      <c r="AL386" s="70"/>
      <c r="AM386" s="70"/>
      <c r="AN386" s="70"/>
      <c r="AO386" s="76"/>
      <c r="AP386" s="76"/>
      <c r="AQ386" s="76"/>
      <c r="AR386" s="76"/>
      <c r="AS386" s="76"/>
      <c r="AT386" s="76"/>
      <c r="AU386" s="76"/>
      <c r="AV386" s="76"/>
      <c r="AW386" s="76"/>
      <c r="AX386" s="76"/>
    </row>
    <row r="387" ht="15.75" customHeight="1">
      <c r="A387" s="104" t="s">
        <v>108</v>
      </c>
      <c r="B387" s="105" t="s">
        <v>2603</v>
      </c>
      <c r="C387" s="31"/>
      <c r="D387" s="31"/>
      <c r="E387" s="31"/>
      <c r="F387" s="108"/>
      <c r="G387" s="108"/>
      <c r="H387" s="108"/>
      <c r="I387" s="108"/>
      <c r="J387" s="108"/>
      <c r="K387" s="108"/>
      <c r="L387" s="108"/>
      <c r="M387" s="108"/>
      <c r="N387" s="108"/>
      <c r="O387" s="108"/>
      <c r="P387" s="108"/>
      <c r="Q387" s="108"/>
      <c r="R387" s="108"/>
      <c r="S387" s="108"/>
      <c r="T387" s="121" t="s">
        <v>4859</v>
      </c>
      <c r="U387" s="108"/>
      <c r="V387" s="108"/>
      <c r="W387" s="108"/>
      <c r="X387" s="108"/>
      <c r="Y387" s="108"/>
      <c r="Z387" s="108"/>
      <c r="AA387" s="108"/>
      <c r="AB387" s="108"/>
      <c r="AC387" s="108"/>
      <c r="AD387" s="76"/>
      <c r="AE387" s="76"/>
      <c r="AF387" s="76"/>
      <c r="AG387" s="76"/>
      <c r="AH387" s="76"/>
      <c r="AI387" s="76"/>
      <c r="AJ387" s="76"/>
      <c r="AK387" s="76"/>
      <c r="AL387" s="70"/>
      <c r="AM387" s="70"/>
      <c r="AN387" s="70"/>
      <c r="AO387" s="76"/>
      <c r="AP387" s="76"/>
      <c r="AQ387" s="76"/>
      <c r="AR387" s="76"/>
      <c r="AS387" s="76"/>
      <c r="AT387" s="76"/>
      <c r="AU387" s="76"/>
      <c r="AV387" s="76"/>
      <c r="AW387" s="76"/>
      <c r="AX387" s="76"/>
    </row>
    <row r="388" ht="15.75" customHeight="1">
      <c r="A388" s="122" t="s">
        <v>150</v>
      </c>
      <c r="B388" s="123" t="s">
        <v>2605</v>
      </c>
      <c r="C388" s="31" t="s">
        <v>2606</v>
      </c>
      <c r="D388" s="31"/>
      <c r="E388" s="31"/>
      <c r="F388" s="70"/>
      <c r="G388" s="70"/>
      <c r="H388" s="70"/>
      <c r="I388" s="70"/>
      <c r="J388" s="71" t="s">
        <v>1736</v>
      </c>
      <c r="K388" s="70"/>
      <c r="L388" s="70"/>
      <c r="M388" s="71"/>
      <c r="N388" s="71"/>
      <c r="O388" s="71"/>
      <c r="P388" s="70"/>
      <c r="Q388" s="70"/>
      <c r="R388" s="70"/>
      <c r="S388" s="70"/>
      <c r="T388" s="70"/>
      <c r="U388" s="70"/>
      <c r="V388" s="70"/>
      <c r="W388" s="70"/>
      <c r="X388" s="70"/>
      <c r="Y388" s="70"/>
      <c r="Z388" s="70"/>
      <c r="AA388" s="70"/>
      <c r="AB388" s="70"/>
      <c r="AC388" s="70"/>
      <c r="AD388" s="76"/>
      <c r="AE388" s="76"/>
      <c r="AF388" s="76"/>
      <c r="AG388" s="76"/>
      <c r="AH388" s="76"/>
      <c r="AI388" s="76"/>
      <c r="AJ388" s="76"/>
      <c r="AK388" s="76"/>
      <c r="AL388" s="70"/>
      <c r="AM388" s="70"/>
      <c r="AN388" s="70"/>
      <c r="AO388" s="76"/>
      <c r="AP388" s="76"/>
      <c r="AQ388" s="76"/>
      <c r="AR388" s="76"/>
      <c r="AS388" s="76"/>
      <c r="AT388" s="76"/>
      <c r="AU388" s="76"/>
      <c r="AV388" s="76"/>
      <c r="AW388" s="76"/>
      <c r="AX388" s="76"/>
    </row>
    <row r="389" ht="15.75" customHeight="1">
      <c r="A389" s="133" t="s">
        <v>214</v>
      </c>
      <c r="B389" s="143" t="s">
        <v>2607</v>
      </c>
      <c r="C389" s="31" t="s">
        <v>4876</v>
      </c>
      <c r="D389" s="31" t="s">
        <v>4877</v>
      </c>
      <c r="E389" s="31" t="s">
        <v>4878</v>
      </c>
      <c r="F389" s="31"/>
      <c r="G389" s="31"/>
      <c r="H389" s="31"/>
      <c r="I389" s="162"/>
      <c r="J389" s="163"/>
      <c r="K389" s="162"/>
      <c r="L389" s="162"/>
      <c r="M389" s="162"/>
      <c r="N389" s="162"/>
      <c r="O389" s="162"/>
      <c r="P389" s="162"/>
      <c r="Q389" s="162" t="s">
        <v>166</v>
      </c>
      <c r="R389" s="162"/>
      <c r="S389" s="162"/>
      <c r="T389" s="162"/>
      <c r="U389" s="162"/>
      <c r="V389" s="162"/>
      <c r="W389" s="162"/>
      <c r="X389" s="162"/>
      <c r="Y389" s="162"/>
      <c r="Z389" s="162"/>
      <c r="AA389" s="162"/>
      <c r="AB389" s="162"/>
      <c r="AC389" s="162"/>
      <c r="AD389" s="76"/>
      <c r="AE389" s="76"/>
      <c r="AF389" s="76"/>
      <c r="AG389" s="76"/>
      <c r="AH389" s="76"/>
      <c r="AI389" s="76"/>
      <c r="AJ389" s="76"/>
      <c r="AK389" s="76"/>
      <c r="AL389" s="70"/>
      <c r="AM389" s="70"/>
      <c r="AN389" s="70"/>
      <c r="AO389" s="76"/>
      <c r="AP389" s="76"/>
      <c r="AQ389" s="76"/>
      <c r="AR389" s="76"/>
      <c r="AS389" s="76"/>
      <c r="AT389" s="76"/>
      <c r="AU389" s="76"/>
      <c r="AV389" s="76"/>
      <c r="AW389" s="76"/>
      <c r="AX389" s="76"/>
    </row>
    <row r="390" ht="15.75" customHeight="1">
      <c r="A390" s="133" t="s">
        <v>214</v>
      </c>
      <c r="B390" s="143" t="s">
        <v>2612</v>
      </c>
      <c r="C390" s="31" t="s">
        <v>4893</v>
      </c>
      <c r="D390" s="31" t="s">
        <v>4894</v>
      </c>
      <c r="E390" s="31" t="s">
        <v>4895</v>
      </c>
      <c r="F390" s="31"/>
      <c r="G390" s="31"/>
      <c r="H390" s="31"/>
      <c r="I390" s="162"/>
      <c r="J390" s="163"/>
      <c r="K390" s="162"/>
      <c r="L390" s="162"/>
      <c r="M390" s="162"/>
      <c r="N390" s="162"/>
      <c r="O390" s="162"/>
      <c r="P390" s="162"/>
      <c r="Q390" s="162" t="s">
        <v>166</v>
      </c>
      <c r="R390" s="162"/>
      <c r="S390" s="162"/>
      <c r="T390" s="162"/>
      <c r="U390" s="162"/>
      <c r="V390" s="162"/>
      <c r="W390" s="162"/>
      <c r="X390" s="162"/>
      <c r="Y390" s="162"/>
      <c r="Z390" s="162"/>
      <c r="AA390" s="162"/>
      <c r="AB390" s="162"/>
      <c r="AC390" s="162"/>
      <c r="AD390" s="76"/>
      <c r="AE390" s="76"/>
      <c r="AF390" s="76"/>
      <c r="AG390" s="76"/>
      <c r="AH390" s="76"/>
      <c r="AI390" s="76"/>
      <c r="AJ390" s="76"/>
      <c r="AK390" s="76"/>
      <c r="AL390" s="70"/>
      <c r="AM390" s="70"/>
      <c r="AN390" s="70"/>
      <c r="AO390" s="76"/>
      <c r="AP390" s="76"/>
      <c r="AQ390" s="76"/>
      <c r="AR390" s="76"/>
      <c r="AS390" s="76"/>
      <c r="AT390" s="76"/>
      <c r="AU390" s="76"/>
      <c r="AV390" s="76"/>
      <c r="AW390" s="76"/>
      <c r="AX390" s="76"/>
    </row>
    <row r="391" ht="15.75" customHeight="1">
      <c r="A391" s="122" t="s">
        <v>236</v>
      </c>
      <c r="B391" s="153" t="s">
        <v>2605</v>
      </c>
      <c r="C391" s="31"/>
      <c r="D391" s="31"/>
      <c r="E391" s="31"/>
      <c r="F391" s="70"/>
      <c r="G391" s="70"/>
      <c r="H391" s="70"/>
      <c r="I391" s="70"/>
      <c r="J391" s="70"/>
      <c r="K391" s="70"/>
      <c r="L391" s="70"/>
      <c r="M391" s="70"/>
      <c r="N391" s="70"/>
      <c r="O391" s="70"/>
      <c r="P391" s="70"/>
      <c r="Q391" s="70"/>
      <c r="R391" s="70"/>
      <c r="S391" s="70"/>
      <c r="T391" s="70"/>
      <c r="U391" s="70"/>
      <c r="V391" s="70"/>
      <c r="W391" s="70"/>
      <c r="X391" s="70"/>
      <c r="Y391" s="70"/>
      <c r="Z391" s="70"/>
      <c r="AA391" s="70"/>
      <c r="AB391" s="70"/>
      <c r="AC391" s="70"/>
      <c r="AD391" s="76"/>
      <c r="AE391" s="76"/>
      <c r="AF391" s="76"/>
      <c r="AG391" s="76"/>
      <c r="AH391" s="76"/>
      <c r="AI391" s="76"/>
      <c r="AJ391" s="76"/>
      <c r="AK391" s="76"/>
      <c r="AL391" s="70"/>
      <c r="AM391" s="70"/>
      <c r="AN391" s="70"/>
      <c r="AO391" s="76"/>
      <c r="AP391" s="76"/>
      <c r="AQ391" s="76"/>
      <c r="AR391" s="76"/>
      <c r="AS391" s="76"/>
      <c r="AT391" s="76"/>
      <c r="AU391" s="76"/>
      <c r="AV391" s="76"/>
      <c r="AW391" s="76"/>
      <c r="AX391" s="76"/>
    </row>
    <row r="392" ht="15.75" customHeight="1">
      <c r="A392" s="104" t="s">
        <v>108</v>
      </c>
      <c r="B392" s="105" t="s">
        <v>2624</v>
      </c>
      <c r="C392" s="31"/>
      <c r="D392" s="31"/>
      <c r="E392" s="31"/>
      <c r="F392" s="108"/>
      <c r="G392" s="108"/>
      <c r="H392" s="108"/>
      <c r="I392" s="108"/>
      <c r="J392" s="108"/>
      <c r="K392" s="108"/>
      <c r="L392" s="108"/>
      <c r="M392" s="108"/>
      <c r="N392" s="108"/>
      <c r="O392" s="108"/>
      <c r="P392" s="108"/>
      <c r="Q392" s="108"/>
      <c r="R392" s="108"/>
      <c r="S392" s="108"/>
      <c r="T392" s="121" t="s">
        <v>4925</v>
      </c>
      <c r="U392" s="108"/>
      <c r="V392" s="108"/>
      <c r="W392" s="108"/>
      <c r="X392" s="108"/>
      <c r="Y392" s="108"/>
      <c r="Z392" s="108"/>
      <c r="AA392" s="108"/>
      <c r="AB392" s="108"/>
      <c r="AC392" s="108"/>
      <c r="AD392" s="76"/>
      <c r="AE392" s="76"/>
      <c r="AF392" s="76"/>
      <c r="AG392" s="76"/>
      <c r="AH392" s="76"/>
      <c r="AI392" s="76"/>
      <c r="AJ392" s="76"/>
      <c r="AK392" s="76"/>
      <c r="AL392" s="70"/>
      <c r="AM392" s="70"/>
      <c r="AN392" s="70"/>
      <c r="AO392" s="76"/>
      <c r="AP392" s="76"/>
      <c r="AQ392" s="76"/>
      <c r="AR392" s="76"/>
      <c r="AS392" s="76"/>
      <c r="AT392" s="76"/>
      <c r="AU392" s="76"/>
      <c r="AV392" s="76"/>
      <c r="AW392" s="76"/>
      <c r="AX392" s="76"/>
    </row>
    <row r="393" ht="15.75" customHeight="1">
      <c r="A393" s="81" t="s">
        <v>2629</v>
      </c>
      <c r="B393" s="142" t="s">
        <v>2630</v>
      </c>
      <c r="C393" s="31" t="s">
        <v>4932</v>
      </c>
      <c r="D393" s="31" t="s">
        <v>4933</v>
      </c>
      <c r="E393" s="31" t="s">
        <v>4934</v>
      </c>
      <c r="F393" s="31" t="s">
        <v>1655</v>
      </c>
      <c r="G393" s="31" t="s">
        <v>4935</v>
      </c>
      <c r="H393" s="31" t="s">
        <v>1659</v>
      </c>
      <c r="I393" s="84"/>
      <c r="J393" s="159"/>
      <c r="K393" s="84"/>
      <c r="L393" s="84"/>
      <c r="M393" s="84"/>
      <c r="N393" s="84"/>
      <c r="O393" s="84"/>
      <c r="P393" s="84"/>
      <c r="Q393" s="84" t="s">
        <v>166</v>
      </c>
      <c r="R393" s="84"/>
      <c r="S393" s="84"/>
      <c r="T393" s="84"/>
      <c r="U393" s="84"/>
      <c r="V393" s="84"/>
      <c r="W393" s="84"/>
      <c r="X393" s="84"/>
      <c r="Y393" s="84"/>
      <c r="Z393" s="84"/>
      <c r="AA393" s="84"/>
      <c r="AB393" s="84"/>
      <c r="AC393" s="84"/>
      <c r="AD393" s="76"/>
      <c r="AE393" s="76"/>
      <c r="AF393" s="76"/>
      <c r="AG393" s="76"/>
      <c r="AH393" s="76"/>
      <c r="AI393" s="76"/>
      <c r="AJ393" s="76"/>
      <c r="AK393" s="76"/>
      <c r="AL393" s="70"/>
      <c r="AM393" s="70"/>
      <c r="AN393" s="70"/>
      <c r="AO393" s="76"/>
      <c r="AP393" s="76"/>
      <c r="AQ393" s="76"/>
      <c r="AR393" s="76"/>
      <c r="AS393" s="76"/>
      <c r="AT393" s="76"/>
      <c r="AU393" s="76"/>
      <c r="AV393" s="76"/>
      <c r="AW393" s="76"/>
      <c r="AX393" s="76"/>
    </row>
    <row r="394" ht="15.75" customHeight="1">
      <c r="A394" s="81" t="s">
        <v>2635</v>
      </c>
      <c r="B394" s="142" t="s">
        <v>2636</v>
      </c>
      <c r="C394" s="31" t="s">
        <v>4949</v>
      </c>
      <c r="D394" s="31" t="s">
        <v>4950</v>
      </c>
      <c r="E394" s="31" t="s">
        <v>4951</v>
      </c>
      <c r="F394" s="31"/>
      <c r="G394" s="31"/>
      <c r="H394" s="31"/>
      <c r="I394" s="84"/>
      <c r="J394" s="159"/>
      <c r="K394" s="84"/>
      <c r="L394" s="84"/>
      <c r="M394" s="84"/>
      <c r="N394" s="84"/>
      <c r="O394" s="84"/>
      <c r="P394" s="84"/>
      <c r="Q394" s="84" t="s">
        <v>166</v>
      </c>
      <c r="R394" s="84"/>
      <c r="S394" s="84"/>
      <c r="T394" s="84"/>
      <c r="U394" s="84"/>
      <c r="V394" s="84"/>
      <c r="W394" s="84"/>
      <c r="X394" s="84"/>
      <c r="Y394" s="84"/>
      <c r="Z394" s="84"/>
      <c r="AA394" s="84"/>
      <c r="AB394" s="84"/>
      <c r="AC394" s="84"/>
      <c r="AD394" s="76"/>
      <c r="AE394" s="76"/>
      <c r="AF394" s="76"/>
      <c r="AG394" s="76"/>
      <c r="AH394" s="76"/>
      <c r="AI394" s="76"/>
      <c r="AJ394" s="76"/>
      <c r="AK394" s="76"/>
      <c r="AL394" s="70"/>
      <c r="AM394" s="70"/>
      <c r="AN394" s="70"/>
      <c r="AO394" s="76"/>
      <c r="AP394" s="76"/>
      <c r="AQ394" s="76"/>
      <c r="AR394" s="76"/>
      <c r="AS394" s="76"/>
      <c r="AT394" s="76"/>
      <c r="AU394" s="76"/>
      <c r="AV394" s="76"/>
      <c r="AW394" s="76"/>
      <c r="AX394" s="76"/>
    </row>
    <row r="395" ht="15.75" customHeight="1">
      <c r="A395" s="146" t="s">
        <v>237</v>
      </c>
      <c r="B395" s="147" t="s">
        <v>2645</v>
      </c>
      <c r="C395" s="31" t="s">
        <v>4965</v>
      </c>
      <c r="D395" s="31" t="s">
        <v>4966</v>
      </c>
      <c r="E395" s="31" t="s">
        <v>4968</v>
      </c>
      <c r="F395" s="31"/>
      <c r="G395" s="31"/>
      <c r="H395" s="31"/>
      <c r="I395" s="175"/>
      <c r="J395" s="175"/>
      <c r="K395" s="176" t="s">
        <v>4969</v>
      </c>
      <c r="L395" s="176"/>
      <c r="M395" s="175"/>
      <c r="N395" s="175"/>
      <c r="O395" s="175"/>
      <c r="P395" s="175"/>
      <c r="Q395" s="175" t="s">
        <v>166</v>
      </c>
      <c r="R395" s="175"/>
      <c r="S395" s="175"/>
      <c r="T395" s="175"/>
      <c r="U395" s="175"/>
      <c r="V395" s="175"/>
      <c r="W395" s="175"/>
      <c r="X395" s="175"/>
      <c r="Y395" s="175"/>
      <c r="Z395" s="175"/>
      <c r="AA395" s="175"/>
      <c r="AB395" s="175"/>
      <c r="AC395" s="175"/>
      <c r="AD395" s="76"/>
      <c r="AE395" s="76"/>
      <c r="AF395" s="76"/>
      <c r="AG395" s="76"/>
      <c r="AH395" s="76"/>
      <c r="AI395" s="76"/>
      <c r="AJ395" s="76"/>
      <c r="AK395" s="76"/>
      <c r="AL395" s="70"/>
      <c r="AM395" s="70"/>
      <c r="AN395" s="70"/>
      <c r="AO395" s="76"/>
      <c r="AP395" s="76"/>
      <c r="AQ395" s="76"/>
      <c r="AR395" s="76"/>
      <c r="AS395" s="76"/>
      <c r="AT395" s="76"/>
      <c r="AU395" s="76"/>
      <c r="AV395" s="76"/>
      <c r="AW395" s="76"/>
      <c r="AX395" s="76"/>
    </row>
    <row r="396" ht="15.75" customHeight="1">
      <c r="A396" s="144" t="s">
        <v>691</v>
      </c>
      <c r="B396" s="150" t="s">
        <v>2586</v>
      </c>
      <c r="C396" s="31" t="s">
        <v>2587</v>
      </c>
      <c r="D396" s="31"/>
      <c r="E396" s="31"/>
      <c r="F396" s="173"/>
      <c r="G396" s="173"/>
      <c r="H396" s="173"/>
      <c r="I396" s="173"/>
      <c r="J396" s="173"/>
      <c r="K396" s="173"/>
      <c r="L396" s="173"/>
      <c r="M396" s="173"/>
      <c r="N396" s="173"/>
      <c r="O396" s="173"/>
      <c r="P396" s="173"/>
      <c r="Q396" s="173"/>
      <c r="R396" s="173"/>
      <c r="S396" s="173"/>
      <c r="T396" s="173"/>
      <c r="U396" s="173"/>
      <c r="V396" s="173"/>
      <c r="W396" s="173"/>
      <c r="X396" s="173"/>
      <c r="Y396" s="173"/>
      <c r="Z396" s="173"/>
      <c r="AA396" s="173"/>
      <c r="AB396" s="173"/>
      <c r="AC396" s="173"/>
      <c r="AD396" s="70"/>
      <c r="AE396" s="70"/>
      <c r="AF396" s="70"/>
      <c r="AG396" s="70"/>
      <c r="AH396" s="70"/>
      <c r="AI396" s="70"/>
      <c r="AJ396" s="70"/>
      <c r="AK396" s="70"/>
      <c r="AL396" s="70"/>
      <c r="AM396" s="70"/>
      <c r="AN396" s="70"/>
      <c r="AO396" s="76"/>
      <c r="AP396" s="76"/>
      <c r="AQ396" s="76"/>
      <c r="AR396" s="76"/>
      <c r="AS396" s="76"/>
      <c r="AT396" s="76"/>
      <c r="AU396" s="76"/>
      <c r="AV396" s="76"/>
      <c r="AW396" s="76"/>
      <c r="AX396" s="76"/>
    </row>
    <row r="397" ht="15.75" customHeight="1">
      <c r="A397" s="67" t="s">
        <v>139</v>
      </c>
      <c r="B397" s="141" t="s">
        <v>2654</v>
      </c>
      <c r="C397" s="31"/>
      <c r="D397" s="31"/>
      <c r="E397" s="31"/>
      <c r="F397" s="70"/>
      <c r="G397" s="70"/>
      <c r="H397" s="70"/>
      <c r="I397" s="70"/>
      <c r="J397" s="71"/>
      <c r="K397" s="70"/>
      <c r="L397" s="70"/>
      <c r="M397" s="71"/>
      <c r="N397" s="71"/>
      <c r="O397" s="72"/>
      <c r="P397" s="70"/>
      <c r="Q397" s="70"/>
      <c r="R397" s="70"/>
      <c r="S397" s="70"/>
      <c r="T397" s="73" t="s">
        <v>145</v>
      </c>
      <c r="U397" s="70"/>
      <c r="V397" s="70"/>
      <c r="W397" s="70"/>
      <c r="X397" s="70"/>
      <c r="Y397" s="70"/>
      <c r="Z397" s="70"/>
      <c r="AA397" s="70"/>
      <c r="AB397" s="70"/>
      <c r="AC397" s="70"/>
      <c r="AD397" s="76"/>
      <c r="AE397" s="76"/>
      <c r="AF397" s="76"/>
      <c r="AG397" s="76"/>
      <c r="AH397" s="76"/>
      <c r="AI397" s="76"/>
      <c r="AJ397" s="76"/>
      <c r="AK397" s="76"/>
      <c r="AL397" s="76"/>
      <c r="AM397" s="76"/>
      <c r="AN397" s="76"/>
      <c r="AO397" s="76"/>
      <c r="AP397" s="76"/>
      <c r="AQ397" s="76"/>
      <c r="AR397" s="76"/>
      <c r="AS397" s="76"/>
      <c r="AT397" s="76"/>
      <c r="AU397" s="76"/>
      <c r="AV397" s="76"/>
      <c r="AW397" s="76"/>
      <c r="AX397" s="76"/>
    </row>
    <row r="398" ht="15.75" customHeight="1">
      <c r="A398" s="67" t="s">
        <v>108</v>
      </c>
      <c r="B398" s="69" t="s">
        <v>2660</v>
      </c>
      <c r="C398" s="31"/>
      <c r="D398" s="31"/>
      <c r="E398" s="31"/>
      <c r="F398" s="70"/>
      <c r="G398" s="70"/>
      <c r="H398" s="70"/>
      <c r="I398" s="71"/>
      <c r="J398" s="71"/>
      <c r="K398" s="70"/>
      <c r="L398" s="71"/>
      <c r="M398" s="71"/>
      <c r="N398" s="71"/>
      <c r="O398" s="71"/>
      <c r="P398" s="70"/>
      <c r="Q398" s="70"/>
      <c r="R398" s="70"/>
      <c r="S398" s="70"/>
      <c r="T398" s="67" t="s">
        <v>4980</v>
      </c>
      <c r="U398" s="70"/>
      <c r="V398" s="70"/>
      <c r="W398" s="70"/>
      <c r="X398" s="70"/>
      <c r="Y398" s="70"/>
      <c r="Z398" s="70"/>
      <c r="AA398" s="70"/>
      <c r="AB398" s="70"/>
      <c r="AC398" s="70"/>
      <c r="AD398" s="76"/>
      <c r="AE398" s="76"/>
      <c r="AF398" s="76"/>
      <c r="AG398" s="76"/>
      <c r="AH398" s="76"/>
      <c r="AI398" s="76"/>
      <c r="AJ398" s="76"/>
      <c r="AK398" s="76"/>
      <c r="AL398" s="76"/>
      <c r="AM398" s="76"/>
      <c r="AN398" s="76"/>
      <c r="AO398" s="76"/>
      <c r="AP398" s="76"/>
      <c r="AQ398" s="76"/>
      <c r="AR398" s="76"/>
      <c r="AS398" s="76"/>
      <c r="AT398" s="76"/>
      <c r="AU398" s="76"/>
      <c r="AV398" s="76"/>
      <c r="AW398" s="76"/>
      <c r="AX398" s="76"/>
    </row>
    <row r="399">
      <c r="A399" s="135"/>
      <c r="B399" s="135"/>
      <c r="C399" s="31"/>
      <c r="D399" s="31"/>
      <c r="E399" s="31"/>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c r="AG399" s="135"/>
      <c r="AH399" s="135"/>
      <c r="AI399" s="135"/>
      <c r="AJ399" s="135"/>
      <c r="AK399" s="135"/>
      <c r="AL399" s="135"/>
      <c r="AM399" s="135"/>
      <c r="AN399" s="135"/>
      <c r="AO399" s="135"/>
      <c r="AP399" s="135"/>
      <c r="AQ399" s="135"/>
      <c r="AR399" s="135"/>
      <c r="AS399" s="135"/>
      <c r="AT399" s="135"/>
      <c r="AU399" s="135"/>
      <c r="AV399" s="135"/>
      <c r="AW399" s="135"/>
      <c r="AX399" s="135"/>
    </row>
    <row r="400" ht="15.75" customHeight="1">
      <c r="A400" s="104" t="s">
        <v>108</v>
      </c>
      <c r="B400" s="106" t="s">
        <v>2663</v>
      </c>
      <c r="C400" s="31"/>
      <c r="D400" s="31"/>
      <c r="E400" s="31"/>
      <c r="F400" s="108"/>
      <c r="G400" s="108"/>
      <c r="H400" s="108"/>
      <c r="I400" s="108"/>
      <c r="J400" s="108"/>
      <c r="K400" s="108"/>
      <c r="L400" s="108"/>
      <c r="M400" s="108"/>
      <c r="N400" s="108"/>
      <c r="O400" s="108"/>
      <c r="P400" s="108"/>
      <c r="Q400" s="108"/>
      <c r="R400" s="108"/>
      <c r="S400" s="108"/>
      <c r="T400" s="121" t="s">
        <v>4981</v>
      </c>
      <c r="U400" s="108"/>
      <c r="V400" s="108"/>
      <c r="W400" s="108"/>
      <c r="X400" s="108"/>
      <c r="Y400" s="108"/>
      <c r="Z400" s="108"/>
      <c r="AA400" s="108"/>
      <c r="AB400" s="108"/>
      <c r="AC400" s="108"/>
      <c r="AD400" s="154"/>
      <c r="AE400" s="154"/>
      <c r="AF400" s="154"/>
      <c r="AG400" s="154"/>
      <c r="AH400" s="154"/>
      <c r="AI400" s="154"/>
      <c r="AJ400" s="154"/>
      <c r="AK400" s="154"/>
      <c r="AL400" s="154"/>
      <c r="AM400" s="154"/>
      <c r="AN400" s="154"/>
      <c r="AO400" s="76"/>
      <c r="AP400" s="76"/>
      <c r="AQ400" s="76"/>
      <c r="AR400" s="76"/>
      <c r="AS400" s="76"/>
      <c r="AT400" s="76"/>
      <c r="AU400" s="76"/>
      <c r="AV400" s="76"/>
      <c r="AW400" s="76"/>
      <c r="AX400" s="76"/>
    </row>
    <row r="401" ht="15.75" customHeight="1">
      <c r="A401" s="126" t="s">
        <v>42</v>
      </c>
      <c r="B401" s="127" t="s">
        <v>2664</v>
      </c>
      <c r="C401" s="31" t="s">
        <v>4982</v>
      </c>
      <c r="D401" s="31" t="s">
        <v>4983</v>
      </c>
      <c r="E401" s="31" t="s">
        <v>4984</v>
      </c>
      <c r="F401" s="31"/>
      <c r="G401" s="31"/>
      <c r="H401" s="31"/>
      <c r="I401" s="154"/>
      <c r="J401" s="154"/>
      <c r="K401" s="154"/>
      <c r="L401" s="154"/>
      <c r="M401" s="154"/>
      <c r="N401" s="154"/>
      <c r="O401" s="154"/>
      <c r="P401" s="154"/>
      <c r="Q401" s="154"/>
      <c r="R401" s="154"/>
      <c r="S401" s="154"/>
      <c r="T401" s="154"/>
      <c r="U401" s="154"/>
      <c r="V401" s="154"/>
      <c r="W401" s="154"/>
      <c r="X401" s="154"/>
      <c r="Y401" s="154"/>
      <c r="Z401" s="154"/>
      <c r="AA401" s="154"/>
      <c r="AB401" s="154"/>
      <c r="AC401" s="154"/>
      <c r="AD401" s="154"/>
      <c r="AE401" s="154"/>
      <c r="AF401" s="154"/>
      <c r="AG401" s="154"/>
      <c r="AH401" s="154"/>
      <c r="AI401" s="154"/>
      <c r="AJ401" s="154"/>
      <c r="AK401" s="154"/>
      <c r="AL401" s="154"/>
      <c r="AM401" s="154"/>
      <c r="AN401" s="154"/>
      <c r="AO401" s="76"/>
      <c r="AP401" s="76"/>
      <c r="AQ401" s="76"/>
      <c r="AR401" s="76"/>
      <c r="AS401" s="76"/>
      <c r="AT401" s="76"/>
      <c r="AU401" s="76"/>
      <c r="AV401" s="76"/>
      <c r="AW401" s="76"/>
      <c r="AX401" s="76"/>
    </row>
    <row r="402">
      <c r="A402" s="135"/>
      <c r="B402" s="135"/>
      <c r="C402" s="31"/>
      <c r="D402" s="31"/>
      <c r="E402" s="31"/>
      <c r="F402" s="135"/>
      <c r="G402" s="135"/>
      <c r="H402" s="135"/>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c r="AM402" s="135"/>
      <c r="AN402" s="135"/>
      <c r="AO402" s="135"/>
      <c r="AP402" s="135"/>
      <c r="AQ402" s="135"/>
      <c r="AR402" s="135"/>
      <c r="AS402" s="135"/>
      <c r="AT402" s="135"/>
      <c r="AU402" s="135"/>
      <c r="AV402" s="135"/>
      <c r="AW402" s="135"/>
      <c r="AX402" s="135"/>
    </row>
    <row r="403" ht="15.75" customHeight="1">
      <c r="A403" s="144" t="s">
        <v>648</v>
      </c>
      <c r="B403" s="145" t="s">
        <v>2674</v>
      </c>
      <c r="C403" s="31" t="s">
        <v>2675</v>
      </c>
      <c r="D403" s="31"/>
      <c r="E403" s="31"/>
      <c r="F403" s="173"/>
      <c r="G403" s="173"/>
      <c r="H403" s="173"/>
      <c r="I403" s="173"/>
      <c r="J403" s="173"/>
      <c r="K403" s="173"/>
      <c r="L403" s="173"/>
      <c r="M403" s="174"/>
      <c r="N403" s="174"/>
      <c r="O403" s="174"/>
      <c r="P403" s="173"/>
      <c r="Q403" s="173"/>
      <c r="R403" s="173"/>
      <c r="S403" s="173"/>
      <c r="T403" s="173"/>
      <c r="U403" s="174" t="s">
        <v>4985</v>
      </c>
      <c r="V403" s="173"/>
      <c r="W403" s="173"/>
      <c r="X403" s="173"/>
      <c r="Y403" s="173"/>
      <c r="Z403" s="173"/>
      <c r="AA403" s="173"/>
      <c r="AB403" s="173"/>
      <c r="AC403" s="173"/>
      <c r="AD403" s="173"/>
      <c r="AE403" s="173"/>
      <c r="AF403" s="173"/>
      <c r="AG403" s="173"/>
      <c r="AH403" s="173"/>
      <c r="AI403" s="173"/>
      <c r="AJ403" s="173"/>
      <c r="AK403" s="173"/>
      <c r="AL403" s="173"/>
      <c r="AM403" s="173"/>
      <c r="AN403" s="173"/>
      <c r="AO403" s="76"/>
      <c r="AP403" s="76"/>
      <c r="AQ403" s="76"/>
      <c r="AR403" s="76"/>
      <c r="AS403" s="76"/>
      <c r="AT403" s="76"/>
      <c r="AU403" s="76"/>
      <c r="AV403" s="76"/>
      <c r="AW403" s="76"/>
      <c r="AX403" s="76"/>
    </row>
    <row r="404" ht="15.75" customHeight="1">
      <c r="A404" s="67" t="s">
        <v>139</v>
      </c>
      <c r="B404" s="69" t="s">
        <v>2677</v>
      </c>
      <c r="C404" s="31"/>
      <c r="D404" s="31"/>
      <c r="E404" s="31"/>
      <c r="F404" s="70"/>
      <c r="G404" s="70"/>
      <c r="H404" s="70"/>
      <c r="I404" s="70"/>
      <c r="J404" s="71"/>
      <c r="K404" s="70"/>
      <c r="L404" s="70"/>
      <c r="M404" s="71"/>
      <c r="N404" s="71"/>
      <c r="O404" s="72"/>
      <c r="P404" s="70"/>
      <c r="Q404" s="70"/>
      <c r="R404" s="70"/>
      <c r="S404" s="70"/>
      <c r="T404" s="73" t="s">
        <v>145</v>
      </c>
      <c r="U404" s="70"/>
      <c r="V404" s="70"/>
      <c r="W404" s="70"/>
      <c r="X404" s="70"/>
      <c r="Y404" s="70"/>
      <c r="Z404" s="70"/>
      <c r="AA404" s="70"/>
      <c r="AB404" s="70"/>
      <c r="AC404" s="70"/>
      <c r="AD404" s="76"/>
      <c r="AE404" s="76"/>
      <c r="AF404" s="76"/>
      <c r="AG404" s="76"/>
      <c r="AH404" s="76"/>
      <c r="AI404" s="76"/>
      <c r="AJ404" s="76"/>
      <c r="AK404" s="76"/>
      <c r="AL404" s="76"/>
      <c r="AM404" s="76"/>
      <c r="AN404" s="76"/>
      <c r="AO404" s="76"/>
      <c r="AP404" s="76"/>
      <c r="AQ404" s="76"/>
      <c r="AR404" s="76"/>
      <c r="AS404" s="76"/>
      <c r="AT404" s="76"/>
      <c r="AU404" s="76"/>
      <c r="AV404" s="76"/>
      <c r="AW404" s="76"/>
      <c r="AX404" s="76"/>
    </row>
    <row r="405" ht="15.75" customHeight="1">
      <c r="A405" s="104" t="s">
        <v>108</v>
      </c>
      <c r="B405" s="105" t="s">
        <v>2679</v>
      </c>
      <c r="C405" s="31"/>
      <c r="D405" s="31"/>
      <c r="E405" s="31"/>
      <c r="F405" s="108"/>
      <c r="G405" s="108"/>
      <c r="H405" s="108"/>
      <c r="I405" s="108"/>
      <c r="J405" s="108"/>
      <c r="K405" s="108"/>
      <c r="L405" s="108"/>
      <c r="M405" s="108"/>
      <c r="N405" s="108"/>
      <c r="O405" s="108"/>
      <c r="P405" s="108"/>
      <c r="Q405" s="108"/>
      <c r="R405" s="108"/>
      <c r="S405" s="108"/>
      <c r="T405" s="121" t="s">
        <v>1570</v>
      </c>
      <c r="U405" s="108"/>
      <c r="V405" s="108"/>
      <c r="W405" s="108"/>
      <c r="X405" s="108"/>
      <c r="Y405" s="108"/>
      <c r="Z405" s="108"/>
      <c r="AA405" s="108"/>
      <c r="AB405" s="108"/>
      <c r="AC405" s="108"/>
      <c r="AD405" s="108"/>
      <c r="AE405" s="108"/>
      <c r="AF405" s="108"/>
      <c r="AG405" s="108"/>
      <c r="AH405" s="108"/>
      <c r="AI405" s="108"/>
      <c r="AJ405" s="108"/>
      <c r="AK405" s="108"/>
      <c r="AL405" s="108"/>
      <c r="AM405" s="108"/>
      <c r="AN405" s="108"/>
      <c r="AO405" s="76"/>
      <c r="AP405" s="76"/>
      <c r="AQ405" s="76"/>
      <c r="AR405" s="76"/>
      <c r="AS405" s="76"/>
      <c r="AT405" s="76"/>
      <c r="AU405" s="76"/>
      <c r="AV405" s="76"/>
      <c r="AW405" s="76"/>
      <c r="AX405" s="76"/>
    </row>
    <row r="406" ht="15.75" customHeight="1">
      <c r="A406" s="104" t="s">
        <v>108</v>
      </c>
      <c r="B406" s="105" t="s">
        <v>2680</v>
      </c>
      <c r="C406" s="31" t="s">
        <v>2681</v>
      </c>
      <c r="D406" s="31"/>
      <c r="E406" s="31"/>
      <c r="F406" s="108"/>
      <c r="G406" s="108"/>
      <c r="H406" s="108"/>
      <c r="I406" s="108"/>
      <c r="J406" s="108"/>
      <c r="K406" s="108"/>
      <c r="L406" s="108"/>
      <c r="M406" s="108"/>
      <c r="N406" s="108"/>
      <c r="O406" s="108"/>
      <c r="P406" s="108"/>
      <c r="Q406" s="108"/>
      <c r="R406" s="108"/>
      <c r="S406" s="108"/>
      <c r="T406" s="254" t="s">
        <v>4986</v>
      </c>
      <c r="U406" s="108"/>
      <c r="V406" s="108"/>
      <c r="W406" s="108"/>
      <c r="X406" s="108"/>
      <c r="Y406" s="108"/>
      <c r="Z406" s="108"/>
      <c r="AA406" s="108"/>
      <c r="AB406" s="108"/>
      <c r="AC406" s="108"/>
      <c r="AD406" s="108"/>
      <c r="AE406" s="108"/>
      <c r="AF406" s="108"/>
      <c r="AG406" s="108"/>
      <c r="AH406" s="108"/>
      <c r="AI406" s="108"/>
      <c r="AJ406" s="108"/>
      <c r="AK406" s="108"/>
      <c r="AL406" s="108"/>
      <c r="AM406" s="108"/>
      <c r="AN406" s="108"/>
      <c r="AO406" s="76"/>
      <c r="AP406" s="76"/>
      <c r="AQ406" s="76"/>
      <c r="AR406" s="76"/>
      <c r="AS406" s="76"/>
      <c r="AT406" s="76"/>
      <c r="AU406" s="76"/>
      <c r="AV406" s="76"/>
      <c r="AW406" s="76"/>
      <c r="AX406" s="76"/>
    </row>
    <row r="407" ht="15.75" customHeight="1">
      <c r="A407" s="104" t="s">
        <v>108</v>
      </c>
      <c r="B407" s="105" t="s">
        <v>2683</v>
      </c>
      <c r="C407" s="31" t="s">
        <v>2684</v>
      </c>
      <c r="D407" s="31"/>
      <c r="E407" s="31"/>
      <c r="F407" s="108"/>
      <c r="G407" s="108"/>
      <c r="H407" s="108"/>
      <c r="I407" s="108"/>
      <c r="J407" s="108"/>
      <c r="K407" s="108"/>
      <c r="L407" s="108"/>
      <c r="M407" s="108"/>
      <c r="N407" s="108"/>
      <c r="O407" s="108"/>
      <c r="P407" s="108"/>
      <c r="Q407" s="108"/>
      <c r="R407" s="108"/>
      <c r="S407" s="108"/>
      <c r="T407" s="132" t="s">
        <v>4987</v>
      </c>
      <c r="U407" s="108"/>
      <c r="V407" s="108"/>
      <c r="W407" s="108"/>
      <c r="X407" s="108"/>
      <c r="Y407" s="108"/>
      <c r="Z407" s="108"/>
      <c r="AA407" s="108"/>
      <c r="AB407" s="108"/>
      <c r="AC407" s="108"/>
      <c r="AD407" s="108"/>
      <c r="AE407" s="108"/>
      <c r="AF407" s="108"/>
      <c r="AG407" s="108"/>
      <c r="AH407" s="108"/>
      <c r="AI407" s="108"/>
      <c r="AJ407" s="108"/>
      <c r="AK407" s="108"/>
      <c r="AL407" s="108"/>
      <c r="AM407" s="108"/>
      <c r="AN407" s="108"/>
      <c r="AO407" s="76"/>
      <c r="AP407" s="76"/>
      <c r="AQ407" s="76"/>
      <c r="AR407" s="76"/>
      <c r="AS407" s="76"/>
      <c r="AT407" s="76"/>
      <c r="AU407" s="76"/>
      <c r="AV407" s="76"/>
      <c r="AW407" s="76"/>
      <c r="AX407" s="76"/>
    </row>
    <row r="408" ht="15.75" customHeight="1">
      <c r="A408" s="104" t="s">
        <v>108</v>
      </c>
      <c r="B408" s="105" t="s">
        <v>2691</v>
      </c>
      <c r="C408" s="31" t="s">
        <v>2692</v>
      </c>
      <c r="D408" s="31"/>
      <c r="E408" s="31"/>
      <c r="F408" s="108"/>
      <c r="G408" s="108"/>
      <c r="H408" s="108"/>
      <c r="I408" s="108"/>
      <c r="J408" s="108"/>
      <c r="K408" s="108"/>
      <c r="L408" s="121"/>
      <c r="M408" s="108"/>
      <c r="N408" s="108"/>
      <c r="O408" s="108"/>
      <c r="P408" s="108"/>
      <c r="Q408" s="108"/>
      <c r="R408" s="108"/>
      <c r="S408" s="108"/>
      <c r="T408" s="132" t="s">
        <v>4988</v>
      </c>
      <c r="U408" s="108"/>
      <c r="V408" s="108"/>
      <c r="W408" s="108"/>
      <c r="X408" s="108"/>
      <c r="Y408" s="108"/>
      <c r="Z408" s="108"/>
      <c r="AA408" s="108"/>
      <c r="AB408" s="108"/>
      <c r="AC408" s="108"/>
      <c r="AD408" s="108"/>
      <c r="AE408" s="108"/>
      <c r="AF408" s="108"/>
      <c r="AG408" s="108"/>
      <c r="AH408" s="108"/>
      <c r="AI408" s="108"/>
      <c r="AJ408" s="108"/>
      <c r="AK408" s="108"/>
      <c r="AL408" s="108"/>
      <c r="AM408" s="108"/>
      <c r="AN408" s="108"/>
      <c r="AO408" s="76"/>
      <c r="AP408" s="76"/>
      <c r="AQ408" s="76"/>
      <c r="AR408" s="76"/>
      <c r="AS408" s="76"/>
      <c r="AT408" s="76"/>
      <c r="AU408" s="76"/>
      <c r="AV408" s="76"/>
      <c r="AW408" s="76"/>
      <c r="AX408" s="76"/>
    </row>
    <row r="409" ht="15.75" customHeight="1">
      <c r="A409" s="104" t="s">
        <v>108</v>
      </c>
      <c r="B409" s="105" t="s">
        <v>2694</v>
      </c>
      <c r="C409" s="31"/>
      <c r="D409" s="31"/>
      <c r="E409" s="31"/>
      <c r="F409" s="108"/>
      <c r="G409" s="108"/>
      <c r="H409" s="108"/>
      <c r="I409" s="108"/>
      <c r="J409" s="108"/>
      <c r="K409" s="108"/>
      <c r="L409" s="108"/>
      <c r="M409" s="108"/>
      <c r="N409" s="108"/>
      <c r="O409" s="264" t="s">
        <v>4989</v>
      </c>
      <c r="P409" s="108"/>
      <c r="Q409" s="108"/>
      <c r="R409" s="108"/>
      <c r="S409" s="108"/>
      <c r="T409" s="121" t="s">
        <v>4990</v>
      </c>
      <c r="U409" s="108"/>
      <c r="V409" s="108"/>
      <c r="W409" s="108"/>
      <c r="X409" s="108"/>
      <c r="Y409" s="108"/>
      <c r="Z409" s="108"/>
      <c r="AA409" s="108"/>
      <c r="AB409" s="108"/>
      <c r="AC409" s="108"/>
      <c r="AD409" s="154"/>
      <c r="AE409" s="154"/>
      <c r="AF409" s="154"/>
      <c r="AG409" s="154"/>
      <c r="AH409" s="154"/>
      <c r="AI409" s="154"/>
      <c r="AJ409" s="154"/>
      <c r="AK409" s="154"/>
      <c r="AL409" s="154"/>
      <c r="AM409" s="154"/>
      <c r="AN409" s="154"/>
      <c r="AO409" s="76"/>
      <c r="AP409" s="76"/>
      <c r="AQ409" s="76"/>
      <c r="AR409" s="76"/>
      <c r="AS409" s="76"/>
      <c r="AT409" s="76"/>
      <c r="AU409" s="76"/>
      <c r="AV409" s="76"/>
      <c r="AW409" s="76"/>
      <c r="AX409" s="76"/>
    </row>
    <row r="410" ht="15.75" customHeight="1">
      <c r="A410" s="104" t="s">
        <v>108</v>
      </c>
      <c r="B410" s="105" t="s">
        <v>2695</v>
      </c>
      <c r="C410" s="31" t="s">
        <v>2696</v>
      </c>
      <c r="D410" s="31"/>
      <c r="E410" s="31"/>
      <c r="F410" s="108"/>
      <c r="G410" s="108"/>
      <c r="H410" s="108"/>
      <c r="I410" s="108"/>
      <c r="J410" s="108"/>
      <c r="K410" s="108"/>
      <c r="L410" s="108"/>
      <c r="M410" s="108"/>
      <c r="N410" s="108"/>
      <c r="O410" s="264" t="s">
        <v>4989</v>
      </c>
      <c r="P410" s="108"/>
      <c r="Q410" s="108"/>
      <c r="R410" s="108"/>
      <c r="S410" s="108"/>
      <c r="T410" s="121" t="s">
        <v>4991</v>
      </c>
      <c r="U410" s="108"/>
      <c r="V410" s="108"/>
      <c r="W410" s="108"/>
      <c r="X410" s="108"/>
      <c r="Y410" s="108"/>
      <c r="Z410" s="108"/>
      <c r="AA410" s="108"/>
      <c r="AB410" s="108"/>
      <c r="AC410" s="108"/>
      <c r="AD410" s="154"/>
      <c r="AE410" s="154"/>
      <c r="AF410" s="154"/>
      <c r="AG410" s="154"/>
      <c r="AH410" s="154"/>
      <c r="AI410" s="154"/>
      <c r="AJ410" s="154"/>
      <c r="AK410" s="154"/>
      <c r="AL410" s="154"/>
      <c r="AM410" s="154"/>
      <c r="AN410" s="154"/>
      <c r="AO410" s="76"/>
      <c r="AP410" s="76"/>
      <c r="AQ410" s="76"/>
      <c r="AR410" s="76"/>
      <c r="AS410" s="76"/>
      <c r="AT410" s="76"/>
      <c r="AU410" s="76"/>
      <c r="AV410" s="76"/>
      <c r="AW410" s="76"/>
      <c r="AX410" s="76"/>
    </row>
    <row r="411" ht="15.75" customHeight="1">
      <c r="A411" s="104" t="s">
        <v>108</v>
      </c>
      <c r="B411" s="105" t="s">
        <v>2703</v>
      </c>
      <c r="C411" s="31" t="s">
        <v>2704</v>
      </c>
      <c r="D411" s="31"/>
      <c r="E411" s="31"/>
      <c r="F411" s="108"/>
      <c r="G411" s="108"/>
      <c r="H411" s="108"/>
      <c r="I411" s="108"/>
      <c r="J411" s="108"/>
      <c r="K411" s="108"/>
      <c r="L411" s="108"/>
      <c r="M411" s="108"/>
      <c r="N411" s="108"/>
      <c r="O411" s="264" t="s">
        <v>4989</v>
      </c>
      <c r="P411" s="108"/>
      <c r="Q411" s="108"/>
      <c r="R411" s="108"/>
      <c r="S411" s="108"/>
      <c r="T411" s="132" t="s">
        <v>4992</v>
      </c>
      <c r="U411" s="108"/>
      <c r="V411" s="108"/>
      <c r="W411" s="108"/>
      <c r="X411" s="108"/>
      <c r="Y411" s="108"/>
      <c r="Z411" s="108"/>
      <c r="AA411" s="108"/>
      <c r="AB411" s="108"/>
      <c r="AC411" s="108"/>
      <c r="AD411" s="154"/>
      <c r="AE411" s="154"/>
      <c r="AF411" s="154"/>
      <c r="AG411" s="154"/>
      <c r="AH411" s="154"/>
      <c r="AI411" s="154"/>
      <c r="AJ411" s="154"/>
      <c r="AK411" s="154"/>
      <c r="AL411" s="154"/>
      <c r="AM411" s="154"/>
      <c r="AN411" s="154"/>
      <c r="AO411" s="76"/>
      <c r="AP411" s="76"/>
      <c r="AQ411" s="76"/>
      <c r="AR411" s="76"/>
      <c r="AS411" s="76"/>
      <c r="AT411" s="76"/>
      <c r="AU411" s="76"/>
      <c r="AV411" s="76"/>
      <c r="AW411" s="76"/>
      <c r="AX411" s="76"/>
    </row>
    <row r="412" ht="15.75" customHeight="1">
      <c r="A412" s="104" t="s">
        <v>108</v>
      </c>
      <c r="B412" s="105" t="s">
        <v>2709</v>
      </c>
      <c r="C412" s="31" t="s">
        <v>2710</v>
      </c>
      <c r="D412" s="31"/>
      <c r="E412" s="31"/>
      <c r="F412" s="108"/>
      <c r="G412" s="108"/>
      <c r="H412" s="108"/>
      <c r="I412" s="108"/>
      <c r="J412" s="108"/>
      <c r="K412" s="108"/>
      <c r="L412" s="108"/>
      <c r="M412" s="108"/>
      <c r="N412" s="108"/>
      <c r="O412" s="264" t="s">
        <v>4989</v>
      </c>
      <c r="P412" s="108"/>
      <c r="Q412" s="108"/>
      <c r="R412" s="108"/>
      <c r="S412" s="108"/>
      <c r="T412" s="132" t="s">
        <v>4993</v>
      </c>
      <c r="U412" s="108"/>
      <c r="V412" s="108"/>
      <c r="W412" s="108"/>
      <c r="X412" s="108"/>
      <c r="Y412" s="108"/>
      <c r="Z412" s="108"/>
      <c r="AA412" s="108"/>
      <c r="AB412" s="108"/>
      <c r="AC412" s="108"/>
      <c r="AD412" s="154"/>
      <c r="AE412" s="154"/>
      <c r="AF412" s="154"/>
      <c r="AG412" s="154"/>
      <c r="AH412" s="154"/>
      <c r="AI412" s="154"/>
      <c r="AJ412" s="154"/>
      <c r="AK412" s="154"/>
      <c r="AL412" s="154"/>
      <c r="AM412" s="154"/>
      <c r="AN412" s="154"/>
      <c r="AO412" s="76"/>
      <c r="AP412" s="76"/>
      <c r="AQ412" s="76"/>
      <c r="AR412" s="76"/>
      <c r="AS412" s="76"/>
      <c r="AT412" s="76"/>
      <c r="AU412" s="76"/>
      <c r="AV412" s="76"/>
      <c r="AW412" s="76"/>
      <c r="AX412" s="76"/>
    </row>
    <row r="413" ht="15.75" customHeight="1">
      <c r="A413" s="104" t="s">
        <v>108</v>
      </c>
      <c r="B413" s="105" t="s">
        <v>2711</v>
      </c>
      <c r="C413" s="31"/>
      <c r="D413" s="31"/>
      <c r="E413" s="31"/>
      <c r="F413" s="108"/>
      <c r="G413" s="108"/>
      <c r="H413" s="108"/>
      <c r="I413" s="108"/>
      <c r="J413" s="108"/>
      <c r="K413" s="108"/>
      <c r="L413" s="108"/>
      <c r="M413" s="108"/>
      <c r="N413" s="108"/>
      <c r="O413" s="108"/>
      <c r="P413" s="108"/>
      <c r="Q413" s="108"/>
      <c r="R413" s="108"/>
      <c r="S413" s="108"/>
      <c r="T413" s="121" t="s">
        <v>4994</v>
      </c>
      <c r="U413" s="108"/>
      <c r="V413" s="108"/>
      <c r="W413" s="108"/>
      <c r="X413" s="108"/>
      <c r="Y413" s="108"/>
      <c r="Z413" s="108"/>
      <c r="AA413" s="108"/>
      <c r="AB413" s="108"/>
      <c r="AC413" s="108"/>
      <c r="AD413" s="154"/>
      <c r="AE413" s="154"/>
      <c r="AF413" s="154"/>
      <c r="AG413" s="154"/>
      <c r="AH413" s="154"/>
      <c r="AI413" s="154"/>
      <c r="AJ413" s="154"/>
      <c r="AK413" s="154"/>
      <c r="AL413" s="154"/>
      <c r="AM413" s="154"/>
      <c r="AN413" s="154"/>
      <c r="AO413" s="76"/>
      <c r="AP413" s="76"/>
      <c r="AQ413" s="76"/>
      <c r="AR413" s="76"/>
      <c r="AS413" s="76"/>
      <c r="AT413" s="76"/>
      <c r="AU413" s="76"/>
      <c r="AV413" s="76"/>
      <c r="AW413" s="76"/>
      <c r="AX413" s="76"/>
    </row>
    <row r="414" ht="15.75" customHeight="1">
      <c r="A414" s="104" t="s">
        <v>108</v>
      </c>
      <c r="B414" s="105" t="s">
        <v>2714</v>
      </c>
      <c r="C414" s="31"/>
      <c r="D414" s="31"/>
      <c r="E414" s="31"/>
      <c r="F414" s="108"/>
      <c r="G414" s="108"/>
      <c r="H414" s="108"/>
      <c r="I414" s="108"/>
      <c r="J414" s="108"/>
      <c r="K414" s="108"/>
      <c r="L414" s="108"/>
      <c r="M414" s="108"/>
      <c r="N414" s="108"/>
      <c r="O414" s="108"/>
      <c r="P414" s="108"/>
      <c r="Q414" s="108"/>
      <c r="R414" s="108"/>
      <c r="S414" s="108"/>
      <c r="T414" s="121" t="s">
        <v>4995</v>
      </c>
      <c r="U414" s="108"/>
      <c r="V414" s="108"/>
      <c r="W414" s="108"/>
      <c r="X414" s="108"/>
      <c r="Y414" s="108"/>
      <c r="Z414" s="108"/>
      <c r="AA414" s="108"/>
      <c r="AB414" s="108"/>
      <c r="AC414" s="108"/>
      <c r="AD414" s="154"/>
      <c r="AE414" s="154"/>
      <c r="AF414" s="154"/>
      <c r="AG414" s="154"/>
      <c r="AH414" s="154"/>
      <c r="AI414" s="154"/>
      <c r="AJ414" s="154"/>
      <c r="AK414" s="154"/>
      <c r="AL414" s="154"/>
      <c r="AM414" s="154"/>
      <c r="AN414" s="154"/>
      <c r="AO414" s="76"/>
      <c r="AP414" s="76"/>
      <c r="AQ414" s="76"/>
      <c r="AR414" s="76"/>
      <c r="AS414" s="76"/>
      <c r="AT414" s="76"/>
      <c r="AU414" s="76"/>
      <c r="AV414" s="76"/>
      <c r="AW414" s="76"/>
      <c r="AX414" s="76"/>
    </row>
    <row r="415" ht="15.75" customHeight="1">
      <c r="A415" s="104" t="s">
        <v>108</v>
      </c>
      <c r="B415" s="105" t="s">
        <v>2715</v>
      </c>
      <c r="C415" s="31"/>
      <c r="D415" s="31"/>
      <c r="E415" s="31"/>
      <c r="F415" s="108"/>
      <c r="G415" s="108"/>
      <c r="H415" s="108"/>
      <c r="I415" s="108"/>
      <c r="J415" s="108"/>
      <c r="K415" s="108"/>
      <c r="L415" s="108"/>
      <c r="M415" s="108"/>
      <c r="N415" s="108"/>
      <c r="O415" s="108"/>
      <c r="P415" s="108"/>
      <c r="Q415" s="108"/>
      <c r="R415" s="108"/>
      <c r="S415" s="108"/>
      <c r="T415" s="121" t="s">
        <v>4996</v>
      </c>
      <c r="U415" s="108"/>
      <c r="V415" s="108"/>
      <c r="W415" s="108"/>
      <c r="X415" s="108"/>
      <c r="Y415" s="108"/>
      <c r="Z415" s="108"/>
      <c r="AA415" s="108"/>
      <c r="AB415" s="108"/>
      <c r="AC415" s="108"/>
      <c r="AD415" s="154"/>
      <c r="AE415" s="154"/>
      <c r="AF415" s="154"/>
      <c r="AG415" s="154"/>
      <c r="AH415" s="154"/>
      <c r="AI415" s="154"/>
      <c r="AJ415" s="154"/>
      <c r="AK415" s="154"/>
      <c r="AL415" s="154"/>
      <c r="AM415" s="154"/>
      <c r="AN415" s="154"/>
      <c r="AO415" s="76"/>
      <c r="AP415" s="76"/>
      <c r="AQ415" s="76"/>
      <c r="AR415" s="76"/>
      <c r="AS415" s="76"/>
      <c r="AT415" s="76"/>
      <c r="AU415" s="76"/>
      <c r="AV415" s="76"/>
      <c r="AW415" s="76"/>
      <c r="AX415" s="76"/>
    </row>
    <row r="416" ht="15.75" customHeight="1">
      <c r="A416" s="126" t="s">
        <v>42</v>
      </c>
      <c r="B416" s="127" t="s">
        <v>2716</v>
      </c>
      <c r="C416" s="31" t="s">
        <v>4997</v>
      </c>
      <c r="D416" s="31" t="s">
        <v>4997</v>
      </c>
      <c r="E416" s="31" t="s">
        <v>4997</v>
      </c>
      <c r="F416" s="31"/>
      <c r="G416" s="31"/>
      <c r="H416" s="31"/>
      <c r="I416" s="154"/>
      <c r="J416" s="154"/>
      <c r="K416" s="154"/>
      <c r="L416" s="154"/>
      <c r="M416" s="154"/>
      <c r="N416" s="154"/>
      <c r="O416" s="154"/>
      <c r="P416" s="154"/>
      <c r="Q416" s="154"/>
      <c r="R416" s="154"/>
      <c r="S416" s="154"/>
      <c r="T416" s="154"/>
      <c r="U416" s="154"/>
      <c r="V416" s="154"/>
      <c r="W416" s="154"/>
      <c r="X416" s="154"/>
      <c r="Y416" s="154"/>
      <c r="Z416" s="154"/>
      <c r="AA416" s="154"/>
      <c r="AB416" s="154"/>
      <c r="AC416" s="154"/>
      <c r="AD416" s="154"/>
      <c r="AE416" s="154"/>
      <c r="AF416" s="154"/>
      <c r="AG416" s="154"/>
      <c r="AH416" s="154"/>
      <c r="AI416" s="154"/>
      <c r="AJ416" s="154"/>
      <c r="AK416" s="154"/>
      <c r="AL416" s="154"/>
      <c r="AM416" s="154"/>
      <c r="AN416" s="154"/>
      <c r="AO416" s="76"/>
      <c r="AP416" s="76"/>
      <c r="AQ416" s="76"/>
      <c r="AR416" s="76"/>
      <c r="AS416" s="76"/>
      <c r="AT416" s="76"/>
      <c r="AU416" s="76"/>
      <c r="AV416" s="76"/>
      <c r="AW416" s="76"/>
      <c r="AX416" s="76"/>
    </row>
    <row r="417" ht="15.75" customHeight="1">
      <c r="A417" s="81" t="s">
        <v>485</v>
      </c>
      <c r="B417" s="142" t="s">
        <v>2719</v>
      </c>
      <c r="C417" s="31" t="s">
        <v>4998</v>
      </c>
      <c r="D417" s="31" t="s">
        <v>4999</v>
      </c>
      <c r="E417" s="31" t="s">
        <v>5000</v>
      </c>
      <c r="F417" s="31"/>
      <c r="G417" s="31"/>
      <c r="H417" s="31"/>
      <c r="I417" s="84"/>
      <c r="J417" s="159"/>
      <c r="K417" s="84"/>
      <c r="L417" s="84"/>
      <c r="M417" s="84"/>
      <c r="N417" s="84"/>
      <c r="O417" s="149" t="s">
        <v>4989</v>
      </c>
      <c r="P417" s="84"/>
      <c r="Q417" s="84" t="s">
        <v>166</v>
      </c>
      <c r="R417" s="84"/>
      <c r="S417" s="84"/>
      <c r="T417" s="84"/>
      <c r="U417" s="84"/>
      <c r="V417" s="84"/>
      <c r="W417" s="84"/>
      <c r="X417" s="84"/>
      <c r="Y417" s="84"/>
      <c r="Z417" s="84"/>
      <c r="AA417" s="84"/>
      <c r="AB417" s="84"/>
      <c r="AC417" s="84"/>
      <c r="AD417" s="76"/>
      <c r="AE417" s="76"/>
      <c r="AF417" s="76"/>
      <c r="AG417" s="76"/>
      <c r="AH417" s="76"/>
      <c r="AI417" s="76"/>
      <c r="AJ417" s="76"/>
      <c r="AK417" s="76"/>
      <c r="AL417" s="70"/>
      <c r="AM417" s="70"/>
      <c r="AN417" s="70"/>
      <c r="AO417" s="76"/>
      <c r="AP417" s="76"/>
      <c r="AQ417" s="76"/>
      <c r="AR417" s="76"/>
      <c r="AS417" s="76"/>
      <c r="AT417" s="76"/>
      <c r="AU417" s="76"/>
      <c r="AV417" s="76"/>
      <c r="AW417" s="76"/>
      <c r="AX417" s="76"/>
    </row>
    <row r="418" ht="15.75" customHeight="1">
      <c r="A418" s="149" t="s">
        <v>511</v>
      </c>
      <c r="B418" s="131" t="s">
        <v>2723</v>
      </c>
      <c r="C418" s="31" t="s">
        <v>5001</v>
      </c>
      <c r="D418" s="31" t="s">
        <v>5002</v>
      </c>
      <c r="E418" s="31" t="s">
        <v>5003</v>
      </c>
      <c r="F418" s="31"/>
      <c r="G418" s="31"/>
      <c r="H418" s="31"/>
      <c r="I418" s="84"/>
      <c r="J418" s="159"/>
      <c r="K418" s="84"/>
      <c r="L418" s="84"/>
      <c r="M418" s="84"/>
      <c r="N418" s="84"/>
      <c r="O418" s="149" t="s">
        <v>5004</v>
      </c>
      <c r="P418" s="84"/>
      <c r="Q418" s="149" t="s">
        <v>166</v>
      </c>
      <c r="R418" s="84"/>
      <c r="S418" s="84"/>
      <c r="T418" s="84"/>
      <c r="U418" s="84"/>
      <c r="V418" s="84"/>
      <c r="W418" s="84"/>
      <c r="X418" s="84"/>
      <c r="Y418" s="149" t="s">
        <v>5005</v>
      </c>
      <c r="Z418" s="84"/>
      <c r="AA418" s="84"/>
      <c r="AB418" s="84"/>
      <c r="AC418" s="84"/>
      <c r="AD418" s="84"/>
      <c r="AE418" s="84"/>
      <c r="AF418" s="84"/>
      <c r="AG418" s="84"/>
      <c r="AH418" s="84"/>
      <c r="AI418" s="84"/>
      <c r="AJ418" s="84"/>
      <c r="AK418" s="84"/>
      <c r="AL418" s="84"/>
      <c r="AM418" s="84"/>
      <c r="AN418" s="84"/>
      <c r="AO418" s="76"/>
      <c r="AP418" s="76"/>
      <c r="AQ418" s="76"/>
      <c r="AR418" s="76"/>
      <c r="AS418" s="76"/>
      <c r="AT418" s="76"/>
      <c r="AU418" s="76"/>
      <c r="AV418" s="76"/>
      <c r="AW418" s="76"/>
      <c r="AX418" s="76"/>
    </row>
    <row r="419" ht="15.75" customHeight="1">
      <c r="A419" s="149" t="s">
        <v>214</v>
      </c>
      <c r="B419" s="131" t="s">
        <v>2727</v>
      </c>
      <c r="C419" s="31" t="s">
        <v>5006</v>
      </c>
      <c r="D419" s="31" t="s">
        <v>5007</v>
      </c>
      <c r="E419" s="31" t="s">
        <v>5008</v>
      </c>
      <c r="F419" s="31"/>
      <c r="G419" s="31"/>
      <c r="H419" s="31"/>
      <c r="I419" s="84"/>
      <c r="J419" s="159"/>
      <c r="K419" s="84"/>
      <c r="L419" s="84"/>
      <c r="M419" s="84"/>
      <c r="N419" s="84"/>
      <c r="O419" s="149" t="s">
        <v>5009</v>
      </c>
      <c r="P419" s="84"/>
      <c r="Q419" s="149" t="s">
        <v>166</v>
      </c>
      <c r="R419" s="84"/>
      <c r="S419" s="84"/>
      <c r="T419" s="84"/>
      <c r="U419" s="84"/>
      <c r="V419" s="84"/>
      <c r="W419" s="84"/>
      <c r="X419" s="84"/>
      <c r="Y419" s="84"/>
      <c r="Z419" s="84"/>
      <c r="AA419" s="84"/>
      <c r="AB419" s="84"/>
      <c r="AC419" s="84"/>
      <c r="AD419" s="84"/>
      <c r="AE419" s="84"/>
      <c r="AF419" s="84"/>
      <c r="AG419" s="84"/>
      <c r="AH419" s="84"/>
      <c r="AI419" s="84"/>
      <c r="AJ419" s="84"/>
      <c r="AK419" s="84"/>
      <c r="AL419" s="84"/>
      <c r="AM419" s="84"/>
      <c r="AN419" s="84"/>
      <c r="AO419" s="76"/>
      <c r="AP419" s="76"/>
      <c r="AQ419" s="76"/>
      <c r="AR419" s="76"/>
      <c r="AS419" s="76"/>
      <c r="AT419" s="76"/>
      <c r="AU419" s="76"/>
      <c r="AV419" s="76"/>
      <c r="AW419" s="76"/>
      <c r="AX419" s="76"/>
    </row>
    <row r="420" ht="15.75" customHeight="1">
      <c r="A420" s="81" t="s">
        <v>338</v>
      </c>
      <c r="B420" s="142" t="s">
        <v>2731</v>
      </c>
      <c r="C420" s="31" t="s">
        <v>5010</v>
      </c>
      <c r="D420" s="31" t="s">
        <v>5011</v>
      </c>
      <c r="E420" s="31" t="s">
        <v>5012</v>
      </c>
      <c r="F420" s="31"/>
      <c r="G420" s="31" t="s">
        <v>4762</v>
      </c>
      <c r="H420" s="31" t="s">
        <v>4763</v>
      </c>
      <c r="I420" s="84"/>
      <c r="J420" s="159"/>
      <c r="K420" s="84"/>
      <c r="L420" s="84"/>
      <c r="M420" s="84"/>
      <c r="N420" s="84"/>
      <c r="O420" s="149" t="s">
        <v>5013</v>
      </c>
      <c r="P420" s="84"/>
      <c r="Q420" s="84" t="s">
        <v>166</v>
      </c>
      <c r="R420" s="84"/>
      <c r="S420" s="84"/>
      <c r="T420" s="84"/>
      <c r="U420" s="84"/>
      <c r="V420" s="84"/>
      <c r="W420" s="84"/>
      <c r="X420" s="84"/>
      <c r="Y420" s="84"/>
      <c r="Z420" s="84"/>
      <c r="AA420" s="84"/>
      <c r="AB420" s="84"/>
      <c r="AC420" s="84"/>
      <c r="AD420" s="84"/>
      <c r="AE420" s="84"/>
      <c r="AF420" s="84"/>
      <c r="AG420" s="84"/>
      <c r="AH420" s="84"/>
      <c r="AI420" s="84"/>
      <c r="AJ420" s="84"/>
      <c r="AK420" s="84"/>
      <c r="AL420" s="84"/>
      <c r="AM420" s="84"/>
      <c r="AN420" s="84"/>
      <c r="AO420" s="76"/>
      <c r="AP420" s="76"/>
      <c r="AQ420" s="76"/>
      <c r="AR420" s="76"/>
      <c r="AS420" s="76"/>
      <c r="AT420" s="76"/>
      <c r="AU420" s="76"/>
      <c r="AV420" s="76"/>
      <c r="AW420" s="76"/>
      <c r="AX420" s="76"/>
    </row>
    <row r="421" ht="15.75" customHeight="1">
      <c r="A421" s="81" t="s">
        <v>2738</v>
      </c>
      <c r="B421" s="142" t="s">
        <v>2739</v>
      </c>
      <c r="C421" s="31" t="s">
        <v>5014</v>
      </c>
      <c r="D421" s="31" t="s">
        <v>5015</v>
      </c>
      <c r="E421" s="31" t="s">
        <v>5016</v>
      </c>
      <c r="F421" s="31"/>
      <c r="G421" s="31"/>
      <c r="H421" s="31"/>
      <c r="I421" s="84"/>
      <c r="J421" s="159"/>
      <c r="K421" s="84"/>
      <c r="L421" s="84"/>
      <c r="M421" s="84"/>
      <c r="N421" s="84"/>
      <c r="O421" s="149" t="s">
        <v>5017</v>
      </c>
      <c r="P421" s="84"/>
      <c r="Q421" s="84" t="s">
        <v>166</v>
      </c>
      <c r="R421" s="84"/>
      <c r="S421" s="84"/>
      <c r="T421" s="84"/>
      <c r="U421" s="84"/>
      <c r="V421" s="84"/>
      <c r="W421" s="84"/>
      <c r="X421" s="84"/>
      <c r="Y421" s="84"/>
      <c r="Z421" s="84"/>
      <c r="AA421" s="84"/>
      <c r="AB421" s="84"/>
      <c r="AC421" s="84"/>
      <c r="AD421" s="84"/>
      <c r="AE421" s="84"/>
      <c r="AF421" s="84"/>
      <c r="AG421" s="84"/>
      <c r="AH421" s="84"/>
      <c r="AI421" s="84"/>
      <c r="AJ421" s="84"/>
      <c r="AK421" s="84"/>
      <c r="AL421" s="84"/>
      <c r="AM421" s="84"/>
      <c r="AN421" s="84"/>
      <c r="AO421" s="76"/>
      <c r="AP421" s="76"/>
      <c r="AQ421" s="76"/>
      <c r="AR421" s="76"/>
      <c r="AS421" s="76"/>
      <c r="AT421" s="76"/>
      <c r="AU421" s="76"/>
      <c r="AV421" s="76"/>
      <c r="AW421" s="76"/>
      <c r="AX421" s="76"/>
    </row>
    <row r="422" ht="15.75" customHeight="1">
      <c r="A422" s="133" t="s">
        <v>214</v>
      </c>
      <c r="B422" s="143" t="s">
        <v>2743</v>
      </c>
      <c r="C422" s="31" t="s">
        <v>5019</v>
      </c>
      <c r="D422" s="31" t="s">
        <v>5020</v>
      </c>
      <c r="E422" s="31" t="s">
        <v>5021</v>
      </c>
      <c r="F422" s="31"/>
      <c r="G422" s="31"/>
      <c r="H422" s="31"/>
      <c r="I422" s="162"/>
      <c r="J422" s="163"/>
      <c r="K422" s="162"/>
      <c r="L422" s="162"/>
      <c r="M422" s="162"/>
      <c r="N422" s="162"/>
      <c r="O422" s="162" t="s">
        <v>5023</v>
      </c>
      <c r="P422" s="162"/>
      <c r="Q422" s="162" t="s">
        <v>166</v>
      </c>
      <c r="R422" s="162"/>
      <c r="S422" s="162"/>
      <c r="T422" s="162"/>
      <c r="U422" s="162"/>
      <c r="V422" s="162"/>
      <c r="W422" s="162"/>
      <c r="X422" s="162"/>
      <c r="Y422" s="162"/>
      <c r="Z422" s="162"/>
      <c r="AA422" s="162"/>
      <c r="AB422" s="162"/>
      <c r="AC422" s="162"/>
      <c r="AD422" s="84"/>
      <c r="AE422" s="84"/>
      <c r="AF422" s="84"/>
      <c r="AG422" s="84"/>
      <c r="AH422" s="84"/>
      <c r="AI422" s="84"/>
      <c r="AJ422" s="84"/>
      <c r="AK422" s="84"/>
      <c r="AL422" s="84"/>
      <c r="AM422" s="84"/>
      <c r="AN422" s="84"/>
      <c r="AO422" s="76"/>
      <c r="AP422" s="76"/>
      <c r="AQ422" s="76"/>
      <c r="AR422" s="76"/>
      <c r="AS422" s="76"/>
      <c r="AT422" s="76"/>
      <c r="AU422" s="76"/>
      <c r="AV422" s="76"/>
      <c r="AW422" s="76"/>
      <c r="AX422" s="76"/>
    </row>
    <row r="423" ht="15.75" customHeight="1">
      <c r="A423" s="81" t="s">
        <v>2629</v>
      </c>
      <c r="B423" s="142" t="s">
        <v>2747</v>
      </c>
      <c r="C423" s="31" t="s">
        <v>5035</v>
      </c>
      <c r="D423" s="31" t="s">
        <v>5036</v>
      </c>
      <c r="E423" s="31" t="s">
        <v>5037</v>
      </c>
      <c r="F423" s="177"/>
      <c r="G423" s="177"/>
      <c r="H423" s="177"/>
      <c r="I423" s="178"/>
      <c r="J423" s="179"/>
      <c r="K423" s="178"/>
      <c r="L423" s="178"/>
      <c r="M423" s="178"/>
      <c r="N423" s="178"/>
      <c r="O423" s="84" t="s">
        <v>5040</v>
      </c>
      <c r="P423" s="178"/>
      <c r="Q423" s="84" t="s">
        <v>166</v>
      </c>
      <c r="R423" s="178"/>
      <c r="S423" s="178"/>
      <c r="T423" s="178"/>
      <c r="U423" s="178"/>
      <c r="V423" s="178"/>
      <c r="W423" s="178"/>
      <c r="X423" s="178"/>
      <c r="Y423" s="178"/>
      <c r="Z423" s="178"/>
      <c r="AA423" s="178"/>
      <c r="AB423" s="178"/>
      <c r="AC423" s="178"/>
      <c r="AD423" s="178"/>
      <c r="AE423" s="178"/>
      <c r="AF423" s="178"/>
      <c r="AG423" s="178"/>
      <c r="AH423" s="178"/>
      <c r="AI423" s="178"/>
      <c r="AJ423" s="178"/>
      <c r="AK423" s="178"/>
      <c r="AL423" s="178"/>
      <c r="AM423" s="178"/>
      <c r="AN423" s="178"/>
      <c r="AO423" s="117"/>
      <c r="AP423" s="117"/>
      <c r="AQ423" s="117"/>
      <c r="AR423" s="117"/>
      <c r="AS423" s="117"/>
      <c r="AT423" s="117"/>
      <c r="AU423" s="117"/>
      <c r="AV423" s="117"/>
      <c r="AW423" s="117"/>
      <c r="AX423" s="117"/>
    </row>
    <row r="424" ht="15.75" customHeight="1">
      <c r="A424" s="133" t="s">
        <v>214</v>
      </c>
      <c r="B424" s="143" t="s">
        <v>2754</v>
      </c>
      <c r="C424" s="31" t="s">
        <v>5046</v>
      </c>
      <c r="D424" s="31" t="s">
        <v>5047</v>
      </c>
      <c r="E424" s="31" t="s">
        <v>5047</v>
      </c>
      <c r="F424" s="31"/>
      <c r="G424" s="31"/>
      <c r="H424" s="31"/>
      <c r="I424" s="162"/>
      <c r="J424" s="163"/>
      <c r="K424" s="162"/>
      <c r="L424" s="162"/>
      <c r="M424" s="162"/>
      <c r="N424" s="162"/>
      <c r="O424" s="162" t="s">
        <v>5040</v>
      </c>
      <c r="P424" s="162"/>
      <c r="Q424" s="162" t="s">
        <v>166</v>
      </c>
      <c r="R424" s="162"/>
      <c r="S424" s="162"/>
      <c r="T424" s="162"/>
      <c r="U424" s="162"/>
      <c r="V424" s="162"/>
      <c r="W424" s="162"/>
      <c r="X424" s="162"/>
      <c r="Y424" s="162"/>
      <c r="Z424" s="162"/>
      <c r="AA424" s="162"/>
      <c r="AB424" s="162"/>
      <c r="AC424" s="162"/>
      <c r="AD424" s="84"/>
      <c r="AE424" s="84"/>
      <c r="AF424" s="84"/>
      <c r="AG424" s="84"/>
      <c r="AH424" s="84"/>
      <c r="AI424" s="84"/>
      <c r="AJ424" s="84"/>
      <c r="AK424" s="84"/>
      <c r="AL424" s="84"/>
      <c r="AM424" s="84"/>
      <c r="AN424" s="84"/>
      <c r="AO424" s="76"/>
      <c r="AP424" s="76"/>
      <c r="AQ424" s="76"/>
      <c r="AR424" s="76"/>
      <c r="AS424" s="76"/>
      <c r="AT424" s="76"/>
      <c r="AU424" s="76"/>
      <c r="AV424" s="76"/>
      <c r="AW424" s="76"/>
      <c r="AX424" s="76"/>
    </row>
    <row r="425" ht="15.75" customHeight="1">
      <c r="A425" s="81" t="s">
        <v>338</v>
      </c>
      <c r="B425" s="142" t="s">
        <v>2757</v>
      </c>
      <c r="C425" s="31" t="s">
        <v>5053</v>
      </c>
      <c r="D425" s="31" t="s">
        <v>5055</v>
      </c>
      <c r="E425" s="31" t="s">
        <v>5057</v>
      </c>
      <c r="F425" s="31"/>
      <c r="G425" s="31"/>
      <c r="H425" s="31"/>
      <c r="I425" s="84"/>
      <c r="J425" s="159"/>
      <c r="K425" s="84"/>
      <c r="L425" s="84"/>
      <c r="M425" s="84"/>
      <c r="N425" s="84"/>
      <c r="O425" s="149" t="s">
        <v>5058</v>
      </c>
      <c r="P425" s="84"/>
      <c r="Q425" s="84" t="s">
        <v>166</v>
      </c>
      <c r="R425" s="84"/>
      <c r="S425" s="84"/>
      <c r="T425" s="84"/>
      <c r="U425" s="84"/>
      <c r="V425" s="84"/>
      <c r="W425" s="84"/>
      <c r="X425" s="84"/>
      <c r="Y425" s="84"/>
      <c r="Z425" s="84"/>
      <c r="AA425" s="84"/>
      <c r="AB425" s="84"/>
      <c r="AC425" s="84"/>
      <c r="AD425" s="76"/>
      <c r="AE425" s="76"/>
      <c r="AF425" s="76"/>
      <c r="AG425" s="76"/>
      <c r="AH425" s="76"/>
      <c r="AI425" s="76"/>
      <c r="AJ425" s="76"/>
      <c r="AK425" s="76"/>
      <c r="AL425" s="70"/>
      <c r="AM425" s="70"/>
      <c r="AN425" s="70"/>
      <c r="AO425" s="76"/>
      <c r="AP425" s="76"/>
      <c r="AQ425" s="76"/>
      <c r="AR425" s="76"/>
      <c r="AS425" s="76"/>
      <c r="AT425" s="76"/>
      <c r="AU425" s="76"/>
      <c r="AV425" s="76"/>
      <c r="AW425" s="76"/>
      <c r="AX425" s="76"/>
    </row>
    <row r="426" ht="15.75" customHeight="1">
      <c r="A426" s="81" t="s">
        <v>485</v>
      </c>
      <c r="B426" s="142" t="s">
        <v>2761</v>
      </c>
      <c r="C426" s="31" t="s">
        <v>5069</v>
      </c>
      <c r="D426" s="31" t="s">
        <v>5070</v>
      </c>
      <c r="E426" s="31" t="s">
        <v>5071</v>
      </c>
      <c r="F426" s="31"/>
      <c r="G426" s="31"/>
      <c r="H426" s="31"/>
      <c r="I426" s="84"/>
      <c r="J426" s="159"/>
      <c r="K426" s="84"/>
      <c r="L426" s="84"/>
      <c r="M426" s="84"/>
      <c r="N426" s="84"/>
      <c r="O426" s="149" t="s">
        <v>5073</v>
      </c>
      <c r="P426" s="84"/>
      <c r="Q426" s="84" t="s">
        <v>166</v>
      </c>
      <c r="R426" s="84"/>
      <c r="S426" s="84"/>
      <c r="T426" s="84"/>
      <c r="U426" s="84"/>
      <c r="V426" s="84"/>
      <c r="W426" s="84"/>
      <c r="X426" s="84"/>
      <c r="Y426" s="84"/>
      <c r="Z426" s="84"/>
      <c r="AA426" s="84"/>
      <c r="AB426" s="84"/>
      <c r="AC426" s="84"/>
      <c r="AD426" s="76"/>
      <c r="AE426" s="76"/>
      <c r="AF426" s="76"/>
      <c r="AG426" s="76"/>
      <c r="AH426" s="76"/>
      <c r="AI426" s="76"/>
      <c r="AJ426" s="76"/>
      <c r="AK426" s="76"/>
      <c r="AL426" s="70"/>
      <c r="AM426" s="70"/>
      <c r="AN426" s="70"/>
      <c r="AO426" s="76"/>
      <c r="AP426" s="76"/>
      <c r="AQ426" s="76"/>
      <c r="AR426" s="76"/>
      <c r="AS426" s="76"/>
      <c r="AT426" s="76"/>
      <c r="AU426" s="76"/>
      <c r="AV426" s="76"/>
      <c r="AW426" s="76"/>
      <c r="AX426" s="76"/>
    </row>
    <row r="427" ht="15.75" customHeight="1">
      <c r="A427" s="81" t="s">
        <v>500</v>
      </c>
      <c r="B427" s="142" t="s">
        <v>2768</v>
      </c>
      <c r="C427" s="31" t="s">
        <v>5087</v>
      </c>
      <c r="D427" s="31" t="s">
        <v>5088</v>
      </c>
      <c r="E427" s="31" t="s">
        <v>5089</v>
      </c>
      <c r="F427" s="31"/>
      <c r="G427" s="31"/>
      <c r="H427" s="31"/>
      <c r="I427" s="84"/>
      <c r="J427" s="159"/>
      <c r="K427" s="84"/>
      <c r="L427" s="84"/>
      <c r="M427" s="84"/>
      <c r="N427" s="84"/>
      <c r="O427" s="84" t="s">
        <v>5090</v>
      </c>
      <c r="P427" s="84"/>
      <c r="Q427" s="84" t="s">
        <v>166</v>
      </c>
      <c r="R427" s="84"/>
      <c r="S427" s="84"/>
      <c r="T427" s="84"/>
      <c r="U427" s="84"/>
      <c r="V427" s="84"/>
      <c r="W427" s="84"/>
      <c r="X427" s="84"/>
      <c r="Y427" s="84"/>
      <c r="Z427" s="84"/>
      <c r="AA427" s="84"/>
      <c r="AB427" s="84"/>
      <c r="AC427" s="84"/>
      <c r="AD427" s="76"/>
      <c r="AE427" s="76"/>
      <c r="AF427" s="76"/>
      <c r="AG427" s="76"/>
      <c r="AH427" s="76"/>
      <c r="AI427" s="76"/>
      <c r="AJ427" s="76"/>
      <c r="AK427" s="76"/>
      <c r="AL427" s="70"/>
      <c r="AM427" s="70"/>
      <c r="AN427" s="70"/>
      <c r="AO427" s="76"/>
      <c r="AP427" s="76"/>
      <c r="AQ427" s="76"/>
      <c r="AR427" s="76"/>
      <c r="AS427" s="76"/>
      <c r="AT427" s="76"/>
      <c r="AU427" s="76"/>
      <c r="AV427" s="76"/>
      <c r="AW427" s="76"/>
      <c r="AX427" s="76"/>
    </row>
    <row r="428" ht="15.75" customHeight="1">
      <c r="A428" s="81" t="s">
        <v>2774</v>
      </c>
      <c r="B428" s="142" t="s">
        <v>2775</v>
      </c>
      <c r="C428" s="31" t="s">
        <v>5101</v>
      </c>
      <c r="D428" s="31" t="s">
        <v>5104</v>
      </c>
      <c r="E428" s="31" t="s">
        <v>5105</v>
      </c>
      <c r="F428" s="31" t="s">
        <v>1655</v>
      </c>
      <c r="G428" s="31" t="s">
        <v>4935</v>
      </c>
      <c r="H428" s="31" t="s">
        <v>1659</v>
      </c>
      <c r="I428" s="84"/>
      <c r="J428" s="159"/>
      <c r="K428" s="84"/>
      <c r="L428" s="84"/>
      <c r="M428" s="84"/>
      <c r="N428" s="84"/>
      <c r="O428" s="84" t="s">
        <v>5106</v>
      </c>
      <c r="P428" s="84"/>
      <c r="Q428" s="84" t="s">
        <v>166</v>
      </c>
      <c r="R428" s="84"/>
      <c r="S428" s="84"/>
      <c r="T428" s="84"/>
      <c r="U428" s="84"/>
      <c r="V428" s="84"/>
      <c r="W428" s="84"/>
      <c r="X428" s="84"/>
      <c r="Y428" s="149" t="s">
        <v>5115</v>
      </c>
      <c r="Z428" s="84"/>
      <c r="AA428" s="84"/>
      <c r="AB428" s="84"/>
      <c r="AC428" s="84"/>
      <c r="AD428" s="76"/>
      <c r="AE428" s="76"/>
      <c r="AF428" s="76"/>
      <c r="AG428" s="76"/>
      <c r="AH428" s="76"/>
      <c r="AI428" s="76"/>
      <c r="AJ428" s="76"/>
      <c r="AK428" s="76"/>
      <c r="AL428" s="70"/>
      <c r="AM428" s="70"/>
      <c r="AN428" s="70"/>
      <c r="AO428" s="76"/>
      <c r="AP428" s="76"/>
      <c r="AQ428" s="76"/>
      <c r="AR428" s="76"/>
      <c r="AS428" s="76"/>
      <c r="AT428" s="76"/>
      <c r="AU428" s="76"/>
      <c r="AV428" s="76"/>
      <c r="AW428" s="76"/>
      <c r="AX428" s="76"/>
    </row>
    <row r="429" ht="15.75" customHeight="1">
      <c r="A429" s="133" t="s">
        <v>214</v>
      </c>
      <c r="B429" s="143" t="s">
        <v>2785</v>
      </c>
      <c r="C429" s="31" t="s">
        <v>5119</v>
      </c>
      <c r="D429" s="31" t="s">
        <v>5120</v>
      </c>
      <c r="E429" s="31" t="s">
        <v>5121</v>
      </c>
      <c r="F429" s="31"/>
      <c r="G429" s="31"/>
      <c r="H429" s="31"/>
      <c r="I429" s="162"/>
      <c r="J429" s="163"/>
      <c r="K429" s="162"/>
      <c r="L429" s="162"/>
      <c r="M429" s="162"/>
      <c r="N429" s="162"/>
      <c r="O429" s="162" t="s">
        <v>5126</v>
      </c>
      <c r="P429" s="162"/>
      <c r="Q429" s="162" t="s">
        <v>166</v>
      </c>
      <c r="R429" s="162"/>
      <c r="S429" s="162"/>
      <c r="T429" s="162"/>
      <c r="U429" s="162"/>
      <c r="V429" s="162"/>
      <c r="W429" s="162"/>
      <c r="X429" s="162"/>
      <c r="Y429" s="162"/>
      <c r="Z429" s="162"/>
      <c r="AA429" s="162"/>
      <c r="AB429" s="162"/>
      <c r="AC429" s="162"/>
      <c r="AD429" s="76"/>
      <c r="AE429" s="76"/>
      <c r="AF429" s="76"/>
      <c r="AG429" s="76"/>
      <c r="AH429" s="76"/>
      <c r="AI429" s="76"/>
      <c r="AJ429" s="76"/>
      <c r="AK429" s="76"/>
      <c r="AL429" s="70"/>
      <c r="AM429" s="70"/>
      <c r="AN429" s="70"/>
      <c r="AO429" s="76"/>
      <c r="AP429" s="76"/>
      <c r="AQ429" s="76"/>
      <c r="AR429" s="76"/>
      <c r="AS429" s="76"/>
      <c r="AT429" s="76"/>
      <c r="AU429" s="76"/>
      <c r="AV429" s="76"/>
      <c r="AW429" s="76"/>
      <c r="AX429" s="76"/>
    </row>
    <row r="430" ht="15.75" customHeight="1">
      <c r="A430" s="81" t="s">
        <v>529</v>
      </c>
      <c r="B430" s="142" t="s">
        <v>2792</v>
      </c>
      <c r="C430" s="31" t="s">
        <v>5131</v>
      </c>
      <c r="D430" s="31" t="s">
        <v>5132</v>
      </c>
      <c r="E430" s="31" t="s">
        <v>5133</v>
      </c>
      <c r="F430" s="31"/>
      <c r="G430" s="31"/>
      <c r="H430" s="31"/>
      <c r="I430" s="84"/>
      <c r="J430" s="159" t="s">
        <v>5134</v>
      </c>
      <c r="K430" s="84"/>
      <c r="L430" s="84"/>
      <c r="M430" s="84"/>
      <c r="N430" s="84"/>
      <c r="O430" s="149" t="s">
        <v>5137</v>
      </c>
      <c r="P430" s="84"/>
      <c r="Q430" s="84" t="s">
        <v>166</v>
      </c>
      <c r="R430" s="84"/>
      <c r="S430" s="84"/>
      <c r="T430" s="84"/>
      <c r="U430" s="84"/>
      <c r="V430" s="84"/>
      <c r="W430" s="84"/>
      <c r="X430" s="84"/>
      <c r="Y430" s="84"/>
      <c r="Z430" s="84"/>
      <c r="AA430" s="84"/>
      <c r="AB430" s="84"/>
      <c r="AC430" s="84"/>
      <c r="AD430" s="84"/>
      <c r="AE430" s="84"/>
      <c r="AF430" s="84"/>
      <c r="AG430" s="84"/>
      <c r="AH430" s="84"/>
      <c r="AI430" s="84"/>
      <c r="AJ430" s="84"/>
      <c r="AK430" s="84"/>
      <c r="AL430" s="84"/>
      <c r="AM430" s="84"/>
      <c r="AN430" s="84"/>
      <c r="AO430" s="76"/>
      <c r="AP430" s="76"/>
      <c r="AQ430" s="76"/>
      <c r="AR430" s="76"/>
      <c r="AS430" s="76"/>
      <c r="AT430" s="76"/>
      <c r="AU430" s="76"/>
      <c r="AV430" s="76"/>
      <c r="AW430" s="76"/>
      <c r="AX430" s="76"/>
    </row>
    <row r="431" ht="15.75" customHeight="1">
      <c r="A431" s="67" t="s">
        <v>214</v>
      </c>
      <c r="B431" s="131" t="s">
        <v>2799</v>
      </c>
      <c r="C431" s="31" t="s">
        <v>5146</v>
      </c>
      <c r="D431" s="31" t="s">
        <v>5148</v>
      </c>
      <c r="E431" s="31" t="s">
        <v>5151</v>
      </c>
      <c r="F431" s="31"/>
      <c r="G431" s="31"/>
      <c r="H431" s="31"/>
      <c r="I431" s="70"/>
      <c r="J431" s="71"/>
      <c r="K431" s="70"/>
      <c r="L431" s="70"/>
      <c r="M431" s="71"/>
      <c r="N431" s="71"/>
      <c r="O431" s="72" t="s">
        <v>5153</v>
      </c>
      <c r="P431" s="70"/>
      <c r="Q431" s="67" t="s">
        <v>166</v>
      </c>
      <c r="R431" s="70"/>
      <c r="S431" s="70"/>
      <c r="T431" s="70"/>
      <c r="U431" s="70"/>
      <c r="V431" s="70"/>
      <c r="W431" s="70"/>
      <c r="X431" s="70"/>
      <c r="Y431" s="70"/>
      <c r="Z431" s="70"/>
      <c r="AA431" s="70"/>
      <c r="AB431" s="70"/>
      <c r="AC431" s="70"/>
      <c r="AD431" s="84"/>
      <c r="AE431" s="84"/>
      <c r="AF431" s="84"/>
      <c r="AG431" s="84"/>
      <c r="AH431" s="84"/>
      <c r="AI431" s="84"/>
      <c r="AJ431" s="84"/>
      <c r="AK431" s="84"/>
      <c r="AL431" s="84"/>
      <c r="AM431" s="84"/>
      <c r="AN431" s="84"/>
      <c r="AO431" s="76"/>
      <c r="AP431" s="76"/>
      <c r="AQ431" s="76"/>
      <c r="AR431" s="76"/>
      <c r="AS431" s="76"/>
      <c r="AT431" s="76"/>
      <c r="AU431" s="76"/>
      <c r="AV431" s="76"/>
      <c r="AW431" s="76"/>
      <c r="AX431" s="76"/>
    </row>
    <row r="432" ht="15.75" customHeight="1">
      <c r="A432" s="122" t="s">
        <v>150</v>
      </c>
      <c r="B432" s="123" t="s">
        <v>2806</v>
      </c>
      <c r="C432" s="31"/>
      <c r="D432" s="31"/>
      <c r="E432" s="31"/>
      <c r="F432" s="70"/>
      <c r="G432" s="70"/>
      <c r="H432" s="70"/>
      <c r="I432" s="70"/>
      <c r="J432" s="71"/>
      <c r="K432" s="70"/>
      <c r="L432" s="70"/>
      <c r="M432" s="71"/>
      <c r="N432" s="71"/>
      <c r="O432" s="72" t="s">
        <v>5163</v>
      </c>
      <c r="P432" s="70"/>
      <c r="Q432" s="70"/>
      <c r="R432" s="70"/>
      <c r="S432" s="70"/>
      <c r="T432" s="70"/>
      <c r="U432" s="70"/>
      <c r="V432" s="70"/>
      <c r="W432" s="70"/>
      <c r="X432" s="70"/>
      <c r="Y432" s="70"/>
      <c r="Z432" s="70"/>
      <c r="AA432" s="70"/>
      <c r="AB432" s="70"/>
      <c r="AC432" s="70"/>
      <c r="AD432" s="84"/>
      <c r="AE432" s="84"/>
      <c r="AF432" s="84"/>
      <c r="AG432" s="84"/>
      <c r="AH432" s="84"/>
      <c r="AI432" s="84"/>
      <c r="AJ432" s="84"/>
      <c r="AK432" s="84"/>
      <c r="AL432" s="84"/>
      <c r="AM432" s="84"/>
      <c r="AN432" s="84"/>
      <c r="AO432" s="76"/>
      <c r="AP432" s="76"/>
      <c r="AQ432" s="76"/>
      <c r="AR432" s="76"/>
      <c r="AS432" s="76"/>
      <c r="AT432" s="76"/>
      <c r="AU432" s="76"/>
      <c r="AV432" s="76"/>
      <c r="AW432" s="76"/>
      <c r="AX432" s="76"/>
    </row>
    <row r="433" ht="15.75" customHeight="1">
      <c r="A433" s="81" t="s">
        <v>338</v>
      </c>
      <c r="B433" s="142" t="s">
        <v>2809</v>
      </c>
      <c r="C433" s="31" t="s">
        <v>5173</v>
      </c>
      <c r="D433" s="31" t="s">
        <v>5174</v>
      </c>
      <c r="E433" s="31" t="s">
        <v>5175</v>
      </c>
      <c r="F433" s="31"/>
      <c r="G433" s="31"/>
      <c r="H433" s="31"/>
      <c r="I433" s="84"/>
      <c r="J433" s="159"/>
      <c r="K433" s="84"/>
      <c r="L433" s="84"/>
      <c r="M433" s="84"/>
      <c r="N433" s="84"/>
      <c r="O433" s="149" t="s">
        <v>5180</v>
      </c>
      <c r="P433" s="84"/>
      <c r="Q433" s="84" t="s">
        <v>166</v>
      </c>
      <c r="R433" s="84"/>
      <c r="S433" s="84"/>
      <c r="T433" s="84"/>
      <c r="U433" s="84"/>
      <c r="V433" s="84"/>
      <c r="W433" s="84"/>
      <c r="X433" s="84"/>
      <c r="Y433" s="84"/>
      <c r="Z433" s="84"/>
      <c r="AA433" s="84"/>
      <c r="AB433" s="84"/>
      <c r="AC433" s="84"/>
      <c r="AD433" s="84"/>
      <c r="AE433" s="84"/>
      <c r="AF433" s="84"/>
      <c r="AG433" s="84"/>
      <c r="AH433" s="84"/>
      <c r="AI433" s="84"/>
      <c r="AJ433" s="84"/>
      <c r="AK433" s="84"/>
      <c r="AL433" s="84"/>
      <c r="AM433" s="84"/>
      <c r="AN433" s="84"/>
      <c r="AO433" s="76"/>
      <c r="AP433" s="76"/>
      <c r="AQ433" s="76"/>
      <c r="AR433" s="76"/>
      <c r="AS433" s="76"/>
      <c r="AT433" s="76"/>
      <c r="AU433" s="76"/>
      <c r="AV433" s="76"/>
      <c r="AW433" s="76"/>
      <c r="AX433" s="76"/>
    </row>
    <row r="434" ht="15.75" customHeight="1">
      <c r="A434" s="149" t="s">
        <v>781</v>
      </c>
      <c r="B434" s="142" t="s">
        <v>2817</v>
      </c>
      <c r="C434" s="31" t="s">
        <v>5191</v>
      </c>
      <c r="D434" s="31" t="s">
        <v>5192</v>
      </c>
      <c r="E434" s="31" t="s">
        <v>5193</v>
      </c>
      <c r="F434" s="31"/>
      <c r="G434" s="31"/>
      <c r="H434" s="31"/>
      <c r="I434" s="84"/>
      <c r="J434" s="159"/>
      <c r="K434" s="84"/>
      <c r="L434" s="84"/>
      <c r="M434" s="84"/>
      <c r="N434" s="84"/>
      <c r="O434" s="84" t="s">
        <v>5197</v>
      </c>
      <c r="P434" s="84"/>
      <c r="Q434" s="84" t="s">
        <v>166</v>
      </c>
      <c r="R434" s="84"/>
      <c r="S434" s="84"/>
      <c r="T434" s="84"/>
      <c r="U434" s="84"/>
      <c r="V434" s="84"/>
      <c r="W434" s="84"/>
      <c r="X434" s="84"/>
      <c r="Y434" s="84"/>
      <c r="Z434" s="84"/>
      <c r="AA434" s="84"/>
      <c r="AB434" s="84"/>
      <c r="AC434" s="84"/>
      <c r="AD434" s="154"/>
      <c r="AE434" s="154"/>
      <c r="AF434" s="154"/>
      <c r="AG434" s="154"/>
      <c r="AH434" s="154"/>
      <c r="AI434" s="154"/>
      <c r="AJ434" s="154"/>
      <c r="AK434" s="154"/>
      <c r="AL434" s="154"/>
      <c r="AM434" s="154"/>
      <c r="AN434" s="154"/>
      <c r="AO434" s="76"/>
      <c r="AP434" s="76"/>
      <c r="AQ434" s="76"/>
      <c r="AR434" s="76"/>
      <c r="AS434" s="76"/>
      <c r="AT434" s="76"/>
      <c r="AU434" s="76"/>
      <c r="AV434" s="76"/>
      <c r="AW434" s="76"/>
      <c r="AX434" s="76"/>
    </row>
    <row r="435" ht="15.75" customHeight="1">
      <c r="A435" s="133" t="s">
        <v>214</v>
      </c>
      <c r="B435" s="143" t="s">
        <v>2824</v>
      </c>
      <c r="C435" s="31" t="s">
        <v>5211</v>
      </c>
      <c r="D435" s="31" t="s">
        <v>5213</v>
      </c>
      <c r="E435" s="31" t="s">
        <v>5216</v>
      </c>
      <c r="F435" s="31"/>
      <c r="G435" s="31"/>
      <c r="H435" s="31"/>
      <c r="I435" s="162"/>
      <c r="J435" s="163"/>
      <c r="K435" s="162"/>
      <c r="L435" s="162"/>
      <c r="M435" s="162"/>
      <c r="N435" s="162"/>
      <c r="O435" s="164" t="s">
        <v>5217</v>
      </c>
      <c r="P435" s="162"/>
      <c r="Q435" s="162"/>
      <c r="R435" s="162"/>
      <c r="S435" s="162"/>
      <c r="T435" s="162"/>
      <c r="U435" s="162"/>
      <c r="V435" s="162"/>
      <c r="W435" s="162"/>
      <c r="X435" s="162"/>
      <c r="Y435" s="162"/>
      <c r="Z435" s="162"/>
      <c r="AA435" s="162"/>
      <c r="AB435" s="162"/>
      <c r="AC435" s="162"/>
      <c r="AD435" s="154"/>
      <c r="AE435" s="154"/>
      <c r="AF435" s="154"/>
      <c r="AG435" s="154"/>
      <c r="AH435" s="154"/>
      <c r="AI435" s="154"/>
      <c r="AJ435" s="154"/>
      <c r="AK435" s="154"/>
      <c r="AL435" s="154"/>
      <c r="AM435" s="154"/>
      <c r="AN435" s="154"/>
      <c r="AO435" s="76"/>
      <c r="AP435" s="76"/>
      <c r="AQ435" s="76"/>
      <c r="AR435" s="76"/>
      <c r="AS435" s="76"/>
      <c r="AT435" s="76"/>
      <c r="AU435" s="76"/>
      <c r="AV435" s="76"/>
      <c r="AW435" s="76"/>
      <c r="AX435" s="76"/>
    </row>
    <row r="436" ht="15.75" customHeight="1">
      <c r="A436" s="81" t="s">
        <v>338</v>
      </c>
      <c r="B436" s="142" t="s">
        <v>2831</v>
      </c>
      <c r="C436" s="31" t="s">
        <v>5229</v>
      </c>
      <c r="D436" s="31" t="s">
        <v>5230</v>
      </c>
      <c r="E436" s="31" t="s">
        <v>5231</v>
      </c>
      <c r="F436" s="31"/>
      <c r="G436" s="31"/>
      <c r="H436" s="31"/>
      <c r="I436" s="84"/>
      <c r="J436" s="159"/>
      <c r="K436" s="84"/>
      <c r="L436" s="84"/>
      <c r="M436" s="84"/>
      <c r="N436" s="84"/>
      <c r="O436" s="84" t="s">
        <v>5235</v>
      </c>
      <c r="P436" s="84"/>
      <c r="Q436" s="84" t="s">
        <v>166</v>
      </c>
      <c r="R436" s="84"/>
      <c r="S436" s="84"/>
      <c r="T436" s="84"/>
      <c r="U436" s="84"/>
      <c r="V436" s="84"/>
      <c r="W436" s="84"/>
      <c r="X436" s="84"/>
      <c r="Y436" s="84"/>
      <c r="Z436" s="84"/>
      <c r="AA436" s="84"/>
      <c r="AB436" s="84"/>
      <c r="AC436" s="84"/>
      <c r="AD436" s="76"/>
      <c r="AE436" s="76"/>
      <c r="AF436" s="76"/>
      <c r="AG436" s="76"/>
      <c r="AH436" s="76"/>
      <c r="AI436" s="76"/>
      <c r="AJ436" s="76"/>
      <c r="AK436" s="76"/>
      <c r="AL436" s="70"/>
      <c r="AM436" s="70"/>
      <c r="AN436" s="70"/>
      <c r="AO436" s="76"/>
      <c r="AP436" s="76"/>
      <c r="AQ436" s="76"/>
      <c r="AR436" s="76"/>
      <c r="AS436" s="76"/>
      <c r="AT436" s="76"/>
      <c r="AU436" s="76"/>
      <c r="AV436" s="76"/>
      <c r="AW436" s="76"/>
      <c r="AX436" s="76"/>
    </row>
    <row r="437" ht="15.75" customHeight="1">
      <c r="A437" s="146" t="s">
        <v>237</v>
      </c>
      <c r="B437" s="147" t="s">
        <v>2839</v>
      </c>
      <c r="C437" s="31" t="s">
        <v>5247</v>
      </c>
      <c r="D437" s="31" t="s">
        <v>5248</v>
      </c>
      <c r="E437" s="31" t="s">
        <v>5249</v>
      </c>
      <c r="F437" s="31"/>
      <c r="G437" s="31"/>
      <c r="H437" s="31"/>
      <c r="I437" s="175"/>
      <c r="J437" s="175"/>
      <c r="K437" s="176" t="s">
        <v>2539</v>
      </c>
      <c r="L437" s="176"/>
      <c r="M437" s="175"/>
      <c r="N437" s="175"/>
      <c r="O437" s="175" t="s">
        <v>5250</v>
      </c>
      <c r="P437" s="175"/>
      <c r="Q437" s="175" t="s">
        <v>166</v>
      </c>
      <c r="R437" s="175"/>
      <c r="S437" s="175"/>
      <c r="T437" s="175"/>
      <c r="U437" s="175"/>
      <c r="V437" s="175"/>
      <c r="W437" s="175"/>
      <c r="X437" s="175"/>
      <c r="Y437" s="175"/>
      <c r="Z437" s="175"/>
      <c r="AA437" s="175"/>
      <c r="AB437" s="175"/>
      <c r="AC437" s="175"/>
      <c r="AD437" s="76"/>
      <c r="AE437" s="76"/>
      <c r="AF437" s="76"/>
      <c r="AG437" s="76"/>
      <c r="AH437" s="76"/>
      <c r="AI437" s="76"/>
      <c r="AJ437" s="76"/>
      <c r="AK437" s="76"/>
      <c r="AL437" s="70"/>
      <c r="AM437" s="70"/>
      <c r="AN437" s="70"/>
      <c r="AO437" s="76"/>
      <c r="AP437" s="76"/>
      <c r="AQ437" s="76"/>
      <c r="AR437" s="76"/>
      <c r="AS437" s="76"/>
      <c r="AT437" s="76"/>
      <c r="AU437" s="76"/>
      <c r="AV437" s="76"/>
      <c r="AW437" s="76"/>
      <c r="AX437" s="76"/>
    </row>
    <row r="438" ht="15.75" customHeight="1">
      <c r="A438" s="81" t="s">
        <v>2843</v>
      </c>
      <c r="B438" s="142" t="s">
        <v>2844</v>
      </c>
      <c r="C438" s="31" t="s">
        <v>5262</v>
      </c>
      <c r="D438" s="31" t="s">
        <v>5263</v>
      </c>
      <c r="E438" s="31" t="s">
        <v>5264</v>
      </c>
      <c r="F438" s="31" t="s">
        <v>1655</v>
      </c>
      <c r="G438" s="31" t="s">
        <v>4935</v>
      </c>
      <c r="H438" s="31" t="s">
        <v>1659</v>
      </c>
      <c r="I438" s="84"/>
      <c r="J438" s="159"/>
      <c r="K438" s="84"/>
      <c r="L438" s="84"/>
      <c r="M438" s="84"/>
      <c r="N438" s="84"/>
      <c r="O438" s="84" t="s">
        <v>5265</v>
      </c>
      <c r="P438" s="149" t="s">
        <v>166</v>
      </c>
      <c r="Q438" s="84" t="s">
        <v>166</v>
      </c>
      <c r="R438" s="84"/>
      <c r="S438" s="84"/>
      <c r="T438" s="84"/>
      <c r="U438" s="84"/>
      <c r="V438" s="84"/>
      <c r="W438" s="84"/>
      <c r="X438" s="84"/>
      <c r="Y438" s="84"/>
      <c r="Z438" s="84"/>
      <c r="AA438" s="84"/>
      <c r="AB438" s="84"/>
      <c r="AC438" s="84"/>
      <c r="AD438" s="76"/>
      <c r="AE438" s="76"/>
      <c r="AF438" s="76"/>
      <c r="AG438" s="76"/>
      <c r="AH438" s="76"/>
      <c r="AI438" s="76"/>
      <c r="AJ438" s="76"/>
      <c r="AK438" s="76"/>
      <c r="AL438" s="70"/>
      <c r="AM438" s="70"/>
      <c r="AN438" s="70"/>
      <c r="AO438" s="76"/>
      <c r="AP438" s="76"/>
      <c r="AQ438" s="76"/>
      <c r="AR438" s="76"/>
      <c r="AS438" s="76"/>
      <c r="AT438" s="76"/>
      <c r="AU438" s="76"/>
      <c r="AV438" s="76"/>
      <c r="AW438" s="76"/>
      <c r="AX438" s="76"/>
    </row>
    <row r="439" ht="15.75" customHeight="1">
      <c r="A439" s="81" t="s">
        <v>338</v>
      </c>
      <c r="B439" s="142" t="s">
        <v>2852</v>
      </c>
      <c r="C439" s="31" t="s">
        <v>5279</v>
      </c>
      <c r="D439" s="31" t="s">
        <v>5280</v>
      </c>
      <c r="E439" s="31" t="s">
        <v>5281</v>
      </c>
      <c r="F439" s="31"/>
      <c r="G439" s="31"/>
      <c r="H439" s="31"/>
      <c r="I439" s="84"/>
      <c r="J439" s="159"/>
      <c r="K439" s="84"/>
      <c r="L439" s="84"/>
      <c r="M439" s="84"/>
      <c r="N439" s="84"/>
      <c r="O439" s="149" t="s">
        <v>5282</v>
      </c>
      <c r="P439" s="84"/>
      <c r="Q439" s="84" t="s">
        <v>166</v>
      </c>
      <c r="R439" s="84"/>
      <c r="S439" s="84"/>
      <c r="T439" s="84"/>
      <c r="U439" s="84"/>
      <c r="V439" s="84"/>
      <c r="W439" s="84"/>
      <c r="X439" s="84"/>
      <c r="Y439" s="84"/>
      <c r="Z439" s="84"/>
      <c r="AA439" s="84"/>
      <c r="AB439" s="84"/>
      <c r="AC439" s="84"/>
      <c r="AD439" s="84"/>
      <c r="AE439" s="84"/>
      <c r="AF439" s="84"/>
      <c r="AG439" s="84"/>
      <c r="AH439" s="84"/>
      <c r="AI439" s="84"/>
      <c r="AJ439" s="84"/>
      <c r="AK439" s="84"/>
      <c r="AL439" s="84"/>
      <c r="AM439" s="84"/>
      <c r="AN439" s="84"/>
      <c r="AO439" s="76"/>
      <c r="AP439" s="76"/>
      <c r="AQ439" s="76"/>
      <c r="AR439" s="76"/>
      <c r="AS439" s="76"/>
      <c r="AT439" s="76"/>
      <c r="AU439" s="76"/>
      <c r="AV439" s="76"/>
      <c r="AW439" s="76"/>
      <c r="AX439" s="76"/>
    </row>
    <row r="440" ht="15.75" customHeight="1">
      <c r="A440" s="81" t="s">
        <v>2856</v>
      </c>
      <c r="B440" s="142" t="s">
        <v>2857</v>
      </c>
      <c r="C440" s="31" t="s">
        <v>5287</v>
      </c>
      <c r="D440" s="31" t="s">
        <v>5288</v>
      </c>
      <c r="E440" s="31" t="s">
        <v>5289</v>
      </c>
      <c r="F440" s="31"/>
      <c r="G440" s="31"/>
      <c r="H440" s="31"/>
      <c r="I440" s="84"/>
      <c r="J440" s="159"/>
      <c r="K440" s="84"/>
      <c r="L440" s="84"/>
      <c r="M440" s="84"/>
      <c r="N440" s="84"/>
      <c r="O440" s="84" t="s">
        <v>5292</v>
      </c>
      <c r="P440" s="84"/>
      <c r="Q440" s="84" t="s">
        <v>166</v>
      </c>
      <c r="R440" s="84"/>
      <c r="S440" s="84"/>
      <c r="T440" s="84"/>
      <c r="U440" s="84"/>
      <c r="V440" s="84"/>
      <c r="W440" s="84"/>
      <c r="X440" s="84"/>
      <c r="Y440" s="84"/>
      <c r="Z440" s="84"/>
      <c r="AA440" s="84"/>
      <c r="AB440" s="84"/>
      <c r="AC440" s="84"/>
      <c r="AD440" s="84"/>
      <c r="AE440" s="84"/>
      <c r="AF440" s="84"/>
      <c r="AG440" s="84"/>
      <c r="AH440" s="84"/>
      <c r="AI440" s="84"/>
      <c r="AJ440" s="84"/>
      <c r="AK440" s="84"/>
      <c r="AL440" s="84"/>
      <c r="AM440" s="84"/>
      <c r="AN440" s="84"/>
      <c r="AO440" s="76"/>
      <c r="AP440" s="76"/>
      <c r="AQ440" s="76"/>
      <c r="AR440" s="76"/>
      <c r="AS440" s="76"/>
      <c r="AT440" s="76"/>
      <c r="AU440" s="76"/>
      <c r="AV440" s="76"/>
      <c r="AW440" s="76"/>
      <c r="AX440" s="76"/>
    </row>
    <row r="441" ht="15.75" customHeight="1">
      <c r="A441" s="146" t="s">
        <v>237</v>
      </c>
      <c r="B441" s="147" t="s">
        <v>2874</v>
      </c>
      <c r="C441" s="31" t="s">
        <v>5308</v>
      </c>
      <c r="D441" s="31" t="s">
        <v>5309</v>
      </c>
      <c r="E441" s="31" t="s">
        <v>5310</v>
      </c>
      <c r="F441" s="31"/>
      <c r="G441" s="31"/>
      <c r="H441" s="31"/>
      <c r="I441" s="175"/>
      <c r="J441" s="175"/>
      <c r="K441" s="176" t="s">
        <v>5311</v>
      </c>
      <c r="L441" s="176"/>
      <c r="M441" s="175"/>
      <c r="N441" s="175"/>
      <c r="O441" s="175" t="s">
        <v>5312</v>
      </c>
      <c r="P441" s="175"/>
      <c r="Q441" s="175" t="s">
        <v>166</v>
      </c>
      <c r="R441" s="175"/>
      <c r="S441" s="175"/>
      <c r="T441" s="175"/>
      <c r="U441" s="175"/>
      <c r="V441" s="175"/>
      <c r="W441" s="175"/>
      <c r="X441" s="175"/>
      <c r="Y441" s="175"/>
      <c r="Z441" s="175"/>
      <c r="AA441" s="175"/>
      <c r="AB441" s="175"/>
      <c r="AC441" s="175"/>
      <c r="AD441" s="76"/>
      <c r="AE441" s="76"/>
      <c r="AF441" s="76"/>
      <c r="AG441" s="76"/>
      <c r="AH441" s="76"/>
      <c r="AI441" s="76"/>
      <c r="AJ441" s="76"/>
      <c r="AK441" s="76"/>
      <c r="AL441" s="175"/>
      <c r="AM441" s="175"/>
      <c r="AN441" s="175"/>
      <c r="AO441" s="76"/>
      <c r="AP441" s="76"/>
      <c r="AQ441" s="76"/>
      <c r="AR441" s="76"/>
      <c r="AS441" s="76"/>
      <c r="AT441" s="76"/>
      <c r="AU441" s="76"/>
      <c r="AV441" s="76"/>
      <c r="AW441" s="76"/>
      <c r="AX441" s="76"/>
    </row>
    <row r="442" ht="15.75" customHeight="1">
      <c r="A442" s="146" t="s">
        <v>237</v>
      </c>
      <c r="B442" s="147" t="s">
        <v>2881</v>
      </c>
      <c r="C442" s="31" t="s">
        <v>5318</v>
      </c>
      <c r="D442" s="31" t="s">
        <v>5320</v>
      </c>
      <c r="E442" s="31" t="s">
        <v>5322</v>
      </c>
      <c r="F442" s="31"/>
      <c r="G442" s="31"/>
      <c r="H442" s="31"/>
      <c r="I442" s="175"/>
      <c r="J442" s="175"/>
      <c r="K442" s="176" t="s">
        <v>5325</v>
      </c>
      <c r="L442" s="176" t="s">
        <v>5326</v>
      </c>
      <c r="M442" s="175"/>
      <c r="N442" s="175"/>
      <c r="O442" s="175" t="s">
        <v>5292</v>
      </c>
      <c r="P442" s="175"/>
      <c r="Q442" s="175" t="s">
        <v>166</v>
      </c>
      <c r="R442" s="175"/>
      <c r="S442" s="175"/>
      <c r="T442" s="175"/>
      <c r="U442" s="175"/>
      <c r="V442" s="175"/>
      <c r="W442" s="175"/>
      <c r="X442" s="175"/>
      <c r="Y442" s="175"/>
      <c r="Z442" s="175"/>
      <c r="AA442" s="175"/>
      <c r="AB442" s="175"/>
      <c r="AC442" s="175"/>
      <c r="AD442" s="175"/>
      <c r="AE442" s="175"/>
      <c r="AF442" s="175"/>
      <c r="AG442" s="175"/>
      <c r="AH442" s="175"/>
      <c r="AI442" s="175"/>
      <c r="AJ442" s="175"/>
      <c r="AK442" s="175"/>
      <c r="AL442" s="175"/>
      <c r="AM442" s="175"/>
      <c r="AN442" s="175"/>
      <c r="AO442" s="76"/>
      <c r="AP442" s="76"/>
      <c r="AQ442" s="76"/>
      <c r="AR442" s="76"/>
      <c r="AS442" s="76"/>
      <c r="AT442" s="76"/>
      <c r="AU442" s="76"/>
      <c r="AV442" s="76"/>
      <c r="AW442" s="76"/>
      <c r="AX442" s="76"/>
    </row>
    <row r="443" ht="15.75" customHeight="1">
      <c r="A443" s="146" t="s">
        <v>237</v>
      </c>
      <c r="B443" s="147" t="s">
        <v>2894</v>
      </c>
      <c r="C443" s="31" t="s">
        <v>5335</v>
      </c>
      <c r="D443" s="31" t="s">
        <v>5336</v>
      </c>
      <c r="E443" s="31" t="s">
        <v>5337</v>
      </c>
      <c r="F443" s="31"/>
      <c r="G443" s="31"/>
      <c r="H443" s="31"/>
      <c r="I443" s="175"/>
      <c r="J443" s="175"/>
      <c r="K443" s="176" t="s">
        <v>5325</v>
      </c>
      <c r="L443" s="176" t="s">
        <v>5326</v>
      </c>
      <c r="M443" s="175"/>
      <c r="N443" s="175"/>
      <c r="O443" s="175" t="s">
        <v>5292</v>
      </c>
      <c r="P443" s="175"/>
      <c r="Q443" s="175" t="s">
        <v>166</v>
      </c>
      <c r="R443" s="175"/>
      <c r="S443" s="175"/>
      <c r="T443" s="175"/>
      <c r="U443" s="175"/>
      <c r="V443" s="175"/>
      <c r="W443" s="175"/>
      <c r="X443" s="175"/>
      <c r="Y443" s="175"/>
      <c r="Z443" s="175"/>
      <c r="AA443" s="175"/>
      <c r="AB443" s="175"/>
      <c r="AC443" s="175"/>
      <c r="AD443" s="175"/>
      <c r="AE443" s="175"/>
      <c r="AF443" s="175"/>
      <c r="AG443" s="175"/>
      <c r="AH443" s="175"/>
      <c r="AI443" s="175"/>
      <c r="AJ443" s="175"/>
      <c r="AK443" s="175"/>
      <c r="AL443" s="175"/>
      <c r="AM443" s="175"/>
      <c r="AN443" s="175"/>
      <c r="AO443" s="76"/>
      <c r="AP443" s="76"/>
      <c r="AQ443" s="76"/>
      <c r="AR443" s="76"/>
      <c r="AS443" s="76"/>
      <c r="AT443" s="76"/>
      <c r="AU443" s="76"/>
      <c r="AV443" s="76"/>
      <c r="AW443" s="76"/>
      <c r="AX443" s="76"/>
    </row>
    <row r="444" ht="15.75" customHeight="1">
      <c r="A444" s="81" t="s">
        <v>485</v>
      </c>
      <c r="B444" s="142" t="s">
        <v>2902</v>
      </c>
      <c r="C444" s="31" t="s">
        <v>5346</v>
      </c>
      <c r="D444" s="31" t="s">
        <v>5348</v>
      </c>
      <c r="E444" s="31" t="s">
        <v>5350</v>
      </c>
      <c r="F444" s="31"/>
      <c r="G444" s="31"/>
      <c r="H444" s="31"/>
      <c r="I444" s="84"/>
      <c r="J444" s="159"/>
      <c r="K444" s="84"/>
      <c r="L444" s="84"/>
      <c r="M444" s="84"/>
      <c r="N444" s="84"/>
      <c r="O444" s="84" t="s">
        <v>5353</v>
      </c>
      <c r="P444" s="84"/>
      <c r="Q444" s="84" t="s">
        <v>166</v>
      </c>
      <c r="R444" s="84"/>
      <c r="S444" s="84"/>
      <c r="T444" s="84"/>
      <c r="U444" s="84"/>
      <c r="V444" s="84"/>
      <c r="W444" s="84"/>
      <c r="X444" s="84"/>
      <c r="Y444" s="84"/>
      <c r="Z444" s="84"/>
      <c r="AA444" s="84"/>
      <c r="AB444" s="84"/>
      <c r="AC444" s="84"/>
      <c r="AD444" s="76"/>
      <c r="AE444" s="76"/>
      <c r="AF444" s="76"/>
      <c r="AG444" s="76"/>
      <c r="AH444" s="76"/>
      <c r="AI444" s="76"/>
      <c r="AJ444" s="76"/>
      <c r="AK444" s="76"/>
      <c r="AL444" s="70"/>
      <c r="AM444" s="70"/>
      <c r="AN444" s="70"/>
      <c r="AO444" s="76"/>
      <c r="AP444" s="76"/>
      <c r="AQ444" s="76"/>
      <c r="AR444" s="76"/>
      <c r="AS444" s="76"/>
      <c r="AT444" s="76"/>
      <c r="AU444" s="76"/>
      <c r="AV444" s="76"/>
      <c r="AW444" s="76"/>
      <c r="AX444" s="76"/>
    </row>
    <row r="445" ht="15.75" customHeight="1">
      <c r="A445" s="146" t="s">
        <v>237</v>
      </c>
      <c r="B445" s="147" t="s">
        <v>2910</v>
      </c>
      <c r="C445" s="31" t="s">
        <v>5360</v>
      </c>
      <c r="D445" s="31" t="s">
        <v>5361</v>
      </c>
      <c r="E445" s="31" t="s">
        <v>5362</v>
      </c>
      <c r="F445" s="31"/>
      <c r="G445" s="31"/>
      <c r="H445" s="31"/>
      <c r="I445" s="175"/>
      <c r="J445" s="175"/>
      <c r="K445" s="176" t="s">
        <v>5363</v>
      </c>
      <c r="L445" s="176"/>
      <c r="M445" s="175"/>
      <c r="N445" s="175"/>
      <c r="O445" s="175" t="s">
        <v>5364</v>
      </c>
      <c r="P445" s="175"/>
      <c r="Q445" s="175" t="s">
        <v>166</v>
      </c>
      <c r="R445" s="175"/>
      <c r="S445" s="175"/>
      <c r="T445" s="175"/>
      <c r="U445" s="175"/>
      <c r="V445" s="175"/>
      <c r="W445" s="175"/>
      <c r="X445" s="175"/>
      <c r="Y445" s="175"/>
      <c r="Z445" s="175"/>
      <c r="AA445" s="175"/>
      <c r="AB445" s="175"/>
      <c r="AC445" s="175"/>
      <c r="AD445" s="76"/>
      <c r="AE445" s="76"/>
      <c r="AF445" s="76"/>
      <c r="AG445" s="76"/>
      <c r="AH445" s="76"/>
      <c r="AI445" s="76"/>
      <c r="AJ445" s="76"/>
      <c r="AK445" s="76"/>
      <c r="AL445" s="70"/>
      <c r="AM445" s="70"/>
      <c r="AN445" s="70"/>
      <c r="AO445" s="76"/>
      <c r="AP445" s="76"/>
      <c r="AQ445" s="76"/>
      <c r="AR445" s="76"/>
      <c r="AS445" s="76"/>
      <c r="AT445" s="76"/>
      <c r="AU445" s="76"/>
      <c r="AV445" s="76"/>
      <c r="AW445" s="76"/>
      <c r="AX445" s="76"/>
    </row>
    <row r="446" ht="15.75" customHeight="1">
      <c r="A446" s="122" t="s">
        <v>236</v>
      </c>
      <c r="B446" s="123" t="s">
        <v>2806</v>
      </c>
      <c r="C446" s="31"/>
      <c r="D446" s="31"/>
      <c r="E446" s="31"/>
      <c r="F446" s="70"/>
      <c r="G446" s="70"/>
      <c r="H446" s="70"/>
      <c r="I446" s="70"/>
      <c r="J446" s="70"/>
      <c r="K446" s="70"/>
      <c r="L446" s="70"/>
      <c r="M446" s="70"/>
      <c r="N446" s="70"/>
      <c r="O446" s="70"/>
      <c r="P446" s="70"/>
      <c r="Q446" s="70"/>
      <c r="R446" s="70"/>
      <c r="S446" s="70"/>
      <c r="T446" s="70"/>
      <c r="U446" s="70"/>
      <c r="V446" s="70"/>
      <c r="W446" s="70"/>
      <c r="X446" s="70"/>
      <c r="Y446" s="70"/>
      <c r="Z446" s="70"/>
      <c r="AA446" s="70"/>
      <c r="AB446" s="70"/>
      <c r="AC446" s="70"/>
      <c r="AD446" s="76"/>
      <c r="AE446" s="76"/>
      <c r="AF446" s="76"/>
      <c r="AG446" s="76"/>
      <c r="AH446" s="76"/>
      <c r="AI446" s="76"/>
      <c r="AJ446" s="76"/>
      <c r="AK446" s="76"/>
      <c r="AL446" s="76"/>
      <c r="AM446" s="76"/>
      <c r="AN446" s="76"/>
      <c r="AO446" s="76"/>
      <c r="AP446" s="76"/>
      <c r="AQ446" s="76"/>
      <c r="AR446" s="76"/>
      <c r="AS446" s="76"/>
      <c r="AT446" s="76"/>
      <c r="AU446" s="76"/>
      <c r="AV446" s="76"/>
      <c r="AW446" s="76"/>
      <c r="AX446" s="76"/>
    </row>
    <row r="447" ht="15.75" customHeight="1">
      <c r="A447" s="248"/>
      <c r="B447" s="169"/>
      <c r="C447" s="31"/>
      <c r="D447" s="31"/>
      <c r="E447" s="31"/>
      <c r="F447" s="76"/>
      <c r="G447" s="76"/>
      <c r="H447" s="76"/>
      <c r="I447" s="76"/>
      <c r="J447" s="76"/>
      <c r="K447" s="76"/>
      <c r="L447" s="76"/>
      <c r="M447" s="76"/>
      <c r="N447" s="76"/>
      <c r="O447" s="76"/>
      <c r="P447" s="76"/>
      <c r="Q447" s="76"/>
      <c r="R447" s="76"/>
      <c r="S447" s="76"/>
      <c r="T447" s="76"/>
      <c r="U447" s="248"/>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X447" s="76"/>
    </row>
    <row r="448" ht="15.75" customHeight="1">
      <c r="A448" s="249" t="s">
        <v>150</v>
      </c>
      <c r="B448" s="187" t="s">
        <v>2917</v>
      </c>
      <c r="C448" s="31" t="s">
        <v>2918</v>
      </c>
      <c r="D448" s="31"/>
      <c r="E448" s="31"/>
      <c r="F448" s="173"/>
      <c r="G448" s="173"/>
      <c r="H448" s="173"/>
      <c r="I448" s="173"/>
      <c r="J448" s="173"/>
      <c r="K448" s="173"/>
      <c r="L448" s="173"/>
      <c r="M448" s="174"/>
      <c r="N448" s="174"/>
      <c r="O448" s="187" t="s">
        <v>5390</v>
      </c>
      <c r="P448" s="173"/>
      <c r="Q448" s="173"/>
      <c r="R448" s="173"/>
      <c r="S448" s="173"/>
      <c r="T448" s="173"/>
      <c r="U448" s="187"/>
      <c r="V448" s="173"/>
      <c r="W448" s="173"/>
      <c r="X448" s="173"/>
      <c r="Y448" s="173"/>
      <c r="Z448" s="173"/>
      <c r="AA448" s="173"/>
      <c r="AB448" s="173"/>
      <c r="AC448" s="173"/>
      <c r="AD448" s="76"/>
      <c r="AE448" s="76"/>
      <c r="AF448" s="76"/>
      <c r="AG448" s="76"/>
      <c r="AH448" s="76"/>
      <c r="AI448" s="76"/>
      <c r="AJ448" s="76"/>
      <c r="AK448" s="76"/>
      <c r="AL448" s="76"/>
      <c r="AM448" s="76"/>
      <c r="AN448" s="76"/>
      <c r="AO448" s="76"/>
      <c r="AP448" s="76"/>
      <c r="AQ448" s="76"/>
      <c r="AR448" s="76"/>
      <c r="AS448" s="76"/>
      <c r="AT448" s="76"/>
      <c r="AU448" s="76"/>
      <c r="AV448" s="76"/>
      <c r="AW448" s="76"/>
      <c r="AX448" s="76"/>
    </row>
    <row r="449" ht="15.75" customHeight="1">
      <c r="A449" s="230" t="s">
        <v>42</v>
      </c>
      <c r="B449" s="205" t="s">
        <v>2923</v>
      </c>
      <c r="C449" s="31" t="s">
        <v>5395</v>
      </c>
      <c r="D449" s="31" t="s">
        <v>5396</v>
      </c>
      <c r="E449" s="31" t="s">
        <v>5397</v>
      </c>
      <c r="F449" s="31"/>
      <c r="G449" s="31"/>
      <c r="H449" s="31"/>
      <c r="I449" s="175"/>
      <c r="J449" s="175"/>
      <c r="K449" s="176"/>
      <c r="L449" s="176"/>
      <c r="M449" s="175"/>
      <c r="N449" s="175"/>
      <c r="O449" s="175"/>
      <c r="P449" s="175"/>
      <c r="Q449" s="175"/>
      <c r="R449" s="175"/>
      <c r="S449" s="175"/>
      <c r="T449" s="175"/>
      <c r="U449" s="175"/>
      <c r="V449" s="175"/>
      <c r="W449" s="175"/>
      <c r="X449" s="175"/>
      <c r="Y449" s="175"/>
      <c r="Z449" s="175"/>
      <c r="AA449" s="175"/>
      <c r="AB449" s="175"/>
      <c r="AC449" s="175"/>
      <c r="AD449" s="76"/>
      <c r="AE449" s="76"/>
      <c r="AF449" s="76"/>
      <c r="AG449" s="76"/>
      <c r="AH449" s="76"/>
      <c r="AI449" s="76"/>
      <c r="AJ449" s="76"/>
      <c r="AK449" s="76"/>
      <c r="AL449" s="76"/>
      <c r="AM449" s="76"/>
      <c r="AN449" s="76"/>
      <c r="AO449" s="76"/>
      <c r="AP449" s="76"/>
      <c r="AQ449" s="76"/>
      <c r="AR449" s="76"/>
      <c r="AS449" s="76"/>
      <c r="AT449" s="76"/>
      <c r="AU449" s="76"/>
      <c r="AV449" s="76"/>
      <c r="AW449" s="76"/>
      <c r="AX449" s="76"/>
    </row>
    <row r="450" ht="15.75" customHeight="1">
      <c r="A450" s="230" t="s">
        <v>485</v>
      </c>
      <c r="B450" s="205" t="s">
        <v>2927</v>
      </c>
      <c r="C450" s="31" t="s">
        <v>5412</v>
      </c>
      <c r="D450" s="31" t="s">
        <v>5413</v>
      </c>
      <c r="E450" s="31" t="s">
        <v>5414</v>
      </c>
      <c r="F450" s="31" t="s">
        <v>4498</v>
      </c>
      <c r="G450" s="31" t="s">
        <v>4499</v>
      </c>
      <c r="H450" s="31"/>
      <c r="I450" s="175"/>
      <c r="J450" s="175"/>
      <c r="K450" s="176"/>
      <c r="L450" s="176"/>
      <c r="M450" s="175"/>
      <c r="N450" s="175"/>
      <c r="O450" s="175"/>
      <c r="P450" s="175"/>
      <c r="Q450" s="175" t="s">
        <v>166</v>
      </c>
      <c r="R450" s="175"/>
      <c r="S450" s="175"/>
      <c r="T450" s="175"/>
      <c r="U450" s="175"/>
      <c r="V450" s="175"/>
      <c r="W450" s="175"/>
      <c r="X450" s="175"/>
      <c r="Y450" s="175"/>
      <c r="Z450" s="175"/>
      <c r="AA450" s="175"/>
      <c r="AB450" s="175"/>
      <c r="AC450" s="175"/>
      <c r="AD450" s="76"/>
      <c r="AE450" s="76"/>
      <c r="AF450" s="76"/>
      <c r="AG450" s="76"/>
      <c r="AH450" s="76"/>
      <c r="AI450" s="76"/>
      <c r="AJ450" s="76"/>
      <c r="AK450" s="76"/>
      <c r="AL450" s="76"/>
      <c r="AM450" s="76"/>
      <c r="AN450" s="76"/>
      <c r="AO450" s="76"/>
      <c r="AP450" s="76"/>
      <c r="AQ450" s="76"/>
      <c r="AR450" s="76"/>
      <c r="AS450" s="76"/>
      <c r="AT450" s="76"/>
      <c r="AU450" s="76"/>
      <c r="AV450" s="76"/>
      <c r="AW450" s="76"/>
      <c r="AX450" s="76"/>
    </row>
    <row r="451" ht="15.75" customHeight="1">
      <c r="A451" s="81" t="s">
        <v>2932</v>
      </c>
      <c r="B451" s="86" t="s">
        <v>2934</v>
      </c>
      <c r="C451" s="31" t="s">
        <v>5425</v>
      </c>
      <c r="D451" s="31" t="s">
        <v>5426</v>
      </c>
      <c r="E451" s="31" t="s">
        <v>5427</v>
      </c>
      <c r="F451" s="31" t="s">
        <v>1655</v>
      </c>
      <c r="G451" s="31" t="s">
        <v>4935</v>
      </c>
      <c r="H451" s="31" t="s">
        <v>1659</v>
      </c>
      <c r="I451" s="84"/>
      <c r="J451" s="159"/>
      <c r="K451" s="84" t="s">
        <v>5430</v>
      </c>
      <c r="L451" s="84"/>
      <c r="M451" s="84"/>
      <c r="N451" s="84"/>
      <c r="O451" s="149" t="s">
        <v>5433</v>
      </c>
      <c r="P451" s="84"/>
      <c r="Q451" s="84" t="s">
        <v>166</v>
      </c>
      <c r="R451" s="84"/>
      <c r="S451" s="84"/>
      <c r="T451" s="84"/>
      <c r="U451" s="84"/>
      <c r="V451" s="84"/>
      <c r="W451" s="84"/>
      <c r="X451" s="84"/>
      <c r="Y451" s="149" t="s">
        <v>5434</v>
      </c>
      <c r="Z451" s="84"/>
      <c r="AA451" s="84"/>
      <c r="AB451" s="84"/>
      <c r="AC451" s="84"/>
      <c r="AD451" s="76"/>
      <c r="AE451" s="76"/>
      <c r="AF451" s="76"/>
      <c r="AG451" s="76"/>
      <c r="AH451" s="76"/>
      <c r="AI451" s="76"/>
      <c r="AJ451" s="76"/>
      <c r="AK451" s="76"/>
      <c r="AL451" s="76"/>
      <c r="AM451" s="76"/>
      <c r="AN451" s="76"/>
      <c r="AO451" s="76"/>
      <c r="AP451" s="76"/>
      <c r="AQ451" s="76"/>
      <c r="AR451" s="76"/>
      <c r="AS451" s="76"/>
      <c r="AT451" s="76"/>
      <c r="AU451" s="76"/>
      <c r="AV451" s="76"/>
      <c r="AW451" s="76"/>
      <c r="AX451" s="76"/>
    </row>
    <row r="452" ht="15.75" customHeight="1">
      <c r="A452" s="133" t="s">
        <v>214</v>
      </c>
      <c r="B452" s="250" t="s">
        <v>2939</v>
      </c>
      <c r="C452" s="31" t="s">
        <v>5439</v>
      </c>
      <c r="D452" s="31" t="s">
        <v>5440</v>
      </c>
      <c r="E452" s="31" t="s">
        <v>5442</v>
      </c>
      <c r="F452" s="31"/>
      <c r="G452" s="31"/>
      <c r="H452" s="31"/>
      <c r="I452" s="162"/>
      <c r="J452" s="163"/>
      <c r="K452" s="162"/>
      <c r="L452" s="162"/>
      <c r="M452" s="162"/>
      <c r="N452" s="162"/>
      <c r="O452" s="164" t="s">
        <v>5444</v>
      </c>
      <c r="P452" s="162"/>
      <c r="Q452" s="162" t="s">
        <v>166</v>
      </c>
      <c r="R452" s="162"/>
      <c r="S452" s="162"/>
      <c r="T452" s="162"/>
      <c r="U452" s="162"/>
      <c r="V452" s="162"/>
      <c r="W452" s="162"/>
      <c r="X452" s="162"/>
      <c r="Y452" s="162"/>
      <c r="Z452" s="162"/>
      <c r="AA452" s="162"/>
      <c r="AB452" s="162"/>
      <c r="AC452" s="162"/>
      <c r="AD452" s="76"/>
      <c r="AE452" s="76"/>
      <c r="AF452" s="76"/>
      <c r="AG452" s="76"/>
      <c r="AH452" s="76"/>
      <c r="AI452" s="76"/>
      <c r="AJ452" s="76"/>
      <c r="AK452" s="76"/>
      <c r="AL452" s="76"/>
      <c r="AM452" s="76"/>
      <c r="AN452" s="76"/>
      <c r="AO452" s="76"/>
      <c r="AP452" s="76"/>
      <c r="AQ452" s="76"/>
      <c r="AR452" s="76"/>
      <c r="AS452" s="76"/>
      <c r="AT452" s="76"/>
      <c r="AU452" s="76"/>
      <c r="AV452" s="76"/>
      <c r="AW452" s="76"/>
      <c r="AX452" s="76"/>
    </row>
    <row r="453" ht="15.75" customHeight="1">
      <c r="A453" s="249" t="s">
        <v>108</v>
      </c>
      <c r="B453" s="187" t="s">
        <v>2943</v>
      </c>
      <c r="C453" s="31"/>
      <c r="D453" s="31"/>
      <c r="E453" s="31"/>
      <c r="F453" s="173"/>
      <c r="G453" s="173"/>
      <c r="H453" s="173"/>
      <c r="I453" s="173"/>
      <c r="J453" s="173"/>
      <c r="K453" s="173"/>
      <c r="L453" s="173"/>
      <c r="M453" s="174"/>
      <c r="N453" s="174"/>
      <c r="O453" s="174"/>
      <c r="P453" s="173"/>
      <c r="Q453" s="173"/>
      <c r="R453" s="173"/>
      <c r="S453" s="173"/>
      <c r="T453" s="249" t="s">
        <v>5450</v>
      </c>
      <c r="U453" s="187"/>
      <c r="V453" s="173"/>
      <c r="W453" s="173"/>
      <c r="X453" s="173"/>
      <c r="Y453" s="173"/>
      <c r="Z453" s="173"/>
      <c r="AA453" s="173"/>
      <c r="AB453" s="173"/>
      <c r="AC453" s="173"/>
      <c r="AD453" s="76"/>
      <c r="AE453" s="76"/>
      <c r="AF453" s="76"/>
      <c r="AG453" s="76"/>
      <c r="AH453" s="76"/>
      <c r="AI453" s="76"/>
      <c r="AJ453" s="76"/>
      <c r="AK453" s="76"/>
      <c r="AL453" s="76"/>
      <c r="AM453" s="76"/>
      <c r="AN453" s="76"/>
      <c r="AO453" s="76"/>
      <c r="AP453" s="76"/>
      <c r="AQ453" s="76"/>
      <c r="AR453" s="76"/>
      <c r="AS453" s="76"/>
      <c r="AT453" s="76"/>
      <c r="AU453" s="76"/>
      <c r="AV453" s="76"/>
      <c r="AW453" s="76"/>
      <c r="AX453" s="76"/>
    </row>
    <row r="454" ht="15.75" customHeight="1">
      <c r="A454" s="249" t="s">
        <v>108</v>
      </c>
      <c r="B454" s="187" t="s">
        <v>2944</v>
      </c>
      <c r="C454" s="31"/>
      <c r="D454" s="31"/>
      <c r="E454" s="31"/>
      <c r="F454" s="173"/>
      <c r="G454" s="173"/>
      <c r="H454" s="173"/>
      <c r="I454" s="173"/>
      <c r="J454" s="173"/>
      <c r="K454" s="173"/>
      <c r="L454" s="173"/>
      <c r="M454" s="174"/>
      <c r="N454" s="174"/>
      <c r="O454" s="174"/>
      <c r="P454" s="173"/>
      <c r="Q454" s="173"/>
      <c r="R454" s="173"/>
      <c r="S454" s="173"/>
      <c r="T454" s="249" t="s">
        <v>5451</v>
      </c>
      <c r="U454" s="187"/>
      <c r="V454" s="173"/>
      <c r="W454" s="173"/>
      <c r="X454" s="173"/>
      <c r="Y454" s="173"/>
      <c r="Z454" s="173"/>
      <c r="AA454" s="173"/>
      <c r="AB454" s="173"/>
      <c r="AC454" s="173"/>
      <c r="AD454" s="76"/>
      <c r="AE454" s="76"/>
      <c r="AF454" s="76"/>
      <c r="AG454" s="76"/>
      <c r="AH454" s="76"/>
      <c r="AI454" s="76"/>
      <c r="AJ454" s="76"/>
      <c r="AK454" s="76"/>
      <c r="AL454" s="76"/>
      <c r="AM454" s="76"/>
      <c r="AN454" s="76"/>
      <c r="AO454" s="76"/>
      <c r="AP454" s="76"/>
      <c r="AQ454" s="76"/>
      <c r="AR454" s="76"/>
      <c r="AS454" s="76"/>
      <c r="AT454" s="76"/>
      <c r="AU454" s="76"/>
      <c r="AV454" s="76"/>
      <c r="AW454" s="76"/>
      <c r="AX454" s="76"/>
    </row>
    <row r="455" ht="15.75" customHeight="1">
      <c r="A455" s="249" t="s">
        <v>108</v>
      </c>
      <c r="B455" s="187" t="s">
        <v>2952</v>
      </c>
      <c r="C455" s="31" t="s">
        <v>2953</v>
      </c>
      <c r="D455" s="31"/>
      <c r="E455" s="31"/>
      <c r="F455" s="173"/>
      <c r="G455" s="173"/>
      <c r="H455" s="173"/>
      <c r="I455" s="173"/>
      <c r="J455" s="173"/>
      <c r="K455" s="173"/>
      <c r="L455" s="173"/>
      <c r="M455" s="174"/>
      <c r="N455" s="174"/>
      <c r="O455" s="174"/>
      <c r="P455" s="173"/>
      <c r="Q455" s="173"/>
      <c r="R455" s="173"/>
      <c r="S455" s="173"/>
      <c r="T455" s="249" t="s">
        <v>5452</v>
      </c>
      <c r="U455" s="187"/>
      <c r="V455" s="173"/>
      <c r="W455" s="173"/>
      <c r="X455" s="173"/>
      <c r="Y455" s="173"/>
      <c r="Z455" s="173"/>
      <c r="AA455" s="173"/>
      <c r="AB455" s="173"/>
      <c r="AC455" s="173"/>
      <c r="AD455" s="76"/>
      <c r="AE455" s="76"/>
      <c r="AF455" s="76"/>
      <c r="AG455" s="76"/>
      <c r="AH455" s="76"/>
      <c r="AI455" s="76"/>
      <c r="AJ455" s="76"/>
      <c r="AK455" s="76"/>
      <c r="AL455" s="76"/>
      <c r="AM455" s="76"/>
      <c r="AN455" s="76"/>
      <c r="AO455" s="76"/>
      <c r="AP455" s="76"/>
      <c r="AQ455" s="76"/>
      <c r="AR455" s="76"/>
      <c r="AS455" s="76"/>
      <c r="AT455" s="76"/>
      <c r="AU455" s="76"/>
      <c r="AV455" s="76"/>
      <c r="AW455" s="76"/>
      <c r="AX455" s="76"/>
    </row>
    <row r="456" ht="15.75" customHeight="1">
      <c r="A456" s="249" t="s">
        <v>108</v>
      </c>
      <c r="B456" s="187" t="s">
        <v>2963</v>
      </c>
      <c r="C456" s="31"/>
      <c r="D456" s="31"/>
      <c r="E456" s="31"/>
      <c r="F456" s="173"/>
      <c r="G456" s="173"/>
      <c r="H456" s="173"/>
      <c r="I456" s="173"/>
      <c r="J456" s="173"/>
      <c r="K456" s="173"/>
      <c r="L456" s="173"/>
      <c r="M456" s="174"/>
      <c r="N456" s="174"/>
      <c r="O456" s="174"/>
      <c r="P456" s="173"/>
      <c r="Q456" s="173"/>
      <c r="R456" s="173"/>
      <c r="S456" s="173"/>
      <c r="T456" s="187" t="s">
        <v>5453</v>
      </c>
      <c r="U456" s="187"/>
      <c r="V456" s="173"/>
      <c r="W456" s="173"/>
      <c r="X456" s="173"/>
      <c r="Y456" s="173"/>
      <c r="Z456" s="173"/>
      <c r="AA456" s="173"/>
      <c r="AB456" s="173"/>
      <c r="AC456" s="173"/>
      <c r="AD456" s="76"/>
      <c r="AE456" s="76"/>
      <c r="AF456" s="76"/>
      <c r="AG456" s="76"/>
      <c r="AH456" s="76"/>
      <c r="AI456" s="76"/>
      <c r="AJ456" s="76"/>
      <c r="AK456" s="76"/>
      <c r="AL456" s="76"/>
      <c r="AM456" s="76"/>
      <c r="AN456" s="76"/>
      <c r="AO456" s="76"/>
      <c r="AP456" s="76"/>
      <c r="AQ456" s="76"/>
      <c r="AR456" s="76"/>
      <c r="AS456" s="76"/>
      <c r="AT456" s="76"/>
      <c r="AU456" s="76"/>
      <c r="AV456" s="76"/>
      <c r="AW456" s="76"/>
      <c r="AX456" s="76"/>
    </row>
    <row r="457" ht="15.75" customHeight="1">
      <c r="A457" s="104" t="s">
        <v>139</v>
      </c>
      <c r="B457" s="141" t="s">
        <v>2970</v>
      </c>
      <c r="C457" s="31"/>
      <c r="D457" s="31"/>
      <c r="E457" s="31"/>
      <c r="F457" s="108"/>
      <c r="G457" s="108"/>
      <c r="H457" s="108"/>
      <c r="I457" s="108"/>
      <c r="J457" s="108"/>
      <c r="K457" s="108"/>
      <c r="L457" s="108"/>
      <c r="M457" s="108"/>
      <c r="N457" s="108"/>
      <c r="O457" s="108"/>
      <c r="P457" s="108"/>
      <c r="Q457" s="108"/>
      <c r="R457" s="108"/>
      <c r="S457" s="108"/>
      <c r="T457" s="281" t="s">
        <v>145</v>
      </c>
      <c r="U457" s="108"/>
      <c r="V457" s="108"/>
      <c r="W457" s="108"/>
      <c r="X457" s="108"/>
      <c r="Y457" s="108"/>
      <c r="Z457" s="108"/>
      <c r="AA457" s="108"/>
      <c r="AB457" s="108"/>
      <c r="AC457" s="108"/>
      <c r="AD457" s="76"/>
      <c r="AE457" s="76"/>
      <c r="AF457" s="76"/>
      <c r="AG457" s="76"/>
      <c r="AH457" s="76"/>
      <c r="AI457" s="76"/>
      <c r="AJ457" s="76"/>
      <c r="AK457" s="76"/>
      <c r="AL457" s="76"/>
      <c r="AM457" s="76"/>
      <c r="AN457" s="76"/>
      <c r="AO457" s="76"/>
      <c r="AP457" s="76"/>
      <c r="AQ457" s="76"/>
      <c r="AR457" s="76"/>
      <c r="AS457" s="76"/>
      <c r="AT457" s="76"/>
      <c r="AU457" s="76"/>
      <c r="AV457" s="76"/>
      <c r="AW457" s="76"/>
      <c r="AX457" s="76"/>
    </row>
    <row r="458" ht="15.75" customHeight="1">
      <c r="A458" s="144" t="s">
        <v>648</v>
      </c>
      <c r="B458" s="187" t="s">
        <v>2977</v>
      </c>
      <c r="C458" s="31" t="s">
        <v>2978</v>
      </c>
      <c r="D458" s="31"/>
      <c r="E458" s="31"/>
      <c r="F458" s="173"/>
      <c r="G458" s="173"/>
      <c r="H458" s="173"/>
      <c r="I458" s="173"/>
      <c r="J458" s="173"/>
      <c r="K458" s="173"/>
      <c r="L458" s="173"/>
      <c r="M458" s="174"/>
      <c r="N458" s="174"/>
      <c r="O458" s="187" t="s">
        <v>5454</v>
      </c>
      <c r="P458" s="173"/>
      <c r="Q458" s="173"/>
      <c r="R458" s="173"/>
      <c r="S458" s="173"/>
      <c r="T458" s="173"/>
      <c r="U458" s="187" t="s">
        <v>5455</v>
      </c>
      <c r="V458" s="173"/>
      <c r="W458" s="173"/>
      <c r="X458" s="173"/>
      <c r="Y458" s="173"/>
      <c r="Z458" s="173"/>
      <c r="AA458" s="173"/>
      <c r="AB458" s="173"/>
      <c r="AC458" s="173"/>
      <c r="AD458" s="76"/>
      <c r="AE458" s="76"/>
      <c r="AF458" s="76"/>
      <c r="AG458" s="76"/>
      <c r="AH458" s="76"/>
      <c r="AI458" s="76"/>
      <c r="AJ458" s="76"/>
      <c r="AK458" s="76"/>
      <c r="AL458" s="76"/>
      <c r="AM458" s="76"/>
      <c r="AN458" s="76"/>
      <c r="AO458" s="76"/>
      <c r="AP458" s="76"/>
      <c r="AQ458" s="76"/>
      <c r="AR458" s="76"/>
      <c r="AS458" s="76"/>
      <c r="AT458" s="76"/>
      <c r="AU458" s="76"/>
      <c r="AV458" s="76"/>
      <c r="AW458" s="76"/>
      <c r="AX458" s="76"/>
    </row>
    <row r="459" ht="15.75" customHeight="1">
      <c r="A459" s="104" t="s">
        <v>108</v>
      </c>
      <c r="B459" s="132" t="s">
        <v>2986</v>
      </c>
      <c r="C459" s="31" t="s">
        <v>2987</v>
      </c>
      <c r="D459" s="31"/>
      <c r="E459" s="31"/>
      <c r="F459" s="108"/>
      <c r="G459" s="108"/>
      <c r="H459" s="108"/>
      <c r="I459" s="108"/>
      <c r="J459" s="108"/>
      <c r="K459" s="108"/>
      <c r="L459" s="108"/>
      <c r="M459" s="108"/>
      <c r="N459" s="108"/>
      <c r="O459" s="108"/>
      <c r="P459" s="108"/>
      <c r="Q459" s="108"/>
      <c r="R459" s="108"/>
      <c r="S459" s="108"/>
      <c r="T459" s="121" t="s">
        <v>1570</v>
      </c>
      <c r="U459" s="108"/>
      <c r="V459" s="108"/>
      <c r="W459" s="108"/>
      <c r="X459" s="108"/>
      <c r="Y459" s="108"/>
      <c r="Z459" s="108"/>
      <c r="AA459" s="108"/>
      <c r="AB459" s="108"/>
      <c r="AC459" s="108"/>
      <c r="AD459" s="76"/>
      <c r="AE459" s="76"/>
      <c r="AF459" s="76"/>
      <c r="AG459" s="76"/>
      <c r="AH459" s="76"/>
      <c r="AI459" s="76"/>
      <c r="AJ459" s="76"/>
      <c r="AK459" s="76"/>
      <c r="AL459" s="76"/>
      <c r="AM459" s="76"/>
      <c r="AN459" s="76"/>
      <c r="AO459" s="76"/>
      <c r="AP459" s="76"/>
      <c r="AQ459" s="76"/>
      <c r="AR459" s="76"/>
      <c r="AS459" s="76"/>
      <c r="AT459" s="76"/>
      <c r="AU459" s="76"/>
      <c r="AV459" s="76"/>
      <c r="AW459" s="76"/>
      <c r="AX459" s="76"/>
    </row>
    <row r="460" ht="15.75" customHeight="1">
      <c r="A460" s="104" t="s">
        <v>108</v>
      </c>
      <c r="B460" s="132" t="s">
        <v>2993</v>
      </c>
      <c r="C460" s="31" t="s">
        <v>2994</v>
      </c>
      <c r="D460" s="31"/>
      <c r="E460" s="31"/>
      <c r="F460" s="108"/>
      <c r="G460" s="108"/>
      <c r="H460" s="108"/>
      <c r="I460" s="108"/>
      <c r="J460" s="108"/>
      <c r="K460" s="108"/>
      <c r="L460" s="108"/>
      <c r="M460" s="108"/>
      <c r="N460" s="108"/>
      <c r="O460" s="108"/>
      <c r="P460" s="108"/>
      <c r="Q460" s="108"/>
      <c r="R460" s="108"/>
      <c r="S460" s="108"/>
      <c r="T460" s="132" t="s">
        <v>5456</v>
      </c>
      <c r="U460" s="108"/>
      <c r="V460" s="108"/>
      <c r="W460" s="108"/>
      <c r="X460" s="108"/>
      <c r="Y460" s="108"/>
      <c r="Z460" s="108"/>
      <c r="AA460" s="108"/>
      <c r="AB460" s="108"/>
      <c r="AC460" s="108"/>
      <c r="AD460" s="76"/>
      <c r="AE460" s="76"/>
      <c r="AF460" s="76"/>
      <c r="AG460" s="76"/>
      <c r="AH460" s="76"/>
      <c r="AI460" s="76"/>
      <c r="AJ460" s="76"/>
      <c r="AK460" s="76"/>
      <c r="AL460" s="76"/>
      <c r="AM460" s="76"/>
      <c r="AN460" s="76"/>
      <c r="AO460" s="76"/>
      <c r="AP460" s="76"/>
      <c r="AQ460" s="76"/>
      <c r="AR460" s="76"/>
      <c r="AS460" s="76"/>
      <c r="AT460" s="76"/>
      <c r="AU460" s="76"/>
      <c r="AV460" s="76"/>
      <c r="AW460" s="76"/>
      <c r="AX460" s="76"/>
    </row>
    <row r="461" ht="15.75" customHeight="1">
      <c r="A461" s="104" t="s">
        <v>108</v>
      </c>
      <c r="B461" s="132" t="s">
        <v>2995</v>
      </c>
      <c r="C461" s="31" t="s">
        <v>2996</v>
      </c>
      <c r="D461" s="31"/>
      <c r="E461" s="31"/>
      <c r="F461" s="108"/>
      <c r="G461" s="108"/>
      <c r="H461" s="108"/>
      <c r="I461" s="108"/>
      <c r="J461" s="108"/>
      <c r="K461" s="108"/>
      <c r="L461" s="108"/>
      <c r="M461" s="108"/>
      <c r="N461" s="108"/>
      <c r="O461" s="108"/>
      <c r="P461" s="108"/>
      <c r="Q461" s="108"/>
      <c r="R461" s="108"/>
      <c r="S461" s="108"/>
      <c r="T461" s="132" t="s">
        <v>5457</v>
      </c>
      <c r="U461" s="108"/>
      <c r="V461" s="108"/>
      <c r="W461" s="108"/>
      <c r="X461" s="108"/>
      <c r="Y461" s="108"/>
      <c r="Z461" s="108"/>
      <c r="AA461" s="108"/>
      <c r="AB461" s="108"/>
      <c r="AC461" s="108"/>
      <c r="AD461" s="76"/>
      <c r="AE461" s="76"/>
      <c r="AF461" s="76"/>
      <c r="AG461" s="76"/>
      <c r="AH461" s="76"/>
      <c r="AI461" s="76"/>
      <c r="AJ461" s="76"/>
      <c r="AK461" s="76"/>
      <c r="AL461" s="76"/>
      <c r="AM461" s="76"/>
      <c r="AN461" s="76"/>
      <c r="AO461" s="76"/>
      <c r="AP461" s="76"/>
      <c r="AQ461" s="76"/>
      <c r="AR461" s="76"/>
      <c r="AS461" s="76"/>
      <c r="AT461" s="76"/>
      <c r="AU461" s="76"/>
      <c r="AV461" s="76"/>
      <c r="AW461" s="76"/>
      <c r="AX461" s="76"/>
    </row>
    <row r="462" ht="15.75" customHeight="1">
      <c r="A462" s="149" t="s">
        <v>2997</v>
      </c>
      <c r="B462" s="86" t="s">
        <v>2998</v>
      </c>
      <c r="C462" s="31" t="s">
        <v>5458</v>
      </c>
      <c r="D462" s="31" t="s">
        <v>5459</v>
      </c>
      <c r="E462" s="31" t="s">
        <v>5460</v>
      </c>
      <c r="F462" s="31"/>
      <c r="G462" s="31"/>
      <c r="H462" s="31"/>
      <c r="I462" s="84"/>
      <c r="J462" s="86" t="s">
        <v>5461</v>
      </c>
      <c r="K462" s="84"/>
      <c r="L462" s="84"/>
      <c r="M462" s="84"/>
      <c r="N462" s="84"/>
      <c r="O462" s="149" t="s">
        <v>5462</v>
      </c>
      <c r="P462" s="84"/>
      <c r="Q462" s="84" t="s">
        <v>166</v>
      </c>
      <c r="R462" s="84"/>
      <c r="S462" s="84"/>
      <c r="T462" s="84"/>
      <c r="U462" s="84"/>
      <c r="V462" s="84"/>
      <c r="W462" s="84"/>
      <c r="X462" s="84"/>
      <c r="Y462" s="84"/>
      <c r="Z462" s="84"/>
      <c r="AA462" s="84"/>
      <c r="AB462" s="84"/>
      <c r="AC462" s="84"/>
      <c r="AD462" s="76"/>
      <c r="AE462" s="76"/>
      <c r="AF462" s="76"/>
      <c r="AG462" s="76"/>
      <c r="AH462" s="76"/>
      <c r="AI462" s="76"/>
      <c r="AJ462" s="76"/>
      <c r="AK462" s="76"/>
      <c r="AL462" s="76"/>
      <c r="AM462" s="76"/>
      <c r="AN462" s="76"/>
      <c r="AO462" s="76"/>
      <c r="AP462" s="76"/>
      <c r="AQ462" s="76"/>
      <c r="AR462" s="76"/>
      <c r="AS462" s="76"/>
      <c r="AT462" s="76"/>
      <c r="AU462" s="76"/>
      <c r="AV462" s="76"/>
      <c r="AW462" s="76"/>
      <c r="AX462" s="76"/>
    </row>
    <row r="463" ht="15.75" customHeight="1">
      <c r="A463" s="133" t="s">
        <v>214</v>
      </c>
      <c r="B463" s="250" t="s">
        <v>3009</v>
      </c>
      <c r="C463" s="31" t="s">
        <v>5463</v>
      </c>
      <c r="D463" s="31" t="s">
        <v>5464</v>
      </c>
      <c r="E463" s="31" t="s">
        <v>5465</v>
      </c>
      <c r="F463" s="31"/>
      <c r="G463" s="31"/>
      <c r="H463" s="31"/>
      <c r="I463" s="162"/>
      <c r="J463" s="163"/>
      <c r="K463" s="162"/>
      <c r="L463" s="162"/>
      <c r="M463" s="162"/>
      <c r="N463" s="162"/>
      <c r="O463" s="164" t="s">
        <v>5466</v>
      </c>
      <c r="P463" s="162"/>
      <c r="Q463" s="230" t="s">
        <v>166</v>
      </c>
      <c r="R463" s="162"/>
      <c r="S463" s="162"/>
      <c r="T463" s="162"/>
      <c r="U463" s="162"/>
      <c r="V463" s="162"/>
      <c r="W463" s="162"/>
      <c r="X463" s="162"/>
      <c r="Y463" s="162"/>
      <c r="Z463" s="162"/>
      <c r="AA463" s="162"/>
      <c r="AB463" s="162"/>
      <c r="AC463" s="162"/>
      <c r="AD463" s="76"/>
      <c r="AE463" s="76"/>
      <c r="AF463" s="76"/>
      <c r="AG463" s="76"/>
      <c r="AH463" s="76"/>
      <c r="AI463" s="76"/>
      <c r="AJ463" s="76"/>
      <c r="AK463" s="76"/>
      <c r="AL463" s="76"/>
      <c r="AM463" s="76"/>
      <c r="AN463" s="76"/>
      <c r="AO463" s="76"/>
      <c r="AP463" s="76"/>
      <c r="AQ463" s="76"/>
      <c r="AR463" s="76"/>
      <c r="AS463" s="76"/>
      <c r="AT463" s="76"/>
      <c r="AU463" s="76"/>
      <c r="AV463" s="76"/>
      <c r="AW463" s="76"/>
      <c r="AX463" s="76"/>
    </row>
    <row r="464" ht="15.75" customHeight="1">
      <c r="A464" s="149" t="s">
        <v>3019</v>
      </c>
      <c r="B464" s="205" t="s">
        <v>3021</v>
      </c>
      <c r="C464" s="31" t="s">
        <v>5467</v>
      </c>
      <c r="D464" s="31" t="s">
        <v>5468</v>
      </c>
      <c r="E464" s="31" t="s">
        <v>5469</v>
      </c>
      <c r="F464" s="31"/>
      <c r="G464" s="31"/>
      <c r="H464" s="31"/>
      <c r="I464" s="175"/>
      <c r="J464" s="175"/>
      <c r="K464" s="176"/>
      <c r="L464" s="176"/>
      <c r="M464" s="175"/>
      <c r="N464" s="175"/>
      <c r="O464" s="230" t="s">
        <v>5470</v>
      </c>
      <c r="P464" s="175"/>
      <c r="Q464" s="162" t="s">
        <v>166</v>
      </c>
      <c r="R464" s="175"/>
      <c r="S464" s="175"/>
      <c r="T464" s="175"/>
      <c r="U464" s="175"/>
      <c r="V464" s="175"/>
      <c r="W464" s="175"/>
      <c r="X464" s="175"/>
      <c r="Y464" s="175"/>
      <c r="Z464" s="175"/>
      <c r="AA464" s="175"/>
      <c r="AB464" s="175"/>
      <c r="AC464" s="175"/>
      <c r="AD464" s="76"/>
      <c r="AE464" s="76"/>
      <c r="AF464" s="76"/>
      <c r="AG464" s="76"/>
      <c r="AH464" s="76"/>
      <c r="AI464" s="76"/>
      <c r="AJ464" s="76"/>
      <c r="AK464" s="76"/>
      <c r="AL464" s="76"/>
      <c r="AM464" s="76"/>
      <c r="AN464" s="76"/>
      <c r="AO464" s="76"/>
      <c r="AP464" s="76"/>
      <c r="AQ464" s="76"/>
      <c r="AR464" s="76"/>
      <c r="AS464" s="76"/>
      <c r="AT464" s="76"/>
      <c r="AU464" s="76"/>
      <c r="AV464" s="76"/>
      <c r="AW464" s="76"/>
      <c r="AX464" s="76"/>
    </row>
    <row r="465" ht="15.75" customHeight="1">
      <c r="A465" s="230" t="s">
        <v>214</v>
      </c>
      <c r="B465" s="205" t="s">
        <v>3030</v>
      </c>
      <c r="C465" s="31" t="s">
        <v>5471</v>
      </c>
      <c r="D465" s="31" t="s">
        <v>5472</v>
      </c>
      <c r="E465" s="31" t="s">
        <v>5473</v>
      </c>
      <c r="F465" s="31"/>
      <c r="G465" s="31"/>
      <c r="H465" s="31"/>
      <c r="I465" s="175"/>
      <c r="J465" s="175"/>
      <c r="K465" s="176"/>
      <c r="L465" s="176"/>
      <c r="M465" s="175"/>
      <c r="N465" s="175"/>
      <c r="O465" s="230" t="s">
        <v>5474</v>
      </c>
      <c r="P465" s="175"/>
      <c r="Q465" s="230" t="s">
        <v>166</v>
      </c>
      <c r="R465" s="175"/>
      <c r="S465" s="175"/>
      <c r="T465" s="175"/>
      <c r="U465" s="175"/>
      <c r="V465" s="175"/>
      <c r="W465" s="175"/>
      <c r="X465" s="175"/>
      <c r="Y465" s="175"/>
      <c r="Z465" s="175"/>
      <c r="AA465" s="175"/>
      <c r="AB465" s="175"/>
      <c r="AC465" s="175"/>
      <c r="AD465" s="76"/>
      <c r="AE465" s="76"/>
      <c r="AF465" s="76"/>
      <c r="AG465" s="76"/>
      <c r="AH465" s="76"/>
      <c r="AI465" s="76"/>
      <c r="AJ465" s="76"/>
      <c r="AK465" s="76"/>
      <c r="AL465" s="76"/>
      <c r="AM465" s="76"/>
      <c r="AN465" s="76"/>
      <c r="AO465" s="76"/>
      <c r="AP465" s="76"/>
      <c r="AQ465" s="76"/>
      <c r="AR465" s="76"/>
      <c r="AS465" s="76"/>
      <c r="AT465" s="76"/>
      <c r="AU465" s="76"/>
      <c r="AV465" s="76"/>
      <c r="AW465" s="76"/>
      <c r="AX465" s="76"/>
    </row>
    <row r="466" ht="15.75" customHeight="1">
      <c r="A466" s="146" t="s">
        <v>237</v>
      </c>
      <c r="B466" s="205" t="s">
        <v>3040</v>
      </c>
      <c r="C466" s="31" t="s">
        <v>5475</v>
      </c>
      <c r="D466" s="31" t="s">
        <v>5476</v>
      </c>
      <c r="E466" s="31" t="s">
        <v>5477</v>
      </c>
      <c r="F466" s="31"/>
      <c r="G466" s="31"/>
      <c r="H466" s="31"/>
      <c r="I466" s="175"/>
      <c r="J466" s="175"/>
      <c r="K466" s="176"/>
      <c r="L466" s="176"/>
      <c r="M466" s="175"/>
      <c r="N466" s="175"/>
      <c r="O466" s="164" t="s">
        <v>5478</v>
      </c>
      <c r="P466" s="175"/>
      <c r="Q466" s="175" t="s">
        <v>166</v>
      </c>
      <c r="R466" s="175"/>
      <c r="S466" s="175"/>
      <c r="T466" s="175"/>
      <c r="U466" s="175"/>
      <c r="V466" s="175"/>
      <c r="W466" s="175"/>
      <c r="X466" s="175"/>
      <c r="Y466" s="175"/>
      <c r="Z466" s="175"/>
      <c r="AA466" s="175"/>
      <c r="AB466" s="175"/>
      <c r="AC466" s="175"/>
      <c r="AD466" s="76"/>
      <c r="AE466" s="76"/>
      <c r="AF466" s="76"/>
      <c r="AG466" s="76"/>
      <c r="AH466" s="76"/>
      <c r="AI466" s="76"/>
      <c r="AJ466" s="76"/>
      <c r="AK466" s="76"/>
      <c r="AL466" s="76"/>
      <c r="AM466" s="76"/>
      <c r="AN466" s="76"/>
      <c r="AO466" s="76"/>
      <c r="AP466" s="76"/>
      <c r="AQ466" s="76"/>
      <c r="AR466" s="76"/>
      <c r="AS466" s="76"/>
      <c r="AT466" s="76"/>
      <c r="AU466" s="76"/>
      <c r="AV466" s="76"/>
      <c r="AW466" s="76"/>
      <c r="AX466" s="76"/>
    </row>
    <row r="467" ht="15.75" customHeight="1">
      <c r="A467" s="144" t="s">
        <v>691</v>
      </c>
      <c r="B467" s="249" t="s">
        <v>2977</v>
      </c>
      <c r="C467" s="31" t="s">
        <v>3051</v>
      </c>
      <c r="D467" s="31"/>
      <c r="E467" s="31"/>
      <c r="F467" s="173"/>
      <c r="G467" s="173"/>
      <c r="H467" s="173"/>
      <c r="I467" s="173"/>
      <c r="J467" s="173"/>
      <c r="K467" s="173"/>
      <c r="L467" s="173"/>
      <c r="M467" s="173"/>
      <c r="N467" s="173"/>
      <c r="O467" s="173"/>
      <c r="P467" s="173"/>
      <c r="Q467" s="173"/>
      <c r="R467" s="173"/>
      <c r="S467" s="173"/>
      <c r="T467" s="173"/>
      <c r="U467" s="173"/>
      <c r="V467" s="173"/>
      <c r="W467" s="173"/>
      <c r="X467" s="173"/>
      <c r="Y467" s="173"/>
      <c r="Z467" s="173"/>
      <c r="AA467" s="173"/>
      <c r="AB467" s="173"/>
      <c r="AC467" s="173"/>
      <c r="AD467" s="76"/>
      <c r="AE467" s="76"/>
      <c r="AF467" s="76"/>
      <c r="AG467" s="76"/>
      <c r="AH467" s="76"/>
      <c r="AI467" s="76"/>
      <c r="AJ467" s="76"/>
      <c r="AK467" s="76"/>
      <c r="AL467" s="76"/>
      <c r="AM467" s="76"/>
      <c r="AN467" s="76"/>
      <c r="AO467" s="76"/>
      <c r="AP467" s="76"/>
      <c r="AQ467" s="76"/>
      <c r="AR467" s="76"/>
      <c r="AS467" s="76"/>
      <c r="AT467" s="76"/>
      <c r="AU467" s="76"/>
      <c r="AV467" s="76"/>
      <c r="AW467" s="76"/>
      <c r="AX467" s="76"/>
    </row>
    <row r="468" ht="15.75" customHeight="1">
      <c r="A468" s="104" t="s">
        <v>139</v>
      </c>
      <c r="B468" s="141" t="s">
        <v>3058</v>
      </c>
      <c r="C468" s="31"/>
      <c r="D468" s="31"/>
      <c r="E468" s="31"/>
      <c r="F468" s="108"/>
      <c r="G468" s="108"/>
      <c r="H468" s="108"/>
      <c r="I468" s="108"/>
      <c r="J468" s="108"/>
      <c r="K468" s="108"/>
      <c r="L468" s="108"/>
      <c r="M468" s="108"/>
      <c r="N468" s="108"/>
      <c r="O468" s="108"/>
      <c r="P468" s="108"/>
      <c r="Q468" s="108"/>
      <c r="R468" s="108"/>
      <c r="S468" s="108"/>
      <c r="T468" s="281" t="s">
        <v>145</v>
      </c>
      <c r="U468" s="108"/>
      <c r="V468" s="108"/>
      <c r="W468" s="108"/>
      <c r="X468" s="108"/>
      <c r="Y468" s="108"/>
      <c r="Z468" s="108"/>
      <c r="AA468" s="108"/>
      <c r="AB468" s="108"/>
      <c r="AC468" s="108"/>
      <c r="AD468" s="76"/>
      <c r="AE468" s="76"/>
      <c r="AF468" s="76"/>
      <c r="AG468" s="76"/>
      <c r="AH468" s="76"/>
      <c r="AI468" s="76"/>
      <c r="AJ468" s="76"/>
      <c r="AK468" s="76"/>
      <c r="AL468" s="76"/>
      <c r="AM468" s="76"/>
      <c r="AN468" s="76"/>
      <c r="AO468" s="76"/>
      <c r="AP468" s="76"/>
      <c r="AQ468" s="76"/>
      <c r="AR468" s="76"/>
      <c r="AS468" s="76"/>
      <c r="AT468" s="76"/>
      <c r="AU468" s="76"/>
      <c r="AV468" s="76"/>
      <c r="AW468" s="76"/>
      <c r="AX468" s="76"/>
    </row>
    <row r="469" ht="15.75" customHeight="1">
      <c r="A469" s="67" t="s">
        <v>108</v>
      </c>
      <c r="B469" s="69" t="s">
        <v>3066</v>
      </c>
      <c r="C469" s="31"/>
      <c r="D469" s="31"/>
      <c r="E469" s="31"/>
      <c r="F469" s="70"/>
      <c r="G469" s="70"/>
      <c r="H469" s="70"/>
      <c r="I469" s="71"/>
      <c r="J469" s="71"/>
      <c r="K469" s="70"/>
      <c r="L469" s="71"/>
      <c r="M469" s="71"/>
      <c r="N469" s="71"/>
      <c r="O469" s="71"/>
      <c r="P469" s="70"/>
      <c r="Q469" s="70"/>
      <c r="R469" s="70"/>
      <c r="S469" s="70"/>
      <c r="T469" s="67" t="s">
        <v>5479</v>
      </c>
      <c r="U469" s="70"/>
      <c r="V469" s="70"/>
      <c r="W469" s="70"/>
      <c r="X469" s="70"/>
      <c r="Y469" s="70"/>
      <c r="Z469" s="70"/>
      <c r="AA469" s="70"/>
      <c r="AB469" s="70"/>
      <c r="AC469" s="70"/>
      <c r="AD469" s="76"/>
      <c r="AE469" s="76"/>
      <c r="AF469" s="76"/>
      <c r="AG469" s="76"/>
      <c r="AH469" s="76"/>
      <c r="AI469" s="76"/>
      <c r="AJ469" s="76"/>
      <c r="AK469" s="76"/>
      <c r="AL469" s="76"/>
      <c r="AM469" s="76"/>
      <c r="AN469" s="76"/>
      <c r="AO469" s="76"/>
      <c r="AP469" s="76"/>
      <c r="AQ469" s="76"/>
      <c r="AR469" s="76"/>
      <c r="AS469" s="76"/>
      <c r="AT469" s="76"/>
      <c r="AU469" s="76"/>
      <c r="AV469" s="76"/>
      <c r="AW469" s="76"/>
      <c r="AX469" s="76"/>
    </row>
    <row r="470" ht="15.75" customHeight="1">
      <c r="A470" s="81" t="s">
        <v>485</v>
      </c>
      <c r="B470" s="142" t="s">
        <v>3074</v>
      </c>
      <c r="C470" s="31" t="s">
        <v>5480</v>
      </c>
      <c r="D470" s="31" t="s">
        <v>5481</v>
      </c>
      <c r="E470" s="31" t="s">
        <v>5482</v>
      </c>
      <c r="F470" s="31"/>
      <c r="G470" s="31"/>
      <c r="H470" s="31"/>
      <c r="I470" s="84"/>
      <c r="J470" s="159"/>
      <c r="K470" s="84"/>
      <c r="L470" s="84"/>
      <c r="M470" s="84"/>
      <c r="N470" s="84"/>
      <c r="O470" s="187" t="s">
        <v>5390</v>
      </c>
      <c r="P470" s="84"/>
      <c r="Q470" s="84" t="s">
        <v>166</v>
      </c>
      <c r="R470" s="84"/>
      <c r="S470" s="84"/>
      <c r="T470" s="84"/>
      <c r="U470" s="84"/>
      <c r="V470" s="84"/>
      <c r="W470" s="84"/>
      <c r="X470" s="84"/>
      <c r="Y470" s="84"/>
      <c r="Z470" s="84"/>
      <c r="AA470" s="84"/>
      <c r="AB470" s="84"/>
      <c r="AC470" s="84"/>
      <c r="AD470" s="76"/>
      <c r="AE470" s="76"/>
      <c r="AF470" s="76"/>
      <c r="AG470" s="76"/>
      <c r="AH470" s="76"/>
      <c r="AI470" s="76"/>
      <c r="AJ470" s="76"/>
      <c r="AK470" s="76"/>
      <c r="AL470" s="76"/>
      <c r="AM470" s="76"/>
      <c r="AN470" s="76"/>
      <c r="AO470" s="76"/>
      <c r="AP470" s="76"/>
      <c r="AQ470" s="76"/>
      <c r="AR470" s="76"/>
      <c r="AS470" s="76"/>
      <c r="AT470" s="76"/>
      <c r="AU470" s="76"/>
      <c r="AV470" s="76"/>
      <c r="AW470" s="76"/>
      <c r="AX470" s="76"/>
    </row>
    <row r="471" ht="15.75" customHeight="1">
      <c r="A471" s="164" t="s">
        <v>2932</v>
      </c>
      <c r="B471" s="134" t="s">
        <v>3080</v>
      </c>
      <c r="C471" s="31" t="s">
        <v>5483</v>
      </c>
      <c r="D471" s="31" t="s">
        <v>5484</v>
      </c>
      <c r="E471" s="31" t="s">
        <v>5485</v>
      </c>
      <c r="F471" s="31"/>
      <c r="G471" s="31"/>
      <c r="H471" s="31"/>
      <c r="I471" s="84"/>
      <c r="J471" s="159"/>
      <c r="K471" s="84" t="s">
        <v>5430</v>
      </c>
      <c r="L471" s="84"/>
      <c r="M471" s="84"/>
      <c r="N471" s="84"/>
      <c r="O471" s="149" t="s">
        <v>5486</v>
      </c>
      <c r="P471" s="84"/>
      <c r="Q471" s="149" t="s">
        <v>166</v>
      </c>
      <c r="R471" s="84"/>
      <c r="S471" s="84"/>
      <c r="T471" s="84"/>
      <c r="U471" s="84"/>
      <c r="V471" s="84"/>
      <c r="W471" s="84"/>
      <c r="X471" s="84"/>
      <c r="Y471" s="149" t="s">
        <v>5434</v>
      </c>
      <c r="Z471" s="84"/>
      <c r="AA471" s="84"/>
      <c r="AB471" s="84"/>
      <c r="AC471" s="84"/>
      <c r="AD471" s="76"/>
      <c r="AE471" s="76"/>
      <c r="AF471" s="76"/>
      <c r="AG471" s="76"/>
      <c r="AH471" s="76"/>
      <c r="AI471" s="76"/>
      <c r="AJ471" s="76"/>
      <c r="AK471" s="76"/>
      <c r="AL471" s="76"/>
      <c r="AM471" s="76"/>
      <c r="AN471" s="76"/>
      <c r="AO471" s="76"/>
      <c r="AP471" s="76"/>
      <c r="AQ471" s="76"/>
      <c r="AR471" s="76"/>
      <c r="AS471" s="76"/>
      <c r="AT471" s="76"/>
      <c r="AU471" s="76"/>
      <c r="AV471" s="76"/>
      <c r="AW471" s="76"/>
      <c r="AX471" s="76"/>
    </row>
    <row r="472" ht="15.75" customHeight="1">
      <c r="A472" s="149" t="s">
        <v>214</v>
      </c>
      <c r="B472" s="134" t="s">
        <v>3087</v>
      </c>
      <c r="C472" s="31" t="s">
        <v>5487</v>
      </c>
      <c r="D472" s="31" t="s">
        <v>5488</v>
      </c>
      <c r="E472" s="31" t="s">
        <v>5489</v>
      </c>
      <c r="F472" s="31"/>
      <c r="G472" s="31"/>
      <c r="H472" s="31"/>
      <c r="I472" s="84"/>
      <c r="J472" s="159"/>
      <c r="K472" s="84"/>
      <c r="L472" s="84"/>
      <c r="M472" s="84"/>
      <c r="N472" s="84"/>
      <c r="O472" s="230" t="s">
        <v>5490</v>
      </c>
      <c r="P472" s="84"/>
      <c r="Q472" s="149" t="s">
        <v>166</v>
      </c>
      <c r="R472" s="84"/>
      <c r="S472" s="84"/>
      <c r="T472" s="84"/>
      <c r="U472" s="149"/>
      <c r="V472" s="84"/>
      <c r="W472" s="84"/>
      <c r="X472" s="84"/>
      <c r="Y472" s="84"/>
      <c r="Z472" s="84"/>
      <c r="AA472" s="84"/>
      <c r="AB472" s="84"/>
      <c r="AC472" s="84"/>
      <c r="AD472" s="76"/>
      <c r="AE472" s="76"/>
      <c r="AF472" s="76"/>
      <c r="AG472" s="76"/>
      <c r="AH472" s="76"/>
      <c r="AI472" s="76"/>
      <c r="AJ472" s="76"/>
      <c r="AK472" s="76"/>
      <c r="AL472" s="76"/>
      <c r="AM472" s="76"/>
      <c r="AN472" s="76"/>
      <c r="AO472" s="76"/>
      <c r="AP472" s="76"/>
      <c r="AQ472" s="76"/>
      <c r="AR472" s="76"/>
      <c r="AS472" s="76"/>
      <c r="AT472" s="76"/>
      <c r="AU472" s="76"/>
      <c r="AV472" s="76"/>
      <c r="AW472" s="76"/>
      <c r="AX472" s="76"/>
    </row>
    <row r="473" ht="15.75" customHeight="1">
      <c r="A473" s="149" t="s">
        <v>648</v>
      </c>
      <c r="B473" s="131" t="s">
        <v>3095</v>
      </c>
      <c r="C473" s="31" t="s">
        <v>3096</v>
      </c>
      <c r="D473" s="31"/>
      <c r="E473" s="31"/>
      <c r="F473" s="84"/>
      <c r="G473" s="84"/>
      <c r="H473" s="84"/>
      <c r="I473" s="84"/>
      <c r="J473" s="159"/>
      <c r="K473" s="84"/>
      <c r="L473" s="84"/>
      <c r="M473" s="84"/>
      <c r="N473" s="84"/>
      <c r="O473" s="149" t="s">
        <v>5486</v>
      </c>
      <c r="P473" s="84"/>
      <c r="Q473" s="84"/>
      <c r="R473" s="84"/>
      <c r="S473" s="84"/>
      <c r="T473" s="84"/>
      <c r="U473" s="149" t="s">
        <v>5491</v>
      </c>
      <c r="V473" s="84"/>
      <c r="W473" s="84"/>
      <c r="X473" s="84"/>
      <c r="Y473" s="84"/>
      <c r="Z473" s="84"/>
      <c r="AA473" s="84"/>
      <c r="AB473" s="84"/>
      <c r="AC473" s="84"/>
      <c r="AD473" s="76"/>
      <c r="AE473" s="76"/>
      <c r="AF473" s="76"/>
      <c r="AG473" s="76"/>
      <c r="AH473" s="76"/>
      <c r="AI473" s="76"/>
      <c r="AJ473" s="76"/>
      <c r="AK473" s="76"/>
      <c r="AL473" s="76"/>
      <c r="AM473" s="76"/>
      <c r="AN473" s="76"/>
      <c r="AO473" s="76"/>
      <c r="AP473" s="76"/>
      <c r="AQ473" s="76"/>
      <c r="AR473" s="76"/>
      <c r="AS473" s="76"/>
      <c r="AT473" s="76"/>
      <c r="AU473" s="76"/>
      <c r="AV473" s="76"/>
      <c r="AW473" s="76"/>
      <c r="AX473" s="76"/>
    </row>
    <row r="474" ht="15.75" customHeight="1">
      <c r="A474" s="149" t="s">
        <v>108</v>
      </c>
      <c r="B474" s="131" t="s">
        <v>3100</v>
      </c>
      <c r="C474" s="31"/>
      <c r="D474" s="31"/>
      <c r="E474" s="31"/>
      <c r="F474" s="84"/>
      <c r="G474" s="84"/>
      <c r="H474" s="84"/>
      <c r="I474" s="84"/>
      <c r="J474" s="159"/>
      <c r="K474" s="84"/>
      <c r="L474" s="84"/>
      <c r="M474" s="84"/>
      <c r="N474" s="84"/>
      <c r="O474" s="149"/>
      <c r="P474" s="84"/>
      <c r="Q474" s="84"/>
      <c r="R474" s="84"/>
      <c r="S474" s="84"/>
      <c r="T474" s="132" t="s">
        <v>1570</v>
      </c>
      <c r="U474" s="84"/>
      <c r="V474" s="84"/>
      <c r="W474" s="84"/>
      <c r="X474" s="84"/>
      <c r="Y474" s="84"/>
      <c r="Z474" s="84"/>
      <c r="AA474" s="84"/>
      <c r="AB474" s="84"/>
      <c r="AC474" s="84"/>
      <c r="AD474" s="76"/>
      <c r="AE474" s="76"/>
      <c r="AF474" s="76"/>
      <c r="AG474" s="76"/>
      <c r="AH474" s="76"/>
      <c r="AI474" s="76"/>
      <c r="AJ474" s="76"/>
      <c r="AK474" s="76"/>
      <c r="AL474" s="76"/>
      <c r="AM474" s="76"/>
      <c r="AN474" s="76"/>
      <c r="AO474" s="76"/>
      <c r="AP474" s="76"/>
      <c r="AQ474" s="76"/>
      <c r="AR474" s="76"/>
      <c r="AS474" s="76"/>
      <c r="AT474" s="76"/>
      <c r="AU474" s="76"/>
      <c r="AV474" s="76"/>
      <c r="AW474" s="76"/>
      <c r="AX474" s="76"/>
    </row>
    <row r="475" ht="15.75" customHeight="1">
      <c r="A475" s="149" t="s">
        <v>108</v>
      </c>
      <c r="B475" s="131" t="s">
        <v>3107</v>
      </c>
      <c r="C475" s="31"/>
      <c r="D475" s="31"/>
      <c r="E475" s="31"/>
      <c r="F475" s="84"/>
      <c r="G475" s="84"/>
      <c r="H475" s="84"/>
      <c r="I475" s="84"/>
      <c r="J475" s="159"/>
      <c r="K475" s="84"/>
      <c r="L475" s="84"/>
      <c r="M475" s="84"/>
      <c r="N475" s="84"/>
      <c r="O475" s="149"/>
      <c r="P475" s="84"/>
      <c r="Q475" s="84"/>
      <c r="R475" s="84"/>
      <c r="S475" s="84"/>
      <c r="T475" s="132" t="s">
        <v>5492</v>
      </c>
      <c r="U475" s="84"/>
      <c r="V475" s="84"/>
      <c r="W475" s="84"/>
      <c r="X475" s="84"/>
      <c r="Y475" s="84"/>
      <c r="Z475" s="84"/>
      <c r="AA475" s="84"/>
      <c r="AB475" s="84"/>
      <c r="AC475" s="84"/>
      <c r="AD475" s="76"/>
      <c r="AE475" s="76"/>
      <c r="AF475" s="76"/>
      <c r="AG475" s="76"/>
      <c r="AH475" s="76"/>
      <c r="AI475" s="76"/>
      <c r="AJ475" s="76"/>
      <c r="AK475" s="76"/>
      <c r="AL475" s="76"/>
      <c r="AM475" s="76"/>
      <c r="AN475" s="76"/>
      <c r="AO475" s="76"/>
      <c r="AP475" s="76"/>
      <c r="AQ475" s="76"/>
      <c r="AR475" s="76"/>
      <c r="AS475" s="76"/>
      <c r="AT475" s="76"/>
      <c r="AU475" s="76"/>
      <c r="AV475" s="76"/>
      <c r="AW475" s="76"/>
      <c r="AX475" s="76"/>
    </row>
    <row r="476" ht="15.75" customHeight="1">
      <c r="A476" s="104" t="s">
        <v>108</v>
      </c>
      <c r="B476" s="132" t="s">
        <v>3111</v>
      </c>
      <c r="C476" s="31" t="s">
        <v>2996</v>
      </c>
      <c r="D476" s="31"/>
      <c r="E476" s="31"/>
      <c r="F476" s="108"/>
      <c r="G476" s="108"/>
      <c r="H476" s="108"/>
      <c r="I476" s="108"/>
      <c r="J476" s="108"/>
      <c r="K476" s="108"/>
      <c r="L476" s="108"/>
      <c r="M476" s="108"/>
      <c r="N476" s="108"/>
      <c r="O476" s="108"/>
      <c r="P476" s="108"/>
      <c r="Q476" s="108"/>
      <c r="R476" s="108"/>
      <c r="S476" s="108"/>
      <c r="T476" s="132" t="s">
        <v>5493</v>
      </c>
      <c r="U476" s="108"/>
      <c r="V476" s="108"/>
      <c r="W476" s="108"/>
      <c r="X476" s="108"/>
      <c r="Y476" s="108"/>
      <c r="Z476" s="108"/>
      <c r="AA476" s="108"/>
      <c r="AB476" s="108"/>
      <c r="AC476" s="108"/>
      <c r="AD476" s="76"/>
      <c r="AE476" s="76"/>
      <c r="AF476" s="76"/>
      <c r="AG476" s="76"/>
      <c r="AH476" s="76"/>
      <c r="AI476" s="76"/>
      <c r="AJ476" s="76"/>
      <c r="AK476" s="76"/>
      <c r="AL476" s="76"/>
      <c r="AM476" s="76"/>
      <c r="AN476" s="76"/>
      <c r="AO476" s="76"/>
      <c r="AP476" s="76"/>
      <c r="AQ476" s="76"/>
      <c r="AR476" s="76"/>
      <c r="AS476" s="76"/>
      <c r="AT476" s="76"/>
      <c r="AU476" s="76"/>
      <c r="AV476" s="76"/>
      <c r="AW476" s="76"/>
      <c r="AX476" s="76"/>
    </row>
    <row r="477" ht="15.75" customHeight="1">
      <c r="A477" s="149" t="s">
        <v>2997</v>
      </c>
      <c r="B477" s="86" t="s">
        <v>3115</v>
      </c>
      <c r="C477" s="31" t="s">
        <v>5494</v>
      </c>
      <c r="D477" s="31" t="s">
        <v>5495</v>
      </c>
      <c r="E477" s="31" t="s">
        <v>5496</v>
      </c>
      <c r="F477" s="31"/>
      <c r="G477" s="31"/>
      <c r="H477" s="31"/>
      <c r="I477" s="84"/>
      <c r="J477" s="86" t="s">
        <v>5497</v>
      </c>
      <c r="K477" s="84"/>
      <c r="L477" s="84"/>
      <c r="M477" s="84"/>
      <c r="N477" s="84"/>
      <c r="O477" s="149" t="s">
        <v>5498</v>
      </c>
      <c r="P477" s="84"/>
      <c r="Q477" s="84" t="s">
        <v>166</v>
      </c>
      <c r="R477" s="84"/>
      <c r="S477" s="84"/>
      <c r="T477" s="84"/>
      <c r="U477" s="84"/>
      <c r="V477" s="84"/>
      <c r="W477" s="84"/>
      <c r="X477" s="84"/>
      <c r="Y477" s="84"/>
      <c r="Z477" s="84"/>
      <c r="AA477" s="84"/>
      <c r="AB477" s="84"/>
      <c r="AC477" s="84"/>
      <c r="AD477" s="76"/>
      <c r="AE477" s="76"/>
      <c r="AF477" s="76"/>
      <c r="AG477" s="76"/>
      <c r="AH477" s="76"/>
      <c r="AI477" s="76"/>
      <c r="AJ477" s="76"/>
      <c r="AK477" s="76"/>
      <c r="AL477" s="76"/>
      <c r="AM477" s="76"/>
      <c r="AN477" s="76"/>
      <c r="AO477" s="76"/>
      <c r="AP477" s="76"/>
      <c r="AQ477" s="76"/>
      <c r="AR477" s="76"/>
      <c r="AS477" s="76"/>
      <c r="AT477" s="76"/>
      <c r="AU477" s="76"/>
      <c r="AV477" s="76"/>
      <c r="AW477" s="76"/>
      <c r="AX477" s="76"/>
    </row>
    <row r="478" ht="15.75" customHeight="1">
      <c r="A478" s="133" t="s">
        <v>214</v>
      </c>
      <c r="B478" s="250" t="s">
        <v>3122</v>
      </c>
      <c r="C478" s="31" t="s">
        <v>5499</v>
      </c>
      <c r="D478" s="31" t="s">
        <v>5500</v>
      </c>
      <c r="E478" s="31" t="s">
        <v>5501</v>
      </c>
      <c r="F478" s="31"/>
      <c r="G478" s="31"/>
      <c r="H478" s="31"/>
      <c r="I478" s="162"/>
      <c r="J478" s="163"/>
      <c r="K478" s="162"/>
      <c r="L478" s="162"/>
      <c r="M478" s="162"/>
      <c r="N478" s="162"/>
      <c r="O478" s="164" t="s">
        <v>5502</v>
      </c>
      <c r="P478" s="162"/>
      <c r="Q478" s="282" t="s">
        <v>166</v>
      </c>
      <c r="R478" s="162"/>
      <c r="S478" s="162"/>
      <c r="T478" s="162"/>
      <c r="U478" s="162"/>
      <c r="V478" s="162"/>
      <c r="W478" s="162"/>
      <c r="X478" s="162"/>
      <c r="Y478" s="162"/>
      <c r="Z478" s="162"/>
      <c r="AA478" s="162"/>
      <c r="AB478" s="162"/>
      <c r="AC478" s="162"/>
      <c r="AD478" s="76"/>
      <c r="AE478" s="76"/>
      <c r="AF478" s="76"/>
      <c r="AG478" s="76"/>
      <c r="AH478" s="76"/>
      <c r="AI478" s="76"/>
      <c r="AJ478" s="76"/>
      <c r="AK478" s="76"/>
      <c r="AL478" s="76"/>
      <c r="AM478" s="76"/>
      <c r="AN478" s="76"/>
      <c r="AO478" s="76"/>
      <c r="AP478" s="76"/>
      <c r="AQ478" s="76"/>
      <c r="AR478" s="76"/>
      <c r="AS478" s="76"/>
      <c r="AT478" s="76"/>
      <c r="AU478" s="76"/>
      <c r="AV478" s="76"/>
      <c r="AW478" s="76"/>
      <c r="AX478" s="76"/>
    </row>
    <row r="479" ht="15.75" customHeight="1">
      <c r="A479" s="149" t="s">
        <v>3019</v>
      </c>
      <c r="B479" s="205" t="s">
        <v>3132</v>
      </c>
      <c r="C479" s="31" t="s">
        <v>5503</v>
      </c>
      <c r="D479" s="31" t="s">
        <v>5504</v>
      </c>
      <c r="E479" s="31" t="s">
        <v>5505</v>
      </c>
      <c r="F479" s="31"/>
      <c r="G479" s="31"/>
      <c r="H479" s="31"/>
      <c r="I479" s="175"/>
      <c r="J479" s="175"/>
      <c r="K479" s="176"/>
      <c r="L479" s="176"/>
      <c r="M479" s="175"/>
      <c r="N479" s="175"/>
      <c r="O479" s="230" t="s">
        <v>5506</v>
      </c>
      <c r="P479" s="175"/>
      <c r="Q479" s="162" t="s">
        <v>166</v>
      </c>
      <c r="R479" s="175"/>
      <c r="S479" s="175"/>
      <c r="T479" s="175"/>
      <c r="U479" s="175"/>
      <c r="V479" s="175"/>
      <c r="W479" s="175"/>
      <c r="X479" s="175"/>
      <c r="Y479" s="175"/>
      <c r="Z479" s="175"/>
      <c r="AA479" s="175"/>
      <c r="AB479" s="175"/>
      <c r="AC479" s="175"/>
      <c r="AD479" s="76"/>
      <c r="AE479" s="76"/>
      <c r="AF479" s="76"/>
      <c r="AG479" s="76"/>
      <c r="AH479" s="76"/>
      <c r="AI479" s="76"/>
      <c r="AJ479" s="76"/>
      <c r="AK479" s="76"/>
      <c r="AL479" s="76"/>
      <c r="AM479" s="76"/>
      <c r="AN479" s="76"/>
      <c r="AO479" s="76"/>
      <c r="AP479" s="76"/>
      <c r="AQ479" s="76"/>
      <c r="AR479" s="76"/>
      <c r="AS479" s="76"/>
      <c r="AT479" s="76"/>
      <c r="AU479" s="76"/>
      <c r="AV479" s="76"/>
      <c r="AW479" s="76"/>
      <c r="AX479" s="76"/>
    </row>
    <row r="480" ht="15.75" customHeight="1">
      <c r="A480" s="230" t="s">
        <v>214</v>
      </c>
      <c r="B480" s="205" t="s">
        <v>3139</v>
      </c>
      <c r="C480" s="31" t="s">
        <v>5507</v>
      </c>
      <c r="D480" s="31" t="s">
        <v>5508</v>
      </c>
      <c r="E480" s="31" t="s">
        <v>5509</v>
      </c>
      <c r="F480" s="31"/>
      <c r="G480" s="31"/>
      <c r="H480" s="31"/>
      <c r="I480" s="175"/>
      <c r="J480" s="175"/>
      <c r="K480" s="176"/>
      <c r="L480" s="176"/>
      <c r="M480" s="175"/>
      <c r="N480" s="175"/>
      <c r="O480" s="230" t="s">
        <v>5510</v>
      </c>
      <c r="P480" s="175"/>
      <c r="Q480" s="282" t="s">
        <v>166</v>
      </c>
      <c r="R480" s="175"/>
      <c r="S480" s="175"/>
      <c r="T480" s="175"/>
      <c r="U480" s="175"/>
      <c r="V480" s="175"/>
      <c r="W480" s="175"/>
      <c r="X480" s="175"/>
      <c r="Y480" s="175"/>
      <c r="Z480" s="175"/>
      <c r="AA480" s="175"/>
      <c r="AB480" s="175"/>
      <c r="AC480" s="175"/>
      <c r="AD480" s="76"/>
      <c r="AE480" s="76"/>
      <c r="AF480" s="76"/>
      <c r="AG480" s="76"/>
      <c r="AH480" s="76"/>
      <c r="AI480" s="76"/>
      <c r="AJ480" s="76"/>
      <c r="AK480" s="76"/>
      <c r="AL480" s="76"/>
      <c r="AM480" s="76"/>
      <c r="AN480" s="76"/>
      <c r="AO480" s="76"/>
      <c r="AP480" s="76"/>
      <c r="AQ480" s="76"/>
      <c r="AR480" s="76"/>
      <c r="AS480" s="76"/>
      <c r="AT480" s="76"/>
      <c r="AU480" s="76"/>
      <c r="AV480" s="76"/>
      <c r="AW480" s="76"/>
      <c r="AX480" s="76"/>
    </row>
    <row r="481" ht="15.75" customHeight="1">
      <c r="A481" s="146" t="s">
        <v>237</v>
      </c>
      <c r="B481" s="147" t="s">
        <v>3144</v>
      </c>
      <c r="C481" s="31" t="s">
        <v>5511</v>
      </c>
      <c r="D481" s="31" t="s">
        <v>5512</v>
      </c>
      <c r="E481" s="31" t="s">
        <v>5513</v>
      </c>
      <c r="F481" s="31"/>
      <c r="G481" s="31"/>
      <c r="H481" s="31"/>
      <c r="I481" s="175"/>
      <c r="J481" s="175"/>
      <c r="K481" s="176" t="s">
        <v>1341</v>
      </c>
      <c r="L481" s="176"/>
      <c r="M481" s="175"/>
      <c r="N481" s="175"/>
      <c r="O481" s="230" t="s">
        <v>5514</v>
      </c>
      <c r="P481" s="175"/>
      <c r="Q481" s="175" t="s">
        <v>166</v>
      </c>
      <c r="R481" s="175"/>
      <c r="S481" s="175"/>
      <c r="T481" s="175"/>
      <c r="U481" s="175"/>
      <c r="V481" s="175"/>
      <c r="W481" s="175"/>
      <c r="X481" s="175"/>
      <c r="Y481" s="175"/>
      <c r="Z481" s="175"/>
      <c r="AA481" s="175"/>
      <c r="AB481" s="175"/>
      <c r="AC481" s="175"/>
      <c r="AD481" s="76"/>
      <c r="AE481" s="76"/>
      <c r="AF481" s="76"/>
      <c r="AG481" s="76"/>
      <c r="AH481" s="76"/>
      <c r="AI481" s="76"/>
      <c r="AJ481" s="76"/>
      <c r="AK481" s="76"/>
      <c r="AL481" s="76"/>
      <c r="AM481" s="76"/>
      <c r="AN481" s="76"/>
      <c r="AO481" s="76"/>
      <c r="AP481" s="76"/>
      <c r="AQ481" s="76"/>
      <c r="AR481" s="76"/>
      <c r="AS481" s="76"/>
      <c r="AT481" s="76"/>
      <c r="AU481" s="76"/>
      <c r="AV481" s="76"/>
      <c r="AW481" s="76"/>
      <c r="AX481" s="76"/>
    </row>
    <row r="482" ht="15.75" customHeight="1">
      <c r="A482" s="81" t="s">
        <v>3153</v>
      </c>
      <c r="B482" s="142" t="s">
        <v>3154</v>
      </c>
      <c r="C482" s="31" t="s">
        <v>5515</v>
      </c>
      <c r="D482" s="31" t="s">
        <v>5516</v>
      </c>
      <c r="E482" s="31" t="s">
        <v>5517</v>
      </c>
      <c r="F482" s="31"/>
      <c r="G482" s="31"/>
      <c r="H482" s="31"/>
      <c r="I482" s="84"/>
      <c r="J482" s="159"/>
      <c r="K482" s="84" t="s">
        <v>5430</v>
      </c>
      <c r="L482" s="84"/>
      <c r="M482" s="84"/>
      <c r="N482" s="84"/>
      <c r="O482" s="230" t="s">
        <v>5514</v>
      </c>
      <c r="P482" s="84"/>
      <c r="Q482" s="84" t="s">
        <v>166</v>
      </c>
      <c r="R482" s="84"/>
      <c r="S482" s="84"/>
      <c r="T482" s="84"/>
      <c r="U482" s="84"/>
      <c r="V482" s="84"/>
      <c r="W482" s="84"/>
      <c r="X482" s="84"/>
      <c r="Y482" s="84"/>
      <c r="Z482" s="84"/>
      <c r="AA482" s="84"/>
      <c r="AB482" s="84"/>
      <c r="AC482" s="84"/>
      <c r="AD482" s="76"/>
      <c r="AE482" s="76"/>
      <c r="AF482" s="76"/>
      <c r="AG482" s="76"/>
      <c r="AH482" s="76"/>
      <c r="AI482" s="76"/>
      <c r="AJ482" s="76"/>
      <c r="AK482" s="76"/>
      <c r="AL482" s="76"/>
      <c r="AM482" s="76"/>
      <c r="AN482" s="76"/>
      <c r="AO482" s="76"/>
      <c r="AP482" s="76"/>
      <c r="AQ482" s="76"/>
      <c r="AR482" s="76"/>
      <c r="AS482" s="76"/>
      <c r="AT482" s="76"/>
      <c r="AU482" s="76"/>
      <c r="AV482" s="76"/>
      <c r="AW482" s="76"/>
      <c r="AX482" s="76"/>
    </row>
    <row r="483" ht="15.75" customHeight="1">
      <c r="A483" s="133" t="s">
        <v>214</v>
      </c>
      <c r="B483" s="143" t="s">
        <v>3158</v>
      </c>
      <c r="C483" s="31" t="s">
        <v>5518</v>
      </c>
      <c r="D483" s="31" t="s">
        <v>5519</v>
      </c>
      <c r="E483" s="31" t="s">
        <v>5520</v>
      </c>
      <c r="F483" s="31"/>
      <c r="G483" s="31"/>
      <c r="H483" s="31"/>
      <c r="I483" s="162"/>
      <c r="J483" s="163"/>
      <c r="K483" s="162"/>
      <c r="L483" s="162"/>
      <c r="M483" s="162"/>
      <c r="N483" s="162"/>
      <c r="O483" s="164" t="s">
        <v>5521</v>
      </c>
      <c r="P483" s="162"/>
      <c r="Q483" s="162" t="s">
        <v>166</v>
      </c>
      <c r="R483" s="162"/>
      <c r="S483" s="162"/>
      <c r="T483" s="162"/>
      <c r="U483" s="162"/>
      <c r="V483" s="162"/>
      <c r="W483" s="162"/>
      <c r="X483" s="162"/>
      <c r="Y483" s="162"/>
      <c r="Z483" s="162"/>
      <c r="AA483" s="162"/>
      <c r="AB483" s="162"/>
      <c r="AC483" s="162"/>
      <c r="AD483" s="76"/>
      <c r="AE483" s="76"/>
      <c r="AF483" s="76"/>
      <c r="AG483" s="76"/>
      <c r="AH483" s="76"/>
      <c r="AI483" s="76"/>
      <c r="AJ483" s="76"/>
      <c r="AK483" s="76"/>
      <c r="AL483" s="76"/>
      <c r="AM483" s="76"/>
      <c r="AN483" s="76"/>
      <c r="AO483" s="76"/>
      <c r="AP483" s="76"/>
      <c r="AQ483" s="76"/>
      <c r="AR483" s="76"/>
      <c r="AS483" s="76"/>
      <c r="AT483" s="76"/>
      <c r="AU483" s="76"/>
      <c r="AV483" s="76"/>
      <c r="AW483" s="76"/>
      <c r="AX483" s="76"/>
    </row>
    <row r="484" ht="15.75" customHeight="1">
      <c r="A484" s="149" t="s">
        <v>691</v>
      </c>
      <c r="B484" s="131" t="s">
        <v>3095</v>
      </c>
      <c r="C484" s="31"/>
      <c r="D484" s="31"/>
      <c r="E484" s="31"/>
      <c r="F484" s="84"/>
      <c r="G484" s="84"/>
      <c r="H484" s="84"/>
      <c r="I484" s="84"/>
      <c r="J484" s="159"/>
      <c r="K484" s="84"/>
      <c r="L484" s="84"/>
      <c r="M484" s="84"/>
      <c r="N484" s="84"/>
      <c r="O484" s="149"/>
      <c r="P484" s="84"/>
      <c r="Q484" s="84"/>
      <c r="R484" s="84"/>
      <c r="S484" s="84"/>
      <c r="T484" s="84"/>
      <c r="U484" s="84"/>
      <c r="V484" s="84"/>
      <c r="W484" s="84"/>
      <c r="X484" s="84"/>
      <c r="Y484" s="84"/>
      <c r="Z484" s="84"/>
      <c r="AA484" s="84"/>
      <c r="AB484" s="84"/>
      <c r="AC484" s="84"/>
      <c r="AD484" s="76"/>
      <c r="AE484" s="76"/>
      <c r="AF484" s="76"/>
      <c r="AG484" s="76"/>
      <c r="AH484" s="76"/>
      <c r="AI484" s="76"/>
      <c r="AJ484" s="76"/>
      <c r="AK484" s="76"/>
      <c r="AL484" s="76"/>
      <c r="AM484" s="76"/>
      <c r="AN484" s="76"/>
      <c r="AO484" s="76"/>
      <c r="AP484" s="76"/>
      <c r="AQ484" s="76"/>
      <c r="AR484" s="76"/>
      <c r="AS484" s="76"/>
      <c r="AT484" s="76"/>
      <c r="AU484" s="76"/>
      <c r="AV484" s="76"/>
      <c r="AW484" s="76"/>
      <c r="AX484" s="76"/>
    </row>
    <row r="485" ht="15.75" customHeight="1">
      <c r="A485" s="249" t="s">
        <v>236</v>
      </c>
      <c r="B485" s="150" t="s">
        <v>2917</v>
      </c>
      <c r="C485" s="31" t="s">
        <v>2918</v>
      </c>
      <c r="D485" s="31"/>
      <c r="E485" s="31"/>
      <c r="F485" s="173"/>
      <c r="G485" s="173"/>
      <c r="H485" s="173"/>
      <c r="I485" s="173"/>
      <c r="J485" s="173"/>
      <c r="K485" s="173"/>
      <c r="L485" s="173"/>
      <c r="M485" s="173"/>
      <c r="N485" s="173"/>
      <c r="O485" s="173"/>
      <c r="P485" s="173"/>
      <c r="Q485" s="173"/>
      <c r="R485" s="173"/>
      <c r="S485" s="173"/>
      <c r="T485" s="173"/>
      <c r="U485" s="173"/>
      <c r="V485" s="173"/>
      <c r="W485" s="173"/>
      <c r="X485" s="173"/>
      <c r="Y485" s="173"/>
      <c r="Z485" s="173"/>
      <c r="AA485" s="173"/>
      <c r="AB485" s="173"/>
      <c r="AC485" s="173"/>
      <c r="AD485" s="76"/>
      <c r="AE485" s="76"/>
      <c r="AF485" s="76"/>
      <c r="AG485" s="76"/>
      <c r="AH485" s="76"/>
      <c r="AI485" s="76"/>
      <c r="AJ485" s="76"/>
      <c r="AK485" s="76"/>
      <c r="AL485" s="76"/>
      <c r="AM485" s="76"/>
      <c r="AN485" s="76"/>
      <c r="AO485" s="76"/>
      <c r="AP485" s="76"/>
      <c r="AQ485" s="76"/>
      <c r="AR485" s="76"/>
      <c r="AS485" s="76"/>
      <c r="AT485" s="76"/>
      <c r="AU485" s="76"/>
      <c r="AV485" s="76"/>
      <c r="AW485" s="76"/>
      <c r="AX485" s="76"/>
    </row>
    <row r="486" ht="15.75" customHeight="1">
      <c r="A486" s="67" t="s">
        <v>139</v>
      </c>
      <c r="B486" s="69" t="s">
        <v>3171</v>
      </c>
      <c r="C486" s="31"/>
      <c r="D486" s="31"/>
      <c r="E486" s="31"/>
      <c r="F486" s="70"/>
      <c r="G486" s="70"/>
      <c r="H486" s="70"/>
      <c r="I486" s="70"/>
      <c r="J486" s="71"/>
      <c r="K486" s="70"/>
      <c r="L486" s="70"/>
      <c r="M486" s="71"/>
      <c r="N486" s="71"/>
      <c r="O486" s="72"/>
      <c r="P486" s="70"/>
      <c r="Q486" s="70"/>
      <c r="R486" s="70"/>
      <c r="S486" s="70"/>
      <c r="T486" s="73" t="s">
        <v>145</v>
      </c>
      <c r="U486" s="70"/>
      <c r="V486" s="70"/>
      <c r="W486" s="70"/>
      <c r="X486" s="70"/>
      <c r="Y486" s="70"/>
      <c r="Z486" s="70"/>
      <c r="AA486" s="70"/>
      <c r="AB486" s="70"/>
      <c r="AC486" s="70"/>
      <c r="AD486" s="76"/>
      <c r="AE486" s="76"/>
      <c r="AF486" s="76"/>
      <c r="AG486" s="76"/>
      <c r="AH486" s="76"/>
      <c r="AI486" s="76"/>
      <c r="AJ486" s="76"/>
      <c r="AK486" s="76"/>
      <c r="AL486" s="76"/>
      <c r="AM486" s="76"/>
      <c r="AN486" s="76"/>
      <c r="AO486" s="76"/>
      <c r="AP486" s="76"/>
      <c r="AQ486" s="76"/>
      <c r="AR486" s="76"/>
      <c r="AS486" s="76"/>
      <c r="AT486" s="76"/>
      <c r="AU486" s="76"/>
      <c r="AV486" s="76"/>
      <c r="AW486" s="76"/>
      <c r="AX486" s="76"/>
    </row>
    <row r="487" ht="15.75" customHeight="1">
      <c r="A487" s="67" t="s">
        <v>108</v>
      </c>
      <c r="B487" s="69" t="s">
        <v>3175</v>
      </c>
      <c r="C487" s="31"/>
      <c r="D487" s="31"/>
      <c r="E487" s="31"/>
      <c r="F487" s="70"/>
      <c r="G487" s="70"/>
      <c r="H487" s="70"/>
      <c r="I487" s="71"/>
      <c r="J487" s="71"/>
      <c r="K487" s="70"/>
      <c r="L487" s="71"/>
      <c r="M487" s="71"/>
      <c r="N487" s="71"/>
      <c r="O487" s="71"/>
      <c r="P487" s="70"/>
      <c r="Q487" s="70"/>
      <c r="R487" s="70"/>
      <c r="S487" s="70"/>
      <c r="T487" s="67" t="s">
        <v>5522</v>
      </c>
      <c r="U487" s="70"/>
      <c r="V487" s="70"/>
      <c r="W487" s="70"/>
      <c r="X487" s="70"/>
      <c r="Y487" s="70"/>
      <c r="Z487" s="70"/>
      <c r="AA487" s="70"/>
      <c r="AB487" s="70"/>
      <c r="AC487" s="70"/>
      <c r="AD487" s="76"/>
      <c r="AE487" s="76"/>
      <c r="AF487" s="76"/>
      <c r="AG487" s="76"/>
      <c r="AH487" s="76"/>
      <c r="AI487" s="76"/>
      <c r="AJ487" s="76"/>
      <c r="AK487" s="76"/>
      <c r="AL487" s="76"/>
      <c r="AM487" s="76"/>
      <c r="AN487" s="76"/>
      <c r="AO487" s="76"/>
      <c r="AP487" s="76"/>
      <c r="AQ487" s="76"/>
      <c r="AR487" s="76"/>
      <c r="AS487" s="76"/>
      <c r="AT487" s="76"/>
      <c r="AU487" s="76"/>
      <c r="AV487" s="76"/>
      <c r="AW487" s="76"/>
      <c r="AX487" s="76"/>
    </row>
    <row r="488" ht="15.75" customHeight="1">
      <c r="A488" s="144" t="s">
        <v>691</v>
      </c>
      <c r="B488" s="150" t="s">
        <v>2674</v>
      </c>
      <c r="C488" s="31" t="s">
        <v>2675</v>
      </c>
      <c r="D488" s="31"/>
      <c r="E488" s="31"/>
      <c r="F488" s="173"/>
      <c r="G488" s="173"/>
      <c r="H488" s="173"/>
      <c r="I488" s="173"/>
      <c r="J488" s="173"/>
      <c r="K488" s="173"/>
      <c r="L488" s="173"/>
      <c r="M488" s="173"/>
      <c r="N488" s="173"/>
      <c r="O488" s="173"/>
      <c r="P488" s="173"/>
      <c r="Q488" s="173"/>
      <c r="R488" s="173"/>
      <c r="S488" s="173"/>
      <c r="T488" s="173"/>
      <c r="U488" s="173"/>
      <c r="V488" s="173"/>
      <c r="W488" s="173"/>
      <c r="X488" s="173"/>
      <c r="Y488" s="173"/>
      <c r="Z488" s="173"/>
      <c r="AA488" s="173"/>
      <c r="AB488" s="173"/>
      <c r="AC488" s="173"/>
      <c r="AD488" s="173"/>
      <c r="AE488" s="173"/>
      <c r="AF488" s="173"/>
      <c r="AG488" s="173"/>
      <c r="AH488" s="173"/>
      <c r="AI488" s="173"/>
      <c r="AJ488" s="173"/>
      <c r="AK488" s="173"/>
      <c r="AL488" s="173"/>
      <c r="AM488" s="173"/>
      <c r="AN488" s="173"/>
      <c r="AO488" s="76"/>
      <c r="AP488" s="76"/>
      <c r="AQ488" s="76"/>
      <c r="AR488" s="76"/>
      <c r="AS488" s="76"/>
      <c r="AT488" s="76"/>
      <c r="AU488" s="76"/>
      <c r="AV488" s="76"/>
      <c r="AW488" s="76"/>
      <c r="AX488" s="76"/>
    </row>
    <row r="489">
      <c r="A489" s="135"/>
      <c r="B489" s="135"/>
      <c r="C489" s="31"/>
      <c r="D489" s="31"/>
      <c r="E489" s="31"/>
      <c r="F489" s="135"/>
      <c r="G489" s="135"/>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c r="AE489" s="135"/>
      <c r="AF489" s="135"/>
      <c r="AG489" s="135"/>
      <c r="AH489" s="135"/>
      <c r="AI489" s="135"/>
      <c r="AJ489" s="135"/>
      <c r="AK489" s="135"/>
      <c r="AL489" s="135"/>
      <c r="AM489" s="135"/>
      <c r="AN489" s="135"/>
      <c r="AO489" s="135"/>
      <c r="AP489" s="135"/>
      <c r="AQ489" s="135"/>
      <c r="AR489" s="135"/>
      <c r="AS489" s="135"/>
      <c r="AT489" s="135"/>
      <c r="AU489" s="135"/>
      <c r="AV489" s="135"/>
      <c r="AW489" s="135"/>
      <c r="AX489" s="135"/>
    </row>
    <row r="490" ht="15.75" customHeight="1">
      <c r="A490" s="104" t="s">
        <v>108</v>
      </c>
      <c r="B490" s="106" t="s">
        <v>3185</v>
      </c>
      <c r="C490" s="31" t="s">
        <v>3186</v>
      </c>
      <c r="D490" s="31" t="s">
        <v>3187</v>
      </c>
      <c r="E490" s="31" t="s">
        <v>3188</v>
      </c>
      <c r="F490" s="108"/>
      <c r="G490" s="108"/>
      <c r="H490" s="108"/>
      <c r="I490" s="108"/>
      <c r="J490" s="108"/>
      <c r="K490" s="108"/>
      <c r="L490" s="108"/>
      <c r="M490" s="108"/>
      <c r="N490" s="108"/>
      <c r="O490" s="108"/>
      <c r="P490" s="108"/>
      <c r="Q490" s="108"/>
      <c r="R490" s="108"/>
      <c r="S490" s="108"/>
      <c r="T490" s="121" t="s">
        <v>5523</v>
      </c>
      <c r="U490" s="108"/>
      <c r="V490" s="108"/>
      <c r="W490" s="108"/>
      <c r="X490" s="108"/>
      <c r="Y490" s="108"/>
      <c r="Z490" s="108"/>
      <c r="AA490" s="108"/>
      <c r="AB490" s="108"/>
      <c r="AC490" s="108"/>
      <c r="AD490" s="76"/>
      <c r="AE490" s="76"/>
      <c r="AF490" s="76"/>
      <c r="AG490" s="76"/>
      <c r="AH490" s="76"/>
      <c r="AI490" s="76"/>
      <c r="AJ490" s="76"/>
      <c r="AK490" s="76"/>
      <c r="AL490" s="76"/>
      <c r="AM490" s="76"/>
      <c r="AN490" s="76"/>
      <c r="AO490" s="76"/>
      <c r="AP490" s="76"/>
      <c r="AQ490" s="76"/>
      <c r="AR490" s="76"/>
      <c r="AS490" s="76"/>
      <c r="AT490" s="76"/>
      <c r="AU490" s="76"/>
      <c r="AV490" s="76"/>
      <c r="AW490" s="76"/>
      <c r="AX490" s="76"/>
    </row>
    <row r="491" ht="15.75" customHeight="1">
      <c r="A491" s="104" t="s">
        <v>108</v>
      </c>
      <c r="B491" s="251" t="s">
        <v>3191</v>
      </c>
      <c r="C491" s="31" t="s">
        <v>3195</v>
      </c>
      <c r="D491" s="31"/>
      <c r="E491" s="31"/>
      <c r="F491" s="108"/>
      <c r="G491" s="108"/>
      <c r="H491" s="108"/>
      <c r="I491" s="108"/>
      <c r="J491" s="108"/>
      <c r="K491" s="108"/>
      <c r="L491" s="108"/>
      <c r="M491" s="108"/>
      <c r="N491" s="108"/>
      <c r="O491" s="108"/>
      <c r="P491" s="108"/>
      <c r="Q491" s="108"/>
      <c r="R491" s="108"/>
      <c r="S491" s="108"/>
      <c r="T491" s="121" t="s">
        <v>5524</v>
      </c>
      <c r="U491" s="108"/>
      <c r="V491" s="108"/>
      <c r="W491" s="108"/>
      <c r="X491" s="108"/>
      <c r="Y491" s="108"/>
      <c r="Z491" s="108"/>
      <c r="AA491" s="108"/>
      <c r="AB491" s="108"/>
      <c r="AC491" s="108"/>
      <c r="AD491" s="76"/>
      <c r="AE491" s="76"/>
      <c r="AF491" s="76"/>
      <c r="AG491" s="76"/>
      <c r="AH491" s="76"/>
      <c r="AI491" s="76"/>
      <c r="AJ491" s="76"/>
      <c r="AK491" s="76"/>
      <c r="AL491" s="76"/>
      <c r="AM491" s="76"/>
      <c r="AN491" s="76"/>
      <c r="AO491" s="76"/>
      <c r="AP491" s="76"/>
      <c r="AQ491" s="76"/>
      <c r="AR491" s="76"/>
      <c r="AS491" s="76"/>
      <c r="AT491" s="76"/>
      <c r="AU491" s="76"/>
      <c r="AV491" s="76"/>
      <c r="AW491" s="76"/>
      <c r="AX491" s="76"/>
    </row>
    <row r="492" ht="15.75" customHeight="1">
      <c r="A492" s="104" t="s">
        <v>108</v>
      </c>
      <c r="B492" s="251" t="s">
        <v>3198</v>
      </c>
      <c r="C492" s="31"/>
      <c r="D492" s="31"/>
      <c r="E492" s="31"/>
      <c r="F492" s="76"/>
      <c r="G492" s="76"/>
      <c r="H492" s="76"/>
      <c r="I492" s="76"/>
      <c r="J492" s="76"/>
      <c r="K492" s="76"/>
      <c r="L492" s="76"/>
      <c r="M492" s="76"/>
      <c r="N492" s="76"/>
      <c r="O492" s="76"/>
      <c r="P492" s="76"/>
      <c r="Q492" s="76"/>
      <c r="R492" s="76"/>
      <c r="S492" s="76"/>
      <c r="T492" s="132" t="s">
        <v>5525</v>
      </c>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c r="AT492" s="76"/>
      <c r="AU492" s="76"/>
      <c r="AV492" s="76"/>
      <c r="AW492" s="76"/>
      <c r="AX492" s="76"/>
    </row>
    <row r="493" ht="15.75" customHeight="1">
      <c r="A493" s="249" t="s">
        <v>108</v>
      </c>
      <c r="B493" s="187" t="s">
        <v>3199</v>
      </c>
      <c r="C493" s="31"/>
      <c r="D493" s="31"/>
      <c r="E493" s="31"/>
      <c r="F493" s="76"/>
      <c r="G493" s="76"/>
      <c r="H493" s="76"/>
      <c r="I493" s="76"/>
      <c r="J493" s="76"/>
      <c r="K493" s="76"/>
      <c r="L493" s="76"/>
      <c r="M493" s="76"/>
      <c r="N493" s="76"/>
      <c r="O493" s="76"/>
      <c r="P493" s="76"/>
      <c r="Q493" s="76"/>
      <c r="R493" s="76"/>
      <c r="S493" s="76"/>
      <c r="T493" s="248" t="s">
        <v>5526</v>
      </c>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c r="AT493" s="76"/>
      <c r="AU493" s="76"/>
      <c r="AV493" s="76"/>
      <c r="AW493" s="76"/>
      <c r="AX493" s="76"/>
    </row>
    <row r="494" ht="15.75" customHeight="1">
      <c r="A494" s="249" t="s">
        <v>108</v>
      </c>
      <c r="B494" s="187" t="s">
        <v>3200</v>
      </c>
      <c r="C494" s="31"/>
      <c r="D494" s="31"/>
      <c r="E494" s="31"/>
      <c r="F494" s="76"/>
      <c r="G494" s="76"/>
      <c r="H494" s="76"/>
      <c r="I494" s="76"/>
      <c r="J494" s="76"/>
      <c r="K494" s="76"/>
      <c r="L494" s="76"/>
      <c r="M494" s="76"/>
      <c r="N494" s="76"/>
      <c r="O494" s="76"/>
      <c r="P494" s="76"/>
      <c r="Q494" s="76"/>
      <c r="R494" s="76"/>
      <c r="S494" s="76"/>
      <c r="T494" s="248" t="s">
        <v>5527</v>
      </c>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c r="AT494" s="76"/>
      <c r="AU494" s="76"/>
      <c r="AV494" s="76"/>
      <c r="AW494" s="76"/>
      <c r="AX494" s="76"/>
    </row>
    <row r="495" ht="15.75" customHeight="1">
      <c r="A495" s="249" t="s">
        <v>108</v>
      </c>
      <c r="B495" s="187" t="s">
        <v>3204</v>
      </c>
      <c r="C495" s="31"/>
      <c r="D495" s="31"/>
      <c r="E495" s="31"/>
      <c r="F495" s="76"/>
      <c r="G495" s="76"/>
      <c r="H495" s="76"/>
      <c r="I495" s="76"/>
      <c r="J495" s="76"/>
      <c r="K495" s="76"/>
      <c r="L495" s="76"/>
      <c r="M495" s="76"/>
      <c r="N495" s="76"/>
      <c r="O495" s="76"/>
      <c r="P495" s="76"/>
      <c r="Q495" s="76"/>
      <c r="R495" s="76"/>
      <c r="S495" s="76"/>
      <c r="T495" s="248" t="s">
        <v>5528</v>
      </c>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6"/>
      <c r="AS495" s="76"/>
      <c r="AT495" s="76"/>
      <c r="AU495" s="76"/>
      <c r="AV495" s="76"/>
      <c r="AW495" s="76"/>
      <c r="AX495" s="76"/>
    </row>
    <row r="496" ht="15.75" customHeight="1">
      <c r="A496" s="249" t="s">
        <v>108</v>
      </c>
      <c r="B496" s="187" t="s">
        <v>3205</v>
      </c>
      <c r="C496" s="31"/>
      <c r="D496" s="31"/>
      <c r="E496" s="31"/>
      <c r="F496" s="76"/>
      <c r="G496" s="76"/>
      <c r="H496" s="76"/>
      <c r="I496" s="76"/>
      <c r="J496" s="76"/>
      <c r="K496" s="76"/>
      <c r="L496" s="76"/>
      <c r="M496" s="76"/>
      <c r="N496" s="76"/>
      <c r="O496" s="76"/>
      <c r="P496" s="76"/>
      <c r="Q496" s="76"/>
      <c r="R496" s="76"/>
      <c r="S496" s="76"/>
      <c r="T496" s="248" t="s">
        <v>5529</v>
      </c>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6"/>
      <c r="AS496" s="76"/>
      <c r="AT496" s="76"/>
      <c r="AU496" s="76"/>
      <c r="AV496" s="76"/>
      <c r="AW496" s="76"/>
      <c r="AX496" s="76"/>
    </row>
    <row r="497" ht="15.75" customHeight="1">
      <c r="A497" s="169"/>
      <c r="B497" s="169"/>
      <c r="C497" s="31"/>
      <c r="D497" s="31"/>
      <c r="E497" s="31"/>
      <c r="F497" s="76"/>
      <c r="G497" s="76"/>
      <c r="H497" s="76"/>
      <c r="I497" s="76"/>
      <c r="J497" s="7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6"/>
      <c r="AS497" s="76"/>
      <c r="AT497" s="76"/>
      <c r="AU497" s="76"/>
      <c r="AV497" s="76"/>
      <c r="AW497" s="76"/>
      <c r="AX497" s="76"/>
    </row>
    <row r="498" ht="15.75" customHeight="1">
      <c r="A498" s="122" t="s">
        <v>150</v>
      </c>
      <c r="B498" s="123" t="s">
        <v>3214</v>
      </c>
      <c r="C498" s="31" t="s">
        <v>3215</v>
      </c>
      <c r="D498" s="31"/>
      <c r="E498" s="31"/>
      <c r="F498" s="70"/>
      <c r="G498" s="70"/>
      <c r="H498" s="70"/>
      <c r="I498" s="70"/>
      <c r="J498" s="71"/>
      <c r="K498" s="70"/>
      <c r="L498" s="70"/>
      <c r="M498" s="71"/>
      <c r="N498" s="71"/>
      <c r="O498" s="71"/>
      <c r="P498" s="70"/>
      <c r="Q498" s="70"/>
      <c r="R498" s="70"/>
      <c r="S498" s="70"/>
      <c r="T498" s="70"/>
      <c r="U498" s="70"/>
      <c r="V498" s="70"/>
      <c r="W498" s="70"/>
      <c r="X498" s="70"/>
      <c r="Y498" s="70"/>
      <c r="Z498" s="70"/>
      <c r="AA498" s="70"/>
      <c r="AB498" s="70"/>
      <c r="AC498" s="70"/>
      <c r="AD498" s="76"/>
      <c r="AE498" s="76"/>
      <c r="AF498" s="76"/>
      <c r="AG498" s="76"/>
      <c r="AH498" s="76"/>
      <c r="AI498" s="76"/>
      <c r="AJ498" s="76"/>
      <c r="AK498" s="76"/>
      <c r="AL498" s="76"/>
      <c r="AM498" s="76"/>
      <c r="AN498" s="76"/>
      <c r="AO498" s="76"/>
      <c r="AP498" s="76"/>
      <c r="AQ498" s="76"/>
      <c r="AR498" s="76"/>
      <c r="AS498" s="76"/>
      <c r="AT498" s="76"/>
      <c r="AU498" s="76"/>
      <c r="AV498" s="76"/>
      <c r="AW498" s="76"/>
      <c r="AX498" s="76"/>
    </row>
    <row r="499" ht="15.75" customHeight="1">
      <c r="A499" s="126" t="s">
        <v>42</v>
      </c>
      <c r="B499" s="127" t="s">
        <v>3220</v>
      </c>
      <c r="C499" s="31" t="s">
        <v>5530</v>
      </c>
      <c r="D499" s="31" t="s">
        <v>5531</v>
      </c>
      <c r="E499" s="31" t="s">
        <v>5532</v>
      </c>
      <c r="F499" s="31"/>
      <c r="G499" s="31"/>
      <c r="H499" s="31"/>
      <c r="I499" s="154"/>
      <c r="J499" s="154"/>
      <c r="K499" s="154"/>
      <c r="L499" s="154"/>
      <c r="M499" s="154"/>
      <c r="N499" s="154"/>
      <c r="O499" s="154"/>
      <c r="P499" s="154"/>
      <c r="Q499" s="154"/>
      <c r="R499" s="154"/>
      <c r="S499" s="154"/>
      <c r="T499" s="154"/>
      <c r="U499" s="154"/>
      <c r="V499" s="154"/>
      <c r="W499" s="154"/>
      <c r="X499" s="154"/>
      <c r="Y499" s="154"/>
      <c r="Z499" s="154"/>
      <c r="AA499" s="154"/>
      <c r="AB499" s="154"/>
      <c r="AC499" s="154"/>
      <c r="AD499" s="76"/>
      <c r="AE499" s="76"/>
      <c r="AF499" s="76"/>
      <c r="AG499" s="76"/>
      <c r="AH499" s="76"/>
      <c r="AI499" s="76"/>
      <c r="AJ499" s="76"/>
      <c r="AK499" s="76"/>
      <c r="AL499" s="76"/>
      <c r="AM499" s="76"/>
      <c r="AN499" s="76"/>
      <c r="AO499" s="76"/>
      <c r="AP499" s="76"/>
      <c r="AQ499" s="76"/>
      <c r="AR499" s="76"/>
      <c r="AS499" s="76"/>
      <c r="AT499" s="76"/>
      <c r="AU499" s="76"/>
      <c r="AV499" s="76"/>
      <c r="AW499" s="76"/>
      <c r="AX499" s="76"/>
    </row>
    <row r="500" ht="15.75" customHeight="1">
      <c r="A500" s="81" t="s">
        <v>485</v>
      </c>
      <c r="B500" s="142" t="s">
        <v>3226</v>
      </c>
      <c r="C500" s="31" t="s">
        <v>5533</v>
      </c>
      <c r="D500" s="31" t="s">
        <v>5534</v>
      </c>
      <c r="E500" s="31" t="s">
        <v>5535</v>
      </c>
      <c r="F500" s="31"/>
      <c r="G500" s="31"/>
      <c r="H500" s="31"/>
      <c r="I500" s="84"/>
      <c r="J500" s="159"/>
      <c r="K500" s="84"/>
      <c r="L500" s="84"/>
      <c r="M500" s="84"/>
      <c r="N500" s="84"/>
      <c r="O500" s="84"/>
      <c r="P500" s="84"/>
      <c r="Q500" s="84" t="s">
        <v>166</v>
      </c>
      <c r="R500" s="84"/>
      <c r="S500" s="84"/>
      <c r="T500" s="84"/>
      <c r="U500" s="84"/>
      <c r="V500" s="84"/>
      <c r="W500" s="84"/>
      <c r="X500" s="84"/>
      <c r="Y500" s="84"/>
      <c r="Z500" s="84"/>
      <c r="AA500" s="84"/>
      <c r="AB500" s="84"/>
      <c r="AC500" s="84"/>
      <c r="AD500" s="76"/>
      <c r="AE500" s="76"/>
      <c r="AF500" s="76"/>
      <c r="AG500" s="76"/>
      <c r="AH500" s="76"/>
      <c r="AI500" s="76"/>
      <c r="AJ500" s="76"/>
      <c r="AK500" s="76"/>
      <c r="AL500" s="76"/>
      <c r="AM500" s="76"/>
      <c r="AN500" s="76"/>
      <c r="AO500" s="76"/>
      <c r="AP500" s="76"/>
      <c r="AQ500" s="76"/>
      <c r="AR500" s="76"/>
      <c r="AS500" s="76"/>
      <c r="AT500" s="76"/>
      <c r="AU500" s="76"/>
      <c r="AV500" s="76"/>
      <c r="AW500" s="76"/>
      <c r="AX500" s="76"/>
    </row>
    <row r="501" ht="15.75" customHeight="1">
      <c r="A501" s="146" t="s">
        <v>237</v>
      </c>
      <c r="B501" s="147" t="s">
        <v>3237</v>
      </c>
      <c r="C501" s="31" t="s">
        <v>5536</v>
      </c>
      <c r="D501" s="31" t="s">
        <v>5537</v>
      </c>
      <c r="E501" s="31" t="s">
        <v>5538</v>
      </c>
      <c r="F501" s="31"/>
      <c r="G501" s="31"/>
      <c r="H501" s="31"/>
      <c r="I501" s="175"/>
      <c r="J501" s="175"/>
      <c r="K501" s="176"/>
      <c r="L501" s="176"/>
      <c r="M501" s="175"/>
      <c r="N501" s="175"/>
      <c r="O501" s="175" t="s">
        <v>5539</v>
      </c>
      <c r="P501" s="175"/>
      <c r="Q501" s="175" t="s">
        <v>166</v>
      </c>
      <c r="R501" s="175"/>
      <c r="S501" s="175"/>
      <c r="T501" s="175"/>
      <c r="U501" s="175"/>
      <c r="V501" s="175"/>
      <c r="W501" s="175"/>
      <c r="X501" s="175"/>
      <c r="Y501" s="175"/>
      <c r="Z501" s="175"/>
      <c r="AA501" s="175"/>
      <c r="AB501" s="175"/>
      <c r="AC501" s="175"/>
      <c r="AD501" s="76"/>
      <c r="AE501" s="76"/>
      <c r="AF501" s="76"/>
      <c r="AG501" s="76"/>
      <c r="AH501" s="76"/>
      <c r="AI501" s="76"/>
      <c r="AJ501" s="76"/>
      <c r="AK501" s="76"/>
      <c r="AL501" s="76"/>
      <c r="AM501" s="76"/>
      <c r="AN501" s="76"/>
      <c r="AO501" s="76"/>
      <c r="AP501" s="76"/>
      <c r="AQ501" s="76"/>
      <c r="AR501" s="76"/>
      <c r="AS501" s="76"/>
      <c r="AT501" s="76"/>
      <c r="AU501" s="76"/>
      <c r="AV501" s="76"/>
      <c r="AW501" s="76"/>
      <c r="AX501" s="76"/>
    </row>
    <row r="502" ht="15.75" customHeight="1">
      <c r="A502" s="81" t="s">
        <v>3244</v>
      </c>
      <c r="B502" s="142" t="s">
        <v>3245</v>
      </c>
      <c r="C502" s="31" t="s">
        <v>5540</v>
      </c>
      <c r="D502" s="31" t="s">
        <v>5541</v>
      </c>
      <c r="E502" s="31" t="s">
        <v>5542</v>
      </c>
      <c r="F502" s="31"/>
      <c r="G502" s="31"/>
      <c r="H502" s="31"/>
      <c r="I502" s="84"/>
      <c r="J502" s="159"/>
      <c r="K502" s="84" t="s">
        <v>2693</v>
      </c>
      <c r="L502" s="84"/>
      <c r="M502" s="84"/>
      <c r="N502" s="84"/>
      <c r="O502" s="84"/>
      <c r="P502" s="84"/>
      <c r="Q502" s="84" t="s">
        <v>166</v>
      </c>
      <c r="R502" s="84"/>
      <c r="S502" s="84"/>
      <c r="T502" s="84"/>
      <c r="U502" s="84"/>
      <c r="V502" s="84"/>
      <c r="W502" s="84"/>
      <c r="X502" s="84"/>
      <c r="Y502" s="84"/>
      <c r="Z502" s="84"/>
      <c r="AA502" s="84"/>
      <c r="AB502" s="84"/>
      <c r="AC502" s="84"/>
      <c r="AD502" s="76"/>
      <c r="AE502" s="76"/>
      <c r="AF502" s="76"/>
      <c r="AG502" s="76"/>
      <c r="AH502" s="76"/>
      <c r="AI502" s="76"/>
      <c r="AJ502" s="76"/>
      <c r="AK502" s="76"/>
      <c r="AL502" s="76"/>
      <c r="AM502" s="76"/>
      <c r="AN502" s="76"/>
      <c r="AO502" s="76"/>
      <c r="AP502" s="76"/>
      <c r="AQ502" s="76"/>
      <c r="AR502" s="76"/>
      <c r="AS502" s="76"/>
      <c r="AT502" s="76"/>
      <c r="AU502" s="76"/>
      <c r="AV502" s="76"/>
      <c r="AW502" s="76"/>
      <c r="AX502" s="76"/>
    </row>
    <row r="503" ht="15.75" customHeight="1">
      <c r="A503" s="81" t="s">
        <v>3252</v>
      </c>
      <c r="B503" s="142" t="s">
        <v>3253</v>
      </c>
      <c r="C503" s="31" t="s">
        <v>5543</v>
      </c>
      <c r="D503" s="31" t="s">
        <v>5544</v>
      </c>
      <c r="E503" s="31" t="s">
        <v>5545</v>
      </c>
      <c r="F503" s="31"/>
      <c r="G503" s="31"/>
      <c r="H503" s="31"/>
      <c r="I503" s="84"/>
      <c r="J503" s="159"/>
      <c r="K503" s="84" t="s">
        <v>2693</v>
      </c>
      <c r="L503" s="84"/>
      <c r="M503" s="84"/>
      <c r="N503" s="84"/>
      <c r="O503" s="84"/>
      <c r="P503" s="84"/>
      <c r="Q503" s="84" t="s">
        <v>166</v>
      </c>
      <c r="R503" s="84"/>
      <c r="S503" s="84"/>
      <c r="T503" s="84"/>
      <c r="U503" s="84"/>
      <c r="V503" s="84"/>
      <c r="W503" s="84"/>
      <c r="X503" s="84"/>
      <c r="Y503" s="84"/>
      <c r="Z503" s="84"/>
      <c r="AA503" s="84"/>
      <c r="AB503" s="84"/>
      <c r="AC503" s="84"/>
      <c r="AD503" s="76"/>
      <c r="AE503" s="76"/>
      <c r="AF503" s="76"/>
      <c r="AG503" s="76"/>
      <c r="AH503" s="76"/>
      <c r="AI503" s="76"/>
      <c r="AJ503" s="76"/>
      <c r="AK503" s="76"/>
      <c r="AL503" s="76"/>
      <c r="AM503" s="76"/>
      <c r="AN503" s="76"/>
      <c r="AO503" s="76"/>
      <c r="AP503" s="76"/>
      <c r="AQ503" s="76"/>
      <c r="AR503" s="76"/>
      <c r="AS503" s="76"/>
      <c r="AT503" s="76"/>
      <c r="AU503" s="76"/>
      <c r="AV503" s="76"/>
      <c r="AW503" s="76"/>
      <c r="AX503" s="76"/>
    </row>
    <row r="504" ht="15.75" customHeight="1">
      <c r="A504" s="104" t="s">
        <v>139</v>
      </c>
      <c r="B504" s="141" t="s">
        <v>3257</v>
      </c>
      <c r="C504" s="31"/>
      <c r="D504" s="31"/>
      <c r="E504" s="31"/>
      <c r="F504" s="108"/>
      <c r="G504" s="108"/>
      <c r="H504" s="108"/>
      <c r="I504" s="108"/>
      <c r="J504" s="108"/>
      <c r="K504" s="108"/>
      <c r="L504" s="108"/>
      <c r="M504" s="108"/>
      <c r="N504" s="108"/>
      <c r="O504" s="108"/>
      <c r="P504" s="108"/>
      <c r="Q504" s="108"/>
      <c r="R504" s="108"/>
      <c r="S504" s="108"/>
      <c r="T504" s="281" t="s">
        <v>145</v>
      </c>
      <c r="U504" s="108"/>
      <c r="V504" s="108"/>
      <c r="W504" s="108"/>
      <c r="X504" s="108"/>
      <c r="Y504" s="108"/>
      <c r="Z504" s="108"/>
      <c r="AA504" s="108"/>
      <c r="AB504" s="108"/>
      <c r="AC504" s="108"/>
      <c r="AD504" s="76"/>
      <c r="AE504" s="76"/>
      <c r="AF504" s="76"/>
      <c r="AG504" s="76"/>
      <c r="AH504" s="76"/>
      <c r="AI504" s="76"/>
      <c r="AJ504" s="76"/>
      <c r="AK504" s="76"/>
      <c r="AL504" s="76"/>
      <c r="AM504" s="76"/>
      <c r="AN504" s="76"/>
      <c r="AO504" s="76"/>
      <c r="AP504" s="76"/>
      <c r="AQ504" s="76"/>
      <c r="AR504" s="76"/>
      <c r="AS504" s="76"/>
      <c r="AT504" s="76"/>
      <c r="AU504" s="76"/>
      <c r="AV504" s="76"/>
      <c r="AW504" s="76"/>
      <c r="AX504" s="76"/>
    </row>
    <row r="505" ht="15.75" customHeight="1">
      <c r="A505" s="144" t="s">
        <v>648</v>
      </c>
      <c r="B505" s="145" t="s">
        <v>3258</v>
      </c>
      <c r="C505" s="31" t="s">
        <v>3259</v>
      </c>
      <c r="D505" s="31" t="s">
        <v>3260</v>
      </c>
      <c r="E505" s="31" t="s">
        <v>3261</v>
      </c>
      <c r="F505" s="173"/>
      <c r="G505" s="173"/>
      <c r="H505" s="173"/>
      <c r="I505" s="173"/>
      <c r="J505" s="173"/>
      <c r="K505" s="173"/>
      <c r="L505" s="173"/>
      <c r="M505" s="174"/>
      <c r="N505" s="174"/>
      <c r="O505" s="174" t="s">
        <v>5546</v>
      </c>
      <c r="P505" s="173"/>
      <c r="Q505" s="173"/>
      <c r="R505" s="173"/>
      <c r="S505" s="173"/>
      <c r="T505" s="173"/>
      <c r="U505" s="174" t="s">
        <v>5547</v>
      </c>
      <c r="V505" s="173"/>
      <c r="W505" s="173"/>
      <c r="X505" s="173"/>
      <c r="Y505" s="173"/>
      <c r="Z505" s="173"/>
      <c r="AA505" s="173"/>
      <c r="AB505" s="173"/>
      <c r="AC505" s="173"/>
      <c r="AD505" s="76"/>
      <c r="AE505" s="76"/>
      <c r="AF505" s="76"/>
      <c r="AG505" s="76"/>
      <c r="AH505" s="76"/>
      <c r="AI505" s="76"/>
      <c r="AJ505" s="76"/>
      <c r="AK505" s="76"/>
      <c r="AL505" s="76"/>
      <c r="AM505" s="76"/>
      <c r="AN505" s="76"/>
      <c r="AO505" s="76"/>
      <c r="AP505" s="76"/>
      <c r="AQ505" s="76"/>
      <c r="AR505" s="76"/>
      <c r="AS505" s="76"/>
      <c r="AT505" s="76"/>
      <c r="AU505" s="76"/>
      <c r="AV505" s="76"/>
      <c r="AW505" s="76"/>
      <c r="AX505" s="76"/>
    </row>
    <row r="506" ht="15.75" customHeight="1">
      <c r="A506" s="104" t="s">
        <v>108</v>
      </c>
      <c r="B506" s="105" t="s">
        <v>3269</v>
      </c>
      <c r="C506" s="31" t="s">
        <v>3270</v>
      </c>
      <c r="D506" s="31" t="s">
        <v>3271</v>
      </c>
      <c r="E506" s="31" t="s">
        <v>3272</v>
      </c>
      <c r="F506" s="108"/>
      <c r="G506" s="108"/>
      <c r="H506" s="108"/>
      <c r="I506" s="108"/>
      <c r="J506" s="108"/>
      <c r="K506" s="108"/>
      <c r="L506" s="108"/>
      <c r="M506" s="108"/>
      <c r="N506" s="108"/>
      <c r="O506" s="108"/>
      <c r="P506" s="108"/>
      <c r="Q506" s="108"/>
      <c r="R506" s="108"/>
      <c r="S506" s="108"/>
      <c r="T506" s="121" t="s">
        <v>5548</v>
      </c>
      <c r="U506" s="108"/>
      <c r="V506" s="108"/>
      <c r="W506" s="108"/>
      <c r="X506" s="108"/>
      <c r="Y506" s="108"/>
      <c r="Z506" s="108"/>
      <c r="AA506" s="108"/>
      <c r="AB506" s="108"/>
      <c r="AC506" s="108"/>
      <c r="AD506" s="76"/>
      <c r="AE506" s="76"/>
      <c r="AF506" s="76"/>
      <c r="AG506" s="76"/>
      <c r="AH506" s="76"/>
      <c r="AI506" s="76"/>
      <c r="AJ506" s="76"/>
      <c r="AK506" s="76"/>
      <c r="AL506" s="76"/>
      <c r="AM506" s="76"/>
      <c r="AN506" s="76"/>
      <c r="AO506" s="76"/>
      <c r="AP506" s="76"/>
      <c r="AQ506" s="76"/>
      <c r="AR506" s="76"/>
      <c r="AS506" s="76"/>
      <c r="AT506" s="76"/>
      <c r="AU506" s="76"/>
      <c r="AV506" s="76"/>
      <c r="AW506" s="76"/>
      <c r="AX506" s="76"/>
    </row>
    <row r="507" ht="15.75" customHeight="1">
      <c r="A507" s="146" t="s">
        <v>237</v>
      </c>
      <c r="B507" s="147" t="s">
        <v>3276</v>
      </c>
      <c r="C507" s="31" t="s">
        <v>5549</v>
      </c>
      <c r="D507" s="31" t="s">
        <v>5550</v>
      </c>
      <c r="E507" s="31" t="s">
        <v>5551</v>
      </c>
      <c r="F507" s="31"/>
      <c r="G507" s="31"/>
      <c r="H507" s="31"/>
      <c r="I507" s="175"/>
      <c r="J507" s="175"/>
      <c r="K507" s="176" t="s">
        <v>5552</v>
      </c>
      <c r="L507" s="176"/>
      <c r="M507" s="175"/>
      <c r="N507" s="175"/>
      <c r="O507" s="175"/>
      <c r="P507" s="175"/>
      <c r="Q507" s="175" t="s">
        <v>166</v>
      </c>
      <c r="R507" s="175"/>
      <c r="S507" s="175"/>
      <c r="T507" s="175"/>
      <c r="U507" s="175"/>
      <c r="V507" s="175"/>
      <c r="W507" s="175"/>
      <c r="X507" s="175"/>
      <c r="Y507" s="175"/>
      <c r="Z507" s="175"/>
      <c r="AA507" s="175"/>
      <c r="AB507" s="175"/>
      <c r="AC507" s="175"/>
      <c r="AD507" s="76"/>
      <c r="AE507" s="76"/>
      <c r="AF507" s="76"/>
      <c r="AG507" s="76"/>
      <c r="AH507" s="76"/>
      <c r="AI507" s="76"/>
      <c r="AJ507" s="76"/>
      <c r="AK507" s="76"/>
      <c r="AL507" s="76"/>
      <c r="AM507" s="76"/>
      <c r="AN507" s="76"/>
      <c r="AO507" s="76"/>
      <c r="AP507" s="76"/>
      <c r="AQ507" s="76"/>
      <c r="AR507" s="76"/>
      <c r="AS507" s="76"/>
      <c r="AT507" s="76"/>
      <c r="AU507" s="76"/>
      <c r="AV507" s="76"/>
      <c r="AW507" s="76"/>
      <c r="AX507" s="76"/>
    </row>
    <row r="508" ht="15.75" customHeight="1">
      <c r="A508" s="146" t="s">
        <v>237</v>
      </c>
      <c r="B508" s="147" t="s">
        <v>3283</v>
      </c>
      <c r="C508" s="31" t="s">
        <v>5553</v>
      </c>
      <c r="D508" s="31" t="s">
        <v>5554</v>
      </c>
      <c r="E508" s="31" t="s">
        <v>5555</v>
      </c>
      <c r="F508" s="31"/>
      <c r="G508" s="31"/>
      <c r="H508" s="31"/>
      <c r="I508" s="175"/>
      <c r="J508" s="175"/>
      <c r="K508" s="176"/>
      <c r="L508" s="176"/>
      <c r="M508" s="175"/>
      <c r="N508" s="175"/>
      <c r="O508" s="175"/>
      <c r="P508" s="175"/>
      <c r="Q508" s="175" t="s">
        <v>166</v>
      </c>
      <c r="R508" s="175"/>
      <c r="S508" s="175"/>
      <c r="T508" s="175"/>
      <c r="U508" s="175"/>
      <c r="V508" s="175"/>
      <c r="W508" s="175"/>
      <c r="X508" s="175"/>
      <c r="Y508" s="175"/>
      <c r="Z508" s="175"/>
      <c r="AA508" s="175"/>
      <c r="AB508" s="175"/>
      <c r="AC508" s="175"/>
      <c r="AD508" s="76"/>
      <c r="AE508" s="76"/>
      <c r="AF508" s="76"/>
      <c r="AG508" s="76"/>
      <c r="AH508" s="76"/>
      <c r="AI508" s="76"/>
      <c r="AJ508" s="76"/>
      <c r="AK508" s="76"/>
      <c r="AL508" s="76"/>
      <c r="AM508" s="76"/>
      <c r="AN508" s="76"/>
      <c r="AO508" s="76"/>
      <c r="AP508" s="76"/>
      <c r="AQ508" s="76"/>
      <c r="AR508" s="76"/>
      <c r="AS508" s="76"/>
      <c r="AT508" s="76"/>
      <c r="AU508" s="76"/>
      <c r="AV508" s="76"/>
      <c r="AW508" s="76"/>
      <c r="AX508" s="76"/>
    </row>
    <row r="509" ht="15.75" customHeight="1">
      <c r="A509" s="144" t="s">
        <v>691</v>
      </c>
      <c r="B509" s="150" t="s">
        <v>3258</v>
      </c>
      <c r="C509" s="31" t="s">
        <v>3259</v>
      </c>
      <c r="D509" s="31" t="s">
        <v>3260</v>
      </c>
      <c r="E509" s="31" t="s">
        <v>3261</v>
      </c>
      <c r="F509" s="173"/>
      <c r="G509" s="173"/>
      <c r="H509" s="173"/>
      <c r="I509" s="173"/>
      <c r="J509" s="173"/>
      <c r="K509" s="173"/>
      <c r="L509" s="173"/>
      <c r="M509" s="173"/>
      <c r="N509" s="173"/>
      <c r="O509" s="173"/>
      <c r="P509" s="173"/>
      <c r="Q509" s="173"/>
      <c r="R509" s="173"/>
      <c r="S509" s="173"/>
      <c r="T509" s="173"/>
      <c r="U509" s="173"/>
      <c r="V509" s="173"/>
      <c r="W509" s="173"/>
      <c r="X509" s="173"/>
      <c r="Y509" s="173"/>
      <c r="Z509" s="173"/>
      <c r="AA509" s="173"/>
      <c r="AB509" s="173"/>
      <c r="AC509" s="173"/>
      <c r="AD509" s="76"/>
      <c r="AE509" s="76"/>
      <c r="AF509" s="76"/>
      <c r="AG509" s="76"/>
      <c r="AH509" s="76"/>
      <c r="AI509" s="76"/>
      <c r="AJ509" s="76"/>
      <c r="AK509" s="76"/>
      <c r="AL509" s="76"/>
      <c r="AM509" s="76"/>
      <c r="AN509" s="76"/>
      <c r="AO509" s="76"/>
      <c r="AP509" s="76"/>
      <c r="AQ509" s="76"/>
      <c r="AR509" s="76"/>
      <c r="AS509" s="76"/>
      <c r="AT509" s="76"/>
      <c r="AU509" s="76"/>
      <c r="AV509" s="76"/>
      <c r="AW509" s="76"/>
      <c r="AX509" s="76"/>
    </row>
    <row r="510" ht="15.75" customHeight="1">
      <c r="A510" s="104" t="s">
        <v>139</v>
      </c>
      <c r="B510" s="141" t="s">
        <v>3297</v>
      </c>
      <c r="C510" s="31"/>
      <c r="D510" s="31"/>
      <c r="E510" s="31"/>
      <c r="F510" s="108"/>
      <c r="G510" s="108"/>
      <c r="H510" s="108"/>
      <c r="I510" s="108"/>
      <c r="J510" s="108"/>
      <c r="K510" s="108"/>
      <c r="L510" s="108"/>
      <c r="M510" s="108"/>
      <c r="N510" s="108"/>
      <c r="O510" s="108"/>
      <c r="P510" s="108"/>
      <c r="Q510" s="108"/>
      <c r="R510" s="108"/>
      <c r="S510" s="108"/>
      <c r="T510" s="281" t="s">
        <v>145</v>
      </c>
      <c r="U510" s="108"/>
      <c r="V510" s="108"/>
      <c r="W510" s="108"/>
      <c r="X510" s="108"/>
      <c r="Y510" s="108"/>
      <c r="Z510" s="108"/>
      <c r="AA510" s="108"/>
      <c r="AB510" s="108"/>
      <c r="AC510" s="108"/>
      <c r="AD510" s="76"/>
      <c r="AE510" s="76"/>
      <c r="AF510" s="76"/>
      <c r="AG510" s="76"/>
      <c r="AH510" s="76"/>
      <c r="AI510" s="76"/>
      <c r="AJ510" s="76"/>
      <c r="AK510" s="76"/>
      <c r="AL510" s="76"/>
      <c r="AM510" s="76"/>
      <c r="AN510" s="76"/>
      <c r="AO510" s="76"/>
      <c r="AP510" s="76"/>
      <c r="AQ510" s="76"/>
      <c r="AR510" s="76"/>
      <c r="AS510" s="76"/>
      <c r="AT510" s="76"/>
      <c r="AU510" s="76"/>
      <c r="AV510" s="76"/>
      <c r="AW510" s="76"/>
      <c r="AX510" s="76"/>
    </row>
    <row r="511" ht="15.75" customHeight="1">
      <c r="A511" s="67" t="s">
        <v>108</v>
      </c>
      <c r="B511" s="69" t="s">
        <v>3301</v>
      </c>
      <c r="C511" s="31"/>
      <c r="D511" s="31"/>
      <c r="E511" s="31"/>
      <c r="F511" s="70"/>
      <c r="G511" s="70"/>
      <c r="H511" s="70"/>
      <c r="I511" s="71"/>
      <c r="J511" s="71"/>
      <c r="K511" s="70"/>
      <c r="L511" s="71"/>
      <c r="M511" s="71"/>
      <c r="N511" s="71"/>
      <c r="O511" s="71"/>
      <c r="P511" s="70"/>
      <c r="Q511" s="70"/>
      <c r="R511" s="70"/>
      <c r="S511" s="70"/>
      <c r="T511" s="67" t="s">
        <v>5556</v>
      </c>
      <c r="U511" s="70"/>
      <c r="V511" s="70"/>
      <c r="W511" s="70"/>
      <c r="X511" s="70"/>
      <c r="Y511" s="70"/>
      <c r="Z511" s="70"/>
      <c r="AA511" s="70"/>
      <c r="AB511" s="70"/>
      <c r="AC511" s="70"/>
      <c r="AD511" s="76"/>
      <c r="AE511" s="76"/>
      <c r="AF511" s="76"/>
      <c r="AG511" s="76"/>
      <c r="AH511" s="76"/>
      <c r="AI511" s="76"/>
      <c r="AJ511" s="76"/>
      <c r="AK511" s="76"/>
      <c r="AL511" s="76"/>
      <c r="AM511" s="76"/>
      <c r="AN511" s="76"/>
      <c r="AO511" s="76"/>
      <c r="AP511" s="76"/>
      <c r="AQ511" s="76"/>
      <c r="AR511" s="76"/>
      <c r="AS511" s="76"/>
      <c r="AT511" s="76"/>
      <c r="AU511" s="76"/>
      <c r="AV511" s="76"/>
      <c r="AW511" s="76"/>
      <c r="AX511" s="76"/>
    </row>
    <row r="512" ht="15.75" customHeight="1">
      <c r="A512" s="104" t="s">
        <v>139</v>
      </c>
      <c r="B512" s="141" t="s">
        <v>3308</v>
      </c>
      <c r="C512" s="31"/>
      <c r="D512" s="31"/>
      <c r="E512" s="31"/>
      <c r="F512" s="108"/>
      <c r="G512" s="108"/>
      <c r="H512" s="108"/>
      <c r="I512" s="108"/>
      <c r="J512" s="108"/>
      <c r="K512" s="108"/>
      <c r="L512" s="108"/>
      <c r="M512" s="108"/>
      <c r="N512" s="108"/>
      <c r="O512" s="108"/>
      <c r="P512" s="254" t="s">
        <v>166</v>
      </c>
      <c r="Q512" s="108"/>
      <c r="R512" s="108"/>
      <c r="S512" s="108"/>
      <c r="T512" s="281" t="s">
        <v>145</v>
      </c>
      <c r="U512" s="108"/>
      <c r="V512" s="108"/>
      <c r="W512" s="108"/>
      <c r="X512" s="108"/>
      <c r="Y512" s="108"/>
      <c r="Z512" s="108"/>
      <c r="AA512" s="108"/>
      <c r="AB512" s="108"/>
      <c r="AC512" s="108"/>
      <c r="AD512" s="76"/>
      <c r="AE512" s="76"/>
      <c r="AF512" s="76"/>
      <c r="AG512" s="76"/>
      <c r="AH512" s="76"/>
      <c r="AI512" s="76"/>
      <c r="AJ512" s="76"/>
      <c r="AK512" s="76"/>
      <c r="AL512" s="76"/>
      <c r="AM512" s="76"/>
      <c r="AN512" s="76"/>
      <c r="AO512" s="76"/>
      <c r="AP512" s="76"/>
      <c r="AQ512" s="76"/>
      <c r="AR512" s="76"/>
      <c r="AS512" s="76"/>
      <c r="AT512" s="76"/>
      <c r="AU512" s="76"/>
      <c r="AV512" s="76"/>
      <c r="AW512" s="76"/>
      <c r="AX512" s="76"/>
    </row>
    <row r="513" ht="15.75" customHeight="1">
      <c r="A513" s="126" t="s">
        <v>42</v>
      </c>
      <c r="B513" s="127" t="s">
        <v>3312</v>
      </c>
      <c r="C513" s="31" t="s">
        <v>5557</v>
      </c>
      <c r="D513" s="31" t="s">
        <v>5558</v>
      </c>
      <c r="E513" s="31" t="s">
        <v>5559</v>
      </c>
      <c r="F513" s="31"/>
      <c r="G513" s="31"/>
      <c r="H513" s="31"/>
      <c r="I513" s="154"/>
      <c r="J513" s="154"/>
      <c r="K513" s="154"/>
      <c r="L513" s="154"/>
      <c r="M513" s="154"/>
      <c r="N513" s="154"/>
      <c r="O513" s="154"/>
      <c r="P513" s="254" t="s">
        <v>166</v>
      </c>
      <c r="Q513" s="154"/>
      <c r="R513" s="154"/>
      <c r="S513" s="154"/>
      <c r="T513" s="154"/>
      <c r="U513" s="154"/>
      <c r="V513" s="154"/>
      <c r="W513" s="154"/>
      <c r="X513" s="154"/>
      <c r="Y513" s="154"/>
      <c r="Z513" s="154"/>
      <c r="AA513" s="154"/>
      <c r="AB513" s="154"/>
      <c r="AC513" s="154"/>
      <c r="AD513" s="76"/>
      <c r="AE513" s="76"/>
      <c r="AF513" s="76"/>
      <c r="AG513" s="76"/>
      <c r="AH513" s="76"/>
      <c r="AI513" s="76"/>
      <c r="AJ513" s="76"/>
      <c r="AK513" s="76"/>
      <c r="AL513" s="76"/>
      <c r="AM513" s="76"/>
      <c r="AN513" s="76"/>
      <c r="AO513" s="76"/>
      <c r="AP513" s="76"/>
      <c r="AQ513" s="76"/>
      <c r="AR513" s="76"/>
      <c r="AS513" s="76"/>
      <c r="AT513" s="76"/>
      <c r="AU513" s="76"/>
      <c r="AV513" s="76"/>
      <c r="AW513" s="76"/>
      <c r="AX513" s="76"/>
    </row>
    <row r="514" ht="15.75" customHeight="1">
      <c r="A514" s="252" t="s">
        <v>259</v>
      </c>
      <c r="B514" s="253" t="s">
        <v>3319</v>
      </c>
      <c r="C514" s="31" t="s">
        <v>5560</v>
      </c>
      <c r="D514" s="31" t="s">
        <v>5561</v>
      </c>
      <c r="E514" s="31" t="s">
        <v>5562</v>
      </c>
      <c r="F514" s="31"/>
      <c r="G514" s="31"/>
      <c r="H514" s="31"/>
      <c r="I514" s="283"/>
      <c r="J514" s="283"/>
      <c r="K514" s="284"/>
      <c r="L514" s="284"/>
      <c r="M514" s="283"/>
      <c r="N514" s="283"/>
      <c r="O514" s="283"/>
      <c r="P514" s="254" t="s">
        <v>166</v>
      </c>
      <c r="Q514" s="283" t="s">
        <v>166</v>
      </c>
      <c r="R514" s="283"/>
      <c r="S514" s="283"/>
      <c r="T514" s="283"/>
      <c r="U514" s="283"/>
      <c r="V514" s="283"/>
      <c r="W514" s="283"/>
      <c r="X514" s="283"/>
      <c r="Y514" s="283"/>
      <c r="Z514" s="283"/>
      <c r="AA514" s="283"/>
      <c r="AB514" s="283"/>
      <c r="AC514" s="283"/>
      <c r="AD514" s="76"/>
      <c r="AE514" s="76"/>
      <c r="AF514" s="76"/>
      <c r="AG514" s="76"/>
      <c r="AH514" s="76"/>
      <c r="AI514" s="76"/>
      <c r="AJ514" s="76"/>
      <c r="AK514" s="76"/>
      <c r="AL514" s="76"/>
      <c r="AM514" s="76"/>
      <c r="AN514" s="76"/>
      <c r="AO514" s="76"/>
      <c r="AP514" s="76"/>
      <c r="AQ514" s="76"/>
      <c r="AR514" s="76"/>
      <c r="AS514" s="76"/>
      <c r="AT514" s="76"/>
      <c r="AU514" s="76"/>
      <c r="AV514" s="76"/>
      <c r="AW514" s="76"/>
      <c r="AX514" s="76"/>
    </row>
    <row r="515" ht="15.75" customHeight="1">
      <c r="A515" s="252" t="s">
        <v>259</v>
      </c>
      <c r="B515" s="253" t="s">
        <v>3326</v>
      </c>
      <c r="C515" s="31" t="s">
        <v>5563</v>
      </c>
      <c r="D515" s="31" t="s">
        <v>5564</v>
      </c>
      <c r="E515" s="31" t="s">
        <v>5565</v>
      </c>
      <c r="F515" s="31"/>
      <c r="G515" s="31"/>
      <c r="H515" s="31"/>
      <c r="I515" s="283"/>
      <c r="J515" s="283"/>
      <c r="K515" s="284" t="s">
        <v>5566</v>
      </c>
      <c r="L515" s="284"/>
      <c r="M515" s="283"/>
      <c r="N515" s="283"/>
      <c r="O515" s="283"/>
      <c r="P515" s="254" t="s">
        <v>166</v>
      </c>
      <c r="Q515" s="283" t="s">
        <v>166</v>
      </c>
      <c r="R515" s="283"/>
      <c r="S515" s="283"/>
      <c r="T515" s="283"/>
      <c r="U515" s="283"/>
      <c r="V515" s="283"/>
      <c r="W515" s="283"/>
      <c r="X515" s="283"/>
      <c r="Y515" s="283"/>
      <c r="Z515" s="283"/>
      <c r="AA515" s="283"/>
      <c r="AB515" s="283"/>
      <c r="AC515" s="283"/>
      <c r="AD515" s="76"/>
      <c r="AE515" s="76"/>
      <c r="AF515" s="76"/>
      <c r="AG515" s="76"/>
      <c r="AH515" s="76"/>
      <c r="AI515" s="76"/>
      <c r="AJ515" s="76"/>
      <c r="AK515" s="76"/>
      <c r="AL515" s="76"/>
      <c r="AM515" s="76"/>
      <c r="AN515" s="76"/>
      <c r="AO515" s="76"/>
      <c r="AP515" s="76"/>
      <c r="AQ515" s="76"/>
      <c r="AR515" s="76"/>
      <c r="AS515" s="76"/>
      <c r="AT515" s="76"/>
      <c r="AU515" s="76"/>
      <c r="AV515" s="76"/>
      <c r="AW515" s="76"/>
      <c r="AX515" s="76"/>
    </row>
    <row r="516" ht="15.75" customHeight="1">
      <c r="A516" s="252" t="s">
        <v>259</v>
      </c>
      <c r="B516" s="253" t="s">
        <v>3330</v>
      </c>
      <c r="C516" s="31" t="s">
        <v>5567</v>
      </c>
      <c r="D516" s="31" t="s">
        <v>5568</v>
      </c>
      <c r="E516" s="31" t="s">
        <v>5569</v>
      </c>
      <c r="F516" s="31"/>
      <c r="G516" s="31"/>
      <c r="H516" s="31"/>
      <c r="I516" s="283"/>
      <c r="J516" s="283"/>
      <c r="K516" s="284" t="s">
        <v>5566</v>
      </c>
      <c r="L516" s="284"/>
      <c r="M516" s="283"/>
      <c r="N516" s="283"/>
      <c r="O516" s="283"/>
      <c r="P516" s="254" t="s">
        <v>166</v>
      </c>
      <c r="Q516" s="283" t="s">
        <v>166</v>
      </c>
      <c r="R516" s="283"/>
      <c r="S516" s="283"/>
      <c r="T516" s="283"/>
      <c r="U516" s="283"/>
      <c r="V516" s="283"/>
      <c r="W516" s="283"/>
      <c r="X516" s="283"/>
      <c r="Y516" s="283"/>
      <c r="Z516" s="283"/>
      <c r="AA516" s="283"/>
      <c r="AB516" s="283"/>
      <c r="AC516" s="283"/>
      <c r="AD516" s="76"/>
      <c r="AE516" s="76"/>
      <c r="AF516" s="76"/>
      <c r="AG516" s="76"/>
      <c r="AH516" s="76"/>
      <c r="AI516" s="76"/>
      <c r="AJ516" s="76"/>
      <c r="AK516" s="76"/>
      <c r="AL516" s="76"/>
      <c r="AM516" s="76"/>
      <c r="AN516" s="76"/>
      <c r="AO516" s="76"/>
      <c r="AP516" s="76"/>
      <c r="AQ516" s="76"/>
      <c r="AR516" s="76"/>
      <c r="AS516" s="76"/>
      <c r="AT516" s="76"/>
      <c r="AU516" s="76"/>
      <c r="AV516" s="76"/>
      <c r="AW516" s="76"/>
      <c r="AX516" s="76"/>
    </row>
    <row r="517" ht="15.75" customHeight="1">
      <c r="A517" s="252" t="s">
        <v>259</v>
      </c>
      <c r="B517" s="253" t="s">
        <v>3337</v>
      </c>
      <c r="C517" s="31" t="s">
        <v>5570</v>
      </c>
      <c r="D517" s="31" t="s">
        <v>5571</v>
      </c>
      <c r="E517" s="31" t="s">
        <v>5572</v>
      </c>
      <c r="F517" s="31"/>
      <c r="G517" s="31"/>
      <c r="H517" s="31"/>
      <c r="I517" s="283"/>
      <c r="J517" s="283"/>
      <c r="K517" s="284" t="s">
        <v>5566</v>
      </c>
      <c r="L517" s="284"/>
      <c r="M517" s="283"/>
      <c r="N517" s="283"/>
      <c r="O517" s="283"/>
      <c r="P517" s="254" t="s">
        <v>166</v>
      </c>
      <c r="Q517" s="283" t="s">
        <v>166</v>
      </c>
      <c r="R517" s="283"/>
      <c r="S517" s="283"/>
      <c r="T517" s="283"/>
      <c r="U517" s="283"/>
      <c r="V517" s="283"/>
      <c r="W517" s="283"/>
      <c r="X517" s="283"/>
      <c r="Y517" s="283"/>
      <c r="Z517" s="283"/>
      <c r="AA517" s="283"/>
      <c r="AB517" s="283"/>
      <c r="AC517" s="283"/>
      <c r="AD517" s="76"/>
      <c r="AE517" s="76"/>
      <c r="AF517" s="76"/>
      <c r="AG517" s="76"/>
      <c r="AH517" s="76"/>
      <c r="AI517" s="76"/>
      <c r="AJ517" s="76"/>
      <c r="AK517" s="76"/>
      <c r="AL517" s="76"/>
      <c r="AM517" s="76"/>
      <c r="AN517" s="76"/>
      <c r="AO517" s="76"/>
      <c r="AP517" s="76"/>
      <c r="AQ517" s="76"/>
      <c r="AR517" s="76"/>
      <c r="AS517" s="76"/>
      <c r="AT517" s="76"/>
      <c r="AU517" s="76"/>
      <c r="AV517" s="76"/>
      <c r="AW517" s="76"/>
      <c r="AX517" s="76"/>
    </row>
    <row r="518" ht="15.75" customHeight="1">
      <c r="A518" s="252" t="s">
        <v>259</v>
      </c>
      <c r="B518" s="253" t="s">
        <v>3341</v>
      </c>
      <c r="C518" s="31" t="s">
        <v>5573</v>
      </c>
      <c r="D518" s="31" t="s">
        <v>5574</v>
      </c>
      <c r="E518" s="31" t="s">
        <v>5575</v>
      </c>
      <c r="F518" s="31"/>
      <c r="G518" s="31"/>
      <c r="H518" s="31"/>
      <c r="I518" s="283"/>
      <c r="J518" s="283"/>
      <c r="K518" s="284" t="s">
        <v>5566</v>
      </c>
      <c r="L518" s="284"/>
      <c r="M518" s="283"/>
      <c r="N518" s="283"/>
      <c r="O518" s="283"/>
      <c r="P518" s="254" t="s">
        <v>166</v>
      </c>
      <c r="Q518" s="283" t="s">
        <v>166</v>
      </c>
      <c r="R518" s="283"/>
      <c r="S518" s="283"/>
      <c r="T518" s="283"/>
      <c r="U518" s="283"/>
      <c r="V518" s="283"/>
      <c r="W518" s="283"/>
      <c r="X518" s="283"/>
      <c r="Y518" s="283"/>
      <c r="Z518" s="283"/>
      <c r="AA518" s="283"/>
      <c r="AB518" s="283"/>
      <c r="AC518" s="283"/>
      <c r="AD518" s="76"/>
      <c r="AE518" s="76"/>
      <c r="AF518" s="76"/>
      <c r="AG518" s="76"/>
      <c r="AH518" s="76"/>
      <c r="AI518" s="76"/>
      <c r="AJ518" s="76"/>
      <c r="AK518" s="76"/>
      <c r="AL518" s="76"/>
      <c r="AM518" s="76"/>
      <c r="AN518" s="76"/>
      <c r="AO518" s="76"/>
      <c r="AP518" s="76"/>
      <c r="AQ518" s="76"/>
      <c r="AR518" s="76"/>
      <c r="AS518" s="76"/>
      <c r="AT518" s="76"/>
      <c r="AU518" s="76"/>
      <c r="AV518" s="76"/>
      <c r="AW518" s="76"/>
      <c r="AX518" s="76"/>
    </row>
    <row r="519" ht="15.75" customHeight="1">
      <c r="A519" s="146" t="s">
        <v>237</v>
      </c>
      <c r="B519" s="147" t="s">
        <v>3345</v>
      </c>
      <c r="C519" s="31" t="s">
        <v>5576</v>
      </c>
      <c r="D519" s="31" t="s">
        <v>5577</v>
      </c>
      <c r="E519" s="31" t="s">
        <v>5578</v>
      </c>
      <c r="F519" s="31" t="s">
        <v>5579</v>
      </c>
      <c r="G519" s="31" t="s">
        <v>5580</v>
      </c>
      <c r="H519" s="31" t="s">
        <v>5581</v>
      </c>
      <c r="I519" s="175"/>
      <c r="J519" s="175"/>
      <c r="K519" s="176"/>
      <c r="L519" s="176"/>
      <c r="M519" s="175"/>
      <c r="N519" s="175"/>
      <c r="O519" s="175" t="s">
        <v>5582</v>
      </c>
      <c r="P519" s="254" t="s">
        <v>166</v>
      </c>
      <c r="Q519" s="175" t="s">
        <v>166</v>
      </c>
      <c r="R519" s="175"/>
      <c r="S519" s="175"/>
      <c r="T519" s="175"/>
      <c r="U519" s="175"/>
      <c r="V519" s="175"/>
      <c r="W519" s="175"/>
      <c r="X519" s="175"/>
      <c r="Y519" s="175"/>
      <c r="Z519" s="175"/>
      <c r="AA519" s="175"/>
      <c r="AB519" s="175"/>
      <c r="AC519" s="175"/>
      <c r="AD519" s="76"/>
      <c r="AE519" s="76"/>
      <c r="AF519" s="76"/>
      <c r="AG519" s="76"/>
      <c r="AH519" s="76"/>
      <c r="AI519" s="76"/>
      <c r="AJ519" s="76"/>
      <c r="AK519" s="76"/>
      <c r="AL519" s="76"/>
      <c r="AM519" s="76"/>
      <c r="AN519" s="76"/>
      <c r="AO519" s="76"/>
      <c r="AP519" s="76"/>
      <c r="AQ519" s="76"/>
      <c r="AR519" s="76"/>
      <c r="AS519" s="76"/>
      <c r="AT519" s="76"/>
      <c r="AU519" s="76"/>
      <c r="AV519" s="76"/>
      <c r="AW519" s="76"/>
      <c r="AX519" s="76"/>
    </row>
    <row r="520" ht="15.75" customHeight="1">
      <c r="A520" s="104" t="s">
        <v>139</v>
      </c>
      <c r="B520" s="141" t="s">
        <v>3356</v>
      </c>
      <c r="C520" s="31"/>
      <c r="D520" s="31"/>
      <c r="E520" s="31"/>
      <c r="F520" s="108"/>
      <c r="G520" s="108"/>
      <c r="H520" s="108"/>
      <c r="I520" s="108"/>
      <c r="J520" s="108"/>
      <c r="K520" s="108"/>
      <c r="L520" s="108"/>
      <c r="M520" s="108"/>
      <c r="N520" s="108"/>
      <c r="O520" s="108"/>
      <c r="P520" s="254" t="s">
        <v>166</v>
      </c>
      <c r="Q520" s="108"/>
      <c r="R520" s="108"/>
      <c r="S520" s="108"/>
      <c r="T520" s="281" t="s">
        <v>145</v>
      </c>
      <c r="U520" s="108"/>
      <c r="V520" s="108"/>
      <c r="W520" s="108"/>
      <c r="X520" s="108"/>
      <c r="Y520" s="108"/>
      <c r="Z520" s="108"/>
      <c r="AA520" s="108"/>
      <c r="AB520" s="108"/>
      <c r="AC520" s="108"/>
      <c r="AD520" s="76"/>
      <c r="AE520" s="76"/>
      <c r="AF520" s="76"/>
      <c r="AG520" s="76"/>
      <c r="AH520" s="76"/>
      <c r="AI520" s="76"/>
      <c r="AJ520" s="76"/>
      <c r="AK520" s="76"/>
      <c r="AL520" s="76"/>
      <c r="AM520" s="76"/>
      <c r="AN520" s="76"/>
      <c r="AO520" s="76"/>
      <c r="AP520" s="76"/>
      <c r="AQ520" s="76"/>
      <c r="AR520" s="76"/>
      <c r="AS520" s="76"/>
      <c r="AT520" s="76"/>
      <c r="AU520" s="76"/>
      <c r="AV520" s="76"/>
      <c r="AW520" s="76"/>
      <c r="AX520" s="76"/>
    </row>
    <row r="521" ht="15.75" customHeight="1">
      <c r="A521" s="67" t="s">
        <v>108</v>
      </c>
      <c r="B521" s="69" t="s">
        <v>3360</v>
      </c>
      <c r="C521" s="31"/>
      <c r="D521" s="31"/>
      <c r="E521" s="31"/>
      <c r="F521" s="70"/>
      <c r="G521" s="70"/>
      <c r="H521" s="70"/>
      <c r="I521" s="71"/>
      <c r="J521" s="71"/>
      <c r="K521" s="70"/>
      <c r="L521" s="71"/>
      <c r="M521" s="71"/>
      <c r="N521" s="71"/>
      <c r="O521" s="71"/>
      <c r="P521" s="254" t="s">
        <v>166</v>
      </c>
      <c r="Q521" s="70"/>
      <c r="R521" s="70"/>
      <c r="S521" s="70"/>
      <c r="T521" s="67" t="s">
        <v>5583</v>
      </c>
      <c r="U521" s="70"/>
      <c r="V521" s="70"/>
      <c r="W521" s="70"/>
      <c r="X521" s="70"/>
      <c r="Y521" s="70"/>
      <c r="Z521" s="70"/>
      <c r="AA521" s="70"/>
      <c r="AB521" s="70"/>
      <c r="AC521" s="70"/>
      <c r="AD521" s="76"/>
      <c r="AE521" s="76"/>
      <c r="AF521" s="76"/>
      <c r="AG521" s="76"/>
      <c r="AH521" s="76"/>
      <c r="AI521" s="76"/>
      <c r="AJ521" s="76"/>
      <c r="AK521" s="76"/>
      <c r="AL521" s="76"/>
      <c r="AM521" s="76"/>
      <c r="AN521" s="76"/>
      <c r="AO521" s="76"/>
      <c r="AP521" s="76"/>
      <c r="AQ521" s="76"/>
      <c r="AR521" s="76"/>
      <c r="AS521" s="76"/>
      <c r="AT521" s="76"/>
      <c r="AU521" s="76"/>
      <c r="AV521" s="76"/>
      <c r="AW521" s="76"/>
      <c r="AX521" s="76"/>
    </row>
    <row r="522" ht="15.75" customHeight="1">
      <c r="A522" s="126" t="s">
        <v>42</v>
      </c>
      <c r="B522" s="127" t="s">
        <v>3365</v>
      </c>
      <c r="C522" s="31" t="s">
        <v>5584</v>
      </c>
      <c r="D522" s="31" t="s">
        <v>5585</v>
      </c>
      <c r="E522" s="31" t="s">
        <v>5586</v>
      </c>
      <c r="F522" s="31"/>
      <c r="G522" s="31"/>
      <c r="H522" s="31"/>
      <c r="I522" s="154"/>
      <c r="J522" s="154"/>
      <c r="K522" s="154"/>
      <c r="L522" s="154"/>
      <c r="M522" s="154"/>
      <c r="N522" s="154"/>
      <c r="O522" s="154"/>
      <c r="P522" s="254" t="s">
        <v>166</v>
      </c>
      <c r="Q522" s="154"/>
      <c r="R522" s="154"/>
      <c r="S522" s="154"/>
      <c r="T522" s="154"/>
      <c r="U522" s="154"/>
      <c r="V522" s="154"/>
      <c r="W522" s="154"/>
      <c r="X522" s="154"/>
      <c r="Y522" s="154"/>
      <c r="Z522" s="154"/>
      <c r="AA522" s="154"/>
      <c r="AB522" s="154"/>
      <c r="AC522" s="154"/>
      <c r="AD522" s="76"/>
      <c r="AE522" s="76"/>
      <c r="AF522" s="76"/>
      <c r="AG522" s="76"/>
      <c r="AH522" s="76"/>
      <c r="AI522" s="76"/>
      <c r="AJ522" s="76"/>
      <c r="AK522" s="76"/>
      <c r="AL522" s="76"/>
      <c r="AM522" s="76"/>
      <c r="AN522" s="76"/>
      <c r="AO522" s="76"/>
      <c r="AP522" s="76"/>
      <c r="AQ522" s="76"/>
      <c r="AR522" s="76"/>
      <c r="AS522" s="76"/>
      <c r="AT522" s="76"/>
      <c r="AU522" s="76"/>
      <c r="AV522" s="76"/>
      <c r="AW522" s="76"/>
      <c r="AX522" s="76"/>
    </row>
    <row r="523" ht="15.75" customHeight="1">
      <c r="A523" s="81" t="s">
        <v>3374</v>
      </c>
      <c r="B523" s="142" t="s">
        <v>3375</v>
      </c>
      <c r="C523" s="31" t="s">
        <v>5587</v>
      </c>
      <c r="D523" s="31" t="s">
        <v>5588</v>
      </c>
      <c r="E523" s="31" t="s">
        <v>5589</v>
      </c>
      <c r="F523" s="31"/>
      <c r="G523" s="31"/>
      <c r="H523" s="31"/>
      <c r="I523" s="84"/>
      <c r="J523" s="159"/>
      <c r="K523" s="84" t="s">
        <v>5590</v>
      </c>
      <c r="L523" s="84"/>
      <c r="M523" s="84"/>
      <c r="N523" s="84"/>
      <c r="O523" s="84"/>
      <c r="P523" s="254" t="s">
        <v>166</v>
      </c>
      <c r="Q523" s="84" t="s">
        <v>166</v>
      </c>
      <c r="R523" s="84"/>
      <c r="S523" s="84"/>
      <c r="T523" s="84"/>
      <c r="U523" s="84"/>
      <c r="V523" s="84"/>
      <c r="W523" s="84"/>
      <c r="X523" s="84"/>
      <c r="Y523" s="84"/>
      <c r="Z523" s="84"/>
      <c r="AA523" s="84"/>
      <c r="AB523" s="84"/>
      <c r="AC523" s="84"/>
      <c r="AD523" s="76"/>
      <c r="AE523" s="76"/>
      <c r="AF523" s="76"/>
      <c r="AG523" s="76"/>
      <c r="AH523" s="76"/>
      <c r="AI523" s="76"/>
      <c r="AJ523" s="76"/>
      <c r="AK523" s="76"/>
      <c r="AL523" s="76"/>
      <c r="AM523" s="76"/>
      <c r="AN523" s="76"/>
      <c r="AO523" s="76"/>
      <c r="AP523" s="76"/>
      <c r="AQ523" s="76"/>
      <c r="AR523" s="76"/>
      <c r="AS523" s="76"/>
      <c r="AT523" s="76"/>
      <c r="AU523" s="76"/>
      <c r="AV523" s="76"/>
      <c r="AW523" s="76"/>
      <c r="AX523" s="76"/>
    </row>
    <row r="524" ht="15.75" customHeight="1">
      <c r="A524" s="133" t="s">
        <v>214</v>
      </c>
      <c r="B524" s="143" t="s">
        <v>3382</v>
      </c>
      <c r="C524" s="31" t="s">
        <v>5591</v>
      </c>
      <c r="D524" s="31" t="s">
        <v>5592</v>
      </c>
      <c r="E524" s="31" t="s">
        <v>5593</v>
      </c>
      <c r="F524" s="31"/>
      <c r="G524" s="31"/>
      <c r="H524" s="31"/>
      <c r="I524" s="162"/>
      <c r="J524" s="163"/>
      <c r="K524" s="162"/>
      <c r="L524" s="162"/>
      <c r="M524" s="162"/>
      <c r="N524" s="162"/>
      <c r="O524" s="162" t="s">
        <v>5594</v>
      </c>
      <c r="P524" s="254" t="s">
        <v>166</v>
      </c>
      <c r="Q524" s="162" t="s">
        <v>166</v>
      </c>
      <c r="R524" s="162"/>
      <c r="S524" s="162"/>
      <c r="T524" s="162"/>
      <c r="U524" s="162"/>
      <c r="V524" s="162"/>
      <c r="W524" s="162"/>
      <c r="X524" s="162"/>
      <c r="Y524" s="162"/>
      <c r="Z524" s="162"/>
      <c r="AA524" s="162"/>
      <c r="AB524" s="162"/>
      <c r="AC524" s="162"/>
      <c r="AD524" s="76"/>
      <c r="AE524" s="76"/>
      <c r="AF524" s="76"/>
      <c r="AG524" s="76"/>
      <c r="AH524" s="76"/>
      <c r="AI524" s="76"/>
      <c r="AJ524" s="76"/>
      <c r="AK524" s="76"/>
      <c r="AL524" s="76"/>
      <c r="AM524" s="76"/>
      <c r="AN524" s="76"/>
      <c r="AO524" s="76"/>
      <c r="AP524" s="76"/>
      <c r="AQ524" s="76"/>
      <c r="AR524" s="76"/>
      <c r="AS524" s="76"/>
      <c r="AT524" s="76"/>
      <c r="AU524" s="76"/>
      <c r="AV524" s="76"/>
      <c r="AW524" s="76"/>
      <c r="AX524" s="76"/>
    </row>
    <row r="525" ht="15.75" customHeight="1">
      <c r="A525" s="104" t="s">
        <v>139</v>
      </c>
      <c r="B525" s="141" t="s">
        <v>3389</v>
      </c>
      <c r="C525" s="31"/>
      <c r="D525" s="31"/>
      <c r="E525" s="31"/>
      <c r="F525" s="108"/>
      <c r="G525" s="108"/>
      <c r="H525" s="108"/>
      <c r="I525" s="108"/>
      <c r="J525" s="108"/>
      <c r="K525" s="108"/>
      <c r="L525" s="108"/>
      <c r="M525" s="108"/>
      <c r="N525" s="108"/>
      <c r="O525" s="108"/>
      <c r="P525" s="254" t="s">
        <v>166</v>
      </c>
      <c r="Q525" s="108"/>
      <c r="R525" s="108"/>
      <c r="S525" s="108"/>
      <c r="T525" s="281" t="s">
        <v>145</v>
      </c>
      <c r="U525" s="108"/>
      <c r="V525" s="108"/>
      <c r="W525" s="108"/>
      <c r="X525" s="108"/>
      <c r="Y525" s="108"/>
      <c r="Z525" s="108"/>
      <c r="AA525" s="108"/>
      <c r="AB525" s="108"/>
      <c r="AC525" s="108"/>
      <c r="AD525" s="76"/>
      <c r="AE525" s="76"/>
      <c r="AF525" s="76"/>
      <c r="AG525" s="76"/>
      <c r="AH525" s="76"/>
      <c r="AI525" s="76"/>
      <c r="AJ525" s="76"/>
      <c r="AK525" s="76"/>
      <c r="AL525" s="76"/>
      <c r="AM525" s="76"/>
      <c r="AN525" s="76"/>
      <c r="AO525" s="76"/>
      <c r="AP525" s="76"/>
      <c r="AQ525" s="76"/>
      <c r="AR525" s="76"/>
      <c r="AS525" s="76"/>
      <c r="AT525" s="76"/>
      <c r="AU525" s="76"/>
      <c r="AV525" s="76"/>
      <c r="AW525" s="76"/>
      <c r="AX525" s="76"/>
    </row>
    <row r="526" ht="15.75" customHeight="1">
      <c r="A526" s="144" t="s">
        <v>648</v>
      </c>
      <c r="B526" s="145" t="s">
        <v>3393</v>
      </c>
      <c r="C526" s="31" t="s">
        <v>3394</v>
      </c>
      <c r="D526" s="31" t="s">
        <v>3395</v>
      </c>
      <c r="E526" s="31" t="s">
        <v>3396</v>
      </c>
      <c r="F526" s="173"/>
      <c r="G526" s="173"/>
      <c r="H526" s="173"/>
      <c r="I526" s="173"/>
      <c r="J526" s="173"/>
      <c r="K526" s="173"/>
      <c r="L526" s="173"/>
      <c r="M526" s="174"/>
      <c r="N526" s="174"/>
      <c r="O526" s="174" t="s">
        <v>5595</v>
      </c>
      <c r="P526" s="254" t="s">
        <v>166</v>
      </c>
      <c r="Q526" s="173"/>
      <c r="R526" s="173"/>
      <c r="S526" s="173"/>
      <c r="T526" s="173"/>
      <c r="U526" s="174" t="s">
        <v>5596</v>
      </c>
      <c r="V526" s="173"/>
      <c r="W526" s="173"/>
      <c r="X526" s="173"/>
      <c r="Y526" s="173"/>
      <c r="Z526" s="173"/>
      <c r="AA526" s="173"/>
      <c r="AB526" s="173"/>
      <c r="AC526" s="173"/>
      <c r="AD526" s="76"/>
      <c r="AE526" s="76"/>
      <c r="AF526" s="76"/>
      <c r="AG526" s="76"/>
      <c r="AH526" s="76"/>
      <c r="AI526" s="76"/>
      <c r="AJ526" s="76"/>
      <c r="AK526" s="76"/>
      <c r="AL526" s="76"/>
      <c r="AM526" s="76"/>
      <c r="AN526" s="76"/>
      <c r="AO526" s="76"/>
      <c r="AP526" s="76"/>
      <c r="AQ526" s="76"/>
      <c r="AR526" s="76"/>
      <c r="AS526" s="76"/>
      <c r="AT526" s="76"/>
      <c r="AU526" s="76"/>
      <c r="AV526" s="76"/>
      <c r="AW526" s="76"/>
      <c r="AX526" s="76"/>
    </row>
    <row r="527" ht="15.75" customHeight="1">
      <c r="A527" s="104" t="s">
        <v>108</v>
      </c>
      <c r="B527" s="105" t="s">
        <v>3399</v>
      </c>
      <c r="C527" s="31" t="s">
        <v>3400</v>
      </c>
      <c r="D527" s="31" t="s">
        <v>3401</v>
      </c>
      <c r="E527" s="31" t="s">
        <v>3402</v>
      </c>
      <c r="F527" s="108"/>
      <c r="G527" s="108"/>
      <c r="H527" s="108"/>
      <c r="I527" s="108"/>
      <c r="J527" s="108"/>
      <c r="K527" s="108"/>
      <c r="L527" s="108"/>
      <c r="M527" s="108"/>
      <c r="N527" s="108"/>
      <c r="O527" s="108"/>
      <c r="P527" s="254" t="s">
        <v>166</v>
      </c>
      <c r="Q527" s="108"/>
      <c r="R527" s="108"/>
      <c r="S527" s="108"/>
      <c r="T527" s="121" t="s">
        <v>5597</v>
      </c>
      <c r="U527" s="108"/>
      <c r="V527" s="108"/>
      <c r="W527" s="108"/>
      <c r="X527" s="108"/>
      <c r="Y527" s="108"/>
      <c r="Z527" s="108"/>
      <c r="AA527" s="108"/>
      <c r="AB527" s="108"/>
      <c r="AC527" s="108"/>
      <c r="AD527" s="76"/>
      <c r="AE527" s="76"/>
      <c r="AF527" s="76"/>
      <c r="AG527" s="76"/>
      <c r="AH527" s="76"/>
      <c r="AI527" s="76"/>
      <c r="AJ527" s="76"/>
      <c r="AK527" s="76"/>
      <c r="AL527" s="76"/>
      <c r="AM527" s="76"/>
      <c r="AN527" s="76"/>
      <c r="AO527" s="76"/>
      <c r="AP527" s="76"/>
      <c r="AQ527" s="76"/>
      <c r="AR527" s="76"/>
      <c r="AS527" s="76"/>
      <c r="AT527" s="76"/>
      <c r="AU527" s="76"/>
      <c r="AV527" s="76"/>
      <c r="AW527" s="76"/>
      <c r="AX527" s="76"/>
    </row>
    <row r="528" ht="15.75" customHeight="1">
      <c r="A528" s="122" t="s">
        <v>150</v>
      </c>
      <c r="B528" s="123" t="s">
        <v>3406</v>
      </c>
      <c r="C528" s="31"/>
      <c r="D528" s="31"/>
      <c r="E528" s="31"/>
      <c r="F528" s="70"/>
      <c r="G528" s="70"/>
      <c r="H528" s="70"/>
      <c r="I528" s="70"/>
      <c r="J528" s="71" t="s">
        <v>1736</v>
      </c>
      <c r="K528" s="70"/>
      <c r="L528" s="70"/>
      <c r="M528" s="71"/>
      <c r="N528" s="71"/>
      <c r="O528" s="71"/>
      <c r="P528" s="254" t="s">
        <v>166</v>
      </c>
      <c r="Q528" s="70"/>
      <c r="R528" s="70"/>
      <c r="S528" s="70"/>
      <c r="T528" s="70"/>
      <c r="U528" s="70"/>
      <c r="V528" s="70"/>
      <c r="W528" s="70"/>
      <c r="X528" s="70"/>
      <c r="Y528" s="70"/>
      <c r="Z528" s="70"/>
      <c r="AA528" s="70"/>
      <c r="AB528" s="70"/>
      <c r="AC528" s="70"/>
      <c r="AD528" s="76"/>
      <c r="AE528" s="76"/>
      <c r="AF528" s="76"/>
      <c r="AG528" s="76"/>
      <c r="AH528" s="76"/>
      <c r="AI528" s="76"/>
      <c r="AJ528" s="76"/>
      <c r="AK528" s="76"/>
      <c r="AL528" s="76"/>
      <c r="AM528" s="76"/>
      <c r="AN528" s="76"/>
      <c r="AO528" s="76"/>
      <c r="AP528" s="76"/>
      <c r="AQ528" s="76"/>
      <c r="AR528" s="76"/>
      <c r="AS528" s="76"/>
      <c r="AT528" s="76"/>
      <c r="AU528" s="76"/>
      <c r="AV528" s="76"/>
      <c r="AW528" s="76"/>
      <c r="AX528" s="76"/>
    </row>
    <row r="529" ht="15.75" customHeight="1">
      <c r="A529" s="252" t="s">
        <v>259</v>
      </c>
      <c r="B529" s="253" t="s">
        <v>3413</v>
      </c>
      <c r="C529" s="31" t="s">
        <v>5598</v>
      </c>
      <c r="D529" s="31" t="s">
        <v>5599</v>
      </c>
      <c r="E529" s="31" t="s">
        <v>5600</v>
      </c>
      <c r="F529" s="31"/>
      <c r="G529" s="31"/>
      <c r="H529" s="31"/>
      <c r="I529" s="283"/>
      <c r="J529" s="283"/>
      <c r="K529" s="284"/>
      <c r="L529" s="284"/>
      <c r="M529" s="283"/>
      <c r="N529" s="283"/>
      <c r="O529" s="283"/>
      <c r="P529" s="254" t="s">
        <v>166</v>
      </c>
      <c r="Q529" s="283" t="s">
        <v>166</v>
      </c>
      <c r="R529" s="283"/>
      <c r="S529" s="283"/>
      <c r="T529" s="283"/>
      <c r="U529" s="283"/>
      <c r="V529" s="283"/>
      <c r="W529" s="283"/>
      <c r="X529" s="283"/>
      <c r="Y529" s="283"/>
      <c r="Z529" s="283"/>
      <c r="AA529" s="283"/>
      <c r="AB529" s="283"/>
      <c r="AC529" s="283"/>
      <c r="AD529" s="76"/>
      <c r="AE529" s="76"/>
      <c r="AF529" s="76"/>
      <c r="AG529" s="76"/>
      <c r="AH529" s="76"/>
      <c r="AI529" s="76"/>
      <c r="AJ529" s="76"/>
      <c r="AK529" s="76"/>
      <c r="AL529" s="76"/>
      <c r="AM529" s="76"/>
      <c r="AN529" s="76"/>
      <c r="AO529" s="76"/>
      <c r="AP529" s="76"/>
      <c r="AQ529" s="76"/>
      <c r="AR529" s="76"/>
      <c r="AS529" s="76"/>
      <c r="AT529" s="76"/>
      <c r="AU529" s="76"/>
      <c r="AV529" s="76"/>
      <c r="AW529" s="76"/>
      <c r="AX529" s="76"/>
    </row>
    <row r="530" ht="15.75" customHeight="1">
      <c r="A530" s="81" t="s">
        <v>3417</v>
      </c>
      <c r="B530" s="142" t="s">
        <v>3418</v>
      </c>
      <c r="C530" s="31" t="s">
        <v>5601</v>
      </c>
      <c r="D530" s="31" t="s">
        <v>5602</v>
      </c>
      <c r="E530" s="31" t="s">
        <v>5603</v>
      </c>
      <c r="F530" s="31"/>
      <c r="G530" s="31"/>
      <c r="H530" s="31"/>
      <c r="I530" s="84"/>
      <c r="J530" s="159"/>
      <c r="K530" s="84"/>
      <c r="L530" s="84"/>
      <c r="M530" s="84"/>
      <c r="N530" s="84"/>
      <c r="O530" s="84"/>
      <c r="P530" s="254" t="s">
        <v>166</v>
      </c>
      <c r="Q530" s="84" t="s">
        <v>166</v>
      </c>
      <c r="R530" s="84"/>
      <c r="S530" s="84"/>
      <c r="T530" s="84"/>
      <c r="U530" s="84"/>
      <c r="V530" s="84"/>
      <c r="W530" s="84"/>
      <c r="X530" s="84"/>
      <c r="Y530" s="84"/>
      <c r="Z530" s="84"/>
      <c r="AA530" s="84"/>
      <c r="AB530" s="84"/>
      <c r="AC530" s="84"/>
      <c r="AD530" s="76"/>
      <c r="AE530" s="76"/>
      <c r="AF530" s="76"/>
      <c r="AG530" s="76"/>
      <c r="AH530" s="76"/>
      <c r="AI530" s="76"/>
      <c r="AJ530" s="76"/>
      <c r="AK530" s="76"/>
      <c r="AL530" s="76"/>
      <c r="AM530" s="76"/>
      <c r="AN530" s="76"/>
      <c r="AO530" s="76"/>
      <c r="AP530" s="76"/>
      <c r="AQ530" s="76"/>
      <c r="AR530" s="76"/>
      <c r="AS530" s="76"/>
      <c r="AT530" s="76"/>
      <c r="AU530" s="76"/>
      <c r="AV530" s="76"/>
      <c r="AW530" s="76"/>
      <c r="AX530" s="76"/>
    </row>
    <row r="531" ht="15.75" customHeight="1">
      <c r="A531" s="122" t="s">
        <v>236</v>
      </c>
      <c r="B531" s="153" t="s">
        <v>3406</v>
      </c>
      <c r="C531" s="31"/>
      <c r="D531" s="31"/>
      <c r="E531" s="31"/>
      <c r="F531" s="70"/>
      <c r="G531" s="70"/>
      <c r="H531" s="70"/>
      <c r="I531" s="70"/>
      <c r="J531" s="70"/>
      <c r="K531" s="70"/>
      <c r="L531" s="70"/>
      <c r="M531" s="70"/>
      <c r="N531" s="70"/>
      <c r="O531" s="70"/>
      <c r="P531" s="254" t="s">
        <v>166</v>
      </c>
      <c r="Q531" s="70"/>
      <c r="R531" s="70"/>
      <c r="S531" s="70"/>
      <c r="T531" s="70"/>
      <c r="U531" s="70"/>
      <c r="V531" s="70"/>
      <c r="W531" s="70"/>
      <c r="X531" s="70"/>
      <c r="Y531" s="70"/>
      <c r="Z531" s="70"/>
      <c r="AA531" s="70"/>
      <c r="AB531" s="70"/>
      <c r="AC531" s="70"/>
      <c r="AD531" s="76"/>
      <c r="AE531" s="76"/>
      <c r="AF531" s="76"/>
      <c r="AG531" s="76"/>
      <c r="AH531" s="76"/>
      <c r="AI531" s="76"/>
      <c r="AJ531" s="76"/>
      <c r="AK531" s="76"/>
      <c r="AL531" s="76"/>
      <c r="AM531" s="76"/>
      <c r="AN531" s="76"/>
      <c r="AO531" s="76"/>
      <c r="AP531" s="76"/>
      <c r="AQ531" s="76"/>
      <c r="AR531" s="76"/>
      <c r="AS531" s="76"/>
      <c r="AT531" s="76"/>
      <c r="AU531" s="76"/>
      <c r="AV531" s="76"/>
      <c r="AW531" s="76"/>
      <c r="AX531" s="76"/>
    </row>
    <row r="532" ht="15.75" customHeight="1">
      <c r="A532" s="133" t="s">
        <v>214</v>
      </c>
      <c r="B532" s="143" t="s">
        <v>3429</v>
      </c>
      <c r="C532" s="31" t="s">
        <v>5604</v>
      </c>
      <c r="D532" s="31" t="s">
        <v>5605</v>
      </c>
      <c r="E532" s="31" t="s">
        <v>5606</v>
      </c>
      <c r="F532" s="31"/>
      <c r="G532" s="31"/>
      <c r="H532" s="31"/>
      <c r="I532" s="162"/>
      <c r="J532" s="163"/>
      <c r="K532" s="162"/>
      <c r="L532" s="162"/>
      <c r="M532" s="162"/>
      <c r="N532" s="162"/>
      <c r="O532" s="162" t="s">
        <v>5607</v>
      </c>
      <c r="P532" s="254" t="s">
        <v>166</v>
      </c>
      <c r="Q532" s="162" t="s">
        <v>166</v>
      </c>
      <c r="R532" s="162"/>
      <c r="S532" s="162"/>
      <c r="T532" s="162"/>
      <c r="U532" s="162"/>
      <c r="V532" s="162"/>
      <c r="W532" s="162"/>
      <c r="X532" s="162"/>
      <c r="Y532" s="162"/>
      <c r="Z532" s="162"/>
      <c r="AA532" s="162"/>
      <c r="AB532" s="162"/>
      <c r="AC532" s="162"/>
      <c r="AD532" s="76"/>
      <c r="AE532" s="76"/>
      <c r="AF532" s="76"/>
      <c r="AG532" s="76"/>
      <c r="AH532" s="76"/>
      <c r="AI532" s="76"/>
      <c r="AJ532" s="76"/>
      <c r="AK532" s="76"/>
      <c r="AL532" s="76"/>
      <c r="AM532" s="76"/>
      <c r="AN532" s="76"/>
      <c r="AO532" s="76"/>
      <c r="AP532" s="76"/>
      <c r="AQ532" s="76"/>
      <c r="AR532" s="76"/>
      <c r="AS532" s="76"/>
      <c r="AT532" s="76"/>
      <c r="AU532" s="76"/>
      <c r="AV532" s="76"/>
      <c r="AW532" s="76"/>
      <c r="AX532" s="76"/>
    </row>
    <row r="533" ht="15.75" customHeight="1">
      <c r="A533" s="104" t="s">
        <v>108</v>
      </c>
      <c r="B533" s="105" t="s">
        <v>3436</v>
      </c>
      <c r="C533" s="31" t="s">
        <v>3437</v>
      </c>
      <c r="D533" s="31"/>
      <c r="E533" s="31"/>
      <c r="F533" s="108"/>
      <c r="G533" s="108"/>
      <c r="H533" s="108"/>
      <c r="I533" s="108"/>
      <c r="J533" s="108"/>
      <c r="K533" s="108"/>
      <c r="L533" s="108"/>
      <c r="M533" s="108"/>
      <c r="N533" s="108"/>
      <c r="O533" s="108"/>
      <c r="P533" s="254" t="s">
        <v>166</v>
      </c>
      <c r="Q533" s="108" t="s">
        <v>166</v>
      </c>
      <c r="R533" s="108"/>
      <c r="S533" s="108"/>
      <c r="T533" s="121" t="s">
        <v>5608</v>
      </c>
      <c r="U533" s="108"/>
      <c r="V533" s="108"/>
      <c r="W533" s="108"/>
      <c r="X533" s="108"/>
      <c r="Y533" s="108"/>
      <c r="Z533" s="108"/>
      <c r="AA533" s="108"/>
      <c r="AB533" s="108"/>
      <c r="AC533" s="108"/>
      <c r="AD533" s="76"/>
      <c r="AE533" s="76"/>
      <c r="AF533" s="76"/>
      <c r="AG533" s="76"/>
      <c r="AH533" s="76"/>
      <c r="AI533" s="76"/>
      <c r="AJ533" s="76"/>
      <c r="AK533" s="76"/>
      <c r="AL533" s="76"/>
      <c r="AM533" s="76"/>
      <c r="AN533" s="76"/>
      <c r="AO533" s="76"/>
      <c r="AP533" s="76"/>
      <c r="AQ533" s="76"/>
      <c r="AR533" s="76"/>
      <c r="AS533" s="76"/>
      <c r="AT533" s="76"/>
      <c r="AU533" s="76"/>
      <c r="AV533" s="76"/>
      <c r="AW533" s="76"/>
      <c r="AX533" s="76"/>
    </row>
    <row r="534" ht="15.75" customHeight="1">
      <c r="A534" s="252" t="s">
        <v>259</v>
      </c>
      <c r="B534" s="253" t="s">
        <v>3444</v>
      </c>
      <c r="C534" s="31" t="s">
        <v>5609</v>
      </c>
      <c r="D534" s="31" t="s">
        <v>5610</v>
      </c>
      <c r="E534" s="31" t="s">
        <v>5611</v>
      </c>
      <c r="F534" s="31"/>
      <c r="G534" s="31"/>
      <c r="H534" s="31"/>
      <c r="I534" s="283"/>
      <c r="J534" s="283"/>
      <c r="K534" s="284" t="s">
        <v>5612</v>
      </c>
      <c r="L534" s="284"/>
      <c r="M534" s="283"/>
      <c r="N534" s="283"/>
      <c r="O534" s="283"/>
      <c r="P534" s="254" t="s">
        <v>166</v>
      </c>
      <c r="Q534" s="283" t="s">
        <v>166</v>
      </c>
      <c r="R534" s="283"/>
      <c r="S534" s="283"/>
      <c r="T534" s="283"/>
      <c r="U534" s="283"/>
      <c r="V534" s="283"/>
      <c r="W534" s="283"/>
      <c r="X534" s="283"/>
      <c r="Y534" s="283"/>
      <c r="Z534" s="283"/>
      <c r="AA534" s="283"/>
      <c r="AB534" s="283"/>
      <c r="AC534" s="283"/>
      <c r="AD534" s="76"/>
      <c r="AE534" s="76"/>
      <c r="AF534" s="76"/>
      <c r="AG534" s="76"/>
      <c r="AH534" s="76"/>
      <c r="AI534" s="76"/>
      <c r="AJ534" s="76"/>
      <c r="AK534" s="76"/>
      <c r="AL534" s="76"/>
      <c r="AM534" s="76"/>
      <c r="AN534" s="76"/>
      <c r="AO534" s="76"/>
      <c r="AP534" s="76"/>
      <c r="AQ534" s="76"/>
      <c r="AR534" s="76"/>
      <c r="AS534" s="76"/>
      <c r="AT534" s="76"/>
      <c r="AU534" s="76"/>
      <c r="AV534" s="76"/>
      <c r="AW534" s="76"/>
      <c r="AX534" s="76"/>
    </row>
    <row r="535" ht="15.75" customHeight="1">
      <c r="A535" s="146" t="s">
        <v>237</v>
      </c>
      <c r="B535" s="147" t="s">
        <v>3451</v>
      </c>
      <c r="C535" s="31" t="s">
        <v>5613</v>
      </c>
      <c r="D535" s="31" t="s">
        <v>5614</v>
      </c>
      <c r="E535" s="31" t="s">
        <v>5615</v>
      </c>
      <c r="F535" s="31"/>
      <c r="G535" s="31"/>
      <c r="H535" s="31"/>
      <c r="I535" s="175"/>
      <c r="J535" s="175"/>
      <c r="K535" s="176"/>
      <c r="L535" s="176"/>
      <c r="M535" s="175"/>
      <c r="N535" s="175"/>
      <c r="O535" s="175" t="s">
        <v>5616</v>
      </c>
      <c r="P535" s="254" t="s">
        <v>166</v>
      </c>
      <c r="Q535" s="175" t="s">
        <v>166</v>
      </c>
      <c r="R535" s="175"/>
      <c r="S535" s="175"/>
      <c r="T535" s="175"/>
      <c r="U535" s="175"/>
      <c r="V535" s="175"/>
      <c r="W535" s="175"/>
      <c r="X535" s="175"/>
      <c r="Y535" s="175"/>
      <c r="Z535" s="175"/>
      <c r="AA535" s="175"/>
      <c r="AB535" s="175"/>
      <c r="AC535" s="175"/>
      <c r="AD535" s="76"/>
      <c r="AE535" s="76"/>
      <c r="AF535" s="76"/>
      <c r="AG535" s="76"/>
      <c r="AH535" s="76"/>
      <c r="AI535" s="76"/>
      <c r="AJ535" s="76"/>
      <c r="AK535" s="76"/>
      <c r="AL535" s="76"/>
      <c r="AM535" s="76"/>
      <c r="AN535" s="76"/>
      <c r="AO535" s="76"/>
      <c r="AP535" s="76"/>
      <c r="AQ535" s="76"/>
      <c r="AR535" s="76"/>
      <c r="AS535" s="76"/>
      <c r="AT535" s="76"/>
      <c r="AU535" s="76"/>
      <c r="AV535" s="76"/>
      <c r="AW535" s="76"/>
      <c r="AX535" s="76"/>
    </row>
    <row r="536" ht="15.75" customHeight="1">
      <c r="A536" s="252" t="s">
        <v>259</v>
      </c>
      <c r="B536" s="253" t="s">
        <v>3458</v>
      </c>
      <c r="C536" s="31" t="s">
        <v>5617</v>
      </c>
      <c r="D536" s="31" t="s">
        <v>5618</v>
      </c>
      <c r="E536" s="31" t="s">
        <v>5619</v>
      </c>
      <c r="F536" s="31"/>
      <c r="G536" s="31"/>
      <c r="H536" s="31"/>
      <c r="I536" s="283"/>
      <c r="J536" s="283"/>
      <c r="K536" s="284" t="s">
        <v>5612</v>
      </c>
      <c r="L536" s="284"/>
      <c r="M536" s="283"/>
      <c r="N536" s="283"/>
      <c r="O536" s="283"/>
      <c r="P536" s="254" t="s">
        <v>166</v>
      </c>
      <c r="Q536" s="283" t="s">
        <v>166</v>
      </c>
      <c r="R536" s="283"/>
      <c r="S536" s="283"/>
      <c r="T536" s="283"/>
      <c r="U536" s="283"/>
      <c r="V536" s="283"/>
      <c r="W536" s="283"/>
      <c r="X536" s="283"/>
      <c r="Y536" s="283"/>
      <c r="Z536" s="283"/>
      <c r="AA536" s="283"/>
      <c r="AB536" s="283"/>
      <c r="AC536" s="283"/>
      <c r="AD536" s="76"/>
      <c r="AE536" s="76"/>
      <c r="AF536" s="76"/>
      <c r="AG536" s="76"/>
      <c r="AH536" s="76"/>
      <c r="AI536" s="76"/>
      <c r="AJ536" s="76"/>
      <c r="AK536" s="76"/>
      <c r="AL536" s="76"/>
      <c r="AM536" s="76"/>
      <c r="AN536" s="76"/>
      <c r="AO536" s="76"/>
      <c r="AP536" s="76"/>
      <c r="AQ536" s="76"/>
      <c r="AR536" s="76"/>
      <c r="AS536" s="76"/>
      <c r="AT536" s="76"/>
      <c r="AU536" s="76"/>
      <c r="AV536" s="76"/>
      <c r="AW536" s="76"/>
      <c r="AX536" s="76"/>
    </row>
    <row r="537" ht="15.75" customHeight="1">
      <c r="A537" s="146" t="s">
        <v>237</v>
      </c>
      <c r="B537" s="147" t="s">
        <v>3465</v>
      </c>
      <c r="C537" s="31" t="s">
        <v>5620</v>
      </c>
      <c r="D537" s="31" t="s">
        <v>5621</v>
      </c>
      <c r="E537" s="31" t="s">
        <v>5622</v>
      </c>
      <c r="F537" s="285"/>
      <c r="G537" s="285"/>
      <c r="H537" s="285"/>
      <c r="I537" s="287"/>
      <c r="J537" s="287"/>
      <c r="K537" s="288"/>
      <c r="L537" s="288"/>
      <c r="M537" s="287"/>
      <c r="N537" s="287"/>
      <c r="O537" s="175" t="s">
        <v>5623</v>
      </c>
      <c r="P537" s="254" t="s">
        <v>166</v>
      </c>
      <c r="Q537" s="175" t="s">
        <v>166</v>
      </c>
      <c r="R537" s="287"/>
      <c r="S537" s="287"/>
      <c r="T537" s="289"/>
      <c r="U537" s="287"/>
      <c r="V537" s="287"/>
      <c r="W537" s="287"/>
      <c r="X537" s="287"/>
      <c r="Y537" s="287"/>
      <c r="Z537" s="287"/>
      <c r="AA537" s="287"/>
      <c r="AB537" s="287"/>
      <c r="AC537" s="287"/>
      <c r="AD537" s="117"/>
      <c r="AE537" s="117"/>
      <c r="AF537" s="117"/>
      <c r="AG537" s="117"/>
      <c r="AH537" s="117"/>
      <c r="AI537" s="117"/>
      <c r="AJ537" s="117"/>
      <c r="AK537" s="117"/>
      <c r="AL537" s="117"/>
      <c r="AM537" s="117"/>
      <c r="AN537" s="117"/>
      <c r="AO537" s="117"/>
      <c r="AP537" s="117"/>
      <c r="AQ537" s="117"/>
      <c r="AR537" s="117"/>
      <c r="AS537" s="117"/>
      <c r="AT537" s="117"/>
      <c r="AU537" s="117"/>
      <c r="AV537" s="117"/>
      <c r="AW537" s="117"/>
      <c r="AX537" s="117"/>
    </row>
    <row r="538" ht="15.75" customHeight="1">
      <c r="A538" s="254" t="s">
        <v>108</v>
      </c>
      <c r="B538" s="253" t="s">
        <v>3469</v>
      </c>
      <c r="C538" s="31"/>
      <c r="D538" s="31"/>
      <c r="E538" s="31"/>
      <c r="F538" s="108"/>
      <c r="G538" s="108"/>
      <c r="H538" s="108"/>
      <c r="I538" s="108"/>
      <c r="J538" s="108"/>
      <c r="K538" s="108"/>
      <c r="L538" s="108"/>
      <c r="M538" s="108"/>
      <c r="N538" s="108"/>
      <c r="O538" s="108"/>
      <c r="P538" s="254" t="s">
        <v>166</v>
      </c>
      <c r="Q538" s="108"/>
      <c r="R538" s="108"/>
      <c r="S538" s="108"/>
      <c r="T538" s="132" t="s">
        <v>5624</v>
      </c>
      <c r="U538" s="108"/>
      <c r="V538" s="108"/>
      <c r="W538" s="108"/>
      <c r="X538" s="108"/>
      <c r="Y538" s="108"/>
      <c r="Z538" s="108"/>
      <c r="AA538" s="108"/>
      <c r="AB538" s="108"/>
      <c r="AC538" s="108"/>
      <c r="AD538" s="76"/>
      <c r="AE538" s="76"/>
      <c r="AF538" s="76"/>
      <c r="AG538" s="76"/>
      <c r="AH538" s="76"/>
      <c r="AI538" s="76"/>
      <c r="AJ538" s="76"/>
      <c r="AK538" s="76"/>
      <c r="AL538" s="76"/>
      <c r="AM538" s="76"/>
      <c r="AN538" s="76"/>
      <c r="AO538" s="76"/>
      <c r="AP538" s="76"/>
      <c r="AQ538" s="76"/>
      <c r="AR538" s="76"/>
      <c r="AS538" s="76"/>
      <c r="AT538" s="76"/>
      <c r="AU538" s="76"/>
      <c r="AV538" s="76"/>
      <c r="AW538" s="76"/>
      <c r="AX538" s="76"/>
    </row>
    <row r="539" ht="15.75" customHeight="1">
      <c r="A539" s="254" t="s">
        <v>42</v>
      </c>
      <c r="B539" s="255" t="s">
        <v>3476</v>
      </c>
      <c r="C539" s="31" t="s">
        <v>5625</v>
      </c>
      <c r="D539" s="31" t="s">
        <v>5626</v>
      </c>
      <c r="E539" s="31" t="s">
        <v>5627</v>
      </c>
      <c r="F539" s="31"/>
      <c r="G539" s="31"/>
      <c r="H539" s="31"/>
      <c r="I539" s="108"/>
      <c r="J539" s="108"/>
      <c r="K539" s="108"/>
      <c r="L539" s="108"/>
      <c r="M539" s="108"/>
      <c r="N539" s="108"/>
      <c r="O539" s="254" t="s">
        <v>5628</v>
      </c>
      <c r="P539" s="254" t="s">
        <v>166</v>
      </c>
      <c r="Q539" s="254" t="s">
        <v>166</v>
      </c>
      <c r="R539" s="108"/>
      <c r="S539" s="108"/>
      <c r="T539" s="121"/>
      <c r="U539" s="108"/>
      <c r="V539" s="108"/>
      <c r="W539" s="108"/>
      <c r="X539" s="108"/>
      <c r="Y539" s="108"/>
      <c r="Z539" s="108"/>
      <c r="AA539" s="108"/>
      <c r="AB539" s="108"/>
      <c r="AC539" s="108"/>
      <c r="AD539" s="76"/>
      <c r="AE539" s="76"/>
      <c r="AF539" s="76"/>
      <c r="AG539" s="76"/>
      <c r="AH539" s="76"/>
      <c r="AI539" s="76"/>
      <c r="AJ539" s="76"/>
      <c r="AK539" s="76"/>
      <c r="AL539" s="76"/>
      <c r="AM539" s="76"/>
      <c r="AN539" s="76"/>
      <c r="AO539" s="76"/>
      <c r="AP539" s="76"/>
      <c r="AQ539" s="76"/>
      <c r="AR539" s="76"/>
      <c r="AS539" s="76"/>
      <c r="AT539" s="76"/>
      <c r="AU539" s="76"/>
      <c r="AV539" s="76"/>
      <c r="AW539" s="76"/>
      <c r="AX539" s="76"/>
    </row>
    <row r="540" ht="15.75" customHeight="1">
      <c r="A540" s="254" t="s">
        <v>485</v>
      </c>
      <c r="B540" s="255" t="s">
        <v>3481</v>
      </c>
      <c r="C540" s="31" t="s">
        <v>5629</v>
      </c>
      <c r="D540" s="31" t="s">
        <v>5630</v>
      </c>
      <c r="E540" s="31" t="s">
        <v>5631</v>
      </c>
      <c r="F540" s="31"/>
      <c r="G540" s="31"/>
      <c r="H540" s="31"/>
      <c r="I540" s="108"/>
      <c r="J540" s="108"/>
      <c r="K540" s="108"/>
      <c r="L540" s="108"/>
      <c r="M540" s="108"/>
      <c r="N540" s="108"/>
      <c r="O540" s="254" t="s">
        <v>5632</v>
      </c>
      <c r="P540" s="254" t="s">
        <v>166</v>
      </c>
      <c r="Q540" s="254" t="s">
        <v>166</v>
      </c>
      <c r="R540" s="108"/>
      <c r="S540" s="108"/>
      <c r="T540" s="121"/>
      <c r="U540" s="108"/>
      <c r="V540" s="108"/>
      <c r="W540" s="108"/>
      <c r="X540" s="108"/>
      <c r="Y540" s="108"/>
      <c r="Z540" s="108"/>
      <c r="AA540" s="108"/>
      <c r="AB540" s="108"/>
      <c r="AC540" s="108"/>
      <c r="AD540" s="76"/>
      <c r="AE540" s="76"/>
      <c r="AF540" s="76"/>
      <c r="AG540" s="76"/>
      <c r="AH540" s="76"/>
      <c r="AI540" s="76"/>
      <c r="AJ540" s="76"/>
      <c r="AK540" s="76"/>
      <c r="AL540" s="76"/>
      <c r="AM540" s="76"/>
      <c r="AN540" s="76"/>
      <c r="AO540" s="76"/>
      <c r="AP540" s="76"/>
      <c r="AQ540" s="76"/>
      <c r="AR540" s="76"/>
      <c r="AS540" s="76"/>
      <c r="AT540" s="76"/>
      <c r="AU540" s="76"/>
      <c r="AV540" s="76"/>
      <c r="AW540" s="76"/>
      <c r="AX540" s="76"/>
    </row>
    <row r="541" ht="15.75" customHeight="1">
      <c r="A541" s="254" t="s">
        <v>237</v>
      </c>
      <c r="B541" s="255" t="s">
        <v>3488</v>
      </c>
      <c r="C541" s="31" t="s">
        <v>5633</v>
      </c>
      <c r="D541" s="31" t="s">
        <v>5634</v>
      </c>
      <c r="E541" s="31" t="s">
        <v>5635</v>
      </c>
      <c r="F541" s="31"/>
      <c r="G541" s="31"/>
      <c r="H541" s="31"/>
      <c r="I541" s="108"/>
      <c r="J541" s="108"/>
      <c r="K541" s="108"/>
      <c r="L541" s="108"/>
      <c r="M541" s="108"/>
      <c r="N541" s="108"/>
      <c r="O541" s="254" t="s">
        <v>5636</v>
      </c>
      <c r="P541" s="254" t="s">
        <v>166</v>
      </c>
      <c r="Q541" s="254" t="s">
        <v>166</v>
      </c>
      <c r="R541" s="108"/>
      <c r="S541" s="108"/>
      <c r="T541" s="121"/>
      <c r="U541" s="108"/>
      <c r="V541" s="108"/>
      <c r="W541" s="108"/>
      <c r="X541" s="108"/>
      <c r="Y541" s="108"/>
      <c r="Z541" s="108"/>
      <c r="AA541" s="108"/>
      <c r="AB541" s="108"/>
      <c r="AC541" s="108"/>
      <c r="AD541" s="76"/>
      <c r="AE541" s="76"/>
      <c r="AF541" s="76"/>
      <c r="AG541" s="76"/>
      <c r="AH541" s="76"/>
      <c r="AI541" s="76"/>
      <c r="AJ541" s="76"/>
      <c r="AK541" s="76"/>
      <c r="AL541" s="76"/>
      <c r="AM541" s="76"/>
      <c r="AN541" s="76"/>
      <c r="AO541" s="76"/>
      <c r="AP541" s="76"/>
      <c r="AQ541" s="76"/>
      <c r="AR541" s="76"/>
      <c r="AS541" s="76"/>
      <c r="AT541" s="76"/>
      <c r="AU541" s="76"/>
      <c r="AV541" s="76"/>
      <c r="AW541" s="76"/>
      <c r="AX541" s="76"/>
    </row>
    <row r="542" ht="15.75" customHeight="1">
      <c r="A542" s="104" t="s">
        <v>108</v>
      </c>
      <c r="B542" s="105" t="s">
        <v>3493</v>
      </c>
      <c r="C542" s="31"/>
      <c r="D542" s="31"/>
      <c r="E542" s="31"/>
      <c r="F542" s="108"/>
      <c r="G542" s="108"/>
      <c r="H542" s="108"/>
      <c r="I542" s="108"/>
      <c r="J542" s="108"/>
      <c r="K542" s="108"/>
      <c r="L542" s="108"/>
      <c r="M542" s="108"/>
      <c r="N542" s="108"/>
      <c r="O542" s="108"/>
      <c r="P542" s="254" t="s">
        <v>166</v>
      </c>
      <c r="Q542" s="108"/>
      <c r="R542" s="108"/>
      <c r="S542" s="108"/>
      <c r="T542" s="121" t="s">
        <v>5637</v>
      </c>
      <c r="U542" s="108"/>
      <c r="V542" s="108"/>
      <c r="W542" s="108"/>
      <c r="X542" s="108"/>
      <c r="Y542" s="108"/>
      <c r="Z542" s="108"/>
      <c r="AA542" s="108"/>
      <c r="AB542" s="108"/>
      <c r="AC542" s="108"/>
      <c r="AD542" s="76"/>
      <c r="AE542" s="76"/>
      <c r="AF542" s="76"/>
      <c r="AG542" s="76"/>
      <c r="AH542" s="76"/>
      <c r="AI542" s="76"/>
      <c r="AJ542" s="76"/>
      <c r="AK542" s="76"/>
      <c r="AL542" s="76"/>
      <c r="AM542" s="76"/>
      <c r="AN542" s="76"/>
      <c r="AO542" s="76"/>
      <c r="AP542" s="76"/>
      <c r="AQ542" s="76"/>
      <c r="AR542" s="76"/>
      <c r="AS542" s="76"/>
      <c r="AT542" s="76"/>
      <c r="AU542" s="76"/>
      <c r="AV542" s="76"/>
      <c r="AW542" s="76"/>
      <c r="AX542" s="76"/>
    </row>
    <row r="543" ht="15.75" customHeight="1">
      <c r="A543" s="144" t="s">
        <v>691</v>
      </c>
      <c r="B543" s="150" t="s">
        <v>3393</v>
      </c>
      <c r="C543" s="31" t="s">
        <v>3498</v>
      </c>
      <c r="D543" s="31" t="s">
        <v>3500</v>
      </c>
      <c r="E543" s="31" t="s">
        <v>3502</v>
      </c>
      <c r="F543" s="173"/>
      <c r="G543" s="173"/>
      <c r="H543" s="173"/>
      <c r="I543" s="173"/>
      <c r="J543" s="173"/>
      <c r="K543" s="173"/>
      <c r="L543" s="173"/>
      <c r="M543" s="173"/>
      <c r="N543" s="173"/>
      <c r="O543" s="173"/>
      <c r="P543" s="254" t="s">
        <v>166</v>
      </c>
      <c r="Q543" s="173"/>
      <c r="R543" s="173"/>
      <c r="S543" s="173"/>
      <c r="T543" s="173"/>
      <c r="U543" s="173"/>
      <c r="V543" s="173"/>
      <c r="W543" s="173"/>
      <c r="X543" s="173"/>
      <c r="Y543" s="173"/>
      <c r="Z543" s="173"/>
      <c r="AA543" s="173"/>
      <c r="AB543" s="173"/>
      <c r="AC543" s="173"/>
      <c r="AD543" s="76"/>
      <c r="AE543" s="76"/>
      <c r="AF543" s="76"/>
      <c r="AG543" s="76"/>
      <c r="AH543" s="76"/>
      <c r="AI543" s="76"/>
      <c r="AJ543" s="76"/>
      <c r="AK543" s="76"/>
      <c r="AL543" s="76"/>
      <c r="AM543" s="76"/>
      <c r="AN543" s="76"/>
      <c r="AO543" s="76"/>
      <c r="AP543" s="76"/>
      <c r="AQ543" s="76"/>
      <c r="AR543" s="76"/>
      <c r="AS543" s="76"/>
      <c r="AT543" s="76"/>
      <c r="AU543" s="76"/>
      <c r="AV543" s="76"/>
      <c r="AW543" s="76"/>
      <c r="AX543" s="76"/>
    </row>
    <row r="544">
      <c r="A544" s="256"/>
      <c r="B544" s="256"/>
      <c r="C544" s="31"/>
      <c r="D544" s="31"/>
      <c r="E544" s="31"/>
      <c r="F544" s="256"/>
      <c r="G544" s="256"/>
      <c r="H544" s="256"/>
      <c r="I544" s="256"/>
      <c r="J544" s="256"/>
      <c r="K544" s="256"/>
      <c r="L544" s="256"/>
      <c r="M544" s="256"/>
      <c r="N544" s="256"/>
      <c r="O544" s="256"/>
      <c r="P544" s="254"/>
      <c r="Q544" s="256"/>
      <c r="R544" s="256"/>
      <c r="S544" s="256"/>
      <c r="T544" s="256"/>
      <c r="U544" s="256"/>
      <c r="V544" s="256"/>
      <c r="W544" s="256"/>
      <c r="X544" s="256"/>
      <c r="Y544" s="256"/>
      <c r="Z544" s="256"/>
      <c r="AA544" s="256"/>
      <c r="AB544" s="256"/>
      <c r="AC544" s="256"/>
      <c r="AD544" s="256"/>
      <c r="AE544" s="256"/>
      <c r="AF544" s="256"/>
      <c r="AG544" s="256"/>
      <c r="AH544" s="256"/>
      <c r="AI544" s="256"/>
      <c r="AJ544" s="256"/>
      <c r="AK544" s="256"/>
      <c r="AL544" s="256"/>
      <c r="AM544" s="256"/>
      <c r="AN544" s="256"/>
      <c r="AO544" s="256"/>
      <c r="AP544" s="256"/>
      <c r="AQ544" s="256"/>
      <c r="AR544" s="256"/>
      <c r="AS544" s="256"/>
      <c r="AT544" s="256"/>
      <c r="AU544" s="256"/>
      <c r="AV544" s="256"/>
      <c r="AW544" s="256"/>
      <c r="AX544" s="256"/>
    </row>
    <row r="545" ht="15.75" customHeight="1">
      <c r="A545" s="122" t="s">
        <v>150</v>
      </c>
      <c r="B545" s="242" t="s">
        <v>3506</v>
      </c>
      <c r="C545" s="31" t="s">
        <v>3507</v>
      </c>
      <c r="D545" s="31" t="s">
        <v>3508</v>
      </c>
      <c r="E545" s="31" t="s">
        <v>3509</v>
      </c>
      <c r="F545" s="70"/>
      <c r="G545" s="70"/>
      <c r="H545" s="70"/>
      <c r="I545" s="70"/>
      <c r="J545" s="71" t="s">
        <v>1736</v>
      </c>
      <c r="K545" s="70"/>
      <c r="L545" s="70"/>
      <c r="M545" s="71"/>
      <c r="N545" s="71"/>
      <c r="O545" s="71"/>
      <c r="P545" s="254" t="s">
        <v>166</v>
      </c>
      <c r="Q545" s="70"/>
      <c r="R545" s="70"/>
      <c r="S545" s="70"/>
      <c r="T545" s="70"/>
      <c r="U545" s="70"/>
      <c r="V545" s="70"/>
      <c r="W545" s="70"/>
      <c r="X545" s="70"/>
      <c r="Y545" s="70"/>
      <c r="Z545" s="70"/>
      <c r="AA545" s="70"/>
      <c r="AB545" s="70"/>
      <c r="AC545" s="70"/>
      <c r="AD545" s="76"/>
      <c r="AE545" s="76"/>
      <c r="AF545" s="76"/>
      <c r="AG545" s="76"/>
      <c r="AH545" s="76"/>
      <c r="AI545" s="76"/>
      <c r="AJ545" s="76"/>
      <c r="AK545" s="76"/>
      <c r="AL545" s="76"/>
      <c r="AM545" s="76"/>
      <c r="AN545" s="76"/>
      <c r="AO545" s="76"/>
      <c r="AP545" s="76"/>
      <c r="AQ545" s="76"/>
      <c r="AR545" s="76"/>
      <c r="AS545" s="76"/>
      <c r="AT545" s="76"/>
      <c r="AU545" s="76"/>
      <c r="AV545" s="76"/>
      <c r="AW545" s="76"/>
      <c r="AX545" s="76"/>
    </row>
    <row r="546" ht="15.75" customHeight="1">
      <c r="A546" s="126" t="s">
        <v>42</v>
      </c>
      <c r="B546" s="243" t="s">
        <v>3510</v>
      </c>
      <c r="C546" s="31" t="s">
        <v>5638</v>
      </c>
      <c r="D546" s="31" t="s">
        <v>5639</v>
      </c>
      <c r="E546" s="31" t="s">
        <v>5640</v>
      </c>
      <c r="F546" s="31"/>
      <c r="G546" s="31"/>
      <c r="H546" s="31"/>
      <c r="I546" s="154"/>
      <c r="J546" s="154" t="s">
        <v>7</v>
      </c>
      <c r="K546" s="154"/>
      <c r="L546" s="154"/>
      <c r="M546" s="154"/>
      <c r="N546" s="154"/>
      <c r="O546" s="154"/>
      <c r="P546" s="254" t="s">
        <v>166</v>
      </c>
      <c r="Q546" s="154"/>
      <c r="R546" s="154"/>
      <c r="S546" s="154"/>
      <c r="T546" s="154"/>
      <c r="U546" s="154"/>
      <c r="V546" s="154"/>
      <c r="W546" s="154"/>
      <c r="X546" s="154"/>
      <c r="Y546" s="154"/>
      <c r="Z546" s="154"/>
      <c r="AA546" s="154"/>
      <c r="AB546" s="154"/>
      <c r="AC546" s="154"/>
      <c r="AD546" s="76"/>
      <c r="AE546" s="76"/>
      <c r="AF546" s="76"/>
      <c r="AG546" s="76"/>
      <c r="AH546" s="76"/>
      <c r="AI546" s="76"/>
      <c r="AJ546" s="76"/>
      <c r="AK546" s="76"/>
      <c r="AL546" s="76"/>
      <c r="AM546" s="76"/>
      <c r="AN546" s="76"/>
      <c r="AO546" s="76"/>
      <c r="AP546" s="76"/>
      <c r="AQ546" s="76"/>
      <c r="AR546" s="76"/>
      <c r="AS546" s="76"/>
      <c r="AT546" s="76"/>
      <c r="AU546" s="76"/>
      <c r="AV546" s="76"/>
      <c r="AW546" s="76"/>
      <c r="AX546" s="76"/>
    </row>
    <row r="547" ht="15.75" customHeight="1">
      <c r="A547" s="146" t="s">
        <v>237</v>
      </c>
      <c r="B547" s="257" t="s">
        <v>3517</v>
      </c>
      <c r="C547" s="31" t="s">
        <v>5641</v>
      </c>
      <c r="D547" s="31" t="s">
        <v>5642</v>
      </c>
      <c r="E547" s="31" t="s">
        <v>5643</v>
      </c>
      <c r="F547" s="31"/>
      <c r="G547" s="31"/>
      <c r="H547" s="31"/>
      <c r="I547" s="175"/>
      <c r="J547" s="175" t="s">
        <v>1756</v>
      </c>
      <c r="K547" s="176"/>
      <c r="L547" s="176"/>
      <c r="M547" s="175"/>
      <c r="N547" s="175"/>
      <c r="O547" s="175"/>
      <c r="P547" s="254" t="s">
        <v>166</v>
      </c>
      <c r="Q547" s="175" t="s">
        <v>166</v>
      </c>
      <c r="R547" s="175"/>
      <c r="S547" s="175"/>
      <c r="T547" s="175"/>
      <c r="U547" s="175"/>
      <c r="V547" s="175"/>
      <c r="W547" s="175"/>
      <c r="X547" s="175"/>
      <c r="Y547" s="175"/>
      <c r="Z547" s="175"/>
      <c r="AA547" s="175"/>
      <c r="AB547" s="175"/>
      <c r="AC547" s="175"/>
      <c r="AD547" s="76"/>
      <c r="AE547" s="76"/>
      <c r="AF547" s="76"/>
      <c r="AG547" s="76"/>
      <c r="AH547" s="76"/>
      <c r="AI547" s="76"/>
      <c r="AJ547" s="76"/>
      <c r="AK547" s="76"/>
      <c r="AL547" s="76"/>
      <c r="AM547" s="76"/>
      <c r="AN547" s="76"/>
      <c r="AO547" s="76"/>
      <c r="AP547" s="76"/>
      <c r="AQ547" s="76"/>
      <c r="AR547" s="76"/>
      <c r="AS547" s="76"/>
      <c r="AT547" s="76"/>
      <c r="AU547" s="76"/>
      <c r="AV547" s="76"/>
      <c r="AW547" s="76"/>
      <c r="AX547" s="76"/>
    </row>
    <row r="548" ht="15.75" customHeight="1">
      <c r="A548" s="146" t="s">
        <v>237</v>
      </c>
      <c r="B548" s="257" t="s">
        <v>3524</v>
      </c>
      <c r="C548" s="31" t="s">
        <v>5644</v>
      </c>
      <c r="D548" s="31" t="s">
        <v>5645</v>
      </c>
      <c r="E548" s="31" t="s">
        <v>5646</v>
      </c>
      <c r="F548" s="31"/>
      <c r="G548" s="31"/>
      <c r="H548" s="31"/>
      <c r="I548" s="175"/>
      <c r="J548" s="175" t="s">
        <v>1756</v>
      </c>
      <c r="K548" s="176"/>
      <c r="L548" s="176"/>
      <c r="M548" s="175"/>
      <c r="N548" s="175"/>
      <c r="O548" s="175"/>
      <c r="P548" s="254" t="s">
        <v>166</v>
      </c>
      <c r="Q548" s="175" t="s">
        <v>166</v>
      </c>
      <c r="R548" s="175"/>
      <c r="S548" s="175"/>
      <c r="T548" s="175"/>
      <c r="U548" s="175"/>
      <c r="V548" s="175"/>
      <c r="W548" s="175"/>
      <c r="X548" s="175"/>
      <c r="Y548" s="175"/>
      <c r="Z548" s="175"/>
      <c r="AA548" s="175"/>
      <c r="AB548" s="175"/>
      <c r="AC548" s="175"/>
      <c r="AD548" s="76"/>
      <c r="AE548" s="76"/>
      <c r="AF548" s="76"/>
      <c r="AG548" s="76"/>
      <c r="AH548" s="76"/>
      <c r="AI548" s="76"/>
      <c r="AJ548" s="76"/>
      <c r="AK548" s="76"/>
      <c r="AL548" s="76"/>
      <c r="AM548" s="76"/>
      <c r="AN548" s="76"/>
      <c r="AO548" s="76"/>
      <c r="AP548" s="76"/>
      <c r="AQ548" s="76"/>
      <c r="AR548" s="76"/>
      <c r="AS548" s="76"/>
      <c r="AT548" s="76"/>
      <c r="AU548" s="76"/>
      <c r="AV548" s="76"/>
      <c r="AW548" s="76"/>
      <c r="AX548" s="76"/>
    </row>
    <row r="549" ht="15.75" customHeight="1">
      <c r="A549" s="146" t="s">
        <v>237</v>
      </c>
      <c r="B549" s="257" t="s">
        <v>3528</v>
      </c>
      <c r="C549" s="31" t="s">
        <v>5647</v>
      </c>
      <c r="D549" s="31" t="s">
        <v>5648</v>
      </c>
      <c r="E549" s="31" t="s">
        <v>5649</v>
      </c>
      <c r="F549" s="31"/>
      <c r="G549" s="31"/>
      <c r="H549" s="31"/>
      <c r="I549" s="175"/>
      <c r="J549" s="175" t="s">
        <v>1756</v>
      </c>
      <c r="K549" s="176"/>
      <c r="L549" s="176"/>
      <c r="M549" s="175"/>
      <c r="N549" s="175"/>
      <c r="O549" s="175"/>
      <c r="P549" s="254" t="s">
        <v>166</v>
      </c>
      <c r="Q549" s="175" t="s">
        <v>166</v>
      </c>
      <c r="R549" s="175"/>
      <c r="S549" s="175"/>
      <c r="T549" s="175"/>
      <c r="U549" s="175"/>
      <c r="V549" s="175"/>
      <c r="W549" s="175"/>
      <c r="X549" s="175"/>
      <c r="Y549" s="175"/>
      <c r="Z549" s="175"/>
      <c r="AA549" s="175"/>
      <c r="AB549" s="175"/>
      <c r="AC549" s="175"/>
      <c r="AD549" s="76"/>
      <c r="AE549" s="76"/>
      <c r="AF549" s="76"/>
      <c r="AG549" s="76"/>
      <c r="AH549" s="76"/>
      <c r="AI549" s="76"/>
      <c r="AJ549" s="76"/>
      <c r="AK549" s="76"/>
      <c r="AL549" s="76"/>
      <c r="AM549" s="76"/>
      <c r="AN549" s="76"/>
      <c r="AO549" s="76"/>
      <c r="AP549" s="76"/>
      <c r="AQ549" s="76"/>
      <c r="AR549" s="76"/>
      <c r="AS549" s="76"/>
      <c r="AT549" s="76"/>
      <c r="AU549" s="76"/>
      <c r="AV549" s="76"/>
      <c r="AW549" s="76"/>
      <c r="AX549" s="76"/>
    </row>
    <row r="550" ht="15.75" customHeight="1">
      <c r="A550" s="146" t="s">
        <v>237</v>
      </c>
      <c r="B550" s="257" t="s">
        <v>3535</v>
      </c>
      <c r="C550" s="31" t="s">
        <v>5650</v>
      </c>
      <c r="D550" s="31" t="s">
        <v>5651</v>
      </c>
      <c r="E550" s="31" t="s">
        <v>5652</v>
      </c>
      <c r="F550" s="31"/>
      <c r="G550" s="31"/>
      <c r="H550" s="31"/>
      <c r="I550" s="175"/>
      <c r="J550" s="175" t="s">
        <v>1756</v>
      </c>
      <c r="K550" s="176"/>
      <c r="L550" s="176"/>
      <c r="M550" s="175"/>
      <c r="N550" s="175"/>
      <c r="O550" s="175"/>
      <c r="P550" s="254" t="s">
        <v>166</v>
      </c>
      <c r="Q550" s="175" t="s">
        <v>166</v>
      </c>
      <c r="R550" s="175"/>
      <c r="S550" s="175"/>
      <c r="T550" s="175"/>
      <c r="U550" s="175"/>
      <c r="V550" s="175"/>
      <c r="W550" s="175"/>
      <c r="X550" s="175"/>
      <c r="Y550" s="175"/>
      <c r="Z550" s="175"/>
      <c r="AA550" s="175"/>
      <c r="AB550" s="175"/>
      <c r="AC550" s="175"/>
      <c r="AD550" s="76"/>
      <c r="AE550" s="76"/>
      <c r="AF550" s="76"/>
      <c r="AG550" s="76"/>
      <c r="AH550" s="76"/>
      <c r="AI550" s="76"/>
      <c r="AJ550" s="76"/>
      <c r="AK550" s="76"/>
      <c r="AL550" s="76"/>
      <c r="AM550" s="76"/>
      <c r="AN550" s="76"/>
      <c r="AO550" s="76"/>
      <c r="AP550" s="76"/>
      <c r="AQ550" s="76"/>
      <c r="AR550" s="76"/>
      <c r="AS550" s="76"/>
      <c r="AT550" s="76"/>
      <c r="AU550" s="76"/>
      <c r="AV550" s="76"/>
      <c r="AW550" s="76"/>
      <c r="AX550" s="76"/>
    </row>
    <row r="551" ht="15.75" customHeight="1">
      <c r="A551" s="122" t="s">
        <v>236</v>
      </c>
      <c r="B551" s="122" t="s">
        <v>3506</v>
      </c>
      <c r="C551" s="31" t="s">
        <v>3507</v>
      </c>
      <c r="D551" s="31" t="s">
        <v>3539</v>
      </c>
      <c r="E551" s="31" t="s">
        <v>3540</v>
      </c>
      <c r="F551" s="70"/>
      <c r="G551" s="70"/>
      <c r="H551" s="70"/>
      <c r="I551" s="70"/>
      <c r="J551" s="70"/>
      <c r="K551" s="70"/>
      <c r="L551" s="70"/>
      <c r="M551" s="70"/>
      <c r="N551" s="70"/>
      <c r="O551" s="70"/>
      <c r="P551" s="254" t="s">
        <v>166</v>
      </c>
      <c r="Q551" s="70"/>
      <c r="R551" s="70"/>
      <c r="S551" s="70"/>
      <c r="T551" s="70"/>
      <c r="U551" s="70"/>
      <c r="V551" s="70"/>
      <c r="W551" s="70"/>
      <c r="X551" s="70"/>
      <c r="Y551" s="70"/>
      <c r="Z551" s="70"/>
      <c r="AA551" s="70"/>
      <c r="AB551" s="70"/>
      <c r="AC551" s="70"/>
      <c r="AD551" s="76"/>
      <c r="AE551" s="76"/>
      <c r="AF551" s="76"/>
      <c r="AG551" s="76"/>
      <c r="AH551" s="76"/>
      <c r="AI551" s="76"/>
      <c r="AJ551" s="76"/>
      <c r="AK551" s="76"/>
      <c r="AL551" s="76"/>
      <c r="AM551" s="76"/>
      <c r="AN551" s="76"/>
      <c r="AO551" s="76"/>
      <c r="AP551" s="76"/>
      <c r="AQ551" s="76"/>
      <c r="AR551" s="76"/>
      <c r="AS551" s="76"/>
      <c r="AT551" s="76"/>
      <c r="AU551" s="76"/>
      <c r="AV551" s="76"/>
      <c r="AW551" s="76"/>
      <c r="AX551" s="76"/>
    </row>
    <row r="552" ht="15.75" customHeight="1">
      <c r="A552" s="104" t="s">
        <v>139</v>
      </c>
      <c r="B552" s="141" t="s">
        <v>3541</v>
      </c>
      <c r="C552" s="31"/>
      <c r="D552" s="31"/>
      <c r="E552" s="31"/>
      <c r="F552" s="108"/>
      <c r="G552" s="108"/>
      <c r="H552" s="108"/>
      <c r="I552" s="108"/>
      <c r="J552" s="108"/>
      <c r="K552" s="108"/>
      <c r="L552" s="108"/>
      <c r="M552" s="108"/>
      <c r="N552" s="108"/>
      <c r="O552" s="108"/>
      <c r="P552" s="254" t="s">
        <v>166</v>
      </c>
      <c r="Q552" s="108"/>
      <c r="R552" s="108"/>
      <c r="S552" s="108"/>
      <c r="T552" s="281" t="s">
        <v>145</v>
      </c>
      <c r="U552" s="108"/>
      <c r="V552" s="108"/>
      <c r="W552" s="108"/>
      <c r="X552" s="108"/>
      <c r="Y552" s="108"/>
      <c r="Z552" s="108"/>
      <c r="AA552" s="108"/>
      <c r="AB552" s="108"/>
      <c r="AC552" s="108"/>
      <c r="AD552" s="76"/>
      <c r="AE552" s="76"/>
      <c r="AF552" s="76"/>
      <c r="AG552" s="76"/>
      <c r="AH552" s="76"/>
      <c r="AI552" s="76"/>
      <c r="AJ552" s="76"/>
      <c r="AK552" s="76"/>
      <c r="AL552" s="76"/>
      <c r="AM552" s="76"/>
      <c r="AN552" s="76"/>
      <c r="AO552" s="76"/>
      <c r="AP552" s="76"/>
      <c r="AQ552" s="76"/>
      <c r="AR552" s="76"/>
      <c r="AS552" s="76"/>
      <c r="AT552" s="76"/>
      <c r="AU552" s="76"/>
      <c r="AV552" s="76"/>
      <c r="AW552" s="76"/>
      <c r="AX552" s="76"/>
    </row>
    <row r="553" ht="15.75" customHeight="1">
      <c r="A553" s="67" t="s">
        <v>108</v>
      </c>
      <c r="B553" s="69" t="s">
        <v>3545</v>
      </c>
      <c r="C553" s="31"/>
      <c r="D553" s="31"/>
      <c r="E553" s="31"/>
      <c r="F553" s="70"/>
      <c r="G553" s="70"/>
      <c r="H553" s="70"/>
      <c r="I553" s="71"/>
      <c r="J553" s="71"/>
      <c r="K553" s="70"/>
      <c r="L553" s="71"/>
      <c r="M553" s="71"/>
      <c r="N553" s="71"/>
      <c r="O553" s="71"/>
      <c r="P553" s="254" t="s">
        <v>166</v>
      </c>
      <c r="Q553" s="70"/>
      <c r="R553" s="70"/>
      <c r="S553" s="70"/>
      <c r="T553" s="67" t="s">
        <v>5653</v>
      </c>
      <c r="U553" s="70"/>
      <c r="V553" s="70"/>
      <c r="W553" s="70"/>
      <c r="X553" s="70"/>
      <c r="Y553" s="70"/>
      <c r="Z553" s="70"/>
      <c r="AA553" s="70"/>
      <c r="AB553" s="70"/>
      <c r="AC553" s="70"/>
      <c r="AD553" s="76"/>
      <c r="AE553" s="76"/>
      <c r="AF553" s="76"/>
      <c r="AG553" s="76"/>
      <c r="AH553" s="76"/>
      <c r="AI553" s="76"/>
      <c r="AJ553" s="76"/>
      <c r="AK553" s="76"/>
      <c r="AL553" s="76"/>
      <c r="AM553" s="76"/>
      <c r="AN553" s="76"/>
      <c r="AO553" s="76"/>
      <c r="AP553" s="76"/>
      <c r="AQ553" s="76"/>
      <c r="AR553" s="76"/>
      <c r="AS553" s="76"/>
      <c r="AT553" s="76"/>
      <c r="AU553" s="76"/>
      <c r="AV553" s="76"/>
      <c r="AW553" s="76"/>
      <c r="AX553" s="76"/>
    </row>
    <row r="554" ht="15.75" customHeight="1">
      <c r="A554" s="169"/>
      <c r="B554" s="169"/>
      <c r="C554" s="31"/>
      <c r="D554" s="31"/>
      <c r="E554" s="31"/>
      <c r="F554" s="76"/>
      <c r="G554" s="76"/>
      <c r="H554" s="76"/>
      <c r="I554" s="76"/>
      <c r="J554" s="76"/>
      <c r="K554" s="76"/>
      <c r="L554" s="76"/>
      <c r="M554" s="76"/>
      <c r="N554" s="76"/>
      <c r="O554" s="76"/>
      <c r="P554" s="254"/>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c r="AP554" s="76"/>
      <c r="AQ554" s="76"/>
      <c r="AR554" s="76"/>
      <c r="AS554" s="76"/>
      <c r="AT554" s="76"/>
      <c r="AU554" s="76"/>
      <c r="AV554" s="76"/>
      <c r="AW554" s="76"/>
      <c r="AX554" s="76"/>
    </row>
    <row r="555" ht="15.75" customHeight="1">
      <c r="A555" s="104" t="s">
        <v>139</v>
      </c>
      <c r="B555" s="141" t="s">
        <v>3556</v>
      </c>
      <c r="C555" s="31"/>
      <c r="D555" s="31"/>
      <c r="E555" s="31"/>
      <c r="F555" s="108"/>
      <c r="G555" s="108"/>
      <c r="H555" s="108"/>
      <c r="I555" s="108"/>
      <c r="J555" s="108"/>
      <c r="K555" s="108"/>
      <c r="L555" s="108"/>
      <c r="M555" s="108"/>
      <c r="N555" s="108"/>
      <c r="O555" s="108"/>
      <c r="P555" s="254" t="s">
        <v>166</v>
      </c>
      <c r="Q555" s="108"/>
      <c r="R555" s="108"/>
      <c r="S555" s="108"/>
      <c r="T555" s="281" t="s">
        <v>145</v>
      </c>
      <c r="U555" s="108"/>
      <c r="V555" s="108"/>
      <c r="W555" s="108"/>
      <c r="X555" s="108"/>
      <c r="Y555" s="108"/>
      <c r="Z555" s="108"/>
      <c r="AA555" s="108"/>
      <c r="AB555" s="108"/>
      <c r="AC555" s="108"/>
      <c r="AD555" s="76"/>
      <c r="AE555" s="76"/>
      <c r="AF555" s="76"/>
      <c r="AG555" s="76"/>
      <c r="AH555" s="76"/>
      <c r="AI555" s="76"/>
      <c r="AJ555" s="76"/>
      <c r="AK555" s="76"/>
      <c r="AL555" s="76"/>
      <c r="AM555" s="76"/>
      <c r="AN555" s="76"/>
      <c r="AO555" s="76"/>
      <c r="AP555" s="76"/>
      <c r="AQ555" s="76"/>
      <c r="AR555" s="76"/>
      <c r="AS555" s="76"/>
      <c r="AT555" s="76"/>
      <c r="AU555" s="76"/>
      <c r="AV555" s="76"/>
      <c r="AW555" s="76"/>
      <c r="AX555" s="76"/>
    </row>
    <row r="556" ht="15.75" customHeight="1">
      <c r="A556" s="126" t="s">
        <v>42</v>
      </c>
      <c r="B556" s="243" t="s">
        <v>3560</v>
      </c>
      <c r="C556" s="31" t="s">
        <v>5654</v>
      </c>
      <c r="D556" s="31" t="s">
        <v>5655</v>
      </c>
      <c r="E556" s="31" t="s">
        <v>5656</v>
      </c>
      <c r="F556" s="31"/>
      <c r="G556" s="31"/>
      <c r="H556" s="31"/>
      <c r="I556" s="154"/>
      <c r="J556" s="154"/>
      <c r="K556" s="154"/>
      <c r="L556" s="154"/>
      <c r="M556" s="154"/>
      <c r="N556" s="154"/>
      <c r="O556" s="154"/>
      <c r="P556" s="254" t="s">
        <v>166</v>
      </c>
      <c r="Q556" s="154"/>
      <c r="R556" s="154"/>
      <c r="S556" s="154"/>
      <c r="T556" s="154"/>
      <c r="U556" s="154"/>
      <c r="V556" s="154"/>
      <c r="W556" s="154"/>
      <c r="X556" s="154"/>
      <c r="Y556" s="154"/>
      <c r="Z556" s="154"/>
      <c r="AA556" s="154"/>
      <c r="AB556" s="154"/>
      <c r="AC556" s="154"/>
      <c r="AD556" s="76"/>
      <c r="AE556" s="76"/>
      <c r="AF556" s="76"/>
      <c r="AG556" s="76"/>
      <c r="AH556" s="76"/>
      <c r="AI556" s="76"/>
      <c r="AJ556" s="76"/>
      <c r="AK556" s="76"/>
      <c r="AL556" s="76"/>
      <c r="AM556" s="76"/>
      <c r="AN556" s="76"/>
      <c r="AO556" s="76"/>
      <c r="AP556" s="76"/>
      <c r="AQ556" s="76"/>
      <c r="AR556" s="76"/>
      <c r="AS556" s="76"/>
      <c r="AT556" s="76"/>
      <c r="AU556" s="76"/>
      <c r="AV556" s="76"/>
      <c r="AW556" s="76"/>
      <c r="AX556" s="76"/>
    </row>
    <row r="557" ht="15.75" customHeight="1">
      <c r="A557" s="146" t="s">
        <v>237</v>
      </c>
      <c r="B557" s="257" t="s">
        <v>3567</v>
      </c>
      <c r="C557" s="31" t="s">
        <v>5657</v>
      </c>
      <c r="D557" s="31" t="s">
        <v>5658</v>
      </c>
      <c r="E557" s="31" t="s">
        <v>5659</v>
      </c>
      <c r="F557" s="31"/>
      <c r="G557" s="31"/>
      <c r="H557" s="31"/>
      <c r="I557" s="175"/>
      <c r="J557" s="175"/>
      <c r="K557" s="205" t="s">
        <v>5660</v>
      </c>
      <c r="L557" s="176"/>
      <c r="M557" s="175"/>
      <c r="N557" s="175"/>
      <c r="O557" s="175"/>
      <c r="P557" s="254" t="s">
        <v>166</v>
      </c>
      <c r="Q557" s="175"/>
      <c r="R557" s="175"/>
      <c r="S557" s="175"/>
      <c r="T557" s="175"/>
      <c r="U557" s="175"/>
      <c r="V557" s="175"/>
      <c r="W557" s="175"/>
      <c r="X557" s="175"/>
      <c r="Y557" s="175"/>
      <c r="Z557" s="175"/>
      <c r="AA557" s="175"/>
      <c r="AB557" s="175"/>
      <c r="AC557" s="175"/>
      <c r="AD557" s="76"/>
      <c r="AE557" s="76"/>
      <c r="AF557" s="76"/>
      <c r="AG557" s="76"/>
      <c r="AH557" s="76"/>
      <c r="AI557" s="76"/>
      <c r="AJ557" s="76"/>
      <c r="AK557" s="76"/>
      <c r="AL557" s="76"/>
      <c r="AM557" s="76"/>
      <c r="AN557" s="76"/>
      <c r="AO557" s="76"/>
      <c r="AP557" s="76"/>
      <c r="AQ557" s="76"/>
      <c r="AR557" s="76"/>
      <c r="AS557" s="76"/>
      <c r="AT557" s="76"/>
      <c r="AU557" s="76"/>
      <c r="AV557" s="76"/>
      <c r="AW557" s="76"/>
      <c r="AX557" s="76"/>
    </row>
    <row r="558" ht="15.75" customHeight="1">
      <c r="A558" s="146" t="s">
        <v>237</v>
      </c>
      <c r="B558" s="257" t="s">
        <v>3574</v>
      </c>
      <c r="C558" s="31" t="s">
        <v>5661</v>
      </c>
      <c r="D558" s="31" t="s">
        <v>5662</v>
      </c>
      <c r="E558" s="31" t="s">
        <v>5663</v>
      </c>
      <c r="F558" s="31"/>
      <c r="G558" s="31"/>
      <c r="H558" s="31"/>
      <c r="I558" s="175"/>
      <c r="J558" s="175"/>
      <c r="K558" s="176" t="s">
        <v>2389</v>
      </c>
      <c r="L558" s="176"/>
      <c r="M558" s="175"/>
      <c r="N558" s="175"/>
      <c r="O558" s="175"/>
      <c r="P558" s="254" t="s">
        <v>166</v>
      </c>
      <c r="Q558" s="175" t="s">
        <v>166</v>
      </c>
      <c r="R558" s="175"/>
      <c r="S558" s="175"/>
      <c r="T558" s="175"/>
      <c r="U558" s="175"/>
      <c r="V558" s="175"/>
      <c r="W558" s="175"/>
      <c r="X558" s="175"/>
      <c r="Y558" s="175"/>
      <c r="Z558" s="175"/>
      <c r="AA558" s="175"/>
      <c r="AB558" s="175"/>
      <c r="AC558" s="175"/>
      <c r="AD558" s="76"/>
      <c r="AE558" s="76"/>
      <c r="AF558" s="76"/>
      <c r="AG558" s="76"/>
      <c r="AH558" s="76"/>
      <c r="AI558" s="76"/>
      <c r="AJ558" s="76"/>
      <c r="AK558" s="76"/>
      <c r="AL558" s="76"/>
      <c r="AM558" s="76"/>
      <c r="AN558" s="76"/>
      <c r="AO558" s="76"/>
      <c r="AP558" s="76"/>
      <c r="AQ558" s="76"/>
      <c r="AR558" s="76"/>
      <c r="AS558" s="76"/>
      <c r="AT558" s="76"/>
      <c r="AU558" s="76"/>
      <c r="AV558" s="76"/>
      <c r="AW558" s="76"/>
      <c r="AX558" s="76"/>
    </row>
    <row r="559">
      <c r="A559" s="256"/>
      <c r="B559" s="256"/>
      <c r="C559" s="31"/>
      <c r="D559" s="31"/>
      <c r="E559" s="31"/>
      <c r="F559" s="256"/>
      <c r="G559" s="256"/>
      <c r="H559" s="256"/>
      <c r="I559" s="256"/>
      <c r="J559" s="256"/>
      <c r="K559" s="256"/>
      <c r="L559" s="256"/>
      <c r="M559" s="256"/>
      <c r="N559" s="256"/>
      <c r="O559" s="256"/>
      <c r="P559" s="254"/>
      <c r="Q559" s="256"/>
      <c r="R559" s="256"/>
      <c r="S559" s="256"/>
      <c r="T559" s="256"/>
      <c r="U559" s="256"/>
      <c r="V559" s="256"/>
      <c r="W559" s="256"/>
      <c r="X559" s="256"/>
      <c r="Y559" s="256"/>
      <c r="Z559" s="256"/>
      <c r="AA559" s="256"/>
      <c r="AB559" s="256"/>
      <c r="AC559" s="256"/>
      <c r="AD559" s="256"/>
      <c r="AE559" s="256"/>
      <c r="AF559" s="256"/>
      <c r="AG559" s="256"/>
      <c r="AH559" s="256"/>
      <c r="AI559" s="256"/>
      <c r="AJ559" s="256"/>
      <c r="AK559" s="256"/>
      <c r="AL559" s="256"/>
      <c r="AM559" s="256"/>
      <c r="AN559" s="256"/>
      <c r="AO559" s="256"/>
      <c r="AP559" s="256"/>
      <c r="AQ559" s="256"/>
      <c r="AR559" s="256"/>
      <c r="AS559" s="256"/>
      <c r="AT559" s="256"/>
      <c r="AU559" s="256"/>
      <c r="AV559" s="256"/>
      <c r="AW559" s="256"/>
      <c r="AX559" s="256"/>
    </row>
    <row r="560" ht="15.75" customHeight="1">
      <c r="A560" s="144" t="s">
        <v>648</v>
      </c>
      <c r="B560" s="145" t="s">
        <v>3588</v>
      </c>
      <c r="C560" s="31" t="s">
        <v>3589</v>
      </c>
      <c r="D560" s="31" t="s">
        <v>3590</v>
      </c>
      <c r="E560" s="31" t="s">
        <v>3591</v>
      </c>
      <c r="F560" s="173"/>
      <c r="G560" s="173"/>
      <c r="H560" s="173"/>
      <c r="I560" s="173"/>
      <c r="J560" s="173"/>
      <c r="K560" s="173"/>
      <c r="L560" s="173"/>
      <c r="M560" s="174"/>
      <c r="N560" s="174"/>
      <c r="O560" s="174"/>
      <c r="P560" s="254" t="s">
        <v>166</v>
      </c>
      <c r="Q560" s="173"/>
      <c r="R560" s="173"/>
      <c r="S560" s="173"/>
      <c r="T560" s="173"/>
      <c r="U560" s="174" t="s">
        <v>5664</v>
      </c>
      <c r="V560" s="173"/>
      <c r="W560" s="173"/>
      <c r="X560" s="173"/>
      <c r="Y560" s="173"/>
      <c r="Z560" s="173"/>
      <c r="AA560" s="173"/>
      <c r="AB560" s="173"/>
      <c r="AC560" s="173"/>
      <c r="AD560" s="76"/>
      <c r="AE560" s="76"/>
      <c r="AF560" s="76"/>
      <c r="AG560" s="76"/>
      <c r="AH560" s="76"/>
      <c r="AI560" s="76"/>
      <c r="AJ560" s="76"/>
      <c r="AK560" s="76"/>
      <c r="AL560" s="76"/>
      <c r="AM560" s="76"/>
      <c r="AN560" s="76"/>
      <c r="AO560" s="76"/>
      <c r="AP560" s="76"/>
      <c r="AQ560" s="76"/>
      <c r="AR560" s="76"/>
      <c r="AS560" s="76"/>
      <c r="AT560" s="76"/>
      <c r="AU560" s="76"/>
      <c r="AV560" s="76"/>
      <c r="AW560" s="76"/>
      <c r="AX560" s="76"/>
    </row>
    <row r="561" ht="15.75" customHeight="1">
      <c r="A561" s="104" t="s">
        <v>108</v>
      </c>
      <c r="B561" s="105" t="s">
        <v>3595</v>
      </c>
      <c r="C561" s="31"/>
      <c r="D561" s="31"/>
      <c r="E561" s="31"/>
      <c r="F561" s="108"/>
      <c r="G561" s="108"/>
      <c r="H561" s="108"/>
      <c r="I561" s="108"/>
      <c r="J561" s="108"/>
      <c r="K561" s="108"/>
      <c r="L561" s="108"/>
      <c r="M561" s="108"/>
      <c r="N561" s="108"/>
      <c r="O561" s="108"/>
      <c r="P561" s="254" t="s">
        <v>166</v>
      </c>
      <c r="Q561" s="108"/>
      <c r="R561" s="108"/>
      <c r="S561" s="108"/>
      <c r="T561" s="121" t="s">
        <v>5665</v>
      </c>
      <c r="U561" s="108"/>
      <c r="V561" s="108"/>
      <c r="W561" s="108"/>
      <c r="X561" s="108"/>
      <c r="Y561" s="108"/>
      <c r="Z561" s="108"/>
      <c r="AA561" s="108"/>
      <c r="AB561" s="108"/>
      <c r="AC561" s="108"/>
      <c r="AD561" s="76"/>
      <c r="AE561" s="76"/>
      <c r="AF561" s="76"/>
      <c r="AG561" s="76"/>
      <c r="AH561" s="76"/>
      <c r="AI561" s="76"/>
      <c r="AJ561" s="76"/>
      <c r="AK561" s="76"/>
      <c r="AL561" s="76"/>
      <c r="AM561" s="76"/>
      <c r="AN561" s="76"/>
      <c r="AO561" s="76"/>
      <c r="AP561" s="76"/>
      <c r="AQ561" s="76"/>
      <c r="AR561" s="76"/>
      <c r="AS561" s="76"/>
      <c r="AT561" s="76"/>
      <c r="AU561" s="76"/>
      <c r="AV561" s="76"/>
      <c r="AW561" s="76"/>
      <c r="AX561" s="76"/>
    </row>
    <row r="562" ht="15.75" customHeight="1">
      <c r="A562" s="104" t="s">
        <v>108</v>
      </c>
      <c r="B562" s="105" t="s">
        <v>3602</v>
      </c>
      <c r="C562" s="31" t="s">
        <v>3603</v>
      </c>
      <c r="D562" s="31" t="s">
        <v>3604</v>
      </c>
      <c r="E562" s="31" t="s">
        <v>3605</v>
      </c>
      <c r="F562" s="108"/>
      <c r="G562" s="108"/>
      <c r="H562" s="108"/>
      <c r="I562" s="108"/>
      <c r="J562" s="108"/>
      <c r="K562" s="108"/>
      <c r="L562" s="108"/>
      <c r="M562" s="108"/>
      <c r="N562" s="108"/>
      <c r="O562" s="108"/>
      <c r="P562" s="254" t="s">
        <v>166</v>
      </c>
      <c r="Q562" s="108"/>
      <c r="R562" s="108"/>
      <c r="S562" s="108"/>
      <c r="T562" s="121" t="s">
        <v>5666</v>
      </c>
      <c r="U562" s="108"/>
      <c r="V562" s="108"/>
      <c r="W562" s="108"/>
      <c r="X562" s="108"/>
      <c r="Y562" s="108"/>
      <c r="Z562" s="108"/>
      <c r="AA562" s="108"/>
      <c r="AB562" s="108"/>
      <c r="AC562" s="108"/>
      <c r="AD562" s="76"/>
      <c r="AE562" s="76"/>
      <c r="AF562" s="76"/>
      <c r="AG562" s="76"/>
      <c r="AH562" s="76"/>
      <c r="AI562" s="76"/>
      <c r="AJ562" s="76"/>
      <c r="AK562" s="76"/>
      <c r="AL562" s="76"/>
      <c r="AM562" s="76"/>
      <c r="AN562" s="76"/>
      <c r="AO562" s="76"/>
      <c r="AP562" s="76"/>
      <c r="AQ562" s="76"/>
      <c r="AR562" s="76"/>
      <c r="AS562" s="76"/>
      <c r="AT562" s="76"/>
      <c r="AU562" s="76"/>
      <c r="AV562" s="76"/>
      <c r="AW562" s="76"/>
      <c r="AX562" s="76"/>
    </row>
    <row r="563" ht="15.75" customHeight="1">
      <c r="A563" s="146" t="s">
        <v>237</v>
      </c>
      <c r="B563" s="147" t="s">
        <v>3613</v>
      </c>
      <c r="C563" s="31" t="s">
        <v>5667</v>
      </c>
      <c r="D563" s="31" t="s">
        <v>5668</v>
      </c>
      <c r="E563" s="31" t="s">
        <v>5669</v>
      </c>
      <c r="F563" s="31"/>
      <c r="G563" s="31"/>
      <c r="H563" s="31"/>
      <c r="I563" s="175"/>
      <c r="J563" s="175"/>
      <c r="K563" s="176" t="s">
        <v>5670</v>
      </c>
      <c r="L563" s="176"/>
      <c r="M563" s="175"/>
      <c r="N563" s="175"/>
      <c r="O563" s="175"/>
      <c r="P563" s="254" t="s">
        <v>166</v>
      </c>
      <c r="Q563" s="175" t="s">
        <v>166</v>
      </c>
      <c r="R563" s="175"/>
      <c r="S563" s="175"/>
      <c r="T563" s="175"/>
      <c r="U563" s="175"/>
      <c r="V563" s="175"/>
      <c r="W563" s="175"/>
      <c r="X563" s="175"/>
      <c r="Y563" s="175"/>
      <c r="Z563" s="175"/>
      <c r="AA563" s="175"/>
      <c r="AB563" s="175"/>
      <c r="AC563" s="175"/>
      <c r="AD563" s="76"/>
      <c r="AE563" s="76"/>
      <c r="AF563" s="76"/>
      <c r="AG563" s="76"/>
      <c r="AH563" s="76"/>
      <c r="AI563" s="76"/>
      <c r="AJ563" s="76"/>
      <c r="AK563" s="76"/>
      <c r="AL563" s="76"/>
      <c r="AM563" s="76"/>
      <c r="AN563" s="76"/>
      <c r="AO563" s="76"/>
      <c r="AP563" s="76"/>
      <c r="AQ563" s="76"/>
      <c r="AR563" s="76"/>
      <c r="AS563" s="76"/>
      <c r="AT563" s="76"/>
      <c r="AU563" s="76"/>
      <c r="AV563" s="76"/>
      <c r="AW563" s="76"/>
      <c r="AX563" s="76"/>
    </row>
    <row r="564" ht="15.75" customHeight="1">
      <c r="A564" s="144" t="s">
        <v>691</v>
      </c>
      <c r="B564" s="150" t="s">
        <v>3588</v>
      </c>
      <c r="C564" s="31" t="s">
        <v>3589</v>
      </c>
      <c r="D564" s="31" t="s">
        <v>3590</v>
      </c>
      <c r="E564" s="31" t="s">
        <v>3591</v>
      </c>
      <c r="F564" s="173"/>
      <c r="G564" s="173"/>
      <c r="H564" s="173"/>
      <c r="I564" s="173"/>
      <c r="J564" s="173"/>
      <c r="K564" s="173"/>
      <c r="L564" s="173"/>
      <c r="M564" s="173"/>
      <c r="N564" s="173"/>
      <c r="O564" s="173"/>
      <c r="P564" s="254" t="s">
        <v>166</v>
      </c>
      <c r="Q564" s="173"/>
      <c r="R564" s="173"/>
      <c r="S564" s="173"/>
      <c r="T564" s="173"/>
      <c r="U564" s="173"/>
      <c r="V564" s="173"/>
      <c r="W564" s="173"/>
      <c r="X564" s="173"/>
      <c r="Y564" s="173"/>
      <c r="Z564" s="173"/>
      <c r="AA564" s="173"/>
      <c r="AB564" s="173"/>
      <c r="AC564" s="173"/>
      <c r="AD564" s="76"/>
      <c r="AE564" s="76"/>
      <c r="AF564" s="76"/>
      <c r="AG564" s="76"/>
      <c r="AH564" s="76"/>
      <c r="AI564" s="76"/>
      <c r="AJ564" s="76"/>
      <c r="AK564" s="76"/>
      <c r="AL564" s="76"/>
      <c r="AM564" s="76"/>
      <c r="AN564" s="76"/>
      <c r="AO564" s="76"/>
      <c r="AP564" s="76"/>
      <c r="AQ564" s="76"/>
      <c r="AR564" s="76"/>
      <c r="AS564" s="76"/>
      <c r="AT564" s="76"/>
      <c r="AU564" s="76"/>
      <c r="AV564" s="76"/>
      <c r="AW564" s="76"/>
      <c r="AX564" s="76"/>
    </row>
    <row r="565" ht="15.75" customHeight="1">
      <c r="A565" s="149" t="s">
        <v>42</v>
      </c>
      <c r="B565" s="131" t="s">
        <v>3627</v>
      </c>
      <c r="C565" s="31" t="s">
        <v>5671</v>
      </c>
      <c r="D565" s="31" t="s">
        <v>5672</v>
      </c>
      <c r="E565" s="31" t="s">
        <v>5673</v>
      </c>
      <c r="F565" s="31"/>
      <c r="G565" s="31"/>
      <c r="H565" s="31"/>
      <c r="I565" s="84"/>
      <c r="J565" s="159"/>
      <c r="K565" s="84"/>
      <c r="L565" s="84"/>
      <c r="M565" s="84"/>
      <c r="N565" s="84"/>
      <c r="O565" s="84"/>
      <c r="P565" s="254" t="s">
        <v>166</v>
      </c>
      <c r="Q565" s="84"/>
      <c r="R565" s="84"/>
      <c r="S565" s="84"/>
      <c r="T565" s="84"/>
      <c r="U565" s="84"/>
      <c r="V565" s="84"/>
      <c r="W565" s="84"/>
      <c r="X565" s="84"/>
      <c r="Y565" s="84"/>
      <c r="Z565" s="84"/>
      <c r="AA565" s="84"/>
      <c r="AB565" s="84"/>
      <c r="AC565" s="84"/>
      <c r="AD565" s="76"/>
      <c r="AE565" s="76"/>
      <c r="AF565" s="76"/>
      <c r="AG565" s="76"/>
      <c r="AH565" s="76"/>
      <c r="AI565" s="76"/>
      <c r="AJ565" s="76"/>
      <c r="AK565" s="76"/>
      <c r="AL565" s="76"/>
      <c r="AM565" s="76"/>
      <c r="AN565" s="76"/>
      <c r="AO565" s="76"/>
      <c r="AP565" s="76"/>
      <c r="AQ565" s="76"/>
      <c r="AR565" s="76"/>
      <c r="AS565" s="76"/>
      <c r="AT565" s="76"/>
      <c r="AU565" s="76"/>
      <c r="AV565" s="76"/>
      <c r="AW565" s="76"/>
      <c r="AX565" s="76"/>
    </row>
    <row r="566" ht="15.75" customHeight="1">
      <c r="A566" s="81" t="s">
        <v>338</v>
      </c>
      <c r="B566" s="142" t="s">
        <v>3635</v>
      </c>
      <c r="C566" s="31" t="s">
        <v>5674</v>
      </c>
      <c r="D566" s="31" t="s">
        <v>5675</v>
      </c>
      <c r="E566" s="31" t="s">
        <v>5676</v>
      </c>
      <c r="F566" s="31"/>
      <c r="G566" s="31"/>
      <c r="H566" s="31"/>
      <c r="I566" s="84"/>
      <c r="J566" s="159"/>
      <c r="K566" s="84"/>
      <c r="L566" s="84"/>
      <c r="M566" s="84"/>
      <c r="N566" s="84"/>
      <c r="O566" s="84" t="s">
        <v>5677</v>
      </c>
      <c r="P566" s="254" t="s">
        <v>166</v>
      </c>
      <c r="Q566" s="84" t="s">
        <v>166</v>
      </c>
      <c r="R566" s="84"/>
      <c r="S566" s="84"/>
      <c r="T566" s="84"/>
      <c r="U566" s="84"/>
      <c r="V566" s="84"/>
      <c r="W566" s="84"/>
      <c r="X566" s="84"/>
      <c r="Y566" s="84"/>
      <c r="Z566" s="84"/>
      <c r="AA566" s="84"/>
      <c r="AB566" s="84"/>
      <c r="AC566" s="84"/>
      <c r="AD566" s="76"/>
      <c r="AE566" s="76"/>
      <c r="AF566" s="76"/>
      <c r="AG566" s="76"/>
      <c r="AH566" s="76"/>
      <c r="AI566" s="76"/>
      <c r="AJ566" s="76"/>
      <c r="AK566" s="76"/>
      <c r="AL566" s="76"/>
      <c r="AM566" s="76"/>
      <c r="AN566" s="76"/>
      <c r="AO566" s="76"/>
      <c r="AP566" s="76"/>
      <c r="AQ566" s="76"/>
      <c r="AR566" s="76"/>
      <c r="AS566" s="76"/>
      <c r="AT566" s="76"/>
      <c r="AU566" s="76"/>
      <c r="AV566" s="76"/>
      <c r="AW566" s="76"/>
      <c r="AX566" s="76"/>
    </row>
    <row r="567" ht="15.75" customHeight="1">
      <c r="A567" s="146" t="s">
        <v>237</v>
      </c>
      <c r="B567" s="147" t="s">
        <v>3639</v>
      </c>
      <c r="C567" s="31" t="s">
        <v>5678</v>
      </c>
      <c r="D567" s="31" t="s">
        <v>5679</v>
      </c>
      <c r="E567" s="31" t="s">
        <v>5680</v>
      </c>
      <c r="F567" s="31"/>
      <c r="G567" s="31"/>
      <c r="H567" s="31"/>
      <c r="I567" s="175"/>
      <c r="J567" s="175"/>
      <c r="K567" s="176"/>
      <c r="L567" s="176"/>
      <c r="M567" s="175"/>
      <c r="N567" s="175"/>
      <c r="O567" s="175" t="s">
        <v>5681</v>
      </c>
      <c r="P567" s="254" t="s">
        <v>166</v>
      </c>
      <c r="Q567" s="175" t="s">
        <v>166</v>
      </c>
      <c r="R567" s="175"/>
      <c r="S567" s="175"/>
      <c r="T567" s="175"/>
      <c r="U567" s="175"/>
      <c r="V567" s="175"/>
      <c r="W567" s="175"/>
      <c r="X567" s="175"/>
      <c r="Y567" s="175"/>
      <c r="Z567" s="175"/>
      <c r="AA567" s="175"/>
      <c r="AB567" s="175"/>
      <c r="AC567" s="175"/>
      <c r="AD567" s="76"/>
      <c r="AE567" s="76"/>
      <c r="AF567" s="76"/>
      <c r="AG567" s="76"/>
      <c r="AH567" s="76"/>
      <c r="AI567" s="76"/>
      <c r="AJ567" s="76"/>
      <c r="AK567" s="76"/>
      <c r="AL567" s="76"/>
      <c r="AM567" s="76"/>
      <c r="AN567" s="76"/>
      <c r="AO567" s="76"/>
      <c r="AP567" s="76"/>
      <c r="AQ567" s="76"/>
      <c r="AR567" s="76"/>
      <c r="AS567" s="76"/>
      <c r="AT567" s="76"/>
      <c r="AU567" s="76"/>
      <c r="AV567" s="76"/>
      <c r="AW567" s="76"/>
      <c r="AX567" s="76"/>
    </row>
    <row r="568" ht="15.75" customHeight="1">
      <c r="A568" s="146" t="s">
        <v>237</v>
      </c>
      <c r="B568" s="147" t="s">
        <v>3650</v>
      </c>
      <c r="C568" s="31" t="s">
        <v>5682</v>
      </c>
      <c r="D568" s="31" t="s">
        <v>5683</v>
      </c>
      <c r="E568" s="31" t="s">
        <v>5684</v>
      </c>
      <c r="F568" s="31"/>
      <c r="G568" s="31"/>
      <c r="H568" s="31"/>
      <c r="I568" s="175"/>
      <c r="J568" s="175"/>
      <c r="K568" s="176" t="s">
        <v>5670</v>
      </c>
      <c r="L568" s="176"/>
      <c r="M568" s="175"/>
      <c r="N568" s="175"/>
      <c r="O568" s="175" t="s">
        <v>5681</v>
      </c>
      <c r="P568" s="254" t="s">
        <v>166</v>
      </c>
      <c r="Q568" s="175" t="s">
        <v>166</v>
      </c>
      <c r="R568" s="175"/>
      <c r="S568" s="175"/>
      <c r="T568" s="175"/>
      <c r="U568" s="175"/>
      <c r="V568" s="175"/>
      <c r="W568" s="175"/>
      <c r="X568" s="175"/>
      <c r="Y568" s="175"/>
      <c r="Z568" s="175"/>
      <c r="AA568" s="175"/>
      <c r="AB568" s="175"/>
      <c r="AC568" s="175"/>
      <c r="AD568" s="76"/>
      <c r="AE568" s="76"/>
      <c r="AF568" s="76"/>
      <c r="AG568" s="76"/>
      <c r="AH568" s="76"/>
      <c r="AI568" s="76"/>
      <c r="AJ568" s="76"/>
      <c r="AK568" s="76"/>
      <c r="AL568" s="76"/>
      <c r="AM568" s="76"/>
      <c r="AN568" s="76"/>
      <c r="AO568" s="76"/>
      <c r="AP568" s="76"/>
      <c r="AQ568" s="76"/>
      <c r="AR568" s="76"/>
      <c r="AS568" s="76"/>
      <c r="AT568" s="76"/>
      <c r="AU568" s="76"/>
      <c r="AV568" s="76"/>
      <c r="AW568" s="76"/>
      <c r="AX568" s="76"/>
    </row>
    <row r="569" ht="15.75" customHeight="1">
      <c r="A569" s="146" t="s">
        <v>237</v>
      </c>
      <c r="B569" s="147" t="s">
        <v>3655</v>
      </c>
      <c r="C569" s="31" t="s">
        <v>5685</v>
      </c>
      <c r="D569" s="31" t="s">
        <v>5686</v>
      </c>
      <c r="E569" s="31" t="s">
        <v>5687</v>
      </c>
      <c r="F569" s="31"/>
      <c r="G569" s="31"/>
      <c r="H569" s="31"/>
      <c r="I569" s="175"/>
      <c r="J569" s="175"/>
      <c r="K569" s="176"/>
      <c r="L569" s="176"/>
      <c r="M569" s="175"/>
      <c r="N569" s="175"/>
      <c r="O569" s="175" t="s">
        <v>5681</v>
      </c>
      <c r="P569" s="254" t="s">
        <v>166</v>
      </c>
      <c r="Q569" s="175" t="s">
        <v>166</v>
      </c>
      <c r="R569" s="175"/>
      <c r="S569" s="175"/>
      <c r="T569" s="175"/>
      <c r="U569" s="175"/>
      <c r="V569" s="175"/>
      <c r="W569" s="175"/>
      <c r="X569" s="175"/>
      <c r="Y569" s="175"/>
      <c r="Z569" s="175"/>
      <c r="AA569" s="175"/>
      <c r="AB569" s="175"/>
      <c r="AC569" s="175"/>
      <c r="AD569" s="76"/>
      <c r="AE569" s="76"/>
      <c r="AF569" s="76"/>
      <c r="AG569" s="76"/>
      <c r="AH569" s="76"/>
      <c r="AI569" s="76"/>
      <c r="AJ569" s="76"/>
      <c r="AK569" s="76"/>
      <c r="AL569" s="76"/>
      <c r="AM569" s="76"/>
      <c r="AN569" s="76"/>
      <c r="AO569" s="76"/>
      <c r="AP569" s="76"/>
      <c r="AQ569" s="76"/>
      <c r="AR569" s="76"/>
      <c r="AS569" s="76"/>
      <c r="AT569" s="76"/>
      <c r="AU569" s="76"/>
      <c r="AV569" s="76"/>
      <c r="AW569" s="76"/>
      <c r="AX569" s="76"/>
    </row>
    <row r="570" ht="15.75" customHeight="1">
      <c r="A570" s="104" t="s">
        <v>108</v>
      </c>
      <c r="B570" s="105" t="s">
        <v>3664</v>
      </c>
      <c r="C570" s="31" t="s">
        <v>3665</v>
      </c>
      <c r="D570" s="31" t="s">
        <v>3667</v>
      </c>
      <c r="E570" s="31" t="s">
        <v>3669</v>
      </c>
      <c r="F570" s="108"/>
      <c r="G570" s="108"/>
      <c r="H570" s="108"/>
      <c r="I570" s="108"/>
      <c r="J570" s="108"/>
      <c r="K570" s="108"/>
      <c r="L570" s="108"/>
      <c r="M570" s="108"/>
      <c r="N570" s="108"/>
      <c r="O570" s="108"/>
      <c r="P570" s="254" t="s">
        <v>166</v>
      </c>
      <c r="Q570" s="108"/>
      <c r="R570" s="108"/>
      <c r="S570" s="108"/>
      <c r="T570" s="108" t="s">
        <v>5688</v>
      </c>
      <c r="U570" s="108"/>
      <c r="V570" s="108"/>
      <c r="W570" s="108"/>
      <c r="X570" s="108"/>
      <c r="Y570" s="108"/>
      <c r="Z570" s="108"/>
      <c r="AA570" s="108"/>
      <c r="AB570" s="108"/>
      <c r="AC570" s="108"/>
      <c r="AD570" s="76"/>
      <c r="AE570" s="76"/>
      <c r="AF570" s="76"/>
      <c r="AG570" s="76"/>
      <c r="AH570" s="76"/>
      <c r="AI570" s="76"/>
      <c r="AJ570" s="76"/>
      <c r="AK570" s="76"/>
      <c r="AL570" s="76"/>
      <c r="AM570" s="76"/>
      <c r="AN570" s="76"/>
      <c r="AO570" s="76"/>
      <c r="AP570" s="76"/>
      <c r="AQ570" s="76"/>
      <c r="AR570" s="76"/>
      <c r="AS570" s="76"/>
      <c r="AT570" s="76"/>
      <c r="AU570" s="76"/>
      <c r="AV570" s="76"/>
      <c r="AW570" s="76"/>
      <c r="AX570" s="76"/>
    </row>
    <row r="571" ht="15.75" customHeight="1">
      <c r="A571" s="81" t="s">
        <v>338</v>
      </c>
      <c r="B571" s="142" t="s">
        <v>3677</v>
      </c>
      <c r="C571" s="31" t="s">
        <v>5689</v>
      </c>
      <c r="D571" s="31" t="s">
        <v>5690</v>
      </c>
      <c r="E571" s="31" t="s">
        <v>5691</v>
      </c>
      <c r="F571" s="31"/>
      <c r="G571" s="31"/>
      <c r="H571" s="31"/>
      <c r="I571" s="84"/>
      <c r="J571" s="159"/>
      <c r="K571" s="84" t="s">
        <v>5692</v>
      </c>
      <c r="L571" s="84" t="s">
        <v>5693</v>
      </c>
      <c r="M571" s="84"/>
      <c r="N571" s="84"/>
      <c r="O571" s="84"/>
      <c r="P571" s="254" t="s">
        <v>166</v>
      </c>
      <c r="Q571" s="84" t="s">
        <v>166</v>
      </c>
      <c r="R571" s="84"/>
      <c r="S571" s="84"/>
      <c r="T571" s="84"/>
      <c r="U571" s="84"/>
      <c r="V571" s="84"/>
      <c r="W571" s="84"/>
      <c r="X571" s="84"/>
      <c r="Y571" s="84"/>
      <c r="Z571" s="84"/>
      <c r="AA571" s="84"/>
      <c r="AB571" s="84"/>
      <c r="AC571" s="84"/>
      <c r="AD571" s="76"/>
      <c r="AE571" s="76"/>
      <c r="AF571" s="76"/>
      <c r="AG571" s="76"/>
      <c r="AH571" s="76"/>
      <c r="AI571" s="76"/>
      <c r="AJ571" s="76"/>
      <c r="AK571" s="76"/>
      <c r="AL571" s="76"/>
      <c r="AM571" s="76"/>
      <c r="AN571" s="76"/>
      <c r="AO571" s="76"/>
      <c r="AP571" s="76"/>
      <c r="AQ571" s="76"/>
      <c r="AR571" s="76"/>
      <c r="AS571" s="76"/>
      <c r="AT571" s="76"/>
      <c r="AU571" s="76"/>
      <c r="AV571" s="76"/>
      <c r="AW571" s="76"/>
      <c r="AX571" s="76"/>
    </row>
    <row r="572" ht="15.75" customHeight="1">
      <c r="A572" s="126" t="s">
        <v>42</v>
      </c>
      <c r="B572" s="127" t="s">
        <v>3681</v>
      </c>
      <c r="C572" s="31" t="s">
        <v>5694</v>
      </c>
      <c r="D572" s="31" t="s">
        <v>5695</v>
      </c>
      <c r="E572" s="31" t="s">
        <v>5696</v>
      </c>
      <c r="F572" s="31"/>
      <c r="G572" s="31"/>
      <c r="H572" s="31"/>
      <c r="I572" s="154"/>
      <c r="J572" s="154"/>
      <c r="K572" s="154"/>
      <c r="L572" s="154"/>
      <c r="M572" s="154"/>
      <c r="N572" s="154"/>
      <c r="O572" s="154"/>
      <c r="P572" s="254" t="s">
        <v>166</v>
      </c>
      <c r="Q572" s="154"/>
      <c r="R572" s="154"/>
      <c r="S572" s="154"/>
      <c r="T572" s="154"/>
      <c r="U572" s="154"/>
      <c r="V572" s="154"/>
      <c r="W572" s="154"/>
      <c r="X572" s="154"/>
      <c r="Y572" s="154"/>
      <c r="Z572" s="154"/>
      <c r="AA572" s="154"/>
      <c r="AB572" s="154"/>
      <c r="AC572" s="154"/>
      <c r="AD572" s="76"/>
      <c r="AE572" s="76"/>
      <c r="AF572" s="76"/>
      <c r="AG572" s="76"/>
      <c r="AH572" s="76"/>
      <c r="AI572" s="76"/>
      <c r="AJ572" s="76"/>
      <c r="AK572" s="76"/>
      <c r="AL572" s="76"/>
      <c r="AM572" s="76"/>
      <c r="AN572" s="76"/>
      <c r="AO572" s="76"/>
      <c r="AP572" s="76"/>
      <c r="AQ572" s="76"/>
      <c r="AR572" s="76"/>
      <c r="AS572" s="76"/>
      <c r="AT572" s="76"/>
      <c r="AU572" s="76"/>
      <c r="AV572" s="76"/>
      <c r="AW572" s="76"/>
      <c r="AX572" s="76"/>
    </row>
    <row r="573" ht="52.5" customHeight="1">
      <c r="A573" s="81" t="s">
        <v>338</v>
      </c>
      <c r="B573" s="142" t="s">
        <v>3692</v>
      </c>
      <c r="C573" s="31" t="s">
        <v>5697</v>
      </c>
      <c r="D573" s="31" t="s">
        <v>5698</v>
      </c>
      <c r="E573" s="31" t="s">
        <v>5699</v>
      </c>
      <c r="F573" s="31"/>
      <c r="G573" s="31"/>
      <c r="H573" s="31"/>
      <c r="I573" s="84"/>
      <c r="J573" s="159"/>
      <c r="K573" s="84"/>
      <c r="L573" s="84"/>
      <c r="M573" s="84"/>
      <c r="N573" s="84"/>
      <c r="O573" s="84"/>
      <c r="P573" s="254" t="s">
        <v>166</v>
      </c>
      <c r="Q573" s="84"/>
      <c r="R573" s="84"/>
      <c r="S573" s="84"/>
      <c r="T573" s="84"/>
      <c r="U573" s="84"/>
      <c r="V573" s="84"/>
      <c r="W573" s="84"/>
      <c r="X573" s="84"/>
      <c r="Y573" s="84"/>
      <c r="Z573" s="84"/>
      <c r="AA573" s="84"/>
      <c r="AB573" s="84"/>
      <c r="AC573" s="84"/>
      <c r="AD573" s="76"/>
      <c r="AE573" s="76"/>
      <c r="AF573" s="76"/>
      <c r="AG573" s="76"/>
      <c r="AH573" s="76"/>
      <c r="AI573" s="76"/>
      <c r="AJ573" s="76"/>
      <c r="AK573" s="76"/>
      <c r="AL573" s="76"/>
      <c r="AM573" s="76"/>
      <c r="AN573" s="76"/>
      <c r="AO573" s="76"/>
      <c r="AP573" s="76"/>
      <c r="AQ573" s="76"/>
      <c r="AR573" s="76"/>
      <c r="AS573" s="76"/>
      <c r="AT573" s="76"/>
      <c r="AU573" s="76"/>
      <c r="AV573" s="76"/>
      <c r="AW573" s="76"/>
      <c r="AX573" s="76"/>
    </row>
    <row r="574" ht="15.75" customHeight="1">
      <c r="A574" s="104" t="s">
        <v>139</v>
      </c>
      <c r="B574" s="141" t="s">
        <v>3699</v>
      </c>
      <c r="C574" s="31"/>
      <c r="D574" s="31"/>
      <c r="E574" s="31"/>
      <c r="F574" s="108"/>
      <c r="G574" s="108"/>
      <c r="H574" s="108"/>
      <c r="I574" s="108"/>
      <c r="J574" s="108"/>
      <c r="K574" s="108"/>
      <c r="L574" s="108"/>
      <c r="M574" s="108"/>
      <c r="N574" s="108"/>
      <c r="O574" s="108"/>
      <c r="P574" s="254" t="s">
        <v>166</v>
      </c>
      <c r="Q574" s="108"/>
      <c r="R574" s="108"/>
      <c r="S574" s="108"/>
      <c r="T574" s="281" t="s">
        <v>145</v>
      </c>
      <c r="U574" s="108"/>
      <c r="V574" s="108"/>
      <c r="W574" s="108"/>
      <c r="X574" s="108"/>
      <c r="Y574" s="108"/>
      <c r="Z574" s="108"/>
      <c r="AA574" s="108"/>
      <c r="AB574" s="108"/>
      <c r="AC574" s="108"/>
      <c r="AD574" s="76"/>
      <c r="AE574" s="76"/>
      <c r="AF574" s="76"/>
      <c r="AG574" s="76"/>
      <c r="AH574" s="76"/>
      <c r="AI574" s="76"/>
      <c r="AJ574" s="76"/>
      <c r="AK574" s="76"/>
      <c r="AL574" s="76"/>
      <c r="AM574" s="76"/>
      <c r="AN574" s="76"/>
      <c r="AO574" s="76"/>
      <c r="AP574" s="76"/>
      <c r="AQ574" s="76"/>
      <c r="AR574" s="76"/>
      <c r="AS574" s="76"/>
      <c r="AT574" s="76"/>
      <c r="AU574" s="76"/>
      <c r="AV574" s="76"/>
      <c r="AW574" s="76"/>
      <c r="AX574" s="76"/>
    </row>
    <row r="575" ht="15.75" customHeight="1">
      <c r="A575" s="67" t="s">
        <v>108</v>
      </c>
      <c r="B575" s="69" t="s">
        <v>3703</v>
      </c>
      <c r="C575" s="31"/>
      <c r="D575" s="31"/>
      <c r="E575" s="31"/>
      <c r="F575" s="70"/>
      <c r="G575" s="70"/>
      <c r="H575" s="70"/>
      <c r="I575" s="71"/>
      <c r="J575" s="71"/>
      <c r="K575" s="70"/>
      <c r="L575" s="71"/>
      <c r="M575" s="71"/>
      <c r="N575" s="71"/>
      <c r="O575" s="71"/>
      <c r="P575" s="254" t="s">
        <v>166</v>
      </c>
      <c r="Q575" s="70"/>
      <c r="R575" s="70"/>
      <c r="S575" s="70"/>
      <c r="T575" s="67" t="s">
        <v>5700</v>
      </c>
      <c r="U575" s="70"/>
      <c r="V575" s="70"/>
      <c r="W575" s="70"/>
      <c r="X575" s="70"/>
      <c r="Y575" s="70"/>
      <c r="Z575" s="70"/>
      <c r="AA575" s="70"/>
      <c r="AB575" s="70"/>
      <c r="AC575" s="70"/>
      <c r="AD575" s="76"/>
      <c r="AE575" s="76"/>
      <c r="AF575" s="76"/>
      <c r="AG575" s="76"/>
      <c r="AH575" s="76"/>
      <c r="AI575" s="76"/>
      <c r="AJ575" s="76"/>
      <c r="AK575" s="76"/>
      <c r="AL575" s="76"/>
      <c r="AM575" s="76"/>
      <c r="AN575" s="76"/>
      <c r="AO575" s="76"/>
      <c r="AP575" s="76"/>
      <c r="AQ575" s="76"/>
      <c r="AR575" s="76"/>
      <c r="AS575" s="76"/>
      <c r="AT575" s="76"/>
      <c r="AU575" s="76"/>
      <c r="AV575" s="76"/>
      <c r="AW575" s="76"/>
      <c r="AX575" s="76"/>
    </row>
    <row r="576" ht="15.75" customHeight="1">
      <c r="A576" s="104" t="s">
        <v>139</v>
      </c>
      <c r="B576" s="141" t="s">
        <v>3710</v>
      </c>
      <c r="C576" s="31"/>
      <c r="D576" s="31"/>
      <c r="E576" s="31"/>
      <c r="F576" s="108"/>
      <c r="G576" s="108"/>
      <c r="H576" s="108"/>
      <c r="I576" s="108"/>
      <c r="J576" s="108"/>
      <c r="K576" s="108"/>
      <c r="L576" s="108"/>
      <c r="M576" s="108"/>
      <c r="N576" s="108"/>
      <c r="O576" s="108"/>
      <c r="P576" s="254" t="s">
        <v>166</v>
      </c>
      <c r="Q576" s="108"/>
      <c r="R576" s="108"/>
      <c r="S576" s="108"/>
      <c r="T576" s="281" t="s">
        <v>145</v>
      </c>
      <c r="U576" s="108"/>
      <c r="V576" s="108"/>
      <c r="W576" s="108"/>
      <c r="X576" s="108"/>
      <c r="Y576" s="108"/>
      <c r="Z576" s="108"/>
      <c r="AA576" s="108"/>
      <c r="AB576" s="108"/>
      <c r="AC576" s="108"/>
      <c r="AD576" s="76"/>
      <c r="AE576" s="76"/>
      <c r="AF576" s="76"/>
      <c r="AG576" s="76"/>
      <c r="AH576" s="76"/>
      <c r="AI576" s="76"/>
      <c r="AJ576" s="76"/>
      <c r="AK576" s="76"/>
      <c r="AL576" s="76"/>
      <c r="AM576" s="76"/>
      <c r="AN576" s="76"/>
      <c r="AO576" s="76"/>
      <c r="AP576" s="76"/>
      <c r="AQ576" s="76"/>
      <c r="AR576" s="76"/>
      <c r="AS576" s="76"/>
      <c r="AT576" s="76"/>
      <c r="AU576" s="76"/>
      <c r="AV576" s="76"/>
      <c r="AW576" s="76"/>
      <c r="AX576" s="76"/>
    </row>
    <row r="577" ht="15.75" customHeight="1">
      <c r="A577" s="144" t="s">
        <v>648</v>
      </c>
      <c r="B577" s="145" t="s">
        <v>3714</v>
      </c>
      <c r="C577" s="31" t="s">
        <v>3715</v>
      </c>
      <c r="D577" s="31" t="s">
        <v>3716</v>
      </c>
      <c r="E577" s="31" t="s">
        <v>3717</v>
      </c>
      <c r="F577" s="173"/>
      <c r="G577" s="173"/>
      <c r="H577" s="173"/>
      <c r="I577" s="173"/>
      <c r="J577" s="173"/>
      <c r="K577" s="173"/>
      <c r="L577" s="173"/>
      <c r="M577" s="174"/>
      <c r="N577" s="174"/>
      <c r="O577" s="174" t="s">
        <v>5701</v>
      </c>
      <c r="P577" s="254" t="s">
        <v>166</v>
      </c>
      <c r="Q577" s="173"/>
      <c r="R577" s="173"/>
      <c r="S577" s="173"/>
      <c r="T577" s="173"/>
      <c r="U577" s="174" t="s">
        <v>4985</v>
      </c>
      <c r="V577" s="173"/>
      <c r="W577" s="173"/>
      <c r="X577" s="173"/>
      <c r="Y577" s="173"/>
      <c r="Z577" s="173"/>
      <c r="AA577" s="173"/>
      <c r="AB577" s="173"/>
      <c r="AC577" s="173"/>
      <c r="AD577" s="76"/>
      <c r="AE577" s="76"/>
      <c r="AF577" s="76"/>
      <c r="AG577" s="76"/>
      <c r="AH577" s="76"/>
      <c r="AI577" s="76"/>
      <c r="AJ577" s="76"/>
      <c r="AK577" s="76"/>
      <c r="AL577" s="76"/>
      <c r="AM577" s="76"/>
      <c r="AN577" s="76"/>
      <c r="AO577" s="76"/>
      <c r="AP577" s="76"/>
      <c r="AQ577" s="76"/>
      <c r="AR577" s="76"/>
      <c r="AS577" s="76"/>
      <c r="AT577" s="76"/>
      <c r="AU577" s="76"/>
      <c r="AV577" s="76"/>
      <c r="AW577" s="76"/>
      <c r="AX577" s="76"/>
    </row>
    <row r="578" ht="15.75" customHeight="1">
      <c r="A578" s="104" t="s">
        <v>108</v>
      </c>
      <c r="B578" s="105" t="s">
        <v>3723</v>
      </c>
      <c r="C578" s="31"/>
      <c r="D578" s="31"/>
      <c r="E578" s="31"/>
      <c r="F578" s="108"/>
      <c r="G578" s="108"/>
      <c r="H578" s="108"/>
      <c r="I578" s="108"/>
      <c r="J578" s="108"/>
      <c r="K578" s="108"/>
      <c r="L578" s="108"/>
      <c r="M578" s="108"/>
      <c r="N578" s="108"/>
      <c r="O578" s="108"/>
      <c r="P578" s="254" t="s">
        <v>166</v>
      </c>
      <c r="Q578" s="108"/>
      <c r="R578" s="108"/>
      <c r="S578" s="108"/>
      <c r="T578" s="121" t="s">
        <v>5702</v>
      </c>
      <c r="U578" s="108"/>
      <c r="V578" s="108"/>
      <c r="W578" s="108"/>
      <c r="X578" s="108"/>
      <c r="Y578" s="108"/>
      <c r="Z578" s="108"/>
      <c r="AA578" s="108"/>
      <c r="AB578" s="108"/>
      <c r="AC578" s="108"/>
      <c r="AD578" s="76"/>
      <c r="AE578" s="76"/>
      <c r="AF578" s="76"/>
      <c r="AG578" s="76"/>
      <c r="AH578" s="76"/>
      <c r="AI578" s="76"/>
      <c r="AJ578" s="76"/>
      <c r="AK578" s="76"/>
      <c r="AL578" s="76"/>
      <c r="AM578" s="76"/>
      <c r="AN578" s="76"/>
      <c r="AO578" s="76"/>
      <c r="AP578" s="76"/>
      <c r="AQ578" s="76"/>
      <c r="AR578" s="76"/>
      <c r="AS578" s="76"/>
      <c r="AT578" s="76"/>
      <c r="AU578" s="76"/>
      <c r="AV578" s="76"/>
      <c r="AW578" s="76"/>
      <c r="AX578" s="76"/>
    </row>
    <row r="579" ht="15.75" customHeight="1">
      <c r="A579" s="104" t="s">
        <v>108</v>
      </c>
      <c r="B579" s="105" t="s">
        <v>3724</v>
      </c>
      <c r="C579" s="31"/>
      <c r="D579" s="31"/>
      <c r="E579" s="31"/>
      <c r="F579" s="108"/>
      <c r="G579" s="108"/>
      <c r="H579" s="108"/>
      <c r="I579" s="108"/>
      <c r="J579" s="108"/>
      <c r="K579" s="108"/>
      <c r="L579" s="108"/>
      <c r="M579" s="108"/>
      <c r="N579" s="108"/>
      <c r="O579" s="108"/>
      <c r="P579" s="254" t="s">
        <v>166</v>
      </c>
      <c r="Q579" s="108"/>
      <c r="R579" s="108"/>
      <c r="S579" s="108"/>
      <c r="T579" s="121" t="s">
        <v>5703</v>
      </c>
      <c r="U579" s="108"/>
      <c r="V579" s="108"/>
      <c r="W579" s="108"/>
      <c r="X579" s="108"/>
      <c r="Y579" s="108"/>
      <c r="Z579" s="108"/>
      <c r="AA579" s="108"/>
      <c r="AB579" s="108"/>
      <c r="AC579" s="108"/>
      <c r="AD579" s="76"/>
      <c r="AE579" s="76"/>
      <c r="AF579" s="76"/>
      <c r="AG579" s="76"/>
      <c r="AH579" s="76"/>
      <c r="AI579" s="76"/>
      <c r="AJ579" s="76"/>
      <c r="AK579" s="76"/>
      <c r="AL579" s="76"/>
      <c r="AM579" s="76"/>
      <c r="AN579" s="76"/>
      <c r="AO579" s="76"/>
      <c r="AP579" s="76"/>
      <c r="AQ579" s="76"/>
      <c r="AR579" s="76"/>
      <c r="AS579" s="76"/>
      <c r="AT579" s="76"/>
      <c r="AU579" s="76"/>
      <c r="AV579" s="76"/>
      <c r="AW579" s="76"/>
      <c r="AX579" s="76"/>
    </row>
    <row r="580" ht="15.75" customHeight="1">
      <c r="A580" s="146" t="s">
        <v>237</v>
      </c>
      <c r="B580" s="147" t="s">
        <v>3728</v>
      </c>
      <c r="C580" s="31" t="s">
        <v>5704</v>
      </c>
      <c r="D580" s="31" t="s">
        <v>5705</v>
      </c>
      <c r="E580" s="31" t="s">
        <v>5706</v>
      </c>
      <c r="F580" s="31"/>
      <c r="G580" s="31"/>
      <c r="H580" s="31"/>
      <c r="I580" s="175"/>
      <c r="J580" s="175"/>
      <c r="K580" s="176" t="s">
        <v>5670</v>
      </c>
      <c r="L580" s="176"/>
      <c r="M580" s="175"/>
      <c r="N580" s="175"/>
      <c r="O580" s="175" t="s">
        <v>5707</v>
      </c>
      <c r="P580" s="254" t="s">
        <v>166</v>
      </c>
      <c r="Q580" s="175" t="s">
        <v>166</v>
      </c>
      <c r="R580" s="175"/>
      <c r="S580" s="175"/>
      <c r="T580" s="175"/>
      <c r="U580" s="175"/>
      <c r="V580" s="175"/>
      <c r="W580" s="175"/>
      <c r="X580" s="175"/>
      <c r="Y580" s="175"/>
      <c r="Z580" s="175"/>
      <c r="AA580" s="175"/>
      <c r="AB580" s="175"/>
      <c r="AC580" s="175"/>
      <c r="AD580" s="76"/>
      <c r="AE580" s="76"/>
      <c r="AF580" s="76"/>
      <c r="AG580" s="76"/>
      <c r="AH580" s="76"/>
      <c r="AI580" s="76"/>
      <c r="AJ580" s="76"/>
      <c r="AK580" s="76"/>
      <c r="AL580" s="76"/>
      <c r="AM580" s="76"/>
      <c r="AN580" s="76"/>
      <c r="AO580" s="76"/>
      <c r="AP580" s="76"/>
      <c r="AQ580" s="76"/>
      <c r="AR580" s="76"/>
      <c r="AS580" s="76"/>
      <c r="AT580" s="76"/>
      <c r="AU580" s="76"/>
      <c r="AV580" s="76"/>
      <c r="AW580" s="76"/>
      <c r="AX580" s="76"/>
    </row>
    <row r="581" ht="15.75" customHeight="1">
      <c r="A581" s="146" t="s">
        <v>237</v>
      </c>
      <c r="B581" s="147" t="s">
        <v>3739</v>
      </c>
      <c r="C581" s="31" t="s">
        <v>5708</v>
      </c>
      <c r="D581" s="31" t="s">
        <v>5709</v>
      </c>
      <c r="E581" s="31" t="s">
        <v>5710</v>
      </c>
      <c r="F581" s="31"/>
      <c r="G581" s="31"/>
      <c r="H581" s="31"/>
      <c r="I581" s="175"/>
      <c r="J581" s="175"/>
      <c r="K581" s="176"/>
      <c r="L581" s="176"/>
      <c r="M581" s="175"/>
      <c r="N581" s="175"/>
      <c r="O581" s="175" t="s">
        <v>5711</v>
      </c>
      <c r="P581" s="254" t="s">
        <v>166</v>
      </c>
      <c r="Q581" s="175" t="s">
        <v>166</v>
      </c>
      <c r="R581" s="175"/>
      <c r="S581" s="175"/>
      <c r="T581" s="175"/>
      <c r="U581" s="175"/>
      <c r="V581" s="175"/>
      <c r="W581" s="175"/>
      <c r="X581" s="175"/>
      <c r="Y581" s="175"/>
      <c r="Z581" s="175"/>
      <c r="AA581" s="175"/>
      <c r="AB581" s="175"/>
      <c r="AC581" s="175"/>
      <c r="AD581" s="76"/>
      <c r="AE581" s="76"/>
      <c r="AF581" s="76"/>
      <c r="AG581" s="76"/>
      <c r="AH581" s="76"/>
      <c r="AI581" s="76"/>
      <c r="AJ581" s="76"/>
      <c r="AK581" s="76"/>
      <c r="AL581" s="76"/>
      <c r="AM581" s="76"/>
      <c r="AN581" s="76"/>
      <c r="AO581" s="76"/>
      <c r="AP581" s="76"/>
      <c r="AQ581" s="76"/>
      <c r="AR581" s="76"/>
      <c r="AS581" s="76"/>
      <c r="AT581" s="76"/>
      <c r="AU581" s="76"/>
      <c r="AV581" s="76"/>
      <c r="AW581" s="76"/>
      <c r="AX581" s="76"/>
    </row>
    <row r="582" ht="15.75" customHeight="1">
      <c r="A582" s="104" t="s">
        <v>108</v>
      </c>
      <c r="B582" s="105" t="s">
        <v>3746</v>
      </c>
      <c r="C582" s="31" t="s">
        <v>3747</v>
      </c>
      <c r="D582" s="31" t="s">
        <v>3748</v>
      </c>
      <c r="E582" s="31" t="s">
        <v>3749</v>
      </c>
      <c r="F582" s="108"/>
      <c r="G582" s="108"/>
      <c r="H582" s="108"/>
      <c r="I582" s="108"/>
      <c r="J582" s="108"/>
      <c r="K582" s="108"/>
      <c r="L582" s="108"/>
      <c r="M582" s="108"/>
      <c r="N582" s="108"/>
      <c r="O582" s="108"/>
      <c r="P582" s="254" t="s">
        <v>166</v>
      </c>
      <c r="Q582" s="108"/>
      <c r="R582" s="108"/>
      <c r="S582" s="108"/>
      <c r="T582" s="121" t="s">
        <v>5712</v>
      </c>
      <c r="U582" s="108"/>
      <c r="V582" s="108"/>
      <c r="W582" s="108"/>
      <c r="X582" s="108"/>
      <c r="Y582" s="108"/>
      <c r="Z582" s="108"/>
      <c r="AA582" s="108"/>
      <c r="AB582" s="108"/>
      <c r="AC582" s="108"/>
      <c r="AD582" s="76"/>
      <c r="AE582" s="76"/>
      <c r="AF582" s="76"/>
      <c r="AG582" s="76"/>
      <c r="AH582" s="76"/>
      <c r="AI582" s="76"/>
      <c r="AJ582" s="76"/>
      <c r="AK582" s="76"/>
      <c r="AL582" s="76"/>
      <c r="AM582" s="76"/>
      <c r="AN582" s="76"/>
      <c r="AO582" s="76"/>
      <c r="AP582" s="76"/>
      <c r="AQ582" s="76"/>
      <c r="AR582" s="76"/>
      <c r="AS582" s="76"/>
      <c r="AT582" s="76"/>
      <c r="AU582" s="76"/>
      <c r="AV582" s="76"/>
      <c r="AW582" s="76"/>
      <c r="AX582" s="76"/>
    </row>
    <row r="583" ht="15.75" customHeight="1">
      <c r="A583" s="144" t="s">
        <v>691</v>
      </c>
      <c r="B583" s="150" t="s">
        <v>3714</v>
      </c>
      <c r="C583" s="31"/>
      <c r="D583" s="31"/>
      <c r="E583" s="31"/>
      <c r="F583" s="173"/>
      <c r="G583" s="173"/>
      <c r="H583" s="173"/>
      <c r="I583" s="173"/>
      <c r="J583" s="173"/>
      <c r="K583" s="173"/>
      <c r="L583" s="173"/>
      <c r="M583" s="173"/>
      <c r="N583" s="173"/>
      <c r="O583" s="173"/>
      <c r="P583" s="254" t="s">
        <v>166</v>
      </c>
      <c r="Q583" s="173"/>
      <c r="R583" s="173"/>
      <c r="S583" s="173"/>
      <c r="T583" s="173"/>
      <c r="U583" s="173"/>
      <c r="V583" s="173"/>
      <c r="W583" s="173"/>
      <c r="X583" s="173"/>
      <c r="Y583" s="173"/>
      <c r="Z583" s="173"/>
      <c r="AA583" s="173"/>
      <c r="AB583" s="173"/>
      <c r="AC583" s="173"/>
      <c r="AD583" s="76"/>
      <c r="AE583" s="76"/>
      <c r="AF583" s="76"/>
      <c r="AG583" s="76"/>
      <c r="AH583" s="76"/>
      <c r="AI583" s="76"/>
      <c r="AJ583" s="76"/>
      <c r="AK583" s="76"/>
      <c r="AL583" s="76"/>
      <c r="AM583" s="76"/>
      <c r="AN583" s="76"/>
      <c r="AO583" s="76"/>
      <c r="AP583" s="76"/>
      <c r="AQ583" s="76"/>
      <c r="AR583" s="76"/>
      <c r="AS583" s="76"/>
      <c r="AT583" s="76"/>
      <c r="AU583" s="76"/>
      <c r="AV583" s="76"/>
      <c r="AW583" s="76"/>
      <c r="AX583" s="76"/>
    </row>
    <row r="584" ht="15.75" customHeight="1">
      <c r="A584" s="104" t="s">
        <v>139</v>
      </c>
      <c r="B584" s="141" t="s">
        <v>3760</v>
      </c>
      <c r="C584" s="31"/>
      <c r="D584" s="31"/>
      <c r="E584" s="31"/>
      <c r="F584" s="108"/>
      <c r="G584" s="108"/>
      <c r="H584" s="108"/>
      <c r="I584" s="108"/>
      <c r="J584" s="108"/>
      <c r="K584" s="108"/>
      <c r="L584" s="108"/>
      <c r="M584" s="108"/>
      <c r="N584" s="108"/>
      <c r="O584" s="108"/>
      <c r="P584" s="254" t="s">
        <v>166</v>
      </c>
      <c r="Q584" s="108"/>
      <c r="R584" s="108"/>
      <c r="S584" s="108"/>
      <c r="T584" s="281" t="s">
        <v>145</v>
      </c>
      <c r="U584" s="108"/>
      <c r="V584" s="108"/>
      <c r="W584" s="108"/>
      <c r="X584" s="108"/>
      <c r="Y584" s="108"/>
      <c r="Z584" s="108"/>
      <c r="AA584" s="108"/>
      <c r="AB584" s="108"/>
      <c r="AC584" s="108"/>
      <c r="AD584" s="76"/>
      <c r="AE584" s="76"/>
      <c r="AF584" s="76"/>
      <c r="AG584" s="76"/>
      <c r="AH584" s="76"/>
      <c r="AI584" s="76"/>
      <c r="AJ584" s="76"/>
      <c r="AK584" s="76"/>
      <c r="AL584" s="76"/>
      <c r="AM584" s="76"/>
      <c r="AN584" s="76"/>
      <c r="AO584" s="76"/>
      <c r="AP584" s="76"/>
      <c r="AQ584" s="76"/>
      <c r="AR584" s="76"/>
      <c r="AS584" s="76"/>
      <c r="AT584" s="76"/>
      <c r="AU584" s="76"/>
      <c r="AV584" s="76"/>
      <c r="AW584" s="76"/>
      <c r="AX584" s="76"/>
    </row>
    <row r="585" ht="15.75" customHeight="1">
      <c r="A585" s="67" t="s">
        <v>108</v>
      </c>
      <c r="B585" s="69" t="s">
        <v>3766</v>
      </c>
      <c r="C585" s="31"/>
      <c r="D585" s="31"/>
      <c r="E585" s="31"/>
      <c r="F585" s="70"/>
      <c r="G585" s="70"/>
      <c r="H585" s="70"/>
      <c r="I585" s="71"/>
      <c r="J585" s="71"/>
      <c r="K585" s="70"/>
      <c r="L585" s="71"/>
      <c r="M585" s="71"/>
      <c r="N585" s="71"/>
      <c r="O585" s="71"/>
      <c r="P585" s="254" t="s">
        <v>166</v>
      </c>
      <c r="Q585" s="70"/>
      <c r="R585" s="70"/>
      <c r="S585" s="70"/>
      <c r="T585" s="67" t="s">
        <v>5713</v>
      </c>
      <c r="U585" s="70"/>
      <c r="V585" s="70"/>
      <c r="W585" s="70"/>
      <c r="X585" s="70"/>
      <c r="Y585" s="70"/>
      <c r="Z585" s="70"/>
      <c r="AA585" s="70"/>
      <c r="AB585" s="70"/>
      <c r="AC585" s="70"/>
      <c r="AD585" s="76"/>
      <c r="AE585" s="76"/>
      <c r="AF585" s="76"/>
      <c r="AG585" s="76"/>
      <c r="AH585" s="76"/>
      <c r="AI585" s="76"/>
      <c r="AJ585" s="76"/>
      <c r="AK585" s="76"/>
      <c r="AL585" s="76"/>
      <c r="AM585" s="76"/>
      <c r="AN585" s="76"/>
      <c r="AO585" s="76"/>
      <c r="AP585" s="76"/>
      <c r="AQ585" s="76"/>
      <c r="AR585" s="76"/>
      <c r="AS585" s="76"/>
      <c r="AT585" s="76"/>
      <c r="AU585" s="76"/>
      <c r="AV585" s="76"/>
      <c r="AW585" s="76"/>
      <c r="AX585" s="76"/>
    </row>
    <row r="586" ht="15.75" customHeight="1">
      <c r="A586" s="81" t="s">
        <v>338</v>
      </c>
      <c r="B586" s="142" t="s">
        <v>3767</v>
      </c>
      <c r="C586" s="31" t="s">
        <v>5714</v>
      </c>
      <c r="D586" s="31" t="s">
        <v>5715</v>
      </c>
      <c r="E586" s="31" t="s">
        <v>5716</v>
      </c>
      <c r="F586" s="31"/>
      <c r="G586" s="31"/>
      <c r="H586" s="31"/>
      <c r="I586" s="84"/>
      <c r="J586" s="159"/>
      <c r="K586" s="84"/>
      <c r="L586" s="84"/>
      <c r="M586" s="84"/>
      <c r="N586" s="84"/>
      <c r="O586" s="84"/>
      <c r="P586" s="254" t="s">
        <v>166</v>
      </c>
      <c r="Q586" s="84" t="s">
        <v>166</v>
      </c>
      <c r="R586" s="84"/>
      <c r="S586" s="84"/>
      <c r="T586" s="84"/>
      <c r="U586" s="84"/>
      <c r="V586" s="84"/>
      <c r="W586" s="84"/>
      <c r="X586" s="84"/>
      <c r="Y586" s="84"/>
      <c r="Z586" s="84"/>
      <c r="AA586" s="84"/>
      <c r="AB586" s="84"/>
      <c r="AC586" s="84"/>
      <c r="AD586" s="76"/>
      <c r="AE586" s="76"/>
      <c r="AF586" s="76"/>
      <c r="AG586" s="76"/>
      <c r="AH586" s="76"/>
      <c r="AI586" s="76"/>
      <c r="AJ586" s="76"/>
      <c r="AK586" s="76"/>
      <c r="AL586" s="76"/>
      <c r="AM586" s="76"/>
      <c r="AN586" s="76"/>
      <c r="AO586" s="76"/>
      <c r="AP586" s="76"/>
      <c r="AQ586" s="76"/>
      <c r="AR586" s="76"/>
      <c r="AS586" s="76"/>
      <c r="AT586" s="76"/>
      <c r="AU586" s="76"/>
      <c r="AV586" s="76"/>
      <c r="AW586" s="76"/>
      <c r="AX586" s="76"/>
    </row>
    <row r="587" ht="15.75" customHeight="1">
      <c r="A587" s="133" t="s">
        <v>214</v>
      </c>
      <c r="B587" s="143" t="s">
        <v>3774</v>
      </c>
      <c r="C587" s="31" t="s">
        <v>5717</v>
      </c>
      <c r="D587" s="31" t="s">
        <v>5718</v>
      </c>
      <c r="E587" s="31" t="s">
        <v>5719</v>
      </c>
      <c r="F587" s="31"/>
      <c r="G587" s="31"/>
      <c r="H587" s="31"/>
      <c r="I587" s="162"/>
      <c r="J587" s="163"/>
      <c r="K587" s="162"/>
      <c r="L587" s="162"/>
      <c r="M587" s="162"/>
      <c r="N587" s="162"/>
      <c r="O587" s="162" t="s">
        <v>5720</v>
      </c>
      <c r="P587" s="254" t="s">
        <v>166</v>
      </c>
      <c r="Q587" s="162" t="s">
        <v>166</v>
      </c>
      <c r="R587" s="162"/>
      <c r="S587" s="162"/>
      <c r="T587" s="162"/>
      <c r="U587" s="162"/>
      <c r="V587" s="162"/>
      <c r="W587" s="162"/>
      <c r="X587" s="162"/>
      <c r="Y587" s="162"/>
      <c r="Z587" s="162"/>
      <c r="AA587" s="162"/>
      <c r="AB587" s="162"/>
      <c r="AC587" s="162"/>
      <c r="AD587" s="76"/>
      <c r="AE587" s="76"/>
      <c r="AF587" s="76"/>
      <c r="AG587" s="76"/>
      <c r="AH587" s="76"/>
      <c r="AI587" s="76"/>
      <c r="AJ587" s="76"/>
      <c r="AK587" s="76"/>
      <c r="AL587" s="76"/>
      <c r="AM587" s="76"/>
      <c r="AN587" s="76"/>
      <c r="AO587" s="76"/>
      <c r="AP587" s="76"/>
      <c r="AQ587" s="76"/>
      <c r="AR587" s="76"/>
      <c r="AS587" s="76"/>
      <c r="AT587" s="76"/>
      <c r="AU587" s="76"/>
      <c r="AV587" s="76"/>
      <c r="AW587" s="76"/>
      <c r="AX587" s="76"/>
    </row>
    <row r="588" ht="15.75" customHeight="1">
      <c r="A588" s="146" t="s">
        <v>237</v>
      </c>
      <c r="B588" s="147" t="s">
        <v>3781</v>
      </c>
      <c r="C588" s="31" t="s">
        <v>5721</v>
      </c>
      <c r="D588" s="31" t="s">
        <v>5722</v>
      </c>
      <c r="E588" s="31" t="s">
        <v>5723</v>
      </c>
      <c r="F588" s="31"/>
      <c r="G588" s="31"/>
      <c r="H588" s="31"/>
      <c r="I588" s="175"/>
      <c r="J588" s="175"/>
      <c r="K588" s="176"/>
      <c r="L588" s="176"/>
      <c r="M588" s="175"/>
      <c r="N588" s="175"/>
      <c r="O588" s="175" t="s">
        <v>5720</v>
      </c>
      <c r="P588" s="254" t="s">
        <v>166</v>
      </c>
      <c r="Q588" s="175" t="s">
        <v>166</v>
      </c>
      <c r="R588" s="175"/>
      <c r="S588" s="175"/>
      <c r="T588" s="175"/>
      <c r="U588" s="175"/>
      <c r="V588" s="175"/>
      <c r="W588" s="175"/>
      <c r="X588" s="175"/>
      <c r="Y588" s="175"/>
      <c r="Z588" s="175"/>
      <c r="AA588" s="175"/>
      <c r="AB588" s="175"/>
      <c r="AC588" s="175"/>
      <c r="AD588" s="76"/>
      <c r="AE588" s="76"/>
      <c r="AF588" s="76"/>
      <c r="AG588" s="76"/>
      <c r="AH588" s="76"/>
      <c r="AI588" s="76"/>
      <c r="AJ588" s="76"/>
      <c r="AK588" s="76"/>
      <c r="AL588" s="76"/>
      <c r="AM588" s="76"/>
      <c r="AN588" s="76"/>
      <c r="AO588" s="76"/>
      <c r="AP588" s="76"/>
      <c r="AQ588" s="76"/>
      <c r="AR588" s="76"/>
      <c r="AS588" s="76"/>
      <c r="AT588" s="76"/>
      <c r="AU588" s="76"/>
      <c r="AV588" s="76"/>
      <c r="AW588" s="76"/>
      <c r="AX588" s="76"/>
    </row>
    <row r="589" ht="15.75" customHeight="1">
      <c r="A589" s="104" t="s">
        <v>108</v>
      </c>
      <c r="B589" s="105" t="s">
        <v>3790</v>
      </c>
      <c r="C589" s="31" t="s">
        <v>3791</v>
      </c>
      <c r="D589" s="31"/>
      <c r="E589" s="31"/>
      <c r="F589" s="108"/>
      <c r="G589" s="108"/>
      <c r="H589" s="108"/>
      <c r="I589" s="108"/>
      <c r="J589" s="108"/>
      <c r="K589" s="108"/>
      <c r="L589" s="108"/>
      <c r="M589" s="108"/>
      <c r="N589" s="108"/>
      <c r="O589" s="108"/>
      <c r="P589" s="254" t="s">
        <v>166</v>
      </c>
      <c r="Q589" s="108"/>
      <c r="R589" s="108"/>
      <c r="S589" s="108"/>
      <c r="T589" s="121" t="s">
        <v>5724</v>
      </c>
      <c r="U589" s="108"/>
      <c r="V589" s="108"/>
      <c r="W589" s="108"/>
      <c r="X589" s="108"/>
      <c r="Y589" s="108"/>
      <c r="Z589" s="108"/>
      <c r="AA589" s="108"/>
      <c r="AB589" s="108"/>
      <c r="AC589" s="108"/>
      <c r="AD589" s="76"/>
      <c r="AE589" s="76"/>
      <c r="AF589" s="76"/>
      <c r="AG589" s="76"/>
      <c r="AH589" s="76"/>
      <c r="AI589" s="76"/>
      <c r="AJ589" s="76"/>
      <c r="AK589" s="76"/>
      <c r="AL589" s="76"/>
      <c r="AM589" s="76"/>
      <c r="AN589" s="76"/>
      <c r="AO589" s="76"/>
      <c r="AP589" s="76"/>
      <c r="AQ589" s="76"/>
      <c r="AR589" s="76"/>
      <c r="AS589" s="76"/>
      <c r="AT589" s="76"/>
      <c r="AU589" s="76"/>
      <c r="AV589" s="76"/>
      <c r="AW589" s="76"/>
      <c r="AX589" s="76"/>
    </row>
    <row r="590" ht="15.75" customHeight="1">
      <c r="A590" s="104" t="s">
        <v>108</v>
      </c>
      <c r="B590" s="105" t="s">
        <v>3797</v>
      </c>
      <c r="C590" s="31" t="s">
        <v>3798</v>
      </c>
      <c r="D590" s="31"/>
      <c r="E590" s="31"/>
      <c r="F590" s="108"/>
      <c r="G590" s="108"/>
      <c r="H590" s="108"/>
      <c r="I590" s="108"/>
      <c r="J590" s="108"/>
      <c r="K590" s="108"/>
      <c r="L590" s="108"/>
      <c r="M590" s="108"/>
      <c r="N590" s="108"/>
      <c r="O590" s="108"/>
      <c r="P590" s="254" t="s">
        <v>166</v>
      </c>
      <c r="Q590" s="108"/>
      <c r="R590" s="108"/>
      <c r="S590" s="108"/>
      <c r="T590" s="290" t="s">
        <v>5725</v>
      </c>
      <c r="U590" s="108"/>
      <c r="V590" s="108"/>
      <c r="W590" s="108"/>
      <c r="X590" s="108"/>
      <c r="Y590" s="108"/>
      <c r="Z590" s="108"/>
      <c r="AA590" s="108"/>
      <c r="AB590" s="108"/>
      <c r="AC590" s="108"/>
      <c r="AD590" s="76"/>
      <c r="AE590" s="76"/>
      <c r="AF590" s="76"/>
      <c r="AG590" s="76"/>
      <c r="AH590" s="76"/>
      <c r="AI590" s="76"/>
      <c r="AJ590" s="76"/>
      <c r="AK590" s="76"/>
      <c r="AL590" s="76"/>
      <c r="AM590" s="76"/>
      <c r="AN590" s="76"/>
      <c r="AO590" s="76"/>
      <c r="AP590" s="76"/>
      <c r="AQ590" s="76"/>
      <c r="AR590" s="76"/>
      <c r="AS590" s="76"/>
      <c r="AT590" s="76"/>
      <c r="AU590" s="76"/>
      <c r="AV590" s="76"/>
      <c r="AW590" s="76"/>
      <c r="AX590" s="76"/>
    </row>
    <row r="591" ht="15.75" customHeight="1">
      <c r="A591" s="104" t="s">
        <v>108</v>
      </c>
      <c r="B591" s="105" t="s">
        <v>3802</v>
      </c>
      <c r="C591" s="31" t="s">
        <v>3803</v>
      </c>
      <c r="D591" s="31"/>
      <c r="E591" s="31"/>
      <c r="F591" s="108"/>
      <c r="G591" s="108"/>
      <c r="H591" s="108"/>
      <c r="I591" s="108"/>
      <c r="J591" s="108"/>
      <c r="K591" s="108"/>
      <c r="L591" s="108"/>
      <c r="M591" s="108"/>
      <c r="N591" s="108"/>
      <c r="O591" s="108"/>
      <c r="P591" s="254" t="s">
        <v>166</v>
      </c>
      <c r="Q591" s="108"/>
      <c r="R591" s="108"/>
      <c r="S591" s="108"/>
      <c r="T591" s="121" t="s">
        <v>5726</v>
      </c>
      <c r="U591" s="108"/>
      <c r="V591" s="108"/>
      <c r="W591" s="108"/>
      <c r="X591" s="108"/>
      <c r="Y591" s="108"/>
      <c r="Z591" s="108"/>
      <c r="AA591" s="108"/>
      <c r="AB591" s="108"/>
      <c r="AC591" s="108"/>
      <c r="AD591" s="76"/>
      <c r="AE591" s="76"/>
      <c r="AF591" s="76"/>
      <c r="AG591" s="76"/>
      <c r="AH591" s="76"/>
      <c r="AI591" s="76"/>
      <c r="AJ591" s="76"/>
      <c r="AK591" s="76"/>
      <c r="AL591" s="76"/>
      <c r="AM591" s="76"/>
      <c r="AN591" s="76"/>
      <c r="AO591" s="76"/>
      <c r="AP591" s="76"/>
      <c r="AQ591" s="76"/>
      <c r="AR591" s="76"/>
      <c r="AS591" s="76"/>
      <c r="AT591" s="76"/>
      <c r="AU591" s="76"/>
      <c r="AV591" s="76"/>
      <c r="AW591" s="76"/>
      <c r="AX591" s="76"/>
    </row>
    <row r="592" ht="15.75" customHeight="1">
      <c r="A592" s="104" t="s">
        <v>108</v>
      </c>
      <c r="B592" s="105" t="s">
        <v>3810</v>
      </c>
      <c r="C592" s="31" t="s">
        <v>3811</v>
      </c>
      <c r="D592" s="31"/>
      <c r="E592" s="31"/>
      <c r="F592" s="108"/>
      <c r="G592" s="108"/>
      <c r="H592" s="108"/>
      <c r="I592" s="108"/>
      <c r="J592" s="108"/>
      <c r="K592" s="108"/>
      <c r="L592" s="108"/>
      <c r="M592" s="108"/>
      <c r="N592" s="108"/>
      <c r="O592" s="108"/>
      <c r="P592" s="254" t="s">
        <v>166</v>
      </c>
      <c r="Q592" s="108"/>
      <c r="R592" s="108"/>
      <c r="S592" s="108"/>
      <c r="T592" s="121" t="s">
        <v>5727</v>
      </c>
      <c r="U592" s="108"/>
      <c r="V592" s="108"/>
      <c r="W592" s="108"/>
      <c r="X592" s="108"/>
      <c r="Y592" s="108"/>
      <c r="Z592" s="108"/>
      <c r="AA592" s="108"/>
      <c r="AB592" s="108"/>
      <c r="AC592" s="108"/>
      <c r="AD592" s="76"/>
      <c r="AE592" s="76"/>
      <c r="AF592" s="76"/>
      <c r="AG592" s="76"/>
      <c r="AH592" s="76"/>
      <c r="AI592" s="76"/>
      <c r="AJ592" s="76"/>
      <c r="AK592" s="76"/>
      <c r="AL592" s="76"/>
      <c r="AM592" s="76"/>
      <c r="AN592" s="76"/>
      <c r="AO592" s="76"/>
      <c r="AP592" s="76"/>
      <c r="AQ592" s="76"/>
      <c r="AR592" s="76"/>
      <c r="AS592" s="76"/>
      <c r="AT592" s="76"/>
      <c r="AU592" s="76"/>
      <c r="AV592" s="76"/>
      <c r="AW592" s="76"/>
      <c r="AX592" s="76"/>
    </row>
    <row r="593" ht="15.75" customHeight="1">
      <c r="A593" s="104" t="s">
        <v>108</v>
      </c>
      <c r="B593" s="105" t="s">
        <v>3815</v>
      </c>
      <c r="C593" s="31" t="s">
        <v>3816</v>
      </c>
      <c r="D593" s="31"/>
      <c r="E593" s="31"/>
      <c r="F593" s="108"/>
      <c r="G593" s="108"/>
      <c r="H593" s="108"/>
      <c r="I593" s="108"/>
      <c r="J593" s="108"/>
      <c r="K593" s="108"/>
      <c r="L593" s="108"/>
      <c r="M593" s="108"/>
      <c r="N593" s="108"/>
      <c r="O593" s="108"/>
      <c r="P593" s="254" t="s">
        <v>166</v>
      </c>
      <c r="Q593" s="108"/>
      <c r="R593" s="108"/>
      <c r="S593" s="108"/>
      <c r="T593" s="121" t="s">
        <v>5728</v>
      </c>
      <c r="U593" s="108"/>
      <c r="V593" s="108"/>
      <c r="W593" s="108"/>
      <c r="X593" s="108"/>
      <c r="Y593" s="108"/>
      <c r="Z593" s="108"/>
      <c r="AA593" s="108"/>
      <c r="AB593" s="108"/>
      <c r="AC593" s="108"/>
      <c r="AD593" s="76"/>
      <c r="AE593" s="76"/>
      <c r="AF593" s="76"/>
      <c r="AG593" s="76"/>
      <c r="AH593" s="76"/>
      <c r="AI593" s="76"/>
      <c r="AJ593" s="76"/>
      <c r="AK593" s="76"/>
      <c r="AL593" s="76"/>
      <c r="AM593" s="76"/>
      <c r="AN593" s="76"/>
      <c r="AO593" s="76"/>
      <c r="AP593" s="76"/>
      <c r="AQ593" s="76"/>
      <c r="AR593" s="76"/>
      <c r="AS593" s="76"/>
      <c r="AT593" s="76"/>
      <c r="AU593" s="76"/>
      <c r="AV593" s="76"/>
      <c r="AW593" s="76"/>
      <c r="AX593" s="76"/>
    </row>
    <row r="594" ht="15.75" customHeight="1">
      <c r="A594" s="104" t="s">
        <v>108</v>
      </c>
      <c r="B594" s="105" t="s">
        <v>3824</v>
      </c>
      <c r="C594" s="31" t="s">
        <v>3825</v>
      </c>
      <c r="D594" s="31"/>
      <c r="E594" s="31"/>
      <c r="F594" s="108"/>
      <c r="G594" s="108"/>
      <c r="H594" s="108"/>
      <c r="I594" s="108"/>
      <c r="J594" s="108"/>
      <c r="K594" s="108"/>
      <c r="L594" s="108"/>
      <c r="M594" s="108"/>
      <c r="N594" s="108"/>
      <c r="O594" s="108"/>
      <c r="P594" s="254" t="s">
        <v>166</v>
      </c>
      <c r="Q594" s="108"/>
      <c r="R594" s="108"/>
      <c r="S594" s="108"/>
      <c r="T594" s="121" t="s">
        <v>5730</v>
      </c>
      <c r="U594" s="108"/>
      <c r="V594" s="108"/>
      <c r="W594" s="108"/>
      <c r="X594" s="108"/>
      <c r="Y594" s="108"/>
      <c r="Z594" s="108"/>
      <c r="AA594" s="108"/>
      <c r="AB594" s="108"/>
      <c r="AC594" s="108"/>
      <c r="AD594" s="76"/>
      <c r="AE594" s="76"/>
      <c r="AF594" s="76"/>
      <c r="AG594" s="76"/>
      <c r="AH594" s="76"/>
      <c r="AI594" s="76"/>
      <c r="AJ594" s="76"/>
      <c r="AK594" s="76"/>
      <c r="AL594" s="76"/>
      <c r="AM594" s="76"/>
      <c r="AN594" s="76"/>
      <c r="AO594" s="76"/>
      <c r="AP594" s="76"/>
      <c r="AQ594" s="76"/>
      <c r="AR594" s="76"/>
      <c r="AS594" s="76"/>
      <c r="AT594" s="76"/>
      <c r="AU594" s="76"/>
      <c r="AV594" s="76"/>
      <c r="AW594" s="76"/>
      <c r="AX594" s="76"/>
    </row>
    <row r="595" ht="15.75" customHeight="1">
      <c r="A595" s="104" t="s">
        <v>108</v>
      </c>
      <c r="B595" s="105" t="s">
        <v>3829</v>
      </c>
      <c r="C595" s="31" t="s">
        <v>3831</v>
      </c>
      <c r="D595" s="31"/>
      <c r="E595" s="31"/>
      <c r="F595" s="108"/>
      <c r="G595" s="108"/>
      <c r="H595" s="108"/>
      <c r="I595" s="108"/>
      <c r="J595" s="108"/>
      <c r="K595" s="108"/>
      <c r="L595" s="108"/>
      <c r="M595" s="108"/>
      <c r="N595" s="108"/>
      <c r="O595" s="108"/>
      <c r="P595" s="254" t="s">
        <v>166</v>
      </c>
      <c r="Q595" s="108"/>
      <c r="R595" s="108"/>
      <c r="S595" s="108"/>
      <c r="T595" s="121" t="s">
        <v>5731</v>
      </c>
      <c r="U595" s="108"/>
      <c r="V595" s="108"/>
      <c r="W595" s="108"/>
      <c r="X595" s="108"/>
      <c r="Y595" s="108"/>
      <c r="Z595" s="108"/>
      <c r="AA595" s="108"/>
      <c r="AB595" s="108"/>
      <c r="AC595" s="108"/>
      <c r="AD595" s="76"/>
      <c r="AE595" s="76"/>
      <c r="AF595" s="76"/>
      <c r="AG595" s="76"/>
      <c r="AH595" s="76"/>
      <c r="AI595" s="76"/>
      <c r="AJ595" s="76"/>
      <c r="AK595" s="76"/>
      <c r="AL595" s="76"/>
      <c r="AM595" s="76"/>
      <c r="AN595" s="76"/>
      <c r="AO595" s="76"/>
      <c r="AP595" s="76"/>
      <c r="AQ595" s="76"/>
      <c r="AR595" s="76"/>
      <c r="AS595" s="76"/>
      <c r="AT595" s="76"/>
      <c r="AU595" s="76"/>
      <c r="AV595" s="76"/>
      <c r="AW595" s="76"/>
      <c r="AX595" s="76"/>
    </row>
    <row r="596" ht="15.75" customHeight="1">
      <c r="A596" s="104" t="s">
        <v>108</v>
      </c>
      <c r="B596" s="105" t="s">
        <v>3837</v>
      </c>
      <c r="C596" s="31" t="s">
        <v>3838</v>
      </c>
      <c r="D596" s="31"/>
      <c r="E596" s="31"/>
      <c r="F596" s="108"/>
      <c r="G596" s="108"/>
      <c r="H596" s="108"/>
      <c r="I596" s="108"/>
      <c r="J596" s="108"/>
      <c r="K596" s="108"/>
      <c r="L596" s="108"/>
      <c r="M596" s="108"/>
      <c r="N596" s="108"/>
      <c r="O596" s="108"/>
      <c r="P596" s="254" t="s">
        <v>166</v>
      </c>
      <c r="Q596" s="108"/>
      <c r="R596" s="108"/>
      <c r="S596" s="108"/>
      <c r="T596" s="121" t="s">
        <v>5732</v>
      </c>
      <c r="U596" s="108"/>
      <c r="V596" s="108"/>
      <c r="W596" s="108"/>
      <c r="X596" s="108"/>
      <c r="Y596" s="108"/>
      <c r="Z596" s="108"/>
      <c r="AA596" s="108"/>
      <c r="AB596" s="108"/>
      <c r="AC596" s="108"/>
      <c r="AD596" s="76"/>
      <c r="AE596" s="76"/>
      <c r="AF596" s="76"/>
      <c r="AG596" s="76"/>
      <c r="AH596" s="76"/>
      <c r="AI596" s="76"/>
      <c r="AJ596" s="76"/>
      <c r="AK596" s="76"/>
      <c r="AL596" s="76"/>
      <c r="AM596" s="76"/>
      <c r="AN596" s="76"/>
      <c r="AO596" s="76"/>
      <c r="AP596" s="76"/>
      <c r="AQ596" s="76"/>
      <c r="AR596" s="76"/>
      <c r="AS596" s="76"/>
      <c r="AT596" s="76"/>
      <c r="AU596" s="76"/>
      <c r="AV596" s="76"/>
      <c r="AW596" s="76"/>
      <c r="AX596" s="76"/>
    </row>
    <row r="597" ht="15.75" customHeight="1">
      <c r="A597" s="104" t="s">
        <v>108</v>
      </c>
      <c r="B597" s="105" t="s">
        <v>3839</v>
      </c>
      <c r="C597" s="31"/>
      <c r="D597" s="31"/>
      <c r="E597" s="31"/>
      <c r="F597" s="108"/>
      <c r="G597" s="108"/>
      <c r="H597" s="108"/>
      <c r="I597" s="108"/>
      <c r="J597" s="108"/>
      <c r="K597" s="108"/>
      <c r="L597" s="108"/>
      <c r="M597" s="108"/>
      <c r="N597" s="108"/>
      <c r="O597" s="108"/>
      <c r="P597" s="254" t="s">
        <v>166</v>
      </c>
      <c r="Q597" s="108"/>
      <c r="R597" s="108"/>
      <c r="S597" s="108"/>
      <c r="T597" s="121" t="s">
        <v>5733</v>
      </c>
      <c r="U597" s="108"/>
      <c r="V597" s="108"/>
      <c r="W597" s="108"/>
      <c r="X597" s="108"/>
      <c r="Y597" s="108"/>
      <c r="Z597" s="108"/>
      <c r="AA597" s="108"/>
      <c r="AB597" s="108"/>
      <c r="AC597" s="108"/>
      <c r="AD597" s="76"/>
      <c r="AE597" s="76"/>
      <c r="AF597" s="76"/>
      <c r="AG597" s="76"/>
      <c r="AH597" s="76"/>
      <c r="AI597" s="76"/>
      <c r="AJ597" s="76"/>
      <c r="AK597" s="76"/>
      <c r="AL597" s="76"/>
      <c r="AM597" s="76"/>
      <c r="AN597" s="76"/>
      <c r="AO597" s="76"/>
      <c r="AP597" s="76"/>
      <c r="AQ597" s="76"/>
      <c r="AR597" s="76"/>
      <c r="AS597" s="76"/>
      <c r="AT597" s="76"/>
      <c r="AU597" s="76"/>
      <c r="AV597" s="76"/>
      <c r="AW597" s="76"/>
      <c r="AX597" s="76"/>
    </row>
    <row r="598" ht="15.75" customHeight="1">
      <c r="A598" s="81" t="s">
        <v>338</v>
      </c>
      <c r="B598" s="142" t="s">
        <v>3840</v>
      </c>
      <c r="C598" s="31" t="s">
        <v>5734</v>
      </c>
      <c r="D598" s="31" t="s">
        <v>5735</v>
      </c>
      <c r="E598" s="31" t="s">
        <v>5736</v>
      </c>
      <c r="F598" s="31"/>
      <c r="G598" s="31"/>
      <c r="H598" s="31"/>
      <c r="I598" s="84"/>
      <c r="J598" s="159"/>
      <c r="K598" s="84" t="s">
        <v>5692</v>
      </c>
      <c r="L598" s="84" t="s">
        <v>5737</v>
      </c>
      <c r="M598" s="84"/>
      <c r="N598" s="84"/>
      <c r="O598" s="84"/>
      <c r="P598" s="254" t="s">
        <v>166</v>
      </c>
      <c r="Q598" s="84" t="s">
        <v>166</v>
      </c>
      <c r="R598" s="84"/>
      <c r="S598" s="84"/>
      <c r="T598" s="84"/>
      <c r="U598" s="84"/>
      <c r="V598" s="84"/>
      <c r="W598" s="84"/>
      <c r="X598" s="84"/>
      <c r="Y598" s="84"/>
      <c r="Z598" s="84"/>
      <c r="AA598" s="84"/>
      <c r="AB598" s="84"/>
      <c r="AC598" s="84"/>
      <c r="AD598" s="76"/>
      <c r="AE598" s="76"/>
      <c r="AF598" s="76"/>
      <c r="AG598" s="76"/>
      <c r="AH598" s="76"/>
      <c r="AI598" s="76"/>
      <c r="AJ598" s="76"/>
      <c r="AK598" s="76"/>
      <c r="AL598" s="76"/>
      <c r="AM598" s="76"/>
      <c r="AN598" s="76"/>
      <c r="AO598" s="76"/>
      <c r="AP598" s="76"/>
      <c r="AQ598" s="76"/>
      <c r="AR598" s="76"/>
      <c r="AS598" s="76"/>
      <c r="AT598" s="76"/>
      <c r="AU598" s="76"/>
      <c r="AV598" s="76"/>
      <c r="AW598" s="76"/>
      <c r="AX598" s="76"/>
    </row>
    <row r="599" ht="15.75" customHeight="1">
      <c r="A599" s="126" t="s">
        <v>42</v>
      </c>
      <c r="B599" s="243" t="s">
        <v>3850</v>
      </c>
      <c r="C599" s="31" t="s">
        <v>5738</v>
      </c>
      <c r="D599" s="292" t="s">
        <v>5739</v>
      </c>
      <c r="E599" s="292" t="s">
        <v>5740</v>
      </c>
      <c r="F599" s="31"/>
      <c r="G599" s="31"/>
      <c r="H599" s="31"/>
      <c r="I599" s="154"/>
      <c r="J599" s="154"/>
      <c r="K599" s="154"/>
      <c r="L599" s="154"/>
      <c r="M599" s="154"/>
      <c r="N599" s="154"/>
      <c r="O599" s="128" t="s">
        <v>5546</v>
      </c>
      <c r="P599" s="154"/>
      <c r="Q599" s="154"/>
      <c r="R599" s="154"/>
      <c r="S599" s="154"/>
      <c r="T599" s="154"/>
      <c r="U599" s="154"/>
      <c r="V599" s="154"/>
      <c r="W599" s="154"/>
      <c r="X599" s="154"/>
      <c r="Y599" s="154"/>
      <c r="Z599" s="154"/>
      <c r="AA599" s="154"/>
      <c r="AB599" s="154"/>
      <c r="AC599" s="154"/>
      <c r="AD599" s="76"/>
      <c r="AE599" s="76"/>
      <c r="AF599" s="76"/>
      <c r="AG599" s="76"/>
      <c r="AH599" s="76"/>
      <c r="AI599" s="76"/>
      <c r="AJ599" s="76"/>
      <c r="AK599" s="76"/>
      <c r="AL599" s="76"/>
      <c r="AM599" s="76"/>
      <c r="AN599" s="76"/>
      <c r="AO599" s="76"/>
      <c r="AP599" s="76"/>
      <c r="AQ599" s="76"/>
      <c r="AR599" s="76"/>
      <c r="AS599" s="76"/>
      <c r="AT599" s="76"/>
      <c r="AU599" s="76"/>
      <c r="AV599" s="76"/>
      <c r="AW599" s="76"/>
      <c r="AX599" s="76"/>
    </row>
    <row r="600" ht="15.75" customHeight="1">
      <c r="A600" s="104" t="s">
        <v>139</v>
      </c>
      <c r="B600" s="141" t="s">
        <v>3856</v>
      </c>
      <c r="C600" s="31"/>
      <c r="D600" s="31"/>
      <c r="E600" s="31"/>
      <c r="F600" s="108"/>
      <c r="G600" s="108"/>
      <c r="H600" s="108"/>
      <c r="I600" s="108"/>
      <c r="J600" s="108"/>
      <c r="K600" s="108"/>
      <c r="L600" s="108"/>
      <c r="M600" s="108"/>
      <c r="N600" s="108"/>
      <c r="O600" s="108"/>
      <c r="P600" s="108"/>
      <c r="Q600" s="108"/>
      <c r="R600" s="108"/>
      <c r="S600" s="108"/>
      <c r="T600" s="281" t="s">
        <v>145</v>
      </c>
      <c r="U600" s="108"/>
      <c r="V600" s="108"/>
      <c r="W600" s="108"/>
      <c r="X600" s="108"/>
      <c r="Y600" s="108"/>
      <c r="Z600" s="108"/>
      <c r="AA600" s="108"/>
      <c r="AB600" s="108"/>
      <c r="AC600" s="108"/>
      <c r="AD600" s="76"/>
      <c r="AE600" s="76"/>
      <c r="AF600" s="76"/>
      <c r="AG600" s="76"/>
      <c r="AH600" s="76"/>
      <c r="AI600" s="76"/>
      <c r="AJ600" s="76"/>
      <c r="AK600" s="76"/>
      <c r="AL600" s="76"/>
      <c r="AM600" s="76"/>
      <c r="AN600" s="76"/>
      <c r="AO600" s="76"/>
      <c r="AP600" s="76"/>
      <c r="AQ600" s="76"/>
      <c r="AR600" s="76"/>
      <c r="AS600" s="76"/>
      <c r="AT600" s="76"/>
      <c r="AU600" s="76"/>
      <c r="AV600" s="76"/>
      <c r="AW600" s="76"/>
      <c r="AX600" s="76"/>
    </row>
    <row r="601" ht="15.75" customHeight="1">
      <c r="A601" s="144" t="s">
        <v>648</v>
      </c>
      <c r="B601" s="145" t="s">
        <v>3864</v>
      </c>
      <c r="C601" s="31" t="s">
        <v>3867</v>
      </c>
      <c r="D601" s="31" t="s">
        <v>3868</v>
      </c>
      <c r="E601" s="31" t="s">
        <v>3869</v>
      </c>
      <c r="F601" s="173"/>
      <c r="G601" s="173"/>
      <c r="H601" s="173"/>
      <c r="I601" s="173"/>
      <c r="J601" s="173"/>
      <c r="K601" s="173"/>
      <c r="L601" s="173"/>
      <c r="M601" s="174"/>
      <c r="N601" s="174"/>
      <c r="O601" s="174"/>
      <c r="P601" s="173"/>
      <c r="Q601" s="173"/>
      <c r="R601" s="173"/>
      <c r="S601" s="173"/>
      <c r="T601" s="173"/>
      <c r="U601" s="187">
        <v>7.0</v>
      </c>
      <c r="V601" s="173"/>
      <c r="W601" s="173"/>
      <c r="X601" s="173"/>
      <c r="Y601" s="173"/>
      <c r="Z601" s="173"/>
      <c r="AA601" s="173"/>
      <c r="AB601" s="173"/>
      <c r="AC601" s="173"/>
      <c r="AD601" s="76"/>
      <c r="AE601" s="76"/>
      <c r="AF601" s="76"/>
      <c r="AG601" s="76"/>
      <c r="AH601" s="76"/>
      <c r="AI601" s="76"/>
      <c r="AJ601" s="76"/>
      <c r="AK601" s="76"/>
      <c r="AL601" s="76"/>
      <c r="AM601" s="76"/>
      <c r="AN601" s="76"/>
      <c r="AO601" s="76"/>
      <c r="AP601" s="76"/>
      <c r="AQ601" s="76"/>
      <c r="AR601" s="76"/>
      <c r="AS601" s="76"/>
      <c r="AT601" s="76"/>
      <c r="AU601" s="76"/>
      <c r="AV601" s="76"/>
      <c r="AW601" s="76"/>
      <c r="AX601" s="76"/>
    </row>
    <row r="602" ht="15.75" customHeight="1">
      <c r="A602" s="104" t="s">
        <v>108</v>
      </c>
      <c r="B602" s="105" t="s">
        <v>3876</v>
      </c>
      <c r="C602" s="31"/>
      <c r="D602" s="31"/>
      <c r="E602" s="31"/>
      <c r="F602" s="108"/>
      <c r="G602" s="108"/>
      <c r="H602" s="108"/>
      <c r="I602" s="108"/>
      <c r="J602" s="108"/>
      <c r="K602" s="108"/>
      <c r="L602" s="108"/>
      <c r="M602" s="108"/>
      <c r="N602" s="108"/>
      <c r="O602" s="108"/>
      <c r="P602" s="108"/>
      <c r="Q602" s="108"/>
      <c r="R602" s="108"/>
      <c r="S602" s="108"/>
      <c r="T602" s="132" t="s">
        <v>5741</v>
      </c>
      <c r="U602" s="108"/>
      <c r="V602" s="108"/>
      <c r="W602" s="108"/>
      <c r="X602" s="108"/>
      <c r="Y602" s="108"/>
      <c r="Z602" s="108"/>
      <c r="AA602" s="108"/>
      <c r="AB602" s="108"/>
      <c r="AC602" s="108"/>
      <c r="AD602" s="76"/>
      <c r="AE602" s="76"/>
      <c r="AF602" s="76"/>
      <c r="AG602" s="76"/>
      <c r="AH602" s="76"/>
      <c r="AI602" s="76"/>
      <c r="AJ602" s="76"/>
      <c r="AK602" s="76"/>
      <c r="AL602" s="76"/>
      <c r="AM602" s="76"/>
      <c r="AN602" s="76"/>
      <c r="AO602" s="76"/>
      <c r="AP602" s="76"/>
      <c r="AQ602" s="76"/>
      <c r="AR602" s="76"/>
      <c r="AS602" s="76"/>
      <c r="AT602" s="76"/>
      <c r="AU602" s="76"/>
      <c r="AV602" s="76"/>
      <c r="AW602" s="76"/>
      <c r="AX602" s="76"/>
    </row>
    <row r="603" ht="15.75" customHeight="1">
      <c r="A603" s="146" t="s">
        <v>237</v>
      </c>
      <c r="B603" s="147" t="s">
        <v>3883</v>
      </c>
      <c r="C603" s="31" t="s">
        <v>5742</v>
      </c>
      <c r="D603" s="293" t="s">
        <v>5743</v>
      </c>
      <c r="E603" s="293" t="s">
        <v>5744</v>
      </c>
      <c r="F603" s="31"/>
      <c r="G603" s="31"/>
      <c r="H603" s="31"/>
      <c r="I603" s="175"/>
      <c r="J603" s="175"/>
      <c r="K603" s="205" t="s">
        <v>2539</v>
      </c>
      <c r="L603" s="176"/>
      <c r="M603" s="175"/>
      <c r="N603" s="175"/>
      <c r="O603" s="175"/>
      <c r="P603" s="175"/>
      <c r="Q603" s="175" t="s">
        <v>166</v>
      </c>
      <c r="R603" s="175"/>
      <c r="S603" s="175"/>
      <c r="T603" s="175"/>
      <c r="U603" s="175"/>
      <c r="V603" s="175"/>
      <c r="W603" s="175"/>
      <c r="X603" s="175"/>
      <c r="Y603" s="175"/>
      <c r="Z603" s="175"/>
      <c r="AA603" s="175"/>
      <c r="AB603" s="175"/>
      <c r="AC603" s="175"/>
      <c r="AD603" s="76"/>
      <c r="AE603" s="76"/>
      <c r="AF603" s="76"/>
      <c r="AG603" s="76"/>
      <c r="AH603" s="76"/>
      <c r="AI603" s="76"/>
      <c r="AJ603" s="76"/>
      <c r="AK603" s="76"/>
      <c r="AL603" s="76"/>
      <c r="AM603" s="76"/>
      <c r="AN603" s="76"/>
      <c r="AO603" s="76"/>
      <c r="AP603" s="76"/>
      <c r="AQ603" s="76"/>
      <c r="AR603" s="76"/>
      <c r="AS603" s="76"/>
      <c r="AT603" s="76"/>
      <c r="AU603" s="76"/>
      <c r="AV603" s="76"/>
      <c r="AW603" s="76"/>
      <c r="AX603" s="76"/>
    </row>
    <row r="604" ht="15.75" customHeight="1">
      <c r="A604" s="146" t="s">
        <v>237</v>
      </c>
      <c r="B604" s="258" t="s">
        <v>3889</v>
      </c>
      <c r="C604" s="31" t="s">
        <v>5745</v>
      </c>
      <c r="D604" s="31" t="s">
        <v>5746</v>
      </c>
      <c r="E604" s="31" t="s">
        <v>5747</v>
      </c>
      <c r="F604" s="31" t="s">
        <v>5748</v>
      </c>
      <c r="G604" s="31"/>
      <c r="H604" s="31"/>
      <c r="I604" s="175"/>
      <c r="J604" s="175"/>
      <c r="K604" s="205" t="s">
        <v>2539</v>
      </c>
      <c r="L604" s="176"/>
      <c r="M604" s="175"/>
      <c r="N604" s="175"/>
      <c r="O604" s="230" t="s">
        <v>5749</v>
      </c>
      <c r="P604" s="175"/>
      <c r="Q604" s="175" t="s">
        <v>166</v>
      </c>
      <c r="R604" s="175"/>
      <c r="S604" s="175"/>
      <c r="T604" s="175"/>
      <c r="U604" s="175"/>
      <c r="V604" s="175"/>
      <c r="W604" s="175"/>
      <c r="X604" s="175"/>
      <c r="Y604" s="175"/>
      <c r="Z604" s="175"/>
      <c r="AA604" s="175"/>
      <c r="AB604" s="175"/>
      <c r="AC604" s="175"/>
      <c r="AD604" s="76"/>
      <c r="AE604" s="76"/>
      <c r="AF604" s="76"/>
      <c r="AG604" s="76"/>
      <c r="AH604" s="76"/>
      <c r="AI604" s="76"/>
      <c r="AJ604" s="76"/>
      <c r="AK604" s="76"/>
      <c r="AL604" s="76"/>
      <c r="AM604" s="76"/>
      <c r="AN604" s="76"/>
      <c r="AO604" s="76"/>
      <c r="AP604" s="76"/>
      <c r="AQ604" s="76"/>
      <c r="AR604" s="76"/>
      <c r="AS604" s="76"/>
      <c r="AT604" s="76"/>
      <c r="AU604" s="76"/>
      <c r="AV604" s="76"/>
      <c r="AW604" s="76"/>
      <c r="AX604" s="76"/>
    </row>
    <row r="605" ht="15.75" customHeight="1">
      <c r="A605" s="146" t="s">
        <v>237</v>
      </c>
      <c r="B605" s="147" t="s">
        <v>3896</v>
      </c>
      <c r="C605" s="31" t="s">
        <v>5750</v>
      </c>
      <c r="D605" s="293" t="s">
        <v>5751</v>
      </c>
      <c r="E605" s="293" t="s">
        <v>5752</v>
      </c>
      <c r="F605" s="31"/>
      <c r="G605" s="31"/>
      <c r="H605" s="31"/>
      <c r="I605" s="175"/>
      <c r="J605" s="175"/>
      <c r="K605" s="205" t="s">
        <v>2539</v>
      </c>
      <c r="L605" s="176"/>
      <c r="M605" s="175"/>
      <c r="N605" s="175"/>
      <c r="O605" s="175"/>
      <c r="P605" s="175"/>
      <c r="Q605" s="175" t="s">
        <v>166</v>
      </c>
      <c r="R605" s="175"/>
      <c r="S605" s="175"/>
      <c r="T605" s="175"/>
      <c r="U605" s="175"/>
      <c r="V605" s="175"/>
      <c r="W605" s="175"/>
      <c r="X605" s="175"/>
      <c r="Y605" s="175"/>
      <c r="Z605" s="175"/>
      <c r="AA605" s="175"/>
      <c r="AB605" s="175"/>
      <c r="AC605" s="175"/>
      <c r="AD605" s="76"/>
      <c r="AE605" s="76"/>
      <c r="AF605" s="76"/>
      <c r="AG605" s="76"/>
      <c r="AH605" s="76"/>
      <c r="AI605" s="76"/>
      <c r="AJ605" s="76"/>
      <c r="AK605" s="76"/>
      <c r="AL605" s="76"/>
      <c r="AM605" s="76"/>
      <c r="AN605" s="76"/>
      <c r="AO605" s="76"/>
      <c r="AP605" s="76"/>
      <c r="AQ605" s="76"/>
      <c r="AR605" s="76"/>
      <c r="AS605" s="76"/>
      <c r="AT605" s="76"/>
      <c r="AU605" s="76"/>
      <c r="AV605" s="76"/>
      <c r="AW605" s="76"/>
      <c r="AX605" s="76"/>
    </row>
    <row r="606" ht="15.75" customHeight="1">
      <c r="A606" s="146" t="s">
        <v>237</v>
      </c>
      <c r="B606" s="258" t="s">
        <v>3901</v>
      </c>
      <c r="C606" s="31" t="s">
        <v>5753</v>
      </c>
      <c r="D606" s="31" t="s">
        <v>5754</v>
      </c>
      <c r="E606" s="31" t="s">
        <v>5755</v>
      </c>
      <c r="F606" s="31" t="s">
        <v>5756</v>
      </c>
      <c r="G606" s="31"/>
      <c r="H606" s="31"/>
      <c r="I606" s="175"/>
      <c r="J606" s="175"/>
      <c r="K606" s="205" t="s">
        <v>2539</v>
      </c>
      <c r="L606" s="176"/>
      <c r="M606" s="175"/>
      <c r="N606" s="175"/>
      <c r="O606" s="230" t="s">
        <v>5757</v>
      </c>
      <c r="P606" s="175"/>
      <c r="Q606" s="175" t="s">
        <v>166</v>
      </c>
      <c r="R606" s="175"/>
      <c r="S606" s="175"/>
      <c r="T606" s="175"/>
      <c r="U606" s="175"/>
      <c r="V606" s="175"/>
      <c r="W606" s="175"/>
      <c r="X606" s="175"/>
      <c r="Y606" s="175"/>
      <c r="Z606" s="175"/>
      <c r="AA606" s="175"/>
      <c r="AB606" s="175"/>
      <c r="AC606" s="175"/>
      <c r="AD606" s="76"/>
      <c r="AE606" s="76"/>
      <c r="AF606" s="76"/>
      <c r="AG606" s="76"/>
      <c r="AH606" s="76"/>
      <c r="AI606" s="76"/>
      <c r="AJ606" s="76"/>
      <c r="AK606" s="76"/>
      <c r="AL606" s="76"/>
      <c r="AM606" s="76"/>
      <c r="AN606" s="76"/>
      <c r="AO606" s="76"/>
      <c r="AP606" s="76"/>
      <c r="AQ606" s="76"/>
      <c r="AR606" s="76"/>
      <c r="AS606" s="76"/>
      <c r="AT606" s="76"/>
      <c r="AU606" s="76"/>
      <c r="AV606" s="76"/>
      <c r="AW606" s="76"/>
      <c r="AX606" s="76"/>
    </row>
    <row r="607" ht="15.75" customHeight="1">
      <c r="A607" s="146" t="s">
        <v>237</v>
      </c>
      <c r="B607" s="147" t="s">
        <v>3908</v>
      </c>
      <c r="C607" s="31" t="s">
        <v>5758</v>
      </c>
      <c r="D607" s="293" t="s">
        <v>5759</v>
      </c>
      <c r="E607" s="293" t="s">
        <v>5760</v>
      </c>
      <c r="F607" s="31"/>
      <c r="G607" s="31"/>
      <c r="H607" s="31"/>
      <c r="I607" s="175"/>
      <c r="J607" s="175"/>
      <c r="K607" s="205" t="s">
        <v>2539</v>
      </c>
      <c r="L607" s="176"/>
      <c r="M607" s="175"/>
      <c r="N607" s="175"/>
      <c r="O607" s="175"/>
      <c r="P607" s="175"/>
      <c r="Q607" s="175" t="s">
        <v>166</v>
      </c>
      <c r="R607" s="175"/>
      <c r="S607" s="175"/>
      <c r="T607" s="175"/>
      <c r="U607" s="175"/>
      <c r="V607" s="175"/>
      <c r="W607" s="175"/>
      <c r="X607" s="175"/>
      <c r="Y607" s="175"/>
      <c r="Z607" s="175"/>
      <c r="AA607" s="175"/>
      <c r="AB607" s="175"/>
      <c r="AC607" s="175"/>
      <c r="AD607" s="76"/>
      <c r="AE607" s="76"/>
      <c r="AF607" s="76"/>
      <c r="AG607" s="76"/>
      <c r="AH607" s="76"/>
      <c r="AI607" s="76"/>
      <c r="AJ607" s="76"/>
      <c r="AK607" s="76"/>
      <c r="AL607" s="76"/>
      <c r="AM607" s="76"/>
      <c r="AN607" s="76"/>
      <c r="AO607" s="76"/>
      <c r="AP607" s="76"/>
      <c r="AQ607" s="76"/>
      <c r="AR607" s="76"/>
      <c r="AS607" s="76"/>
      <c r="AT607" s="76"/>
      <c r="AU607" s="76"/>
      <c r="AV607" s="76"/>
      <c r="AW607" s="76"/>
      <c r="AX607" s="76"/>
    </row>
    <row r="608" ht="15.75" customHeight="1">
      <c r="A608" s="146" t="s">
        <v>237</v>
      </c>
      <c r="B608" s="258" t="s">
        <v>3910</v>
      </c>
      <c r="C608" s="31" t="s">
        <v>5761</v>
      </c>
      <c r="D608" s="31" t="s">
        <v>5762</v>
      </c>
      <c r="E608" s="31" t="s">
        <v>5763</v>
      </c>
      <c r="F608" s="31" t="s">
        <v>5764</v>
      </c>
      <c r="G608" s="173"/>
      <c r="H608" s="173"/>
      <c r="I608" s="173"/>
      <c r="J608" s="173"/>
      <c r="K608" s="205" t="s">
        <v>2539</v>
      </c>
      <c r="L608" s="173"/>
      <c r="M608" s="173"/>
      <c r="N608" s="173"/>
      <c r="O608" s="230" t="s">
        <v>5765</v>
      </c>
      <c r="P608" s="173"/>
      <c r="Q608" s="175" t="s">
        <v>166</v>
      </c>
      <c r="R608" s="173"/>
      <c r="S608" s="173"/>
      <c r="T608" s="173"/>
      <c r="U608" s="173"/>
      <c r="V608" s="173"/>
      <c r="W608" s="173"/>
      <c r="X608" s="173"/>
      <c r="Y608" s="173"/>
      <c r="Z608" s="173"/>
      <c r="AA608" s="173"/>
      <c r="AB608" s="173"/>
      <c r="AC608" s="173"/>
      <c r="AD608" s="76"/>
      <c r="AE608" s="76"/>
      <c r="AF608" s="76"/>
      <c r="AG608" s="76"/>
      <c r="AH608" s="76"/>
      <c r="AI608" s="76"/>
      <c r="AJ608" s="76"/>
      <c r="AK608" s="76"/>
      <c r="AL608" s="76"/>
      <c r="AM608" s="76"/>
      <c r="AN608" s="76"/>
      <c r="AO608" s="76"/>
      <c r="AP608" s="76"/>
      <c r="AQ608" s="76"/>
      <c r="AR608" s="76"/>
      <c r="AS608" s="76"/>
      <c r="AT608" s="76"/>
      <c r="AU608" s="76"/>
      <c r="AV608" s="76"/>
      <c r="AW608" s="76"/>
      <c r="AX608" s="76"/>
    </row>
    <row r="609" ht="15.75" customHeight="1">
      <c r="A609" s="144" t="s">
        <v>691</v>
      </c>
      <c r="B609" s="150" t="s">
        <v>3864</v>
      </c>
      <c r="C609" s="31" t="s">
        <v>3867</v>
      </c>
      <c r="D609" s="31" t="s">
        <v>3868</v>
      </c>
      <c r="E609" s="31" t="s">
        <v>3869</v>
      </c>
      <c r="F609" s="173"/>
      <c r="G609" s="173"/>
      <c r="H609" s="173"/>
      <c r="I609" s="173"/>
      <c r="J609" s="173"/>
      <c r="K609" s="173"/>
      <c r="L609" s="173"/>
      <c r="M609" s="173"/>
      <c r="N609" s="173"/>
      <c r="O609" s="173"/>
      <c r="P609" s="173"/>
      <c r="Q609" s="173"/>
      <c r="R609" s="173"/>
      <c r="S609" s="173"/>
      <c r="T609" s="173"/>
      <c r="U609" s="173"/>
      <c r="V609" s="173"/>
      <c r="W609" s="173"/>
      <c r="X609" s="173"/>
      <c r="Y609" s="173"/>
      <c r="Z609" s="173"/>
      <c r="AA609" s="173"/>
      <c r="AB609" s="173"/>
      <c r="AC609" s="173"/>
      <c r="AD609" s="76"/>
      <c r="AE609" s="76"/>
      <c r="AF609" s="76"/>
      <c r="AG609" s="76"/>
      <c r="AH609" s="76"/>
      <c r="AI609" s="76"/>
      <c r="AJ609" s="76"/>
      <c r="AK609" s="76"/>
      <c r="AL609" s="76"/>
      <c r="AM609" s="76"/>
      <c r="AN609" s="76"/>
      <c r="AO609" s="76"/>
      <c r="AP609" s="76"/>
      <c r="AQ609" s="76"/>
      <c r="AR609" s="76"/>
      <c r="AS609" s="76"/>
      <c r="AT609" s="76"/>
      <c r="AU609" s="76"/>
      <c r="AV609" s="76"/>
      <c r="AW609" s="76"/>
      <c r="AX609" s="76"/>
    </row>
    <row r="610">
      <c r="A610" s="256"/>
      <c r="B610" s="256"/>
      <c r="C610" s="31"/>
      <c r="D610" s="31"/>
      <c r="E610" s="31"/>
      <c r="F610" s="256"/>
      <c r="G610" s="256"/>
      <c r="H610" s="256"/>
      <c r="I610" s="256"/>
      <c r="J610" s="256"/>
      <c r="K610" s="256"/>
      <c r="L610" s="256"/>
      <c r="M610" s="256"/>
      <c r="N610" s="256"/>
      <c r="O610" s="256"/>
      <c r="P610" s="256"/>
      <c r="Q610" s="256"/>
      <c r="R610" s="256"/>
      <c r="S610" s="256"/>
      <c r="T610" s="256"/>
      <c r="U610" s="256"/>
      <c r="V610" s="256"/>
      <c r="W610" s="256"/>
      <c r="X610" s="256"/>
      <c r="Y610" s="256"/>
      <c r="Z610" s="256"/>
      <c r="AA610" s="256"/>
      <c r="AB610" s="256"/>
      <c r="AC610" s="256"/>
      <c r="AD610" s="256"/>
      <c r="AE610" s="256"/>
      <c r="AF610" s="256"/>
      <c r="AG610" s="256"/>
      <c r="AH610" s="256"/>
      <c r="AI610" s="256"/>
      <c r="AJ610" s="256"/>
      <c r="AK610" s="256"/>
      <c r="AL610" s="256"/>
      <c r="AM610" s="256"/>
      <c r="AN610" s="256"/>
      <c r="AO610" s="256"/>
      <c r="AP610" s="256"/>
      <c r="AQ610" s="256"/>
      <c r="AR610" s="256"/>
      <c r="AS610" s="256"/>
      <c r="AT610" s="256"/>
      <c r="AU610" s="256"/>
      <c r="AV610" s="256"/>
      <c r="AW610" s="256"/>
      <c r="AX610" s="256"/>
    </row>
    <row r="611">
      <c r="A611" s="256"/>
      <c r="B611" s="256"/>
      <c r="C611" s="31"/>
      <c r="D611" s="31"/>
      <c r="E611" s="31"/>
      <c r="F611" s="256"/>
      <c r="G611" s="256"/>
      <c r="H611" s="256"/>
      <c r="I611" s="256"/>
      <c r="J611" s="256"/>
      <c r="K611" s="256"/>
      <c r="L611" s="256"/>
      <c r="M611" s="256"/>
      <c r="N611" s="256"/>
      <c r="O611" s="256"/>
      <c r="P611" s="256"/>
      <c r="Q611" s="256"/>
      <c r="R611" s="256"/>
      <c r="S611" s="256"/>
      <c r="T611" s="256"/>
      <c r="U611" s="256"/>
      <c r="V611" s="256"/>
      <c r="W611" s="256"/>
      <c r="X611" s="256"/>
      <c r="Y611" s="256"/>
      <c r="Z611" s="256"/>
      <c r="AA611" s="256"/>
      <c r="AB611" s="256"/>
      <c r="AC611" s="256"/>
      <c r="AD611" s="256"/>
      <c r="AE611" s="256"/>
      <c r="AF611" s="256"/>
      <c r="AG611" s="256"/>
      <c r="AH611" s="256"/>
      <c r="AI611" s="256"/>
      <c r="AJ611" s="256"/>
      <c r="AK611" s="256"/>
      <c r="AL611" s="256"/>
      <c r="AM611" s="256"/>
      <c r="AN611" s="256"/>
      <c r="AO611" s="256"/>
      <c r="AP611" s="256"/>
      <c r="AQ611" s="256"/>
      <c r="AR611" s="256"/>
      <c r="AS611" s="256"/>
      <c r="AT611" s="256"/>
      <c r="AU611" s="256"/>
      <c r="AV611" s="256"/>
      <c r="AW611" s="256"/>
      <c r="AX611" s="256"/>
    </row>
    <row r="612" ht="15.75" customHeight="1">
      <c r="A612" s="146" t="s">
        <v>237</v>
      </c>
      <c r="B612" s="147" t="s">
        <v>3925</v>
      </c>
      <c r="C612" s="31" t="s">
        <v>5766</v>
      </c>
      <c r="D612" s="31" t="s">
        <v>5767</v>
      </c>
      <c r="E612" s="31" t="s">
        <v>5768</v>
      </c>
      <c r="F612" s="31"/>
      <c r="G612" s="31"/>
      <c r="H612" s="31"/>
      <c r="I612" s="175"/>
      <c r="J612" s="175"/>
      <c r="K612" s="176"/>
      <c r="L612" s="176"/>
      <c r="M612" s="175"/>
      <c r="N612" s="175"/>
      <c r="O612" s="175"/>
      <c r="P612" s="175"/>
      <c r="Q612" s="175" t="s">
        <v>166</v>
      </c>
      <c r="R612" s="175"/>
      <c r="S612" s="175"/>
      <c r="T612" s="175"/>
      <c r="U612" s="175"/>
      <c r="V612" s="175"/>
      <c r="W612" s="175"/>
      <c r="X612" s="175"/>
      <c r="Y612" s="175"/>
      <c r="Z612" s="175"/>
      <c r="AA612" s="175"/>
      <c r="AB612" s="175"/>
      <c r="AC612" s="175"/>
      <c r="AD612" s="76"/>
      <c r="AE612" s="76"/>
      <c r="AF612" s="76"/>
      <c r="AG612" s="76"/>
      <c r="AH612" s="76"/>
      <c r="AI612" s="76"/>
      <c r="AJ612" s="76"/>
      <c r="AK612" s="76"/>
      <c r="AL612" s="76"/>
      <c r="AM612" s="76"/>
      <c r="AN612" s="76"/>
      <c r="AO612" s="76"/>
      <c r="AP612" s="76"/>
      <c r="AQ612" s="76"/>
      <c r="AR612" s="76"/>
      <c r="AS612" s="76"/>
      <c r="AT612" s="76"/>
      <c r="AU612" s="76"/>
      <c r="AV612" s="76"/>
      <c r="AW612" s="76"/>
      <c r="AX612" s="76"/>
    </row>
    <row r="613" ht="15.75" customHeight="1">
      <c r="A613" s="126" t="s">
        <v>42</v>
      </c>
      <c r="B613" s="127" t="s">
        <v>3930</v>
      </c>
      <c r="C613" s="31" t="s">
        <v>5769</v>
      </c>
      <c r="D613" s="31" t="s">
        <v>5770</v>
      </c>
      <c r="E613" s="31" t="s">
        <v>5771</v>
      </c>
      <c r="F613" s="31"/>
      <c r="G613" s="31"/>
      <c r="H613" s="31"/>
      <c r="I613" s="154"/>
      <c r="J613" s="154"/>
      <c r="K613" s="154"/>
      <c r="L613" s="154"/>
      <c r="M613" s="154"/>
      <c r="N613" s="154"/>
      <c r="O613" s="154"/>
      <c r="P613" s="154"/>
      <c r="Q613" s="154"/>
      <c r="R613" s="154"/>
      <c r="S613" s="154"/>
      <c r="T613" s="154"/>
      <c r="U613" s="154"/>
      <c r="V613" s="154"/>
      <c r="W613" s="154"/>
      <c r="X613" s="154"/>
      <c r="Y613" s="154"/>
      <c r="Z613" s="154"/>
      <c r="AA613" s="154"/>
      <c r="AB613" s="154"/>
      <c r="AC613" s="154"/>
      <c r="AD613" s="76"/>
      <c r="AE613" s="76"/>
      <c r="AF613" s="76"/>
      <c r="AG613" s="76"/>
      <c r="AH613" s="76"/>
      <c r="AI613" s="76"/>
      <c r="AJ613" s="76"/>
      <c r="AK613" s="76"/>
      <c r="AL613" s="76"/>
      <c r="AM613" s="76"/>
      <c r="AN613" s="76"/>
      <c r="AO613" s="76"/>
      <c r="AP613" s="76"/>
      <c r="AQ613" s="76"/>
      <c r="AR613" s="76"/>
      <c r="AS613" s="76"/>
      <c r="AT613" s="76"/>
      <c r="AU613" s="76"/>
      <c r="AV613" s="76"/>
      <c r="AW613" s="76"/>
      <c r="AX613" s="76"/>
    </row>
    <row r="614" ht="15.75" customHeight="1">
      <c r="A614" s="146" t="s">
        <v>237</v>
      </c>
      <c r="B614" s="147" t="s">
        <v>3934</v>
      </c>
      <c r="C614" s="31" t="s">
        <v>5772</v>
      </c>
      <c r="D614" s="31" t="s">
        <v>5773</v>
      </c>
      <c r="E614" s="31" t="s">
        <v>5774</v>
      </c>
      <c r="F614" s="31"/>
      <c r="G614" s="31"/>
      <c r="H614" s="31"/>
      <c r="I614" s="175"/>
      <c r="J614" s="175"/>
      <c r="K614" s="176" t="s">
        <v>5775</v>
      </c>
      <c r="L614" s="176"/>
      <c r="M614" s="175"/>
      <c r="N614" s="175"/>
      <c r="O614" s="175" t="s">
        <v>5546</v>
      </c>
      <c r="P614" s="175"/>
      <c r="Q614" s="175" t="s">
        <v>166</v>
      </c>
      <c r="R614" s="175"/>
      <c r="S614" s="175"/>
      <c r="T614" s="175"/>
      <c r="U614" s="175"/>
      <c r="V614" s="175"/>
      <c r="W614" s="175"/>
      <c r="X614" s="175"/>
      <c r="Y614" s="175"/>
      <c r="Z614" s="175"/>
      <c r="AA614" s="175"/>
      <c r="AB614" s="175"/>
      <c r="AC614" s="175"/>
      <c r="AD614" s="76"/>
      <c r="AE614" s="76"/>
      <c r="AF614" s="76"/>
      <c r="AG614" s="76"/>
      <c r="AH614" s="76"/>
      <c r="AI614" s="76"/>
      <c r="AJ614" s="76"/>
      <c r="AK614" s="76"/>
      <c r="AL614" s="76"/>
      <c r="AM614" s="76"/>
      <c r="AN614" s="76"/>
      <c r="AO614" s="76"/>
      <c r="AP614" s="76"/>
      <c r="AQ614" s="76"/>
      <c r="AR614" s="76"/>
      <c r="AS614" s="76"/>
      <c r="AT614" s="76"/>
      <c r="AU614" s="76"/>
      <c r="AV614" s="76"/>
      <c r="AW614" s="76"/>
      <c r="AX614" s="76"/>
    </row>
    <row r="615" ht="15.75" customHeight="1">
      <c r="A615" s="81" t="s">
        <v>338</v>
      </c>
      <c r="B615" s="142" t="s">
        <v>3938</v>
      </c>
      <c r="C615" s="31" t="s">
        <v>5776</v>
      </c>
      <c r="D615" s="31" t="s">
        <v>5777</v>
      </c>
      <c r="E615" s="31" t="s">
        <v>5778</v>
      </c>
      <c r="F615" s="31"/>
      <c r="G615" s="31"/>
      <c r="H615" s="31"/>
      <c r="I615" s="84"/>
      <c r="J615" s="159"/>
      <c r="K615" s="84"/>
      <c r="L615" s="84"/>
      <c r="M615" s="84"/>
      <c r="N615" s="84"/>
      <c r="O615" s="84" t="s">
        <v>5546</v>
      </c>
      <c r="P615" s="84"/>
      <c r="Q615" s="84" t="s">
        <v>166</v>
      </c>
      <c r="R615" s="84"/>
      <c r="S615" s="84"/>
      <c r="T615" s="84"/>
      <c r="U615" s="84"/>
      <c r="V615" s="84"/>
      <c r="W615" s="84"/>
      <c r="X615" s="84"/>
      <c r="Y615" s="84"/>
      <c r="Z615" s="84"/>
      <c r="AA615" s="84"/>
      <c r="AB615" s="84"/>
      <c r="AC615" s="84"/>
      <c r="AD615" s="76"/>
      <c r="AE615" s="76"/>
      <c r="AF615" s="76"/>
      <c r="AG615" s="76"/>
      <c r="AH615" s="76"/>
      <c r="AI615" s="76"/>
      <c r="AJ615" s="76"/>
      <c r="AK615" s="76"/>
      <c r="AL615" s="76"/>
      <c r="AM615" s="76"/>
      <c r="AN615" s="76"/>
      <c r="AO615" s="76"/>
      <c r="AP615" s="76"/>
      <c r="AQ615" s="76"/>
      <c r="AR615" s="76"/>
      <c r="AS615" s="76"/>
      <c r="AT615" s="76"/>
      <c r="AU615" s="76"/>
      <c r="AV615" s="76"/>
      <c r="AW615" s="76"/>
      <c r="AX615" s="76"/>
    </row>
    <row r="616" ht="15.75" customHeight="1">
      <c r="A616" s="146" t="s">
        <v>237</v>
      </c>
      <c r="B616" s="147" t="s">
        <v>3942</v>
      </c>
      <c r="C616" s="31" t="s">
        <v>5779</v>
      </c>
      <c r="D616" s="31" t="s">
        <v>5780</v>
      </c>
      <c r="E616" s="31" t="s">
        <v>5781</v>
      </c>
      <c r="F616" s="31"/>
      <c r="G616" s="31"/>
      <c r="H616" s="31"/>
      <c r="I616" s="175"/>
      <c r="J616" s="175"/>
      <c r="K616" s="176" t="s">
        <v>5782</v>
      </c>
      <c r="L616" s="176"/>
      <c r="M616" s="175"/>
      <c r="N616" s="175"/>
      <c r="O616" s="175" t="s">
        <v>5783</v>
      </c>
      <c r="P616" s="175"/>
      <c r="Q616" s="175" t="s">
        <v>166</v>
      </c>
      <c r="R616" s="175"/>
      <c r="S616" s="175"/>
      <c r="T616" s="175"/>
      <c r="U616" s="175"/>
      <c r="V616" s="175"/>
      <c r="W616" s="175"/>
      <c r="X616" s="175"/>
      <c r="Y616" s="175"/>
      <c r="Z616" s="175"/>
      <c r="AA616" s="175"/>
      <c r="AB616" s="175"/>
      <c r="AC616" s="175"/>
      <c r="AD616" s="76"/>
      <c r="AE616" s="76"/>
      <c r="AF616" s="76"/>
      <c r="AG616" s="76"/>
      <c r="AH616" s="76"/>
      <c r="AI616" s="76"/>
      <c r="AJ616" s="76"/>
      <c r="AK616" s="76"/>
      <c r="AL616" s="76"/>
      <c r="AM616" s="76"/>
      <c r="AN616" s="76"/>
      <c r="AO616" s="76"/>
      <c r="AP616" s="76"/>
      <c r="AQ616" s="76"/>
      <c r="AR616" s="76"/>
      <c r="AS616" s="76"/>
      <c r="AT616" s="76"/>
      <c r="AU616" s="76"/>
      <c r="AV616" s="76"/>
      <c r="AW616" s="76"/>
      <c r="AX616" s="76"/>
    </row>
    <row r="617" ht="15.75" customHeight="1">
      <c r="A617" s="146" t="s">
        <v>237</v>
      </c>
      <c r="B617" s="147" t="s">
        <v>3947</v>
      </c>
      <c r="C617" s="31" t="s">
        <v>5784</v>
      </c>
      <c r="D617" s="31" t="s">
        <v>5785</v>
      </c>
      <c r="E617" s="31" t="s">
        <v>5786</v>
      </c>
      <c r="F617" s="31"/>
      <c r="G617" s="31"/>
      <c r="H617" s="31"/>
      <c r="I617" s="175"/>
      <c r="J617" s="175"/>
      <c r="K617" s="176"/>
      <c r="L617" s="176"/>
      <c r="M617" s="175"/>
      <c r="N617" s="175"/>
      <c r="O617" s="175" t="s">
        <v>5783</v>
      </c>
      <c r="P617" s="175"/>
      <c r="Q617" s="175" t="s">
        <v>166</v>
      </c>
      <c r="R617" s="175"/>
      <c r="S617" s="175"/>
      <c r="T617" s="175"/>
      <c r="U617" s="175"/>
      <c r="V617" s="175"/>
      <c r="W617" s="175"/>
      <c r="X617" s="175"/>
      <c r="Y617" s="175"/>
      <c r="Z617" s="175"/>
      <c r="AA617" s="175"/>
      <c r="AB617" s="175"/>
      <c r="AC617" s="175"/>
      <c r="AD617" s="76"/>
      <c r="AE617" s="76"/>
      <c r="AF617" s="76"/>
      <c r="AG617" s="76"/>
      <c r="AH617" s="76"/>
      <c r="AI617" s="76"/>
      <c r="AJ617" s="76"/>
      <c r="AK617" s="76"/>
      <c r="AL617" s="76"/>
      <c r="AM617" s="76"/>
      <c r="AN617" s="76"/>
      <c r="AO617" s="76"/>
      <c r="AP617" s="76"/>
      <c r="AQ617" s="76"/>
      <c r="AR617" s="76"/>
      <c r="AS617" s="76"/>
      <c r="AT617" s="76"/>
      <c r="AU617" s="76"/>
      <c r="AV617" s="76"/>
      <c r="AW617" s="76"/>
      <c r="AX617" s="76"/>
    </row>
    <row r="618" ht="15.75" customHeight="1">
      <c r="A618" s="104" t="s">
        <v>108</v>
      </c>
      <c r="B618" s="105" t="s">
        <v>3951</v>
      </c>
      <c r="C618" s="31"/>
      <c r="D618" s="31"/>
      <c r="E618" s="31"/>
      <c r="F618" s="108"/>
      <c r="G618" s="108"/>
      <c r="H618" s="108"/>
      <c r="I618" s="108"/>
      <c r="J618" s="108"/>
      <c r="K618" s="108"/>
      <c r="L618" s="108"/>
      <c r="M618" s="108"/>
      <c r="N618" s="108"/>
      <c r="O618" s="108"/>
      <c r="P618" s="108"/>
      <c r="Q618" s="108"/>
      <c r="R618" s="108"/>
      <c r="S618" s="108"/>
      <c r="T618" s="121" t="s">
        <v>5787</v>
      </c>
      <c r="U618" s="108"/>
      <c r="V618" s="108"/>
      <c r="W618" s="108"/>
      <c r="X618" s="108"/>
      <c r="Y618" s="108"/>
      <c r="Z618" s="108"/>
      <c r="AA618" s="108"/>
      <c r="AB618" s="108"/>
      <c r="AC618" s="108"/>
      <c r="AD618" s="76"/>
      <c r="AE618" s="76"/>
      <c r="AF618" s="76"/>
      <c r="AG618" s="76"/>
      <c r="AH618" s="76"/>
      <c r="AI618" s="76"/>
      <c r="AJ618" s="76"/>
      <c r="AK618" s="76"/>
      <c r="AL618" s="76"/>
      <c r="AM618" s="76"/>
      <c r="AN618" s="76"/>
      <c r="AO618" s="76"/>
      <c r="AP618" s="76"/>
      <c r="AQ618" s="76"/>
      <c r="AR618" s="76"/>
      <c r="AS618" s="76"/>
      <c r="AT618" s="76"/>
      <c r="AU618" s="76"/>
      <c r="AV618" s="76"/>
      <c r="AW618" s="76"/>
      <c r="AX618" s="76"/>
    </row>
    <row r="619" ht="15.75" customHeight="1">
      <c r="A619" s="81" t="s">
        <v>338</v>
      </c>
      <c r="B619" s="142" t="s">
        <v>3955</v>
      </c>
      <c r="C619" s="31" t="s">
        <v>5788</v>
      </c>
      <c r="D619" s="31" t="s">
        <v>5789</v>
      </c>
      <c r="E619" s="31" t="s">
        <v>5790</v>
      </c>
      <c r="F619" s="31"/>
      <c r="G619" s="31"/>
      <c r="H619" s="31"/>
      <c r="I619" s="84"/>
      <c r="J619" s="159"/>
      <c r="K619" s="84"/>
      <c r="L619" s="84"/>
      <c r="M619" s="84"/>
      <c r="N619" s="84"/>
      <c r="O619" s="84" t="s">
        <v>5783</v>
      </c>
      <c r="P619" s="84"/>
      <c r="Q619" s="84" t="s">
        <v>166</v>
      </c>
      <c r="R619" s="84"/>
      <c r="S619" s="84"/>
      <c r="T619" s="84"/>
      <c r="U619" s="84"/>
      <c r="V619" s="84"/>
      <c r="W619" s="84"/>
      <c r="X619" s="84"/>
      <c r="Y619" s="84"/>
      <c r="Z619" s="84"/>
      <c r="AA619" s="84"/>
      <c r="AB619" s="84"/>
      <c r="AC619" s="84"/>
      <c r="AD619" s="76"/>
      <c r="AE619" s="76"/>
      <c r="AF619" s="76"/>
      <c r="AG619" s="76"/>
      <c r="AH619" s="76"/>
      <c r="AI619" s="76"/>
      <c r="AJ619" s="76"/>
      <c r="AK619" s="76"/>
      <c r="AL619" s="76"/>
      <c r="AM619" s="76"/>
      <c r="AN619" s="76"/>
      <c r="AO619" s="76"/>
      <c r="AP619" s="76"/>
      <c r="AQ619" s="76"/>
      <c r="AR619" s="76"/>
      <c r="AS619" s="76"/>
      <c r="AT619" s="76"/>
      <c r="AU619" s="76"/>
      <c r="AV619" s="76"/>
      <c r="AW619" s="76"/>
      <c r="AX619" s="76"/>
    </row>
    <row r="620" ht="15.75" customHeight="1">
      <c r="A620" s="81" t="s">
        <v>338</v>
      </c>
      <c r="B620" s="142" t="s">
        <v>3962</v>
      </c>
      <c r="C620" s="31" t="s">
        <v>5791</v>
      </c>
      <c r="D620" s="31" t="s">
        <v>5792</v>
      </c>
      <c r="E620" s="31" t="s">
        <v>5793</v>
      </c>
      <c r="F620" s="31"/>
      <c r="G620" s="31"/>
      <c r="H620" s="31"/>
      <c r="I620" s="84"/>
      <c r="J620" s="159"/>
      <c r="K620" s="84"/>
      <c r="L620" s="84"/>
      <c r="M620" s="84"/>
      <c r="N620" s="84"/>
      <c r="O620" s="84"/>
      <c r="P620" s="84"/>
      <c r="Q620" s="84" t="s">
        <v>166</v>
      </c>
      <c r="R620" s="84"/>
      <c r="S620" s="84"/>
      <c r="T620" s="84"/>
      <c r="U620" s="84"/>
      <c r="V620" s="84"/>
      <c r="W620" s="84"/>
      <c r="X620" s="84"/>
      <c r="Y620" s="84"/>
      <c r="Z620" s="84"/>
      <c r="AA620" s="84"/>
      <c r="AB620" s="84"/>
      <c r="AC620" s="84"/>
      <c r="AD620" s="76"/>
      <c r="AE620" s="76"/>
      <c r="AF620" s="76"/>
      <c r="AG620" s="76"/>
      <c r="AH620" s="76"/>
      <c r="AI620" s="76"/>
      <c r="AJ620" s="76"/>
      <c r="AK620" s="76"/>
      <c r="AL620" s="76"/>
      <c r="AM620" s="76"/>
      <c r="AN620" s="76"/>
      <c r="AO620" s="76"/>
      <c r="AP620" s="76"/>
      <c r="AQ620" s="76"/>
      <c r="AR620" s="76"/>
      <c r="AS620" s="76"/>
      <c r="AT620" s="76"/>
      <c r="AU620" s="76"/>
      <c r="AV620" s="76"/>
      <c r="AW620" s="76"/>
      <c r="AX620" s="76"/>
    </row>
    <row r="621" ht="15.75" customHeight="1">
      <c r="A621" s="146" t="s">
        <v>237</v>
      </c>
      <c r="B621" s="147" t="s">
        <v>3969</v>
      </c>
      <c r="C621" s="31" t="s">
        <v>5794</v>
      </c>
      <c r="D621" s="31" t="s">
        <v>5795</v>
      </c>
      <c r="E621" s="31" t="s">
        <v>5796</v>
      </c>
      <c r="F621" s="31"/>
      <c r="G621" s="31"/>
      <c r="H621" s="31"/>
      <c r="I621" s="175"/>
      <c r="J621" s="175"/>
      <c r="K621" s="176" t="s">
        <v>5775</v>
      </c>
      <c r="L621" s="176"/>
      <c r="M621" s="175"/>
      <c r="N621" s="175"/>
      <c r="O621" s="175" t="s">
        <v>5797</v>
      </c>
      <c r="P621" s="175"/>
      <c r="Q621" s="175" t="s">
        <v>166</v>
      </c>
      <c r="R621" s="175"/>
      <c r="S621" s="175"/>
      <c r="T621" s="175"/>
      <c r="U621" s="175"/>
      <c r="V621" s="175"/>
      <c r="W621" s="175"/>
      <c r="X621" s="175"/>
      <c r="Y621" s="175"/>
      <c r="Z621" s="175"/>
      <c r="AA621" s="175"/>
      <c r="AB621" s="175"/>
      <c r="AC621" s="175"/>
      <c r="AD621" s="76"/>
      <c r="AE621" s="76"/>
      <c r="AF621" s="76"/>
      <c r="AG621" s="76"/>
      <c r="AH621" s="76"/>
      <c r="AI621" s="76"/>
      <c r="AJ621" s="76"/>
      <c r="AK621" s="76"/>
      <c r="AL621" s="76"/>
      <c r="AM621" s="76"/>
      <c r="AN621" s="76"/>
      <c r="AO621" s="76"/>
      <c r="AP621" s="76"/>
      <c r="AQ621" s="76"/>
      <c r="AR621" s="76"/>
      <c r="AS621" s="76"/>
      <c r="AT621" s="76"/>
      <c r="AU621" s="76"/>
      <c r="AV621" s="76"/>
      <c r="AW621" s="76"/>
      <c r="AX621" s="76"/>
    </row>
    <row r="622" ht="15.75" customHeight="1">
      <c r="A622" s="146" t="s">
        <v>237</v>
      </c>
      <c r="B622" s="147" t="s">
        <v>3973</v>
      </c>
      <c r="C622" s="31" t="s">
        <v>5798</v>
      </c>
      <c r="D622" s="31" t="s">
        <v>5799</v>
      </c>
      <c r="E622" s="31" t="s">
        <v>5800</v>
      </c>
      <c r="F622" s="31"/>
      <c r="G622" s="31"/>
      <c r="H622" s="31"/>
      <c r="I622" s="175"/>
      <c r="J622" s="175"/>
      <c r="K622" s="176"/>
      <c r="L622" s="176"/>
      <c r="M622" s="175"/>
      <c r="N622" s="175"/>
      <c r="O622" s="175" t="s">
        <v>5797</v>
      </c>
      <c r="P622" s="175"/>
      <c r="Q622" s="175" t="s">
        <v>166</v>
      </c>
      <c r="R622" s="175"/>
      <c r="S622" s="175"/>
      <c r="T622" s="175"/>
      <c r="U622" s="175"/>
      <c r="V622" s="175"/>
      <c r="W622" s="175"/>
      <c r="X622" s="175"/>
      <c r="Y622" s="175"/>
      <c r="Z622" s="175"/>
      <c r="AA622" s="175"/>
      <c r="AB622" s="175"/>
      <c r="AC622" s="175"/>
      <c r="AD622" s="76"/>
      <c r="AE622" s="76"/>
      <c r="AF622" s="76"/>
      <c r="AG622" s="76"/>
      <c r="AH622" s="76"/>
      <c r="AI622" s="76"/>
      <c r="AJ622" s="76"/>
      <c r="AK622" s="76"/>
      <c r="AL622" s="76"/>
      <c r="AM622" s="76"/>
      <c r="AN622" s="76"/>
      <c r="AO622" s="76"/>
      <c r="AP622" s="76"/>
      <c r="AQ622" s="76"/>
      <c r="AR622" s="76"/>
      <c r="AS622" s="76"/>
      <c r="AT622" s="76"/>
      <c r="AU622" s="76"/>
      <c r="AV622" s="76"/>
      <c r="AW622" s="76"/>
      <c r="AX622" s="76"/>
    </row>
    <row r="623" ht="15.75" customHeight="1">
      <c r="A623" s="126" t="s">
        <v>42</v>
      </c>
      <c r="B623" s="127" t="s">
        <v>3977</v>
      </c>
      <c r="C623" s="31" t="s">
        <v>5801</v>
      </c>
      <c r="D623" s="31" t="s">
        <v>5802</v>
      </c>
      <c r="E623" s="31" t="s">
        <v>5802</v>
      </c>
      <c r="F623" s="31"/>
      <c r="G623" s="31"/>
      <c r="H623" s="31"/>
      <c r="I623" s="154"/>
      <c r="J623" s="154"/>
      <c r="K623" s="154"/>
      <c r="L623" s="154"/>
      <c r="M623" s="154"/>
      <c r="N623" s="154"/>
      <c r="O623" s="154"/>
      <c r="P623" s="154"/>
      <c r="Q623" s="154"/>
      <c r="R623" s="154"/>
      <c r="S623" s="154"/>
      <c r="T623" s="154"/>
      <c r="U623" s="154"/>
      <c r="V623" s="154"/>
      <c r="W623" s="154"/>
      <c r="X623" s="154"/>
      <c r="Y623" s="154"/>
      <c r="Z623" s="154"/>
      <c r="AA623" s="154"/>
      <c r="AB623" s="154"/>
      <c r="AC623" s="154"/>
      <c r="AD623" s="76"/>
      <c r="AE623" s="76"/>
      <c r="AF623" s="76"/>
      <c r="AG623" s="76"/>
      <c r="AH623" s="76"/>
      <c r="AI623" s="76"/>
      <c r="AJ623" s="76"/>
      <c r="AK623" s="76"/>
      <c r="AL623" s="76"/>
      <c r="AM623" s="76"/>
      <c r="AN623" s="76"/>
      <c r="AO623" s="76"/>
      <c r="AP623" s="76"/>
      <c r="AQ623" s="76"/>
      <c r="AR623" s="76"/>
      <c r="AS623" s="76"/>
      <c r="AT623" s="76"/>
      <c r="AU623" s="76"/>
      <c r="AV623" s="76"/>
      <c r="AW623" s="76"/>
      <c r="AX623" s="76"/>
    </row>
    <row r="624" ht="15.75" customHeight="1">
      <c r="A624" s="81" t="s">
        <v>338</v>
      </c>
      <c r="B624" s="142" t="s">
        <v>3979</v>
      </c>
      <c r="C624" s="31" t="s">
        <v>5803</v>
      </c>
      <c r="D624" s="31" t="s">
        <v>5804</v>
      </c>
      <c r="E624" s="31" t="s">
        <v>5805</v>
      </c>
      <c r="F624" s="31"/>
      <c r="G624" s="31"/>
      <c r="H624" s="31"/>
      <c r="I624" s="84"/>
      <c r="J624" s="159"/>
      <c r="K624" s="84"/>
      <c r="L624" s="84"/>
      <c r="M624" s="84"/>
      <c r="N624" s="84"/>
      <c r="O624" s="84"/>
      <c r="P624" s="84"/>
      <c r="Q624" s="84" t="s">
        <v>166</v>
      </c>
      <c r="R624" s="84"/>
      <c r="S624" s="84"/>
      <c r="T624" s="84"/>
      <c r="U624" s="84"/>
      <c r="V624" s="84"/>
      <c r="W624" s="84"/>
      <c r="X624" s="84"/>
      <c r="Y624" s="84"/>
      <c r="Z624" s="84"/>
      <c r="AA624" s="84"/>
      <c r="AB624" s="84"/>
      <c r="AC624" s="84"/>
      <c r="AD624" s="76"/>
      <c r="AE624" s="76"/>
      <c r="AF624" s="76"/>
      <c r="AG624" s="76"/>
      <c r="AH624" s="76"/>
      <c r="AI624" s="76"/>
      <c r="AJ624" s="76"/>
      <c r="AK624" s="76"/>
      <c r="AL624" s="76"/>
      <c r="AM624" s="76"/>
      <c r="AN624" s="76"/>
      <c r="AO624" s="76"/>
      <c r="AP624" s="76"/>
      <c r="AQ624" s="76"/>
      <c r="AR624" s="76"/>
      <c r="AS624" s="76"/>
      <c r="AT624" s="76"/>
      <c r="AU624" s="76"/>
      <c r="AV624" s="76"/>
      <c r="AW624" s="76"/>
      <c r="AX624" s="76"/>
    </row>
    <row r="625" ht="15.75" customHeight="1">
      <c r="A625" s="146" t="s">
        <v>237</v>
      </c>
      <c r="B625" s="147" t="s">
        <v>3983</v>
      </c>
      <c r="C625" s="31" t="s">
        <v>5806</v>
      </c>
      <c r="D625" s="31" t="s">
        <v>5807</v>
      </c>
      <c r="E625" s="31" t="s">
        <v>5808</v>
      </c>
      <c r="F625" s="31"/>
      <c r="G625" s="31"/>
      <c r="H625" s="31"/>
      <c r="I625" s="175"/>
      <c r="J625" s="175"/>
      <c r="K625" s="176"/>
      <c r="L625" s="176"/>
      <c r="M625" s="175"/>
      <c r="N625" s="175"/>
      <c r="O625" s="175" t="s">
        <v>5809</v>
      </c>
      <c r="P625" s="175"/>
      <c r="Q625" s="175" t="s">
        <v>166</v>
      </c>
      <c r="R625" s="175"/>
      <c r="S625" s="175"/>
      <c r="T625" s="175"/>
      <c r="U625" s="175"/>
      <c r="V625" s="175"/>
      <c r="W625" s="175"/>
      <c r="X625" s="175"/>
      <c r="Y625" s="175"/>
      <c r="Z625" s="175"/>
      <c r="AA625" s="175"/>
      <c r="AB625" s="175"/>
      <c r="AC625" s="175"/>
      <c r="AD625" s="76"/>
      <c r="AE625" s="76"/>
      <c r="AF625" s="76"/>
      <c r="AG625" s="76"/>
      <c r="AH625" s="76"/>
      <c r="AI625" s="76"/>
      <c r="AJ625" s="76"/>
      <c r="AK625" s="76"/>
      <c r="AL625" s="76"/>
      <c r="AM625" s="76"/>
      <c r="AN625" s="76"/>
      <c r="AO625" s="76"/>
      <c r="AP625" s="76"/>
      <c r="AQ625" s="76"/>
      <c r="AR625" s="76"/>
      <c r="AS625" s="76"/>
      <c r="AT625" s="76"/>
      <c r="AU625" s="76"/>
      <c r="AV625" s="76"/>
      <c r="AW625" s="76"/>
      <c r="AX625" s="76"/>
    </row>
    <row r="626" ht="15.75" customHeight="1">
      <c r="A626" s="146" t="s">
        <v>237</v>
      </c>
      <c r="B626" s="147" t="s">
        <v>3987</v>
      </c>
      <c r="C626" s="31" t="s">
        <v>5810</v>
      </c>
      <c r="D626" s="31" t="s">
        <v>5811</v>
      </c>
      <c r="E626" s="31" t="s">
        <v>5812</v>
      </c>
      <c r="F626" s="31"/>
      <c r="G626" s="31"/>
      <c r="H626" s="31"/>
      <c r="I626" s="175"/>
      <c r="J626" s="175"/>
      <c r="K626" s="176"/>
      <c r="L626" s="176"/>
      <c r="M626" s="175"/>
      <c r="N626" s="175"/>
      <c r="O626" s="175"/>
      <c r="P626" s="175"/>
      <c r="Q626" s="175" t="s">
        <v>166</v>
      </c>
      <c r="R626" s="175"/>
      <c r="S626" s="175"/>
      <c r="T626" s="175"/>
      <c r="U626" s="175"/>
      <c r="V626" s="175"/>
      <c r="W626" s="175"/>
      <c r="X626" s="175"/>
      <c r="Y626" s="175"/>
      <c r="Z626" s="175"/>
      <c r="AA626" s="175"/>
      <c r="AB626" s="175"/>
      <c r="AC626" s="175"/>
      <c r="AD626" s="76"/>
      <c r="AE626" s="76"/>
      <c r="AF626" s="76"/>
      <c r="AG626" s="76"/>
      <c r="AH626" s="76"/>
      <c r="AI626" s="76"/>
      <c r="AJ626" s="76"/>
      <c r="AK626" s="76"/>
      <c r="AL626" s="76"/>
      <c r="AM626" s="76"/>
      <c r="AN626" s="76"/>
      <c r="AO626" s="76"/>
      <c r="AP626" s="76"/>
      <c r="AQ626" s="76"/>
      <c r="AR626" s="76"/>
      <c r="AS626" s="76"/>
      <c r="AT626" s="76"/>
      <c r="AU626" s="76"/>
      <c r="AV626" s="76"/>
      <c r="AW626" s="76"/>
      <c r="AX626" s="76"/>
    </row>
    <row r="627" ht="15.75" customHeight="1">
      <c r="A627" s="104" t="s">
        <v>139</v>
      </c>
      <c r="B627" s="141" t="s">
        <v>3991</v>
      </c>
      <c r="C627" s="31"/>
      <c r="D627" s="31"/>
      <c r="E627" s="31"/>
      <c r="F627" s="108"/>
      <c r="G627" s="108"/>
      <c r="H627" s="108"/>
      <c r="I627" s="108"/>
      <c r="J627" s="108"/>
      <c r="K627" s="108"/>
      <c r="L627" s="108"/>
      <c r="M627" s="108"/>
      <c r="N627" s="108"/>
      <c r="O627" s="108"/>
      <c r="P627" s="108"/>
      <c r="Q627" s="108"/>
      <c r="R627" s="108"/>
      <c r="S627" s="108"/>
      <c r="T627" s="281" t="s">
        <v>145</v>
      </c>
      <c r="U627" s="108"/>
      <c r="V627" s="108"/>
      <c r="W627" s="108"/>
      <c r="X627" s="108"/>
      <c r="Y627" s="108"/>
      <c r="Z627" s="108"/>
      <c r="AA627" s="108"/>
      <c r="AB627" s="108"/>
      <c r="AC627" s="108"/>
      <c r="AD627" s="76"/>
      <c r="AE627" s="76"/>
      <c r="AF627" s="76"/>
      <c r="AG627" s="76"/>
      <c r="AH627" s="76"/>
      <c r="AI627" s="76"/>
      <c r="AJ627" s="76"/>
      <c r="AK627" s="76"/>
      <c r="AL627" s="76"/>
      <c r="AM627" s="76"/>
      <c r="AN627" s="76"/>
      <c r="AO627" s="76"/>
      <c r="AP627" s="76"/>
      <c r="AQ627" s="76"/>
      <c r="AR627" s="76"/>
      <c r="AS627" s="76"/>
      <c r="AT627" s="76"/>
      <c r="AU627" s="76"/>
      <c r="AV627" s="76"/>
      <c r="AW627" s="76"/>
      <c r="AX627" s="76"/>
    </row>
    <row r="628" ht="15.75" customHeight="1">
      <c r="A628" s="67" t="s">
        <v>108</v>
      </c>
      <c r="B628" s="69" t="s">
        <v>3995</v>
      </c>
      <c r="C628" s="31"/>
      <c r="D628" s="31"/>
      <c r="E628" s="31"/>
      <c r="F628" s="70"/>
      <c r="G628" s="70"/>
      <c r="H628" s="70"/>
      <c r="I628" s="71"/>
      <c r="J628" s="71"/>
      <c r="K628" s="70"/>
      <c r="L628" s="71"/>
      <c r="M628" s="71"/>
      <c r="N628" s="71"/>
      <c r="O628" s="71"/>
      <c r="P628" s="70"/>
      <c r="Q628" s="70"/>
      <c r="R628" s="70"/>
      <c r="S628" s="70"/>
      <c r="T628" s="67" t="s">
        <v>5813</v>
      </c>
      <c r="U628" s="70"/>
      <c r="V628" s="70"/>
      <c r="W628" s="70"/>
      <c r="X628" s="70"/>
      <c r="Y628" s="70"/>
      <c r="Z628" s="70"/>
      <c r="AA628" s="70"/>
      <c r="AB628" s="70"/>
      <c r="AC628" s="70"/>
      <c r="AD628" s="76"/>
      <c r="AE628" s="76"/>
      <c r="AF628" s="76"/>
      <c r="AG628" s="76"/>
      <c r="AH628" s="76"/>
      <c r="AI628" s="76"/>
      <c r="AJ628" s="76"/>
      <c r="AK628" s="76"/>
      <c r="AL628" s="76"/>
      <c r="AM628" s="76"/>
      <c r="AN628" s="76"/>
      <c r="AO628" s="76"/>
      <c r="AP628" s="76"/>
      <c r="AQ628" s="76"/>
      <c r="AR628" s="76"/>
      <c r="AS628" s="76"/>
      <c r="AT628" s="76"/>
      <c r="AU628" s="76"/>
      <c r="AV628" s="76"/>
      <c r="AW628" s="76"/>
      <c r="AX628" s="76"/>
    </row>
    <row r="629" ht="15.75" customHeight="1">
      <c r="A629" s="169"/>
      <c r="B629" s="169"/>
      <c r="C629" s="31"/>
      <c r="D629" s="31"/>
      <c r="E629" s="31"/>
      <c r="F629" s="76"/>
      <c r="G629" s="76"/>
      <c r="H629" s="76"/>
      <c r="I629" s="76"/>
      <c r="J629" s="76"/>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c r="AM629" s="76"/>
      <c r="AN629" s="76"/>
      <c r="AO629" s="76"/>
      <c r="AP629" s="76"/>
      <c r="AQ629" s="76"/>
      <c r="AR629" s="76"/>
      <c r="AS629" s="76"/>
      <c r="AT629" s="76"/>
      <c r="AU629" s="76"/>
      <c r="AV629" s="76"/>
      <c r="AW629" s="76"/>
      <c r="AX629" s="76"/>
    </row>
    <row r="630" ht="15.75" customHeight="1">
      <c r="A630" s="104" t="s">
        <v>139</v>
      </c>
      <c r="B630" s="141" t="s">
        <v>4003</v>
      </c>
      <c r="C630" s="31"/>
      <c r="D630" s="31"/>
      <c r="E630" s="31"/>
      <c r="F630" s="108"/>
      <c r="G630" s="108"/>
      <c r="H630" s="108"/>
      <c r="I630" s="108"/>
      <c r="J630" s="108"/>
      <c r="K630" s="108"/>
      <c r="L630" s="108"/>
      <c r="M630" s="108"/>
      <c r="N630" s="108"/>
      <c r="O630" s="108"/>
      <c r="P630" s="108"/>
      <c r="Q630" s="108"/>
      <c r="R630" s="108"/>
      <c r="S630" s="108"/>
      <c r="T630" s="281" t="s">
        <v>145</v>
      </c>
      <c r="U630" s="108"/>
      <c r="V630" s="108"/>
      <c r="W630" s="108"/>
      <c r="X630" s="108"/>
      <c r="Y630" s="108"/>
      <c r="Z630" s="108"/>
      <c r="AA630" s="108"/>
      <c r="AB630" s="108"/>
      <c r="AC630" s="108"/>
      <c r="AD630" s="76"/>
      <c r="AE630" s="76"/>
      <c r="AF630" s="76"/>
      <c r="AG630" s="76"/>
      <c r="AH630" s="76"/>
      <c r="AI630" s="76"/>
      <c r="AJ630" s="76"/>
      <c r="AK630" s="76"/>
      <c r="AL630" s="76"/>
      <c r="AM630" s="76"/>
      <c r="AN630" s="76"/>
      <c r="AO630" s="76"/>
      <c r="AP630" s="76"/>
      <c r="AQ630" s="76"/>
      <c r="AR630" s="76"/>
      <c r="AS630" s="76"/>
      <c r="AT630" s="76"/>
      <c r="AU630" s="76"/>
      <c r="AV630" s="76"/>
      <c r="AW630" s="76"/>
      <c r="AX630" s="76"/>
    </row>
    <row r="631" ht="15.75" customHeight="1">
      <c r="A631" s="81" t="s">
        <v>338</v>
      </c>
      <c r="B631" s="142" t="s">
        <v>4010</v>
      </c>
      <c r="C631" s="31" t="s">
        <v>5814</v>
      </c>
      <c r="D631" s="31" t="s">
        <v>5815</v>
      </c>
      <c r="E631" s="31" t="s">
        <v>5816</v>
      </c>
      <c r="F631" s="31"/>
      <c r="G631" s="31"/>
      <c r="H631" s="31"/>
      <c r="I631" s="84"/>
      <c r="J631" s="159"/>
      <c r="K631" s="84"/>
      <c r="L631" s="84"/>
      <c r="M631" s="84"/>
      <c r="N631" s="84"/>
      <c r="O631" s="84"/>
      <c r="P631" s="84"/>
      <c r="Q631" s="84" t="s">
        <v>166</v>
      </c>
      <c r="R631" s="84"/>
      <c r="S631" s="84"/>
      <c r="T631" s="84"/>
      <c r="U631" s="84"/>
      <c r="V631" s="84"/>
      <c r="W631" s="84"/>
      <c r="X631" s="84"/>
      <c r="Y631" s="84"/>
      <c r="Z631" s="84"/>
      <c r="AA631" s="84"/>
      <c r="AB631" s="84"/>
      <c r="AC631" s="84"/>
      <c r="AD631" s="76"/>
      <c r="AE631" s="76"/>
      <c r="AF631" s="76"/>
      <c r="AG631" s="76"/>
      <c r="AH631" s="76"/>
      <c r="AI631" s="76"/>
      <c r="AJ631" s="76"/>
      <c r="AK631" s="76"/>
      <c r="AL631" s="76"/>
      <c r="AM631" s="76"/>
      <c r="AN631" s="76"/>
      <c r="AO631" s="76"/>
      <c r="AP631" s="76"/>
      <c r="AQ631" s="76"/>
      <c r="AR631" s="76"/>
      <c r="AS631" s="76"/>
      <c r="AT631" s="76"/>
      <c r="AU631" s="76"/>
      <c r="AV631" s="76"/>
      <c r="AW631" s="76"/>
      <c r="AX631" s="76"/>
    </row>
    <row r="632" ht="15.75" customHeight="1">
      <c r="A632" s="81" t="s">
        <v>4017</v>
      </c>
      <c r="B632" s="142" t="s">
        <v>4018</v>
      </c>
      <c r="C632" s="31" t="s">
        <v>5817</v>
      </c>
      <c r="D632" s="31" t="s">
        <v>5818</v>
      </c>
      <c r="E632" s="31" t="s">
        <v>5819</v>
      </c>
      <c r="F632" s="31" t="s">
        <v>1655</v>
      </c>
      <c r="G632" s="31" t="s">
        <v>4935</v>
      </c>
      <c r="H632" s="31" t="s">
        <v>1659</v>
      </c>
      <c r="I632" s="84"/>
      <c r="J632" s="159"/>
      <c r="K632" s="84"/>
      <c r="L632" s="84"/>
      <c r="M632" s="84"/>
      <c r="N632" s="84"/>
      <c r="O632" s="84" t="s">
        <v>5820</v>
      </c>
      <c r="P632" s="84"/>
      <c r="Q632" s="84" t="s">
        <v>166</v>
      </c>
      <c r="R632" s="84"/>
      <c r="S632" s="84"/>
      <c r="T632" s="84"/>
      <c r="U632" s="84"/>
      <c r="V632" s="84"/>
      <c r="W632" s="84"/>
      <c r="X632" s="84"/>
      <c r="Y632" s="84"/>
      <c r="Z632" s="84"/>
      <c r="AA632" s="84"/>
      <c r="AB632" s="84"/>
      <c r="AC632" s="84"/>
      <c r="AD632" s="76"/>
      <c r="AE632" s="76"/>
      <c r="AF632" s="76"/>
      <c r="AG632" s="76"/>
      <c r="AH632" s="76"/>
      <c r="AI632" s="76"/>
      <c r="AJ632" s="76"/>
      <c r="AK632" s="76"/>
      <c r="AL632" s="76"/>
      <c r="AM632" s="76"/>
      <c r="AN632" s="76"/>
      <c r="AO632" s="76"/>
      <c r="AP632" s="76"/>
      <c r="AQ632" s="76"/>
      <c r="AR632" s="76"/>
      <c r="AS632" s="76"/>
      <c r="AT632" s="76"/>
      <c r="AU632" s="76"/>
      <c r="AV632" s="76"/>
      <c r="AW632" s="76"/>
      <c r="AX632" s="76"/>
    </row>
    <row r="633" ht="15.75" customHeight="1">
      <c r="A633" s="133" t="s">
        <v>214</v>
      </c>
      <c r="B633" s="143" t="s">
        <v>4023</v>
      </c>
      <c r="C633" s="31" t="s">
        <v>5821</v>
      </c>
      <c r="D633" s="31" t="s">
        <v>5822</v>
      </c>
      <c r="E633" s="31" t="s">
        <v>5823</v>
      </c>
      <c r="F633" s="31"/>
      <c r="G633" s="31"/>
      <c r="H633" s="31"/>
      <c r="I633" s="162"/>
      <c r="J633" s="163"/>
      <c r="K633" s="162"/>
      <c r="L633" s="162"/>
      <c r="M633" s="162"/>
      <c r="N633" s="162"/>
      <c r="O633" s="162" t="s">
        <v>5824</v>
      </c>
      <c r="P633" s="162"/>
      <c r="Q633" s="162"/>
      <c r="R633" s="162"/>
      <c r="S633" s="162"/>
      <c r="T633" s="162"/>
      <c r="U633" s="162"/>
      <c r="V633" s="162"/>
      <c r="W633" s="162"/>
      <c r="X633" s="162"/>
      <c r="Y633" s="162"/>
      <c r="Z633" s="162"/>
      <c r="AA633" s="162"/>
      <c r="AB633" s="162"/>
      <c r="AC633" s="162"/>
      <c r="AD633" s="76"/>
      <c r="AE633" s="76"/>
      <c r="AF633" s="76"/>
      <c r="AG633" s="76"/>
      <c r="AH633" s="76"/>
      <c r="AI633" s="76"/>
      <c r="AJ633" s="76"/>
      <c r="AK633" s="76"/>
      <c r="AL633" s="76"/>
      <c r="AM633" s="76"/>
      <c r="AN633" s="76"/>
      <c r="AO633" s="76"/>
      <c r="AP633" s="76"/>
      <c r="AQ633" s="76"/>
      <c r="AR633" s="76"/>
      <c r="AS633" s="76"/>
      <c r="AT633" s="76"/>
      <c r="AU633" s="76"/>
      <c r="AV633" s="76"/>
      <c r="AW633" s="76"/>
      <c r="AX633" s="76"/>
    </row>
    <row r="634" ht="15.75" customHeight="1">
      <c r="A634" s="104" t="s">
        <v>108</v>
      </c>
      <c r="B634" s="105" t="s">
        <v>4029</v>
      </c>
      <c r="C634" s="31"/>
      <c r="D634" s="31"/>
      <c r="E634" s="31"/>
      <c r="F634" s="108"/>
      <c r="G634" s="108"/>
      <c r="H634" s="108"/>
      <c r="I634" s="108"/>
      <c r="J634" s="108"/>
      <c r="K634" s="108"/>
      <c r="L634" s="108"/>
      <c r="M634" s="108"/>
      <c r="N634" s="108"/>
      <c r="O634" s="108"/>
      <c r="P634" s="108"/>
      <c r="Q634" s="108"/>
      <c r="R634" s="108"/>
      <c r="S634" s="108"/>
      <c r="T634" s="121" t="s">
        <v>5825</v>
      </c>
      <c r="U634" s="108"/>
      <c r="V634" s="108"/>
      <c r="W634" s="108"/>
      <c r="X634" s="108"/>
      <c r="Y634" s="108"/>
      <c r="Z634" s="108"/>
      <c r="AA634" s="108"/>
      <c r="AB634" s="108"/>
      <c r="AC634" s="108"/>
      <c r="AD634" s="76"/>
      <c r="AE634" s="76"/>
      <c r="AF634" s="76"/>
      <c r="AG634" s="76"/>
      <c r="AH634" s="76"/>
      <c r="AI634" s="76"/>
      <c r="AJ634" s="76"/>
      <c r="AK634" s="76"/>
      <c r="AL634" s="76"/>
      <c r="AM634" s="76"/>
      <c r="AN634" s="76"/>
      <c r="AO634" s="76"/>
      <c r="AP634" s="76"/>
      <c r="AQ634" s="76"/>
      <c r="AR634" s="76"/>
      <c r="AS634" s="76"/>
      <c r="AT634" s="76"/>
      <c r="AU634" s="76"/>
      <c r="AV634" s="76"/>
      <c r="AW634" s="76"/>
      <c r="AX634" s="76"/>
    </row>
    <row r="635" ht="15.75" customHeight="1">
      <c r="A635" s="81" t="s">
        <v>338</v>
      </c>
      <c r="B635" s="142" t="s">
        <v>4030</v>
      </c>
      <c r="C635" s="31" t="s">
        <v>5826</v>
      </c>
      <c r="D635" s="31" t="s">
        <v>5827</v>
      </c>
      <c r="E635" s="31" t="s">
        <v>5828</v>
      </c>
      <c r="F635" s="31"/>
      <c r="G635" s="31"/>
      <c r="H635" s="31"/>
      <c r="I635" s="84"/>
      <c r="J635" s="159"/>
      <c r="K635" s="84"/>
      <c r="L635" s="84"/>
      <c r="M635" s="84"/>
      <c r="N635" s="84"/>
      <c r="O635" s="84" t="s">
        <v>5820</v>
      </c>
      <c r="P635" s="84"/>
      <c r="Q635" s="84" t="s">
        <v>166</v>
      </c>
      <c r="R635" s="84"/>
      <c r="S635" s="84"/>
      <c r="T635" s="84"/>
      <c r="U635" s="84"/>
      <c r="V635" s="84"/>
      <c r="W635" s="84"/>
      <c r="X635" s="84"/>
      <c r="Y635" s="84"/>
      <c r="Z635" s="84"/>
      <c r="AA635" s="84"/>
      <c r="AB635" s="84"/>
      <c r="AC635" s="84"/>
      <c r="AD635" s="76"/>
      <c r="AE635" s="76"/>
      <c r="AF635" s="76"/>
      <c r="AG635" s="76"/>
      <c r="AH635" s="76"/>
      <c r="AI635" s="76"/>
      <c r="AJ635" s="76"/>
      <c r="AK635" s="76"/>
      <c r="AL635" s="76"/>
      <c r="AM635" s="76"/>
      <c r="AN635" s="76"/>
      <c r="AO635" s="76"/>
      <c r="AP635" s="76"/>
      <c r="AQ635" s="76"/>
      <c r="AR635" s="76"/>
      <c r="AS635" s="76"/>
      <c r="AT635" s="76"/>
      <c r="AU635" s="76"/>
      <c r="AV635" s="76"/>
      <c r="AW635" s="76"/>
      <c r="AX635" s="76"/>
    </row>
    <row r="636" ht="15.75" customHeight="1">
      <c r="A636" s="146" t="s">
        <v>237</v>
      </c>
      <c r="B636" s="147" t="s">
        <v>4037</v>
      </c>
      <c r="C636" s="31" t="s">
        <v>5829</v>
      </c>
      <c r="D636" s="31" t="s">
        <v>5830</v>
      </c>
      <c r="E636" s="31" t="s">
        <v>5831</v>
      </c>
      <c r="F636" s="31"/>
      <c r="G636" s="31"/>
      <c r="H636" s="31"/>
      <c r="I636" s="175"/>
      <c r="J636" s="175"/>
      <c r="K636" s="176"/>
      <c r="L636" s="176"/>
      <c r="M636" s="175"/>
      <c r="N636" s="175"/>
      <c r="O636" s="175" t="s">
        <v>5820</v>
      </c>
      <c r="P636" s="175"/>
      <c r="Q636" s="175" t="s">
        <v>166</v>
      </c>
      <c r="R636" s="175"/>
      <c r="S636" s="175"/>
      <c r="T636" s="175"/>
      <c r="U636" s="175"/>
      <c r="V636" s="175"/>
      <c r="W636" s="175"/>
      <c r="X636" s="175"/>
      <c r="Y636" s="175"/>
      <c r="Z636" s="175"/>
      <c r="AA636" s="175"/>
      <c r="AB636" s="175"/>
      <c r="AC636" s="175"/>
      <c r="AD636" s="76"/>
      <c r="AE636" s="76"/>
      <c r="AF636" s="76"/>
      <c r="AG636" s="76"/>
      <c r="AH636" s="76"/>
      <c r="AI636" s="76"/>
      <c r="AJ636" s="76"/>
      <c r="AK636" s="76"/>
      <c r="AL636" s="76"/>
      <c r="AM636" s="76"/>
      <c r="AN636" s="76"/>
      <c r="AO636" s="76"/>
      <c r="AP636" s="76"/>
      <c r="AQ636" s="76"/>
      <c r="AR636" s="76"/>
      <c r="AS636" s="76"/>
      <c r="AT636" s="76"/>
      <c r="AU636" s="76"/>
      <c r="AV636" s="76"/>
      <c r="AW636" s="76"/>
      <c r="AX636" s="76"/>
    </row>
    <row r="637" ht="15.75" customHeight="1">
      <c r="A637" s="146" t="s">
        <v>237</v>
      </c>
      <c r="B637" s="147" t="s">
        <v>4044</v>
      </c>
      <c r="C637" s="31" t="s">
        <v>5832</v>
      </c>
      <c r="D637" s="31" t="s">
        <v>5833</v>
      </c>
      <c r="E637" s="31" t="s">
        <v>5834</v>
      </c>
      <c r="F637" s="31"/>
      <c r="G637" s="31"/>
      <c r="H637" s="31"/>
      <c r="I637" s="175"/>
      <c r="J637" s="175"/>
      <c r="K637" s="176"/>
      <c r="L637" s="176"/>
      <c r="M637" s="175"/>
      <c r="N637" s="175"/>
      <c r="O637" s="175" t="s">
        <v>5835</v>
      </c>
      <c r="P637" s="175"/>
      <c r="Q637" s="175" t="s">
        <v>166</v>
      </c>
      <c r="R637" s="175"/>
      <c r="S637" s="175"/>
      <c r="T637" s="175"/>
      <c r="U637" s="175"/>
      <c r="V637" s="175"/>
      <c r="W637" s="175"/>
      <c r="X637" s="175"/>
      <c r="Y637" s="175"/>
      <c r="Z637" s="175"/>
      <c r="AA637" s="175"/>
      <c r="AB637" s="175"/>
      <c r="AC637" s="175"/>
      <c r="AD637" s="76"/>
      <c r="AE637" s="76"/>
      <c r="AF637" s="76"/>
      <c r="AG637" s="76"/>
      <c r="AH637" s="76"/>
      <c r="AI637" s="76"/>
      <c r="AJ637" s="76"/>
      <c r="AK637" s="76"/>
      <c r="AL637" s="76"/>
      <c r="AM637" s="76"/>
      <c r="AN637" s="76"/>
      <c r="AO637" s="76"/>
      <c r="AP637" s="76"/>
      <c r="AQ637" s="76"/>
      <c r="AR637" s="76"/>
      <c r="AS637" s="76"/>
      <c r="AT637" s="76"/>
      <c r="AU637" s="76"/>
      <c r="AV637" s="76"/>
      <c r="AW637" s="76"/>
      <c r="AX637" s="76"/>
    </row>
    <row r="638">
      <c r="A638" s="256"/>
      <c r="B638" s="256"/>
      <c r="C638" s="31"/>
      <c r="D638" s="31"/>
      <c r="E638" s="31"/>
      <c r="F638" s="256"/>
      <c r="G638" s="256"/>
      <c r="H638" s="256"/>
      <c r="I638" s="256"/>
      <c r="J638" s="256"/>
      <c r="K638" s="256"/>
      <c r="L638" s="256"/>
      <c r="M638" s="256"/>
      <c r="N638" s="256"/>
      <c r="O638" s="256"/>
      <c r="P638" s="256"/>
      <c r="Q638" s="256"/>
      <c r="R638" s="256"/>
      <c r="S638" s="256"/>
      <c r="T638" s="256"/>
      <c r="U638" s="256"/>
      <c r="V638" s="256"/>
      <c r="W638" s="256"/>
      <c r="X638" s="256"/>
      <c r="Y638" s="256"/>
      <c r="Z638" s="256"/>
      <c r="AA638" s="256"/>
      <c r="AB638" s="256"/>
      <c r="AC638" s="256"/>
      <c r="AD638" s="256"/>
      <c r="AE638" s="256"/>
      <c r="AF638" s="256"/>
      <c r="AG638" s="256"/>
      <c r="AH638" s="256"/>
      <c r="AI638" s="256"/>
      <c r="AJ638" s="256"/>
      <c r="AK638" s="256"/>
      <c r="AL638" s="256"/>
      <c r="AM638" s="256"/>
      <c r="AN638" s="256"/>
      <c r="AO638" s="256"/>
      <c r="AP638" s="256"/>
      <c r="AQ638" s="256"/>
      <c r="AR638" s="256"/>
      <c r="AS638" s="256"/>
      <c r="AT638" s="256"/>
      <c r="AU638" s="256"/>
      <c r="AV638" s="256"/>
      <c r="AW638" s="256"/>
      <c r="AX638" s="256"/>
    </row>
    <row r="639" ht="15.75" customHeight="1">
      <c r="A639" s="144" t="s">
        <v>648</v>
      </c>
      <c r="B639" s="145" t="s">
        <v>4054</v>
      </c>
      <c r="C639" s="31" t="s">
        <v>4056</v>
      </c>
      <c r="D639" s="31"/>
      <c r="E639" s="31"/>
      <c r="F639" s="173"/>
      <c r="G639" s="173"/>
      <c r="H639" s="173"/>
      <c r="I639" s="173"/>
      <c r="J639" s="173"/>
      <c r="K639" s="173"/>
      <c r="L639" s="173"/>
      <c r="M639" s="174"/>
      <c r="N639" s="174"/>
      <c r="O639" s="174"/>
      <c r="P639" s="173"/>
      <c r="Q639" s="173"/>
      <c r="R639" s="173"/>
      <c r="S639" s="173"/>
      <c r="T639" s="173"/>
      <c r="U639" s="174" t="s">
        <v>5836</v>
      </c>
      <c r="V639" s="173"/>
      <c r="W639" s="173"/>
      <c r="X639" s="173"/>
      <c r="Y639" s="173"/>
      <c r="Z639" s="173"/>
      <c r="AA639" s="173"/>
      <c r="AB639" s="173"/>
      <c r="AC639" s="173"/>
      <c r="AD639" s="76"/>
      <c r="AE639" s="76"/>
      <c r="AF639" s="76"/>
      <c r="AG639" s="76"/>
      <c r="AH639" s="76"/>
      <c r="AI639" s="76"/>
      <c r="AJ639" s="76"/>
      <c r="AK639" s="76"/>
      <c r="AL639" s="76"/>
      <c r="AM639" s="76"/>
      <c r="AN639" s="76"/>
      <c r="AO639" s="76"/>
      <c r="AP639" s="76"/>
      <c r="AQ639" s="76"/>
      <c r="AR639" s="76"/>
      <c r="AS639" s="76"/>
      <c r="AT639" s="76"/>
      <c r="AU639" s="76"/>
      <c r="AV639" s="76"/>
      <c r="AW639" s="76"/>
      <c r="AX639" s="76"/>
    </row>
    <row r="640" ht="15.75" customHeight="1">
      <c r="A640" s="104" t="s">
        <v>108</v>
      </c>
      <c r="B640" s="105" t="s">
        <v>4068</v>
      </c>
      <c r="C640" s="31"/>
      <c r="D640" s="31"/>
      <c r="E640" s="31"/>
      <c r="F640" s="108"/>
      <c r="G640" s="108"/>
      <c r="H640" s="108"/>
      <c r="I640" s="108"/>
      <c r="J640" s="108"/>
      <c r="K640" s="108"/>
      <c r="L640" s="108"/>
      <c r="M640" s="108"/>
      <c r="N640" s="108"/>
      <c r="O640" s="108"/>
      <c r="P640" s="108"/>
      <c r="Q640" s="108"/>
      <c r="R640" s="108"/>
      <c r="S640" s="108"/>
      <c r="T640" s="121" t="s">
        <v>5837</v>
      </c>
      <c r="U640" s="108"/>
      <c r="V640" s="108"/>
      <c r="W640" s="108"/>
      <c r="X640" s="108"/>
      <c r="Y640" s="108"/>
      <c r="Z640" s="108"/>
      <c r="AA640" s="108"/>
      <c r="AB640" s="108"/>
      <c r="AC640" s="108"/>
      <c r="AD640" s="76"/>
      <c r="AE640" s="76"/>
      <c r="AF640" s="76"/>
      <c r="AG640" s="76"/>
      <c r="AH640" s="76"/>
      <c r="AI640" s="76"/>
      <c r="AJ640" s="76"/>
      <c r="AK640" s="76"/>
      <c r="AL640" s="76"/>
      <c r="AM640" s="76"/>
      <c r="AN640" s="76"/>
      <c r="AO640" s="76"/>
      <c r="AP640" s="76"/>
      <c r="AQ640" s="76"/>
      <c r="AR640" s="76"/>
      <c r="AS640" s="76"/>
      <c r="AT640" s="76"/>
      <c r="AU640" s="76"/>
      <c r="AV640" s="76"/>
      <c r="AW640" s="76"/>
      <c r="AX640" s="76"/>
    </row>
    <row r="641" ht="15.75" customHeight="1">
      <c r="A641" s="104" t="s">
        <v>108</v>
      </c>
      <c r="B641" s="105" t="s">
        <v>4075</v>
      </c>
      <c r="C641" s="31"/>
      <c r="D641" s="31"/>
      <c r="E641" s="31"/>
      <c r="F641" s="108"/>
      <c r="G641" s="108"/>
      <c r="H641" s="108"/>
      <c r="I641" s="108"/>
      <c r="J641" s="108"/>
      <c r="K641" s="108"/>
      <c r="L641" s="108"/>
      <c r="M641" s="108"/>
      <c r="N641" s="108"/>
      <c r="O641" s="108"/>
      <c r="P641" s="108"/>
      <c r="Q641" s="108"/>
      <c r="R641" s="108"/>
      <c r="S641" s="108"/>
      <c r="T641" s="121" t="s">
        <v>5838</v>
      </c>
      <c r="U641" s="108"/>
      <c r="V641" s="108"/>
      <c r="W641" s="108"/>
      <c r="X641" s="108"/>
      <c r="Y641" s="108"/>
      <c r="Z641" s="108"/>
      <c r="AA641" s="108"/>
      <c r="AB641" s="108"/>
      <c r="AC641" s="108"/>
      <c r="AD641" s="76"/>
      <c r="AE641" s="76"/>
      <c r="AF641" s="76"/>
      <c r="AG641" s="76"/>
      <c r="AH641" s="76"/>
      <c r="AI641" s="76"/>
      <c r="AJ641" s="76"/>
      <c r="AK641" s="76"/>
      <c r="AL641" s="76"/>
      <c r="AM641" s="76"/>
      <c r="AN641" s="76"/>
      <c r="AO641" s="76"/>
      <c r="AP641" s="76"/>
      <c r="AQ641" s="76"/>
      <c r="AR641" s="76"/>
      <c r="AS641" s="76"/>
      <c r="AT641" s="76"/>
      <c r="AU641" s="76"/>
      <c r="AV641" s="76"/>
      <c r="AW641" s="76"/>
      <c r="AX641" s="76"/>
    </row>
    <row r="642" ht="15.75" customHeight="1">
      <c r="A642" s="104" t="s">
        <v>108</v>
      </c>
      <c r="B642" s="105" t="s">
        <v>4082</v>
      </c>
      <c r="C642" s="31"/>
      <c r="D642" s="31"/>
      <c r="E642" s="31"/>
      <c r="F642" s="108"/>
      <c r="G642" s="108"/>
      <c r="H642" s="108"/>
      <c r="I642" s="108"/>
      <c r="J642" s="108"/>
      <c r="K642" s="108"/>
      <c r="L642" s="108"/>
      <c r="M642" s="108"/>
      <c r="N642" s="108"/>
      <c r="O642" s="108"/>
      <c r="P642" s="108"/>
      <c r="Q642" s="108"/>
      <c r="R642" s="108"/>
      <c r="S642" s="108"/>
      <c r="T642" s="121" t="s">
        <v>5839</v>
      </c>
      <c r="U642" s="108"/>
      <c r="V642" s="108"/>
      <c r="W642" s="108"/>
      <c r="X642" s="108"/>
      <c r="Y642" s="108"/>
      <c r="Z642" s="108"/>
      <c r="AA642" s="108"/>
      <c r="AB642" s="108"/>
      <c r="AC642" s="108"/>
      <c r="AD642" s="76"/>
      <c r="AE642" s="76"/>
      <c r="AF642" s="76"/>
      <c r="AG642" s="76"/>
      <c r="AH642" s="76"/>
      <c r="AI642" s="76"/>
      <c r="AJ642" s="76"/>
      <c r="AK642" s="76"/>
      <c r="AL642" s="76"/>
      <c r="AM642" s="76"/>
      <c r="AN642" s="76"/>
      <c r="AO642" s="76"/>
      <c r="AP642" s="76"/>
      <c r="AQ642" s="76"/>
      <c r="AR642" s="76"/>
      <c r="AS642" s="76"/>
      <c r="AT642" s="76"/>
      <c r="AU642" s="76"/>
      <c r="AV642" s="76"/>
      <c r="AW642" s="76"/>
      <c r="AX642" s="76"/>
    </row>
    <row r="643" ht="15.75" customHeight="1">
      <c r="A643" s="146" t="s">
        <v>237</v>
      </c>
      <c r="B643" s="147" t="s">
        <v>4086</v>
      </c>
      <c r="C643" s="31" t="s">
        <v>5840</v>
      </c>
      <c r="D643" s="31" t="s">
        <v>5841</v>
      </c>
      <c r="E643" s="31" t="s">
        <v>5842</v>
      </c>
      <c r="F643" s="31"/>
      <c r="G643" s="31"/>
      <c r="H643" s="31"/>
      <c r="I643" s="175"/>
      <c r="J643" s="175"/>
      <c r="K643" s="176" t="s">
        <v>5775</v>
      </c>
      <c r="L643" s="176"/>
      <c r="M643" s="175"/>
      <c r="N643" s="175"/>
      <c r="O643" s="175" t="s">
        <v>5843</v>
      </c>
      <c r="P643" s="175"/>
      <c r="Q643" s="175" t="s">
        <v>166</v>
      </c>
      <c r="R643" s="175"/>
      <c r="S643" s="175"/>
      <c r="T643" s="175"/>
      <c r="U643" s="175"/>
      <c r="V643" s="175"/>
      <c r="W643" s="175"/>
      <c r="X643" s="175"/>
      <c r="Y643" s="175"/>
      <c r="Z643" s="175"/>
      <c r="AA643" s="175"/>
      <c r="AB643" s="175"/>
      <c r="AC643" s="175"/>
      <c r="AD643" s="76"/>
      <c r="AE643" s="76"/>
      <c r="AF643" s="76"/>
      <c r="AG643" s="76"/>
      <c r="AH643" s="76"/>
      <c r="AI643" s="76"/>
      <c r="AJ643" s="76"/>
      <c r="AK643" s="76"/>
      <c r="AL643" s="76"/>
      <c r="AM643" s="76"/>
      <c r="AN643" s="76"/>
      <c r="AO643" s="76"/>
      <c r="AP643" s="76"/>
      <c r="AQ643" s="76"/>
      <c r="AR643" s="76"/>
      <c r="AS643" s="76"/>
      <c r="AT643" s="76"/>
      <c r="AU643" s="76"/>
      <c r="AV643" s="76"/>
      <c r="AW643" s="76"/>
      <c r="AX643" s="76"/>
    </row>
    <row r="644" ht="15.75" customHeight="1">
      <c r="A644" s="144" t="s">
        <v>691</v>
      </c>
      <c r="B644" s="150" t="s">
        <v>4054</v>
      </c>
      <c r="C644" s="31" t="s">
        <v>4056</v>
      </c>
      <c r="D644" s="31"/>
      <c r="E644" s="31"/>
      <c r="F644" s="173"/>
      <c r="G644" s="173"/>
      <c r="H644" s="173"/>
      <c r="I644" s="173"/>
      <c r="J644" s="173"/>
      <c r="K644" s="173"/>
      <c r="L644" s="173"/>
      <c r="M644" s="173"/>
      <c r="N644" s="173"/>
      <c r="O644" s="173"/>
      <c r="P644" s="173"/>
      <c r="Q644" s="173"/>
      <c r="R644" s="173"/>
      <c r="S644" s="173"/>
      <c r="T644" s="173"/>
      <c r="U644" s="173"/>
      <c r="V644" s="173"/>
      <c r="W644" s="173"/>
      <c r="X644" s="173"/>
      <c r="Y644" s="173"/>
      <c r="Z644" s="173"/>
      <c r="AA644" s="173"/>
      <c r="AB644" s="173"/>
      <c r="AC644" s="173"/>
      <c r="AD644" s="76"/>
      <c r="AE644" s="76"/>
      <c r="AF644" s="76"/>
      <c r="AG644" s="76"/>
      <c r="AH644" s="76"/>
      <c r="AI644" s="76"/>
      <c r="AJ644" s="76"/>
      <c r="AK644" s="76"/>
      <c r="AL644" s="76"/>
      <c r="AM644" s="76"/>
      <c r="AN644" s="76"/>
      <c r="AO644" s="76"/>
      <c r="AP644" s="76"/>
      <c r="AQ644" s="76"/>
      <c r="AR644" s="76"/>
      <c r="AS644" s="76"/>
      <c r="AT644" s="76"/>
      <c r="AU644" s="76"/>
      <c r="AV644" s="76"/>
      <c r="AW644" s="76"/>
      <c r="AX644" s="76"/>
    </row>
    <row r="645" ht="15.75" customHeight="1">
      <c r="A645" s="104" t="s">
        <v>139</v>
      </c>
      <c r="B645" s="141" t="s">
        <v>4097</v>
      </c>
      <c r="C645" s="31"/>
      <c r="D645" s="31"/>
      <c r="E645" s="31"/>
      <c r="F645" s="108"/>
      <c r="G645" s="108"/>
      <c r="H645" s="108"/>
      <c r="I645" s="108"/>
      <c r="J645" s="108"/>
      <c r="K645" s="108"/>
      <c r="L645" s="108"/>
      <c r="M645" s="108"/>
      <c r="N645" s="108"/>
      <c r="O645" s="108"/>
      <c r="P645" s="108"/>
      <c r="Q645" s="108"/>
      <c r="R645" s="108"/>
      <c r="S645" s="108"/>
      <c r="T645" s="281" t="s">
        <v>145</v>
      </c>
      <c r="U645" s="108"/>
      <c r="V645" s="108"/>
      <c r="W645" s="108"/>
      <c r="X645" s="108"/>
      <c r="Y645" s="108"/>
      <c r="Z645" s="108"/>
      <c r="AA645" s="108"/>
      <c r="AB645" s="108"/>
      <c r="AC645" s="108"/>
      <c r="AD645" s="76"/>
      <c r="AE645" s="76"/>
      <c r="AF645" s="76"/>
      <c r="AG645" s="76"/>
      <c r="AH645" s="76"/>
      <c r="AI645" s="76"/>
      <c r="AJ645" s="76"/>
      <c r="AK645" s="76"/>
      <c r="AL645" s="76"/>
      <c r="AM645" s="76"/>
      <c r="AN645" s="76"/>
      <c r="AO645" s="76"/>
      <c r="AP645" s="76"/>
      <c r="AQ645" s="76"/>
      <c r="AR645" s="76"/>
      <c r="AS645" s="76"/>
      <c r="AT645" s="76"/>
      <c r="AU645" s="76"/>
      <c r="AV645" s="76"/>
      <c r="AW645" s="76"/>
      <c r="AX645" s="76"/>
    </row>
    <row r="646" ht="15.75" customHeight="1">
      <c r="A646" s="67" t="s">
        <v>108</v>
      </c>
      <c r="B646" s="69" t="s">
        <v>4104</v>
      </c>
      <c r="C646" s="31"/>
      <c r="D646" s="31"/>
      <c r="E646" s="31"/>
      <c r="F646" s="70"/>
      <c r="G646" s="70"/>
      <c r="H646" s="70"/>
      <c r="I646" s="71"/>
      <c r="J646" s="71"/>
      <c r="K646" s="70"/>
      <c r="L646" s="71"/>
      <c r="M646" s="71"/>
      <c r="N646" s="71"/>
      <c r="O646" s="71"/>
      <c r="P646" s="70"/>
      <c r="Q646" s="70"/>
      <c r="R646" s="70"/>
      <c r="S646" s="70"/>
      <c r="T646" s="67" t="s">
        <v>5844</v>
      </c>
      <c r="U646" s="70"/>
      <c r="V646" s="70"/>
      <c r="W646" s="70"/>
      <c r="X646" s="70"/>
      <c r="Y646" s="70"/>
      <c r="Z646" s="70"/>
      <c r="AA646" s="70"/>
      <c r="AB646" s="70"/>
      <c r="AC646" s="70"/>
      <c r="AD646" s="76"/>
      <c r="AE646" s="76"/>
      <c r="AF646" s="76"/>
      <c r="AG646" s="76"/>
      <c r="AH646" s="76"/>
      <c r="AI646" s="76"/>
      <c r="AJ646" s="76"/>
      <c r="AK646" s="76"/>
      <c r="AL646" s="76"/>
      <c r="AM646" s="76"/>
      <c r="AN646" s="76"/>
      <c r="AO646" s="76"/>
      <c r="AP646" s="76"/>
      <c r="AQ646" s="76"/>
      <c r="AR646" s="76"/>
      <c r="AS646" s="76"/>
      <c r="AT646" s="76"/>
      <c r="AU646" s="76"/>
      <c r="AV646" s="76"/>
      <c r="AW646" s="76"/>
      <c r="AX646" s="76"/>
    </row>
    <row r="647" ht="15.75" customHeight="1">
      <c r="A647" s="146" t="s">
        <v>237</v>
      </c>
      <c r="B647" s="147" t="s">
        <v>4108</v>
      </c>
      <c r="C647" s="31" t="s">
        <v>5845</v>
      </c>
      <c r="D647" s="31" t="s">
        <v>5846</v>
      </c>
      <c r="E647" s="31" t="s">
        <v>5847</v>
      </c>
      <c r="F647" s="31"/>
      <c r="G647" s="31"/>
      <c r="H647" s="31"/>
      <c r="I647" s="175"/>
      <c r="J647" s="175"/>
      <c r="K647" s="176"/>
      <c r="L647" s="176"/>
      <c r="M647" s="175"/>
      <c r="N647" s="175"/>
      <c r="O647" s="175" t="s">
        <v>5820</v>
      </c>
      <c r="P647" s="175"/>
      <c r="Q647" s="175" t="s">
        <v>166</v>
      </c>
      <c r="R647" s="175"/>
      <c r="S647" s="175"/>
      <c r="T647" s="175"/>
      <c r="U647" s="175"/>
      <c r="V647" s="175"/>
      <c r="W647" s="175"/>
      <c r="X647" s="175"/>
      <c r="Y647" s="175"/>
      <c r="Z647" s="175"/>
      <c r="AA647" s="175"/>
      <c r="AB647" s="175"/>
      <c r="AC647" s="175"/>
      <c r="AD647" s="76"/>
      <c r="AE647" s="76"/>
      <c r="AF647" s="76"/>
      <c r="AG647" s="76"/>
      <c r="AH647" s="76"/>
      <c r="AI647" s="76"/>
      <c r="AJ647" s="76"/>
      <c r="AK647" s="76"/>
      <c r="AL647" s="76"/>
      <c r="AM647" s="76"/>
      <c r="AN647" s="76"/>
      <c r="AO647" s="76"/>
      <c r="AP647" s="76"/>
      <c r="AQ647" s="76"/>
      <c r="AR647" s="76"/>
      <c r="AS647" s="76"/>
      <c r="AT647" s="76"/>
      <c r="AU647" s="76"/>
      <c r="AV647" s="76"/>
      <c r="AW647" s="76"/>
      <c r="AX647" s="76"/>
    </row>
    <row r="648" ht="15.75" customHeight="1">
      <c r="A648" s="146" t="s">
        <v>237</v>
      </c>
      <c r="B648" s="147" t="s">
        <v>4114</v>
      </c>
      <c r="C648" s="31" t="s">
        <v>5848</v>
      </c>
      <c r="D648" s="31" t="s">
        <v>5849</v>
      </c>
      <c r="E648" s="31" t="s">
        <v>5850</v>
      </c>
      <c r="F648" s="31"/>
      <c r="G648" s="31"/>
      <c r="H648" s="31"/>
      <c r="I648" s="175"/>
      <c r="J648" s="175"/>
      <c r="K648" s="176"/>
      <c r="L648" s="176"/>
      <c r="M648" s="175"/>
      <c r="N648" s="175"/>
      <c r="O648" s="175" t="s">
        <v>5820</v>
      </c>
      <c r="P648" s="175"/>
      <c r="Q648" s="175" t="s">
        <v>166</v>
      </c>
      <c r="R648" s="175"/>
      <c r="S648" s="175"/>
      <c r="T648" s="175"/>
      <c r="U648" s="175"/>
      <c r="V648" s="175"/>
      <c r="W648" s="175"/>
      <c r="X648" s="175"/>
      <c r="Y648" s="175"/>
      <c r="Z648" s="175"/>
      <c r="AA648" s="175"/>
      <c r="AB648" s="175"/>
      <c r="AC648" s="175"/>
      <c r="AD648" s="76"/>
      <c r="AE648" s="76"/>
      <c r="AF648" s="76"/>
      <c r="AG648" s="76"/>
      <c r="AH648" s="76"/>
      <c r="AI648" s="76"/>
      <c r="AJ648" s="76"/>
      <c r="AK648" s="76"/>
      <c r="AL648" s="76"/>
      <c r="AM648" s="76"/>
      <c r="AN648" s="76"/>
      <c r="AO648" s="76"/>
      <c r="AP648" s="76"/>
      <c r="AQ648" s="76"/>
      <c r="AR648" s="76"/>
      <c r="AS648" s="76"/>
      <c r="AT648" s="76"/>
      <c r="AU648" s="76"/>
      <c r="AV648" s="76"/>
      <c r="AW648" s="76"/>
      <c r="AX648" s="76"/>
    </row>
    <row r="649" ht="15.75" customHeight="1">
      <c r="A649" s="104" t="s">
        <v>108</v>
      </c>
      <c r="B649" s="105" t="s">
        <v>4119</v>
      </c>
      <c r="C649" s="31"/>
      <c r="D649" s="31"/>
      <c r="E649" s="31"/>
      <c r="F649" s="108"/>
      <c r="G649" s="108"/>
      <c r="H649" s="108"/>
      <c r="I649" s="108"/>
      <c r="J649" s="108"/>
      <c r="K649" s="108"/>
      <c r="L649" s="108"/>
      <c r="M649" s="108"/>
      <c r="N649" s="108"/>
      <c r="O649" s="108"/>
      <c r="P649" s="108"/>
      <c r="Q649" s="108"/>
      <c r="R649" s="108"/>
      <c r="S649" s="108"/>
      <c r="T649" s="121" t="s">
        <v>5851</v>
      </c>
      <c r="U649" s="108"/>
      <c r="V649" s="108"/>
      <c r="W649" s="108"/>
      <c r="X649" s="108"/>
      <c r="Y649" s="108"/>
      <c r="Z649" s="108"/>
      <c r="AA649" s="108"/>
      <c r="AB649" s="108"/>
      <c r="AC649" s="108"/>
      <c r="AD649" s="76"/>
      <c r="AE649" s="76"/>
      <c r="AF649" s="76"/>
      <c r="AG649" s="76"/>
      <c r="AH649" s="76"/>
      <c r="AI649" s="76"/>
      <c r="AJ649" s="76"/>
      <c r="AK649" s="76"/>
      <c r="AL649" s="76"/>
      <c r="AM649" s="76"/>
      <c r="AN649" s="76"/>
      <c r="AO649" s="76"/>
      <c r="AP649" s="76"/>
      <c r="AQ649" s="76"/>
      <c r="AR649" s="76"/>
      <c r="AS649" s="76"/>
      <c r="AT649" s="76"/>
      <c r="AU649" s="76"/>
      <c r="AV649" s="76"/>
      <c r="AW649" s="76"/>
      <c r="AX649" s="76"/>
    </row>
    <row r="650" ht="15.75" customHeight="1">
      <c r="A650" s="81" t="s">
        <v>338</v>
      </c>
      <c r="B650" s="142" t="s">
        <v>4123</v>
      </c>
      <c r="C650" s="31" t="s">
        <v>5852</v>
      </c>
      <c r="D650" s="31" t="s">
        <v>5853</v>
      </c>
      <c r="E650" s="31" t="s">
        <v>5854</v>
      </c>
      <c r="F650" s="31"/>
      <c r="G650" s="31"/>
      <c r="H650" s="31"/>
      <c r="I650" s="84"/>
      <c r="J650" s="159"/>
      <c r="K650" s="84"/>
      <c r="L650" s="84"/>
      <c r="M650" s="84"/>
      <c r="N650" s="84"/>
      <c r="O650" s="84" t="s">
        <v>5820</v>
      </c>
      <c r="P650" s="84"/>
      <c r="Q650" s="84" t="s">
        <v>166</v>
      </c>
      <c r="R650" s="84"/>
      <c r="S650" s="84"/>
      <c r="T650" s="84"/>
      <c r="U650" s="84"/>
      <c r="V650" s="84"/>
      <c r="W650" s="84"/>
      <c r="X650" s="84"/>
      <c r="Y650" s="84"/>
      <c r="Z650" s="84"/>
      <c r="AA650" s="84"/>
      <c r="AB650" s="84"/>
      <c r="AC650" s="84"/>
      <c r="AD650" s="76"/>
      <c r="AE650" s="76"/>
      <c r="AF650" s="76"/>
      <c r="AG650" s="76"/>
      <c r="AH650" s="76"/>
      <c r="AI650" s="76"/>
      <c r="AJ650" s="76"/>
      <c r="AK650" s="76"/>
      <c r="AL650" s="76"/>
      <c r="AM650" s="76"/>
      <c r="AN650" s="76"/>
      <c r="AO650" s="76"/>
      <c r="AP650" s="76"/>
      <c r="AQ650" s="76"/>
      <c r="AR650" s="76"/>
      <c r="AS650" s="76"/>
      <c r="AT650" s="76"/>
      <c r="AU650" s="76"/>
      <c r="AV650" s="76"/>
      <c r="AW650" s="76"/>
      <c r="AX650" s="76"/>
    </row>
    <row r="651" ht="15.75" customHeight="1">
      <c r="A651" s="126" t="s">
        <v>42</v>
      </c>
      <c r="B651" s="127" t="s">
        <v>4130</v>
      </c>
      <c r="C651" s="31" t="s">
        <v>5855</v>
      </c>
      <c r="D651" s="31" t="s">
        <v>5856</v>
      </c>
      <c r="E651" s="31" t="s">
        <v>5857</v>
      </c>
      <c r="F651" s="31"/>
      <c r="G651" s="31"/>
      <c r="H651" s="31"/>
      <c r="I651" s="154"/>
      <c r="J651" s="154"/>
      <c r="K651" s="154"/>
      <c r="L651" s="154"/>
      <c r="M651" s="154"/>
      <c r="N651" s="154"/>
      <c r="O651" s="154"/>
      <c r="P651" s="154"/>
      <c r="Q651" s="154"/>
      <c r="R651" s="154"/>
      <c r="S651" s="154"/>
      <c r="T651" s="154"/>
      <c r="U651" s="154"/>
      <c r="V651" s="154"/>
      <c r="W651" s="154"/>
      <c r="X651" s="154"/>
      <c r="Y651" s="154"/>
      <c r="Z651" s="154"/>
      <c r="AA651" s="154"/>
      <c r="AB651" s="154"/>
      <c r="AC651" s="154"/>
      <c r="AD651" s="76"/>
      <c r="AE651" s="76"/>
      <c r="AF651" s="76"/>
      <c r="AG651" s="76"/>
      <c r="AH651" s="76"/>
      <c r="AI651" s="76"/>
      <c r="AJ651" s="76"/>
      <c r="AK651" s="76"/>
      <c r="AL651" s="76"/>
      <c r="AM651" s="76"/>
      <c r="AN651" s="76"/>
      <c r="AO651" s="76"/>
      <c r="AP651" s="76"/>
      <c r="AQ651" s="76"/>
      <c r="AR651" s="76"/>
      <c r="AS651" s="76"/>
      <c r="AT651" s="76"/>
      <c r="AU651" s="76"/>
      <c r="AV651" s="76"/>
      <c r="AW651" s="76"/>
      <c r="AX651" s="76"/>
    </row>
    <row r="652" ht="15.75" customHeight="1">
      <c r="A652" s="104" t="s">
        <v>139</v>
      </c>
      <c r="B652" s="141" t="s">
        <v>4140</v>
      </c>
      <c r="C652" s="31"/>
      <c r="D652" s="31"/>
      <c r="E652" s="31"/>
      <c r="F652" s="108"/>
      <c r="G652" s="108"/>
      <c r="H652" s="108"/>
      <c r="I652" s="108"/>
      <c r="J652" s="108"/>
      <c r="K652" s="108"/>
      <c r="L652" s="108"/>
      <c r="M652" s="108"/>
      <c r="N652" s="108"/>
      <c r="O652" s="108"/>
      <c r="P652" s="108"/>
      <c r="Q652" s="108"/>
      <c r="R652" s="108"/>
      <c r="S652" s="108"/>
      <c r="T652" s="281" t="s">
        <v>145</v>
      </c>
      <c r="U652" s="108"/>
      <c r="V652" s="108"/>
      <c r="W652" s="108"/>
      <c r="X652" s="108"/>
      <c r="Y652" s="108"/>
      <c r="Z652" s="108"/>
      <c r="AA652" s="108"/>
      <c r="AB652" s="108"/>
      <c r="AC652" s="108"/>
      <c r="AD652" s="76"/>
      <c r="AE652" s="76"/>
      <c r="AF652" s="76"/>
      <c r="AG652" s="76"/>
      <c r="AH652" s="76"/>
      <c r="AI652" s="76"/>
      <c r="AJ652" s="76"/>
      <c r="AK652" s="76"/>
      <c r="AL652" s="76"/>
      <c r="AM652" s="76"/>
      <c r="AN652" s="76"/>
      <c r="AO652" s="76"/>
      <c r="AP652" s="76"/>
      <c r="AQ652" s="76"/>
      <c r="AR652" s="76"/>
      <c r="AS652" s="76"/>
      <c r="AT652" s="76"/>
      <c r="AU652" s="76"/>
      <c r="AV652" s="76"/>
      <c r="AW652" s="76"/>
      <c r="AX652" s="76"/>
    </row>
    <row r="653" ht="15.75" customHeight="1">
      <c r="A653" s="144" t="s">
        <v>648</v>
      </c>
      <c r="B653" s="145" t="s">
        <v>4145</v>
      </c>
      <c r="C653" s="31" t="s">
        <v>4147</v>
      </c>
      <c r="D653" s="31" t="s">
        <v>4148</v>
      </c>
      <c r="E653" s="31" t="s">
        <v>4150</v>
      </c>
      <c r="F653" s="173"/>
      <c r="G653" s="173"/>
      <c r="H653" s="173"/>
      <c r="I653" s="173"/>
      <c r="J653" s="173"/>
      <c r="K653" s="173"/>
      <c r="L653" s="173"/>
      <c r="M653" s="174"/>
      <c r="N653" s="174"/>
      <c r="O653" s="174"/>
      <c r="P653" s="173"/>
      <c r="Q653" s="173"/>
      <c r="R653" s="173"/>
      <c r="S653" s="173"/>
      <c r="T653" s="173"/>
      <c r="U653" s="174" t="s">
        <v>5664</v>
      </c>
      <c r="V653" s="173"/>
      <c r="W653" s="173"/>
      <c r="X653" s="173"/>
      <c r="Y653" s="173"/>
      <c r="Z653" s="173"/>
      <c r="AA653" s="173"/>
      <c r="AB653" s="173"/>
      <c r="AC653" s="173"/>
      <c r="AD653" s="76"/>
      <c r="AE653" s="76"/>
      <c r="AF653" s="76"/>
      <c r="AG653" s="76"/>
      <c r="AH653" s="76"/>
      <c r="AI653" s="76"/>
      <c r="AJ653" s="76"/>
      <c r="AK653" s="76"/>
      <c r="AL653" s="76"/>
      <c r="AM653" s="76"/>
      <c r="AN653" s="76"/>
      <c r="AO653" s="76"/>
      <c r="AP653" s="76"/>
      <c r="AQ653" s="76"/>
      <c r="AR653" s="76"/>
      <c r="AS653" s="76"/>
      <c r="AT653" s="76"/>
      <c r="AU653" s="76"/>
      <c r="AV653" s="76"/>
      <c r="AW653" s="76"/>
      <c r="AX653" s="76"/>
    </row>
    <row r="654" ht="15.75" customHeight="1">
      <c r="A654" s="104" t="s">
        <v>108</v>
      </c>
      <c r="B654" s="105" t="s">
        <v>4156</v>
      </c>
      <c r="C654" s="31"/>
      <c r="D654" s="31"/>
      <c r="E654" s="31"/>
      <c r="F654" s="108"/>
      <c r="G654" s="108"/>
      <c r="H654" s="108"/>
      <c r="I654" s="108"/>
      <c r="J654" s="108"/>
      <c r="K654" s="108"/>
      <c r="L654" s="108"/>
      <c r="M654" s="108"/>
      <c r="N654" s="108"/>
      <c r="O654" s="108"/>
      <c r="P654" s="108"/>
      <c r="Q654" s="108"/>
      <c r="R654" s="108"/>
      <c r="S654" s="108"/>
      <c r="T654" s="121" t="s">
        <v>5665</v>
      </c>
      <c r="U654" s="108"/>
      <c r="V654" s="108"/>
      <c r="W654" s="108"/>
      <c r="X654" s="108"/>
      <c r="Y654" s="108"/>
      <c r="Z654" s="108"/>
      <c r="AA654" s="108"/>
      <c r="AB654" s="108"/>
      <c r="AC654" s="108"/>
      <c r="AD654" s="76"/>
      <c r="AE654" s="76"/>
      <c r="AF654" s="76"/>
      <c r="AG654" s="76"/>
      <c r="AH654" s="76"/>
      <c r="AI654" s="76"/>
      <c r="AJ654" s="76"/>
      <c r="AK654" s="76"/>
      <c r="AL654" s="76"/>
      <c r="AM654" s="76"/>
      <c r="AN654" s="76"/>
      <c r="AO654" s="76"/>
      <c r="AP654" s="76"/>
      <c r="AQ654" s="76"/>
      <c r="AR654" s="76"/>
      <c r="AS654" s="76"/>
      <c r="AT654" s="76"/>
      <c r="AU654" s="76"/>
      <c r="AV654" s="76"/>
      <c r="AW654" s="76"/>
      <c r="AX654" s="76"/>
    </row>
    <row r="655" ht="15.75" customHeight="1">
      <c r="A655" s="104" t="s">
        <v>108</v>
      </c>
      <c r="B655" s="105" t="s">
        <v>4161</v>
      </c>
      <c r="C655" s="31"/>
      <c r="D655" s="31"/>
      <c r="E655" s="31"/>
      <c r="F655" s="108"/>
      <c r="G655" s="108"/>
      <c r="H655" s="108"/>
      <c r="I655" s="108"/>
      <c r="J655" s="108"/>
      <c r="K655" s="108"/>
      <c r="L655" s="108"/>
      <c r="M655" s="108"/>
      <c r="N655" s="108"/>
      <c r="O655" s="108"/>
      <c r="P655" s="108"/>
      <c r="Q655" s="108"/>
      <c r="R655" s="108"/>
      <c r="S655" s="108"/>
      <c r="T655" s="121" t="s">
        <v>5858</v>
      </c>
      <c r="U655" s="108"/>
      <c r="V655" s="108"/>
      <c r="W655" s="108"/>
      <c r="X655" s="108"/>
      <c r="Y655" s="108"/>
      <c r="Z655" s="108"/>
      <c r="AA655" s="108"/>
      <c r="AB655" s="108"/>
      <c r="AC655" s="108"/>
      <c r="AD655" s="76"/>
      <c r="AE655" s="76"/>
      <c r="AF655" s="76"/>
      <c r="AG655" s="76"/>
      <c r="AH655" s="76"/>
      <c r="AI655" s="76"/>
      <c r="AJ655" s="76"/>
      <c r="AK655" s="76"/>
      <c r="AL655" s="76"/>
      <c r="AM655" s="76"/>
      <c r="AN655" s="76"/>
      <c r="AO655" s="76"/>
      <c r="AP655" s="76"/>
      <c r="AQ655" s="76"/>
      <c r="AR655" s="76"/>
      <c r="AS655" s="76"/>
      <c r="AT655" s="76"/>
      <c r="AU655" s="76"/>
      <c r="AV655" s="76"/>
      <c r="AW655" s="76"/>
      <c r="AX655" s="76"/>
    </row>
    <row r="656" ht="15.75" customHeight="1">
      <c r="A656" s="81" t="s">
        <v>338</v>
      </c>
      <c r="B656" s="142" t="s">
        <v>4168</v>
      </c>
      <c r="C656" s="31" t="s">
        <v>5859</v>
      </c>
      <c r="D656" s="31" t="s">
        <v>5860</v>
      </c>
      <c r="E656" s="31" t="s">
        <v>5861</v>
      </c>
      <c r="F656" s="31"/>
      <c r="G656" s="31"/>
      <c r="H656" s="31"/>
      <c r="I656" s="84"/>
      <c r="J656" s="159"/>
      <c r="K656" s="84"/>
      <c r="L656" s="84"/>
      <c r="M656" s="84"/>
      <c r="N656" s="84"/>
      <c r="O656" s="84"/>
      <c r="P656" s="84"/>
      <c r="Q656" s="84" t="s">
        <v>166</v>
      </c>
      <c r="R656" s="84"/>
      <c r="S656" s="84"/>
      <c r="T656" s="84"/>
      <c r="U656" s="84"/>
      <c r="V656" s="84"/>
      <c r="W656" s="84"/>
      <c r="X656" s="84"/>
      <c r="Y656" s="84"/>
      <c r="Z656" s="84"/>
      <c r="AA656" s="84"/>
      <c r="AB656" s="84"/>
      <c r="AC656" s="84"/>
      <c r="AD656" s="76"/>
      <c r="AE656" s="76"/>
      <c r="AF656" s="76"/>
      <c r="AG656" s="76"/>
      <c r="AH656" s="76"/>
      <c r="AI656" s="76"/>
      <c r="AJ656" s="76"/>
      <c r="AK656" s="76"/>
      <c r="AL656" s="76"/>
      <c r="AM656" s="76"/>
      <c r="AN656" s="76"/>
      <c r="AO656" s="76"/>
      <c r="AP656" s="76"/>
      <c r="AQ656" s="76"/>
      <c r="AR656" s="76"/>
      <c r="AS656" s="76"/>
      <c r="AT656" s="76"/>
      <c r="AU656" s="76"/>
      <c r="AV656" s="76"/>
      <c r="AW656" s="76"/>
      <c r="AX656" s="76"/>
    </row>
    <row r="657" ht="15.75" customHeight="1">
      <c r="A657" s="81" t="s">
        <v>4017</v>
      </c>
      <c r="B657" s="142" t="s">
        <v>4175</v>
      </c>
      <c r="C657" s="31" t="s">
        <v>5862</v>
      </c>
      <c r="D657" s="31" t="s">
        <v>5863</v>
      </c>
      <c r="E657" s="31" t="s">
        <v>5864</v>
      </c>
      <c r="F657" s="31"/>
      <c r="G657" s="31"/>
      <c r="H657" s="31"/>
      <c r="I657" s="84"/>
      <c r="J657" s="159"/>
      <c r="K657" s="84"/>
      <c r="L657" s="84"/>
      <c r="M657" s="84"/>
      <c r="N657" s="84"/>
      <c r="O657" s="84" t="s">
        <v>5865</v>
      </c>
      <c r="P657" s="84"/>
      <c r="Q657" s="84" t="s">
        <v>166</v>
      </c>
      <c r="R657" s="84"/>
      <c r="S657" s="84"/>
      <c r="T657" s="84"/>
      <c r="U657" s="84"/>
      <c r="V657" s="84"/>
      <c r="W657" s="84"/>
      <c r="X657" s="84"/>
      <c r="Y657" s="84"/>
      <c r="Z657" s="84"/>
      <c r="AA657" s="84"/>
      <c r="AB657" s="84"/>
      <c r="AC657" s="84"/>
      <c r="AD657" s="76"/>
      <c r="AE657" s="76"/>
      <c r="AF657" s="76"/>
      <c r="AG657" s="76"/>
      <c r="AH657" s="76"/>
      <c r="AI657" s="76"/>
      <c r="AJ657" s="76"/>
      <c r="AK657" s="76"/>
      <c r="AL657" s="76"/>
      <c r="AM657" s="76"/>
      <c r="AN657" s="76"/>
      <c r="AO657" s="76"/>
      <c r="AP657" s="76"/>
      <c r="AQ657" s="76"/>
      <c r="AR657" s="76"/>
      <c r="AS657" s="76"/>
      <c r="AT657" s="76"/>
      <c r="AU657" s="76"/>
      <c r="AV657" s="76"/>
      <c r="AW657" s="76"/>
      <c r="AX657" s="76"/>
    </row>
    <row r="658" ht="15.75" customHeight="1">
      <c r="A658" s="133" t="s">
        <v>214</v>
      </c>
      <c r="B658" s="143" t="s">
        <v>4182</v>
      </c>
      <c r="C658" s="31" t="s">
        <v>5866</v>
      </c>
      <c r="D658" s="31" t="s">
        <v>5867</v>
      </c>
      <c r="E658" s="31" t="s">
        <v>5868</v>
      </c>
      <c r="F658" s="31"/>
      <c r="G658" s="31"/>
      <c r="H658" s="31"/>
      <c r="I658" s="162"/>
      <c r="J658" s="163"/>
      <c r="K658" s="162"/>
      <c r="L658" s="162"/>
      <c r="M658" s="162"/>
      <c r="N658" s="162"/>
      <c r="O658" s="162" t="s">
        <v>5869</v>
      </c>
      <c r="P658" s="162"/>
      <c r="Q658" s="162" t="s">
        <v>166</v>
      </c>
      <c r="R658" s="162"/>
      <c r="S658" s="162"/>
      <c r="T658" s="162"/>
      <c r="U658" s="162"/>
      <c r="V658" s="162"/>
      <c r="W658" s="162"/>
      <c r="X658" s="162"/>
      <c r="Y658" s="162"/>
      <c r="Z658" s="162"/>
      <c r="AA658" s="162"/>
      <c r="AB658" s="162"/>
      <c r="AC658" s="162"/>
      <c r="AD658" s="76"/>
      <c r="AE658" s="76"/>
      <c r="AF658" s="76"/>
      <c r="AG658" s="76"/>
      <c r="AH658" s="76"/>
      <c r="AI658" s="76"/>
      <c r="AJ658" s="76"/>
      <c r="AK658" s="76"/>
      <c r="AL658" s="76"/>
      <c r="AM658" s="76"/>
      <c r="AN658" s="76"/>
      <c r="AO658" s="76"/>
      <c r="AP658" s="76"/>
      <c r="AQ658" s="76"/>
      <c r="AR658" s="76"/>
      <c r="AS658" s="76"/>
      <c r="AT658" s="76"/>
      <c r="AU658" s="76"/>
      <c r="AV658" s="76"/>
      <c r="AW658" s="76"/>
      <c r="AX658" s="76"/>
    </row>
    <row r="659" ht="15.75" customHeight="1">
      <c r="A659" s="104" t="s">
        <v>108</v>
      </c>
      <c r="B659" s="105" t="s">
        <v>4190</v>
      </c>
      <c r="C659" s="31"/>
      <c r="D659" s="31"/>
      <c r="E659" s="31"/>
      <c r="F659" s="108"/>
      <c r="G659" s="108"/>
      <c r="H659" s="108"/>
      <c r="I659" s="108"/>
      <c r="J659" s="108"/>
      <c r="K659" s="108"/>
      <c r="L659" s="108"/>
      <c r="M659" s="108"/>
      <c r="N659" s="108"/>
      <c r="O659" s="108"/>
      <c r="P659" s="108"/>
      <c r="Q659" s="108"/>
      <c r="R659" s="108"/>
      <c r="S659" s="108"/>
      <c r="T659" s="121" t="s">
        <v>5870</v>
      </c>
      <c r="U659" s="108"/>
      <c r="V659" s="108"/>
      <c r="W659" s="108"/>
      <c r="X659" s="108"/>
      <c r="Y659" s="108"/>
      <c r="Z659" s="108"/>
      <c r="AA659" s="108"/>
      <c r="AB659" s="108"/>
      <c r="AC659" s="108"/>
      <c r="AD659" s="76"/>
      <c r="AE659" s="76"/>
      <c r="AF659" s="76"/>
      <c r="AG659" s="76"/>
      <c r="AH659" s="76"/>
      <c r="AI659" s="76"/>
      <c r="AJ659" s="76"/>
      <c r="AK659" s="76"/>
      <c r="AL659" s="76"/>
      <c r="AM659" s="76"/>
      <c r="AN659" s="76"/>
      <c r="AO659" s="76"/>
      <c r="AP659" s="76"/>
      <c r="AQ659" s="76"/>
      <c r="AR659" s="76"/>
      <c r="AS659" s="76"/>
      <c r="AT659" s="76"/>
      <c r="AU659" s="76"/>
      <c r="AV659" s="76"/>
      <c r="AW659" s="76"/>
      <c r="AX659" s="76"/>
    </row>
    <row r="660" ht="15.75" customHeight="1">
      <c r="A660" s="146" t="s">
        <v>237</v>
      </c>
      <c r="B660" s="147" t="s">
        <v>4197</v>
      </c>
      <c r="C660" s="31" t="s">
        <v>5871</v>
      </c>
      <c r="D660" s="31" t="s">
        <v>5872</v>
      </c>
      <c r="E660" s="31" t="s">
        <v>5873</v>
      </c>
      <c r="F660" s="31"/>
      <c r="G660" s="31"/>
      <c r="H660" s="31"/>
      <c r="I660" s="175"/>
      <c r="J660" s="175"/>
      <c r="K660" s="176"/>
      <c r="L660" s="176"/>
      <c r="M660" s="175"/>
      <c r="N660" s="175"/>
      <c r="O660" s="175" t="s">
        <v>5865</v>
      </c>
      <c r="P660" s="175"/>
      <c r="Q660" s="175" t="s">
        <v>166</v>
      </c>
      <c r="R660" s="175"/>
      <c r="S660" s="175"/>
      <c r="T660" s="175"/>
      <c r="U660" s="175"/>
      <c r="V660" s="175"/>
      <c r="W660" s="175"/>
      <c r="X660" s="175"/>
      <c r="Y660" s="175"/>
      <c r="Z660" s="175"/>
      <c r="AA660" s="175"/>
      <c r="AB660" s="175"/>
      <c r="AC660" s="175"/>
      <c r="AD660" s="76"/>
      <c r="AE660" s="76"/>
      <c r="AF660" s="76"/>
      <c r="AG660" s="76"/>
      <c r="AH660" s="76"/>
      <c r="AI660" s="76"/>
      <c r="AJ660" s="76"/>
      <c r="AK660" s="76"/>
      <c r="AL660" s="76"/>
      <c r="AM660" s="76"/>
      <c r="AN660" s="76"/>
      <c r="AO660" s="76"/>
      <c r="AP660" s="76"/>
      <c r="AQ660" s="76"/>
      <c r="AR660" s="76"/>
      <c r="AS660" s="76"/>
      <c r="AT660" s="76"/>
      <c r="AU660" s="76"/>
      <c r="AV660" s="76"/>
      <c r="AW660" s="76"/>
      <c r="AX660" s="76"/>
    </row>
    <row r="661" ht="15.75" customHeight="1">
      <c r="A661" s="146" t="s">
        <v>237</v>
      </c>
      <c r="B661" s="147" t="s">
        <v>4204</v>
      </c>
      <c r="C661" s="31" t="s">
        <v>5874</v>
      </c>
      <c r="D661" s="31" t="s">
        <v>5875</v>
      </c>
      <c r="E661" s="31" t="s">
        <v>5876</v>
      </c>
      <c r="F661" s="31"/>
      <c r="G661" s="31"/>
      <c r="H661" s="31"/>
      <c r="I661" s="175"/>
      <c r="J661" s="175"/>
      <c r="K661" s="176" t="s">
        <v>5782</v>
      </c>
      <c r="L661" s="176"/>
      <c r="M661" s="175"/>
      <c r="N661" s="175"/>
      <c r="O661" s="175" t="s">
        <v>5865</v>
      </c>
      <c r="P661" s="175"/>
      <c r="Q661" s="175" t="s">
        <v>166</v>
      </c>
      <c r="R661" s="175"/>
      <c r="S661" s="175"/>
      <c r="T661" s="175"/>
      <c r="U661" s="175"/>
      <c r="V661" s="175"/>
      <c r="W661" s="175"/>
      <c r="X661" s="175"/>
      <c r="Y661" s="175"/>
      <c r="Z661" s="175"/>
      <c r="AA661" s="175"/>
      <c r="AB661" s="175"/>
      <c r="AC661" s="175"/>
      <c r="AD661" s="76"/>
      <c r="AE661" s="76"/>
      <c r="AF661" s="76"/>
      <c r="AG661" s="76"/>
      <c r="AH661" s="76"/>
      <c r="AI661" s="76"/>
      <c r="AJ661" s="76"/>
      <c r="AK661" s="76"/>
      <c r="AL661" s="76"/>
      <c r="AM661" s="76"/>
      <c r="AN661" s="76"/>
      <c r="AO661" s="76"/>
      <c r="AP661" s="76"/>
      <c r="AQ661" s="76"/>
      <c r="AR661" s="76"/>
      <c r="AS661" s="76"/>
      <c r="AT661" s="76"/>
      <c r="AU661" s="76"/>
      <c r="AV661" s="76"/>
      <c r="AW661" s="76"/>
      <c r="AX661" s="76"/>
    </row>
    <row r="662" ht="15.75" customHeight="1">
      <c r="A662" s="146" t="s">
        <v>237</v>
      </c>
      <c r="B662" s="147" t="s">
        <v>4214</v>
      </c>
      <c r="C662" s="31" t="s">
        <v>5877</v>
      </c>
      <c r="D662" s="31" t="s">
        <v>5878</v>
      </c>
      <c r="E662" s="31" t="s">
        <v>5879</v>
      </c>
      <c r="F662" s="31"/>
      <c r="G662" s="31"/>
      <c r="H662" s="31"/>
      <c r="I662" s="175"/>
      <c r="J662" s="175"/>
      <c r="K662" s="176"/>
      <c r="L662" s="176"/>
      <c r="M662" s="175"/>
      <c r="N662" s="175"/>
      <c r="O662" s="175"/>
      <c r="P662" s="175"/>
      <c r="Q662" s="175" t="s">
        <v>166</v>
      </c>
      <c r="R662" s="175"/>
      <c r="S662" s="175"/>
      <c r="T662" s="175"/>
      <c r="U662" s="175"/>
      <c r="V662" s="175"/>
      <c r="W662" s="175"/>
      <c r="X662" s="175"/>
      <c r="Y662" s="175"/>
      <c r="Z662" s="175"/>
      <c r="AA662" s="175"/>
      <c r="AB662" s="175"/>
      <c r="AC662" s="175"/>
      <c r="AD662" s="76"/>
      <c r="AE662" s="76"/>
      <c r="AF662" s="76"/>
      <c r="AG662" s="76"/>
      <c r="AH662" s="76"/>
      <c r="AI662" s="76"/>
      <c r="AJ662" s="76"/>
      <c r="AK662" s="76"/>
      <c r="AL662" s="76"/>
      <c r="AM662" s="76"/>
      <c r="AN662" s="76"/>
      <c r="AO662" s="76"/>
      <c r="AP662" s="76"/>
      <c r="AQ662" s="76"/>
      <c r="AR662" s="76"/>
      <c r="AS662" s="76"/>
      <c r="AT662" s="76"/>
      <c r="AU662" s="76"/>
      <c r="AV662" s="76"/>
      <c r="AW662" s="76"/>
      <c r="AX662" s="76"/>
    </row>
    <row r="663" ht="15.75" customHeight="1">
      <c r="A663" s="144" t="s">
        <v>691</v>
      </c>
      <c r="B663" s="150" t="s">
        <v>4145</v>
      </c>
      <c r="C663" s="31" t="s">
        <v>4147</v>
      </c>
      <c r="D663" s="31" t="s">
        <v>4148</v>
      </c>
      <c r="E663" s="31" t="s">
        <v>4150</v>
      </c>
      <c r="F663" s="173"/>
      <c r="G663" s="173"/>
      <c r="H663" s="173"/>
      <c r="I663" s="173"/>
      <c r="J663" s="173"/>
      <c r="K663" s="173"/>
      <c r="L663" s="173"/>
      <c r="M663" s="173"/>
      <c r="N663" s="173"/>
      <c r="O663" s="173"/>
      <c r="P663" s="173"/>
      <c r="Q663" s="173"/>
      <c r="R663" s="173"/>
      <c r="S663" s="173"/>
      <c r="T663" s="173"/>
      <c r="U663" s="173"/>
      <c r="V663" s="173"/>
      <c r="W663" s="173"/>
      <c r="X663" s="173"/>
      <c r="Y663" s="173"/>
      <c r="Z663" s="173"/>
      <c r="AA663" s="173"/>
      <c r="AB663" s="173"/>
      <c r="AC663" s="173"/>
      <c r="AD663" s="76"/>
      <c r="AE663" s="76"/>
      <c r="AF663" s="76"/>
      <c r="AG663" s="76"/>
      <c r="AH663" s="76"/>
      <c r="AI663" s="76"/>
      <c r="AJ663" s="76"/>
      <c r="AK663" s="76"/>
      <c r="AL663" s="76"/>
      <c r="AM663" s="76"/>
      <c r="AN663" s="76"/>
      <c r="AO663" s="76"/>
      <c r="AP663" s="76"/>
      <c r="AQ663" s="76"/>
      <c r="AR663" s="76"/>
      <c r="AS663" s="76"/>
      <c r="AT663" s="76"/>
      <c r="AU663" s="76"/>
      <c r="AV663" s="76"/>
      <c r="AW663" s="76"/>
      <c r="AX663" s="76"/>
    </row>
    <row r="664" ht="15.75" customHeight="1">
      <c r="A664" s="104" t="s">
        <v>139</v>
      </c>
      <c r="B664" s="141" t="s">
        <v>4227</v>
      </c>
      <c r="C664" s="31"/>
      <c r="D664" s="31"/>
      <c r="E664" s="31"/>
      <c r="F664" s="108"/>
      <c r="G664" s="108"/>
      <c r="H664" s="108"/>
      <c r="I664" s="108"/>
      <c r="J664" s="108"/>
      <c r="K664" s="108"/>
      <c r="L664" s="108"/>
      <c r="M664" s="108"/>
      <c r="N664" s="108"/>
      <c r="O664" s="108"/>
      <c r="P664" s="108"/>
      <c r="Q664" s="108"/>
      <c r="R664" s="108"/>
      <c r="S664" s="108"/>
      <c r="T664" s="281" t="s">
        <v>145</v>
      </c>
      <c r="U664" s="108"/>
      <c r="V664" s="108"/>
      <c r="W664" s="108"/>
      <c r="X664" s="108"/>
      <c r="Y664" s="108"/>
      <c r="Z664" s="108"/>
      <c r="AA664" s="108"/>
      <c r="AB664" s="108"/>
      <c r="AC664" s="108"/>
      <c r="AD664" s="76"/>
      <c r="AE664" s="76"/>
      <c r="AF664" s="76"/>
      <c r="AG664" s="76"/>
      <c r="AH664" s="76"/>
      <c r="AI664" s="76"/>
      <c r="AJ664" s="76"/>
      <c r="AK664" s="76"/>
      <c r="AL664" s="76"/>
      <c r="AM664" s="76"/>
      <c r="AN664" s="76"/>
      <c r="AO664" s="76"/>
      <c r="AP664" s="76"/>
      <c r="AQ664" s="76"/>
      <c r="AR664" s="76"/>
      <c r="AS664" s="76"/>
      <c r="AT664" s="76"/>
      <c r="AU664" s="76"/>
      <c r="AV664" s="76"/>
      <c r="AW664" s="76"/>
      <c r="AX664" s="76"/>
    </row>
    <row r="665" ht="15.75" customHeight="1">
      <c r="A665" s="67" t="s">
        <v>108</v>
      </c>
      <c r="B665" s="69" t="s">
        <v>4232</v>
      </c>
      <c r="C665" s="31"/>
      <c r="D665" s="31"/>
      <c r="E665" s="31"/>
      <c r="F665" s="70"/>
      <c r="G665" s="70"/>
      <c r="H665" s="70"/>
      <c r="I665" s="71"/>
      <c r="J665" s="71"/>
      <c r="K665" s="70"/>
      <c r="L665" s="71"/>
      <c r="M665" s="71"/>
      <c r="N665" s="71"/>
      <c r="O665" s="71"/>
      <c r="P665" s="70"/>
      <c r="Q665" s="70"/>
      <c r="R665" s="70"/>
      <c r="S665" s="70"/>
      <c r="T665" s="67" t="s">
        <v>5880</v>
      </c>
      <c r="U665" s="70"/>
      <c r="V665" s="70"/>
      <c r="W665" s="70"/>
      <c r="X665" s="70"/>
      <c r="Y665" s="70"/>
      <c r="Z665" s="70"/>
      <c r="AA665" s="70"/>
      <c r="AB665" s="70"/>
      <c r="AC665" s="70"/>
      <c r="AD665" s="76"/>
      <c r="AE665" s="76"/>
      <c r="AF665" s="76"/>
      <c r="AG665" s="76"/>
      <c r="AH665" s="76"/>
      <c r="AI665" s="76"/>
      <c r="AJ665" s="76"/>
      <c r="AK665" s="76"/>
      <c r="AL665" s="76"/>
      <c r="AM665" s="76"/>
      <c r="AN665" s="76"/>
      <c r="AO665" s="76"/>
      <c r="AP665" s="76"/>
      <c r="AQ665" s="76"/>
      <c r="AR665" s="76"/>
      <c r="AS665" s="76"/>
      <c r="AT665" s="76"/>
      <c r="AU665" s="76"/>
      <c r="AV665" s="76"/>
      <c r="AW665" s="76"/>
      <c r="AX665" s="76"/>
    </row>
    <row r="666" ht="15.75" customHeight="1">
      <c r="A666" s="142"/>
      <c r="B666" s="169"/>
      <c r="C666" s="31"/>
      <c r="D666" s="31"/>
      <c r="E666" s="31"/>
      <c r="F666" s="76"/>
      <c r="G666" s="76"/>
      <c r="H666" s="76"/>
      <c r="I666" s="76"/>
      <c r="J666" s="76"/>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c r="AM666" s="76"/>
      <c r="AN666" s="76"/>
      <c r="AO666" s="76"/>
      <c r="AP666" s="76"/>
      <c r="AQ666" s="76"/>
      <c r="AR666" s="76"/>
      <c r="AS666" s="76"/>
      <c r="AT666" s="76"/>
      <c r="AU666" s="76"/>
      <c r="AV666" s="76"/>
      <c r="AW666" s="76"/>
      <c r="AX666" s="76"/>
    </row>
    <row r="667" ht="15.75" customHeight="1">
      <c r="A667" s="122" t="s">
        <v>150</v>
      </c>
      <c r="B667" s="123" t="s">
        <v>4244</v>
      </c>
      <c r="C667" s="31" t="s">
        <v>4245</v>
      </c>
      <c r="D667" s="31"/>
      <c r="E667" s="31"/>
      <c r="F667" s="70"/>
      <c r="G667" s="70"/>
      <c r="H667" s="70"/>
      <c r="I667" s="70"/>
      <c r="J667" s="71"/>
      <c r="K667" s="70"/>
      <c r="L667" s="70"/>
      <c r="M667" s="71"/>
      <c r="N667" s="71"/>
      <c r="O667" s="71"/>
      <c r="P667" s="70"/>
      <c r="Q667" s="70"/>
      <c r="R667" s="70"/>
      <c r="S667" s="70"/>
      <c r="T667" s="70"/>
      <c r="U667" s="70"/>
      <c r="V667" s="70"/>
      <c r="W667" s="70"/>
      <c r="X667" s="70"/>
      <c r="Y667" s="70"/>
      <c r="Z667" s="70"/>
      <c r="AA667" s="70"/>
      <c r="AB667" s="70"/>
      <c r="AC667" s="70"/>
      <c r="AD667" s="70"/>
      <c r="AE667" s="70"/>
      <c r="AF667" s="70"/>
      <c r="AG667" s="70"/>
      <c r="AH667" s="70"/>
      <c r="AI667" s="70"/>
      <c r="AJ667" s="70"/>
      <c r="AK667" s="70"/>
      <c r="AL667" s="70"/>
      <c r="AM667" s="70"/>
      <c r="AN667" s="70"/>
      <c r="AO667" s="76"/>
      <c r="AP667" s="76"/>
      <c r="AQ667" s="76"/>
      <c r="AR667" s="76"/>
      <c r="AS667" s="76"/>
      <c r="AT667" s="76"/>
      <c r="AU667" s="76"/>
      <c r="AV667" s="76"/>
      <c r="AW667" s="76"/>
      <c r="AX667" s="76"/>
    </row>
    <row r="668" ht="15.75" customHeight="1">
      <c r="A668" s="104" t="s">
        <v>139</v>
      </c>
      <c r="B668" s="141" t="s">
        <v>4246</v>
      </c>
      <c r="C668" s="31"/>
      <c r="D668" s="31"/>
      <c r="E668" s="31"/>
      <c r="F668" s="108"/>
      <c r="G668" s="108"/>
      <c r="H668" s="108"/>
      <c r="I668" s="108"/>
      <c r="J668" s="108"/>
      <c r="K668" s="108"/>
      <c r="L668" s="108"/>
      <c r="M668" s="108"/>
      <c r="N668" s="108"/>
      <c r="O668" s="108"/>
      <c r="P668" s="108"/>
      <c r="Q668" s="108"/>
      <c r="R668" s="108"/>
      <c r="S668" s="108"/>
      <c r="T668" s="281" t="s">
        <v>145</v>
      </c>
      <c r="U668" s="108"/>
      <c r="V668" s="108"/>
      <c r="W668" s="108"/>
      <c r="X668" s="108"/>
      <c r="Y668" s="108"/>
      <c r="Z668" s="108"/>
      <c r="AA668" s="108"/>
      <c r="AB668" s="108"/>
      <c r="AC668" s="108"/>
      <c r="AD668" s="76"/>
      <c r="AE668" s="76"/>
      <c r="AF668" s="76"/>
      <c r="AG668" s="76"/>
      <c r="AH668" s="76"/>
      <c r="AI668" s="76"/>
      <c r="AJ668" s="76"/>
      <c r="AK668" s="76"/>
      <c r="AL668" s="76"/>
      <c r="AM668" s="76"/>
      <c r="AN668" s="76"/>
      <c r="AO668" s="76"/>
      <c r="AP668" s="76"/>
      <c r="AQ668" s="76"/>
      <c r="AR668" s="76"/>
      <c r="AS668" s="76"/>
      <c r="AT668" s="76"/>
      <c r="AU668" s="76"/>
      <c r="AV668" s="76"/>
      <c r="AW668" s="76"/>
      <c r="AX668" s="76"/>
    </row>
    <row r="669" ht="15.75" customHeight="1">
      <c r="A669" s="81" t="s">
        <v>4250</v>
      </c>
      <c r="B669" s="131" t="s">
        <v>4251</v>
      </c>
      <c r="C669" s="31" t="s">
        <v>5881</v>
      </c>
      <c r="D669" s="31" t="s">
        <v>5882</v>
      </c>
      <c r="E669" s="31" t="s">
        <v>5883</v>
      </c>
      <c r="F669" s="142" t="s">
        <v>5884</v>
      </c>
      <c r="G669" s="142" t="s">
        <v>5885</v>
      </c>
      <c r="H669" s="142" t="s">
        <v>5886</v>
      </c>
      <c r="I669" s="84"/>
      <c r="J669" s="159"/>
      <c r="K669" s="149" t="s">
        <v>5887</v>
      </c>
      <c r="L669" s="84"/>
      <c r="M669" s="84"/>
      <c r="N669" s="84"/>
      <c r="O669" s="84"/>
      <c r="P669" s="84"/>
      <c r="Q669" s="149" t="s">
        <v>166</v>
      </c>
      <c r="R669" s="84"/>
      <c r="S669" s="84"/>
      <c r="T669" s="84"/>
      <c r="U669" s="84"/>
      <c r="V669" s="84"/>
      <c r="W669" s="84"/>
      <c r="X669" s="84"/>
      <c r="Y669" s="84"/>
      <c r="Z669" s="84"/>
      <c r="AA669" s="84"/>
      <c r="AB669" s="84"/>
      <c r="AC669" s="84"/>
      <c r="AD669" s="84"/>
      <c r="AE669" s="84"/>
      <c r="AF669" s="84"/>
      <c r="AG669" s="84"/>
      <c r="AH669" s="84"/>
      <c r="AI669" s="84"/>
      <c r="AJ669" s="84"/>
      <c r="AK669" s="84"/>
      <c r="AL669" s="84"/>
      <c r="AM669" s="84"/>
      <c r="AN669" s="84"/>
      <c r="AO669" s="76"/>
      <c r="AP669" s="76"/>
      <c r="AQ669" s="76"/>
      <c r="AR669" s="76"/>
      <c r="AS669" s="76"/>
      <c r="AT669" s="76"/>
      <c r="AU669" s="76"/>
      <c r="AV669" s="76"/>
      <c r="AW669" s="76"/>
      <c r="AX669" s="76"/>
    </row>
    <row r="670" ht="15.75" customHeight="1">
      <c r="A670" s="149" t="s">
        <v>237</v>
      </c>
      <c r="B670" s="131" t="s">
        <v>4258</v>
      </c>
      <c r="C670" s="31" t="s">
        <v>5888</v>
      </c>
      <c r="D670" s="31" t="s">
        <v>5889</v>
      </c>
      <c r="E670" s="31" t="s">
        <v>5890</v>
      </c>
      <c r="F670" s="285"/>
      <c r="G670" s="285"/>
      <c r="H670" s="285"/>
      <c r="I670" s="84"/>
      <c r="J670" s="159"/>
      <c r="K670" s="84"/>
      <c r="L670" s="84"/>
      <c r="M670" s="84"/>
      <c r="N670" s="84"/>
      <c r="O670" s="230" t="s">
        <v>5891</v>
      </c>
      <c r="P670" s="84"/>
      <c r="Q670" s="149" t="s">
        <v>166</v>
      </c>
      <c r="R670" s="84"/>
      <c r="S670" s="84"/>
      <c r="T670" s="84"/>
      <c r="U670" s="84"/>
      <c r="V670" s="84"/>
      <c r="W670" s="84"/>
      <c r="X670" s="84"/>
      <c r="Y670" s="84"/>
      <c r="Z670" s="84"/>
      <c r="AA670" s="84"/>
      <c r="AB670" s="84"/>
      <c r="AC670" s="84"/>
      <c r="AD670" s="84"/>
      <c r="AE670" s="84"/>
      <c r="AF670" s="84"/>
      <c r="AG670" s="84"/>
      <c r="AH670" s="84"/>
      <c r="AI670" s="84"/>
      <c r="AJ670" s="84"/>
      <c r="AK670" s="84"/>
      <c r="AL670" s="84"/>
      <c r="AM670" s="84"/>
      <c r="AN670" s="84"/>
      <c r="AO670" s="76"/>
      <c r="AP670" s="76"/>
      <c r="AQ670" s="76"/>
      <c r="AR670" s="76"/>
      <c r="AS670" s="76"/>
      <c r="AT670" s="76"/>
      <c r="AU670" s="76"/>
      <c r="AV670" s="76"/>
      <c r="AW670" s="76"/>
      <c r="AX670" s="76"/>
    </row>
    <row r="671" ht="15.75" customHeight="1">
      <c r="A671" s="81" t="s">
        <v>4250</v>
      </c>
      <c r="B671" s="131" t="s">
        <v>4268</v>
      </c>
      <c r="C671" s="31" t="s">
        <v>5892</v>
      </c>
      <c r="D671" s="31" t="s">
        <v>5893</v>
      </c>
      <c r="E671" s="31" t="s">
        <v>5894</v>
      </c>
      <c r="F671" s="142" t="s">
        <v>5895</v>
      </c>
      <c r="G671" s="142" t="s">
        <v>5896</v>
      </c>
      <c r="H671" s="142" t="s">
        <v>5897</v>
      </c>
      <c r="I671" s="84"/>
      <c r="J671" s="159"/>
      <c r="K671" s="149" t="s">
        <v>5887</v>
      </c>
      <c r="L671" s="84"/>
      <c r="M671" s="84"/>
      <c r="N671" s="84"/>
      <c r="O671" s="84"/>
      <c r="P671" s="84"/>
      <c r="Q671" s="149" t="s">
        <v>166</v>
      </c>
      <c r="R671" s="84"/>
      <c r="S671" s="84"/>
      <c r="T671" s="84"/>
      <c r="U671" s="84"/>
      <c r="V671" s="84"/>
      <c r="W671" s="84"/>
      <c r="X671" s="84"/>
      <c r="Y671" s="84"/>
      <c r="Z671" s="84"/>
      <c r="AA671" s="84"/>
      <c r="AB671" s="84"/>
      <c r="AC671" s="84"/>
      <c r="AD671" s="84"/>
      <c r="AE671" s="84"/>
      <c r="AF671" s="84"/>
      <c r="AG671" s="84"/>
      <c r="AH671" s="84"/>
      <c r="AI671" s="84"/>
      <c r="AJ671" s="84"/>
      <c r="AK671" s="84"/>
      <c r="AL671" s="84"/>
      <c r="AM671" s="84"/>
      <c r="AN671" s="84"/>
      <c r="AO671" s="76"/>
      <c r="AP671" s="76"/>
      <c r="AQ671" s="76"/>
      <c r="AR671" s="76"/>
      <c r="AS671" s="76"/>
      <c r="AT671" s="76"/>
      <c r="AU671" s="76"/>
      <c r="AV671" s="76"/>
      <c r="AW671" s="76"/>
      <c r="AX671" s="76"/>
    </row>
    <row r="672" ht="15.75" customHeight="1">
      <c r="A672" s="149" t="s">
        <v>237</v>
      </c>
      <c r="B672" s="131" t="s">
        <v>4272</v>
      </c>
      <c r="C672" s="31" t="s">
        <v>5898</v>
      </c>
      <c r="D672" s="31" t="s">
        <v>5899</v>
      </c>
      <c r="E672" s="31" t="s">
        <v>5900</v>
      </c>
      <c r="F672" s="31"/>
      <c r="G672" s="31"/>
      <c r="H672" s="31"/>
      <c r="I672" s="84"/>
      <c r="J672" s="159"/>
      <c r="K672" s="84"/>
      <c r="L672" s="84"/>
      <c r="M672" s="84"/>
      <c r="N672" s="84"/>
      <c r="O672" s="230" t="s">
        <v>5901</v>
      </c>
      <c r="P672" s="84"/>
      <c r="Q672" s="149" t="s">
        <v>166</v>
      </c>
      <c r="R672" s="84"/>
      <c r="S672" s="84"/>
      <c r="T672" s="84"/>
      <c r="U672" s="84"/>
      <c r="V672" s="84"/>
      <c r="W672" s="84"/>
      <c r="X672" s="84"/>
      <c r="Y672" s="84"/>
      <c r="Z672" s="84"/>
      <c r="AA672" s="84"/>
      <c r="AB672" s="84"/>
      <c r="AC672" s="84"/>
      <c r="AD672" s="84"/>
      <c r="AE672" s="84"/>
      <c r="AF672" s="84"/>
      <c r="AG672" s="84"/>
      <c r="AH672" s="84"/>
      <c r="AI672" s="84"/>
      <c r="AJ672" s="84"/>
      <c r="AK672" s="84"/>
      <c r="AL672" s="84"/>
      <c r="AM672" s="84"/>
      <c r="AN672" s="84"/>
      <c r="AO672" s="76"/>
      <c r="AP672" s="76"/>
      <c r="AQ672" s="76"/>
      <c r="AR672" s="76"/>
      <c r="AS672" s="76"/>
      <c r="AT672" s="76"/>
      <c r="AU672" s="76"/>
      <c r="AV672" s="76"/>
      <c r="AW672" s="76"/>
      <c r="AX672" s="76"/>
    </row>
    <row r="673" ht="15.75" customHeight="1">
      <c r="A673" s="81" t="s">
        <v>485</v>
      </c>
      <c r="B673" s="142" t="s">
        <v>4282</v>
      </c>
      <c r="C673" s="31" t="s">
        <v>5902</v>
      </c>
      <c r="D673" s="31" t="s">
        <v>5903</v>
      </c>
      <c r="E673" s="31" t="s">
        <v>5904</v>
      </c>
      <c r="F673" s="31"/>
      <c r="G673" s="31"/>
      <c r="H673" s="31"/>
      <c r="I673" s="84"/>
      <c r="J673" s="159"/>
      <c r="K673" s="84"/>
      <c r="L673" s="84"/>
      <c r="M673" s="84"/>
      <c r="N673" s="84"/>
      <c r="O673" s="84"/>
      <c r="P673" s="84"/>
      <c r="Q673" s="84" t="s">
        <v>166</v>
      </c>
      <c r="R673" s="84"/>
      <c r="S673" s="84"/>
      <c r="T673" s="84"/>
      <c r="U673" s="84"/>
      <c r="V673" s="84"/>
      <c r="W673" s="84"/>
      <c r="X673" s="84"/>
      <c r="Y673" s="84"/>
      <c r="Z673" s="84"/>
      <c r="AA673" s="84"/>
      <c r="AB673" s="84"/>
      <c r="AC673" s="84"/>
      <c r="AD673" s="84"/>
      <c r="AE673" s="84"/>
      <c r="AF673" s="84"/>
      <c r="AG673" s="84"/>
      <c r="AH673" s="84"/>
      <c r="AI673" s="84"/>
      <c r="AJ673" s="84"/>
      <c r="AK673" s="84"/>
      <c r="AL673" s="84"/>
      <c r="AM673" s="84"/>
      <c r="AN673" s="84"/>
      <c r="AO673" s="76"/>
      <c r="AP673" s="76"/>
      <c r="AQ673" s="76"/>
      <c r="AR673" s="76"/>
      <c r="AS673" s="76"/>
      <c r="AT673" s="76"/>
      <c r="AU673" s="76"/>
      <c r="AV673" s="76"/>
      <c r="AW673" s="76"/>
      <c r="AX673" s="76"/>
    </row>
    <row r="674" ht="15.75" customHeight="1">
      <c r="A674" s="146" t="s">
        <v>237</v>
      </c>
      <c r="B674" s="147" t="s">
        <v>4290</v>
      </c>
      <c r="C674" s="31" t="s">
        <v>5905</v>
      </c>
      <c r="D674" s="31" t="s">
        <v>5906</v>
      </c>
      <c r="E674" s="31" t="s">
        <v>5907</v>
      </c>
      <c r="F674" s="31"/>
      <c r="G674" s="31"/>
      <c r="H674" s="31"/>
      <c r="I674" s="175"/>
      <c r="J674" s="175"/>
      <c r="K674" s="176" t="s">
        <v>2539</v>
      </c>
      <c r="L674" s="176"/>
      <c r="M674" s="175"/>
      <c r="N674" s="175"/>
      <c r="O674" s="175" t="s">
        <v>5908</v>
      </c>
      <c r="P674" s="175"/>
      <c r="Q674" s="175" t="s">
        <v>166</v>
      </c>
      <c r="R674" s="175"/>
      <c r="S674" s="175"/>
      <c r="T674" s="175"/>
      <c r="U674" s="175"/>
      <c r="V674" s="175"/>
      <c r="W674" s="175"/>
      <c r="X674" s="175"/>
      <c r="Y674" s="175"/>
      <c r="Z674" s="175"/>
      <c r="AA674" s="175"/>
      <c r="AB674" s="175"/>
      <c r="AC674" s="175"/>
      <c r="AD674" s="175"/>
      <c r="AE674" s="175"/>
      <c r="AF674" s="175"/>
      <c r="AG674" s="175"/>
      <c r="AH674" s="175"/>
      <c r="AI674" s="175"/>
      <c r="AJ674" s="175"/>
      <c r="AK674" s="175"/>
      <c r="AL674" s="175"/>
      <c r="AM674" s="175"/>
      <c r="AN674" s="175"/>
      <c r="AO674" s="76"/>
      <c r="AP674" s="76"/>
      <c r="AQ674" s="76"/>
      <c r="AR674" s="76"/>
      <c r="AS674" s="76"/>
      <c r="AT674" s="76"/>
      <c r="AU674" s="76"/>
      <c r="AV674" s="76"/>
      <c r="AW674" s="76"/>
      <c r="AX674" s="76"/>
    </row>
    <row r="675" ht="15.75" customHeight="1">
      <c r="A675" s="81" t="s">
        <v>4250</v>
      </c>
      <c r="B675" s="142" t="s">
        <v>4298</v>
      </c>
      <c r="C675" s="31" t="s">
        <v>5909</v>
      </c>
      <c r="D675" s="31" t="s">
        <v>5910</v>
      </c>
      <c r="E675" s="31" t="s">
        <v>5911</v>
      </c>
      <c r="F675" s="31" t="s">
        <v>1655</v>
      </c>
      <c r="G675" s="31" t="s">
        <v>4935</v>
      </c>
      <c r="H675" s="31" t="s">
        <v>1659</v>
      </c>
      <c r="I675" s="84"/>
      <c r="J675" s="159"/>
      <c r="K675" s="84"/>
      <c r="L675" s="84"/>
      <c r="M675" s="84"/>
      <c r="N675" s="84"/>
      <c r="O675" s="84" t="s">
        <v>5908</v>
      </c>
      <c r="P675" s="84"/>
      <c r="Q675" s="84" t="s">
        <v>166</v>
      </c>
      <c r="R675" s="84"/>
      <c r="S675" s="84"/>
      <c r="T675" s="84"/>
      <c r="U675" s="84"/>
      <c r="V675" s="84"/>
      <c r="W675" s="84"/>
      <c r="X675" s="84"/>
      <c r="Y675" s="149" t="s">
        <v>1006</v>
      </c>
      <c r="Z675" s="84"/>
      <c r="AA675" s="84"/>
      <c r="AB675" s="84"/>
      <c r="AC675" s="84"/>
      <c r="AD675" s="84"/>
      <c r="AE675" s="84"/>
      <c r="AF675" s="84"/>
      <c r="AG675" s="84"/>
      <c r="AH675" s="84"/>
      <c r="AI675" s="84"/>
      <c r="AJ675" s="84"/>
      <c r="AK675" s="84"/>
      <c r="AL675" s="84"/>
      <c r="AM675" s="84"/>
      <c r="AN675" s="84"/>
      <c r="AO675" s="76"/>
      <c r="AP675" s="76"/>
      <c r="AQ675" s="76"/>
      <c r="AR675" s="76"/>
      <c r="AS675" s="76"/>
      <c r="AT675" s="76"/>
      <c r="AU675" s="76"/>
      <c r="AV675" s="76"/>
      <c r="AW675" s="76"/>
      <c r="AX675" s="76"/>
    </row>
    <row r="676" ht="15.75" customHeight="1">
      <c r="A676" s="133" t="s">
        <v>214</v>
      </c>
      <c r="B676" s="143" t="s">
        <v>4307</v>
      </c>
      <c r="C676" s="31" t="s">
        <v>5912</v>
      </c>
      <c r="D676" s="31" t="s">
        <v>5913</v>
      </c>
      <c r="E676" s="31" t="s">
        <v>5914</v>
      </c>
      <c r="F676" s="31"/>
      <c r="G676" s="31"/>
      <c r="H676" s="31"/>
      <c r="I676" s="162"/>
      <c r="J676" s="163"/>
      <c r="K676" s="162"/>
      <c r="L676" s="162"/>
      <c r="M676" s="162"/>
      <c r="N676" s="162"/>
      <c r="O676" s="162" t="s">
        <v>5915</v>
      </c>
      <c r="P676" s="162"/>
      <c r="Q676" s="162" t="s">
        <v>166</v>
      </c>
      <c r="R676" s="162"/>
      <c r="S676" s="162"/>
      <c r="T676" s="162"/>
      <c r="U676" s="162"/>
      <c r="V676" s="162"/>
      <c r="W676" s="162"/>
      <c r="X676" s="162"/>
      <c r="Y676" s="162"/>
      <c r="Z676" s="162"/>
      <c r="AA676" s="162"/>
      <c r="AB676" s="162"/>
      <c r="AC676" s="162"/>
      <c r="AD676" s="162"/>
      <c r="AE676" s="162"/>
      <c r="AF676" s="162"/>
      <c r="AG676" s="162"/>
      <c r="AH676" s="162"/>
      <c r="AI676" s="162"/>
      <c r="AJ676" s="162"/>
      <c r="AK676" s="162"/>
      <c r="AL676" s="162"/>
      <c r="AM676" s="162"/>
      <c r="AN676" s="162"/>
      <c r="AO676" s="76"/>
      <c r="AP676" s="76"/>
      <c r="AQ676" s="76"/>
      <c r="AR676" s="76"/>
      <c r="AS676" s="76"/>
      <c r="AT676" s="76"/>
      <c r="AU676" s="76"/>
      <c r="AV676" s="76"/>
      <c r="AW676" s="76"/>
      <c r="AX676" s="76"/>
    </row>
    <row r="677" ht="15.75" customHeight="1">
      <c r="A677" s="81" t="s">
        <v>485</v>
      </c>
      <c r="B677" s="142" t="s">
        <v>4311</v>
      </c>
      <c r="C677" s="31" t="s">
        <v>5916</v>
      </c>
      <c r="D677" s="31" t="s">
        <v>5917</v>
      </c>
      <c r="E677" s="31" t="s">
        <v>5918</v>
      </c>
      <c r="F677" s="31"/>
      <c r="G677" s="31"/>
      <c r="H677" s="31"/>
      <c r="I677" s="84"/>
      <c r="J677" s="159"/>
      <c r="K677" s="84"/>
      <c r="L677" s="84"/>
      <c r="M677" s="84"/>
      <c r="N677" s="84"/>
      <c r="O677" s="84"/>
      <c r="P677" s="84"/>
      <c r="Q677" s="84" t="s">
        <v>166</v>
      </c>
      <c r="R677" s="84"/>
      <c r="S677" s="84"/>
      <c r="T677" s="84"/>
      <c r="U677" s="84"/>
      <c r="V677" s="84"/>
      <c r="W677" s="84"/>
      <c r="X677" s="84"/>
      <c r="Y677" s="84"/>
      <c r="Z677" s="84"/>
      <c r="AA677" s="84"/>
      <c r="AB677" s="84"/>
      <c r="AC677" s="84"/>
      <c r="AD677" s="84"/>
      <c r="AE677" s="84"/>
      <c r="AF677" s="84"/>
      <c r="AG677" s="84"/>
      <c r="AH677" s="84"/>
      <c r="AI677" s="84"/>
      <c r="AJ677" s="84"/>
      <c r="AK677" s="84"/>
      <c r="AL677" s="84"/>
      <c r="AM677" s="84"/>
      <c r="AN677" s="84"/>
      <c r="AO677" s="76"/>
      <c r="AP677" s="76"/>
      <c r="AQ677" s="76"/>
      <c r="AR677" s="76"/>
      <c r="AS677" s="76"/>
      <c r="AT677" s="76"/>
      <c r="AU677" s="76"/>
      <c r="AV677" s="76"/>
      <c r="AW677" s="76"/>
      <c r="AX677" s="76"/>
    </row>
    <row r="678" ht="15.75" customHeight="1">
      <c r="A678" s="146" t="s">
        <v>237</v>
      </c>
      <c r="B678" s="147" t="s">
        <v>4315</v>
      </c>
      <c r="C678" s="31" t="s">
        <v>5919</v>
      </c>
      <c r="D678" s="31" t="s">
        <v>5920</v>
      </c>
      <c r="E678" s="31" t="s">
        <v>5921</v>
      </c>
      <c r="F678" s="31"/>
      <c r="G678" s="31"/>
      <c r="H678" s="31"/>
      <c r="I678" s="175"/>
      <c r="J678" s="175"/>
      <c r="K678" s="176" t="s">
        <v>2539</v>
      </c>
      <c r="L678" s="176"/>
      <c r="M678" s="175"/>
      <c r="N678" s="175"/>
      <c r="O678" s="175" t="s">
        <v>5922</v>
      </c>
      <c r="P678" s="175"/>
      <c r="Q678" s="175" t="s">
        <v>166</v>
      </c>
      <c r="R678" s="175"/>
      <c r="S678" s="175"/>
      <c r="T678" s="175"/>
      <c r="U678" s="175"/>
      <c r="V678" s="175"/>
      <c r="W678" s="175"/>
      <c r="X678" s="175"/>
      <c r="Y678" s="175"/>
      <c r="Z678" s="175"/>
      <c r="AA678" s="175"/>
      <c r="AB678" s="175"/>
      <c r="AC678" s="175"/>
      <c r="AD678" s="175"/>
      <c r="AE678" s="175"/>
      <c r="AF678" s="175"/>
      <c r="AG678" s="175"/>
      <c r="AH678" s="175"/>
      <c r="AI678" s="175"/>
      <c r="AJ678" s="175"/>
      <c r="AK678" s="175"/>
      <c r="AL678" s="175"/>
      <c r="AM678" s="175"/>
      <c r="AN678" s="175"/>
      <c r="AO678" s="76"/>
      <c r="AP678" s="76"/>
      <c r="AQ678" s="76"/>
      <c r="AR678" s="76"/>
      <c r="AS678" s="76"/>
      <c r="AT678" s="76"/>
      <c r="AU678" s="76"/>
      <c r="AV678" s="76"/>
      <c r="AW678" s="76"/>
      <c r="AX678" s="76"/>
    </row>
    <row r="679" ht="15.75" customHeight="1">
      <c r="A679" s="81" t="s">
        <v>4323</v>
      </c>
      <c r="B679" s="142" t="s">
        <v>4324</v>
      </c>
      <c r="C679" s="31" t="s">
        <v>5923</v>
      </c>
      <c r="D679" s="31" t="s">
        <v>5924</v>
      </c>
      <c r="E679" s="31" t="s">
        <v>5925</v>
      </c>
      <c r="F679" s="31" t="s">
        <v>1655</v>
      </c>
      <c r="G679" s="31" t="s">
        <v>4935</v>
      </c>
      <c r="H679" s="31" t="s">
        <v>1659</v>
      </c>
      <c r="I679" s="84"/>
      <c r="J679" s="159"/>
      <c r="K679" s="84"/>
      <c r="L679" s="84"/>
      <c r="M679" s="84"/>
      <c r="N679" s="84"/>
      <c r="O679" s="84" t="s">
        <v>5922</v>
      </c>
      <c r="P679" s="84"/>
      <c r="Q679" s="84" t="s">
        <v>166</v>
      </c>
      <c r="R679" s="84"/>
      <c r="S679" s="84"/>
      <c r="T679" s="84"/>
      <c r="U679" s="84"/>
      <c r="V679" s="84"/>
      <c r="W679" s="84"/>
      <c r="X679" s="84"/>
      <c r="Y679" s="84"/>
      <c r="Z679" s="84"/>
      <c r="AA679" s="84"/>
      <c r="AB679" s="84"/>
      <c r="AC679" s="84"/>
      <c r="AD679" s="84"/>
      <c r="AE679" s="84"/>
      <c r="AF679" s="84"/>
      <c r="AG679" s="84"/>
      <c r="AH679" s="84"/>
      <c r="AI679" s="84"/>
      <c r="AJ679" s="84"/>
      <c r="AK679" s="84"/>
      <c r="AL679" s="84"/>
      <c r="AM679" s="84"/>
      <c r="AN679" s="84"/>
      <c r="AO679" s="76"/>
      <c r="AP679" s="76"/>
      <c r="AQ679" s="76"/>
      <c r="AR679" s="76"/>
      <c r="AS679" s="76"/>
      <c r="AT679" s="76"/>
      <c r="AU679" s="76"/>
      <c r="AV679" s="76"/>
      <c r="AW679" s="76"/>
      <c r="AX679" s="76"/>
    </row>
    <row r="680" ht="15.75" customHeight="1">
      <c r="A680" s="133" t="s">
        <v>214</v>
      </c>
      <c r="B680" s="143" t="s">
        <v>4331</v>
      </c>
      <c r="C680" s="31" t="s">
        <v>5926</v>
      </c>
      <c r="D680" s="31" t="s">
        <v>5927</v>
      </c>
      <c r="E680" s="31" t="s">
        <v>5928</v>
      </c>
      <c r="F680" s="31"/>
      <c r="G680" s="31"/>
      <c r="H680" s="31"/>
      <c r="I680" s="162"/>
      <c r="J680" s="163"/>
      <c r="K680" s="162"/>
      <c r="L680" s="162"/>
      <c r="M680" s="162"/>
      <c r="N680" s="162"/>
      <c r="O680" s="162" t="s">
        <v>5929</v>
      </c>
      <c r="P680" s="162"/>
      <c r="Q680" s="162" t="s">
        <v>166</v>
      </c>
      <c r="R680" s="162"/>
      <c r="S680" s="162"/>
      <c r="T680" s="162"/>
      <c r="U680" s="162"/>
      <c r="V680" s="162"/>
      <c r="W680" s="162"/>
      <c r="X680" s="162"/>
      <c r="Y680" s="162"/>
      <c r="Z680" s="162"/>
      <c r="AA680" s="162"/>
      <c r="AB680" s="162"/>
      <c r="AC680" s="162"/>
      <c r="AD680" s="162"/>
      <c r="AE680" s="162"/>
      <c r="AF680" s="162"/>
      <c r="AG680" s="162"/>
      <c r="AH680" s="162"/>
      <c r="AI680" s="162"/>
      <c r="AJ680" s="162"/>
      <c r="AK680" s="162"/>
      <c r="AL680" s="162"/>
      <c r="AM680" s="162"/>
      <c r="AN680" s="162"/>
      <c r="AO680" s="76"/>
      <c r="AP680" s="76"/>
      <c r="AQ680" s="76"/>
      <c r="AR680" s="76"/>
      <c r="AS680" s="76"/>
      <c r="AT680" s="76"/>
      <c r="AU680" s="76"/>
      <c r="AV680" s="76"/>
      <c r="AW680" s="76"/>
      <c r="AX680" s="76"/>
    </row>
    <row r="681" ht="15.75" customHeight="1">
      <c r="A681" s="81" t="s">
        <v>485</v>
      </c>
      <c r="B681" s="142" t="s">
        <v>4335</v>
      </c>
      <c r="C681" s="31" t="s">
        <v>5930</v>
      </c>
      <c r="D681" s="31" t="s">
        <v>5931</v>
      </c>
      <c r="E681" s="31" t="s">
        <v>5932</v>
      </c>
      <c r="F681" s="31"/>
      <c r="G681" s="31"/>
      <c r="H681" s="31"/>
      <c r="I681" s="84"/>
      <c r="J681" s="159"/>
      <c r="K681" s="84"/>
      <c r="L681" s="84"/>
      <c r="M681" s="84"/>
      <c r="N681" s="84"/>
      <c r="O681" s="84"/>
      <c r="P681" s="84"/>
      <c r="Q681" s="84" t="s">
        <v>166</v>
      </c>
      <c r="R681" s="84"/>
      <c r="S681" s="84"/>
      <c r="T681" s="84"/>
      <c r="U681" s="84"/>
      <c r="V681" s="84"/>
      <c r="W681" s="84"/>
      <c r="X681" s="84"/>
      <c r="Y681" s="84"/>
      <c r="Z681" s="84"/>
      <c r="AA681" s="84"/>
      <c r="AB681" s="84"/>
      <c r="AC681" s="84"/>
      <c r="AD681" s="84"/>
      <c r="AE681" s="84"/>
      <c r="AF681" s="84"/>
      <c r="AG681" s="84"/>
      <c r="AH681" s="84"/>
      <c r="AI681" s="84"/>
      <c r="AJ681" s="84"/>
      <c r="AK681" s="84"/>
      <c r="AL681" s="84"/>
      <c r="AM681" s="84"/>
      <c r="AN681" s="84"/>
      <c r="AO681" s="76"/>
      <c r="AP681" s="76"/>
      <c r="AQ681" s="76"/>
      <c r="AR681" s="76"/>
      <c r="AS681" s="76"/>
      <c r="AT681" s="76"/>
      <c r="AU681" s="76"/>
      <c r="AV681" s="76"/>
      <c r="AW681" s="76"/>
      <c r="AX681" s="76"/>
    </row>
    <row r="682" ht="15.75" customHeight="1">
      <c r="A682" s="146" t="s">
        <v>237</v>
      </c>
      <c r="B682" s="147" t="s">
        <v>4342</v>
      </c>
      <c r="C682" s="31" t="s">
        <v>5933</v>
      </c>
      <c r="D682" s="31" t="s">
        <v>5934</v>
      </c>
      <c r="E682" s="31" t="s">
        <v>5935</v>
      </c>
      <c r="F682" s="31"/>
      <c r="G682" s="31"/>
      <c r="H682" s="31"/>
      <c r="I682" s="175"/>
      <c r="J682" s="175"/>
      <c r="K682" s="176" t="s">
        <v>2539</v>
      </c>
      <c r="L682" s="176"/>
      <c r="M682" s="175"/>
      <c r="N682" s="175"/>
      <c r="O682" s="175" t="s">
        <v>5936</v>
      </c>
      <c r="P682" s="175"/>
      <c r="Q682" s="175" t="s">
        <v>166</v>
      </c>
      <c r="R682" s="175"/>
      <c r="S682" s="175"/>
      <c r="T682" s="175"/>
      <c r="U682" s="175"/>
      <c r="V682" s="175"/>
      <c r="W682" s="175"/>
      <c r="X682" s="175"/>
      <c r="Y682" s="175"/>
      <c r="Z682" s="175"/>
      <c r="AA682" s="175"/>
      <c r="AB682" s="175"/>
      <c r="AC682" s="175"/>
      <c r="AD682" s="175"/>
      <c r="AE682" s="175"/>
      <c r="AF682" s="175"/>
      <c r="AG682" s="175"/>
      <c r="AH682" s="175"/>
      <c r="AI682" s="175"/>
      <c r="AJ682" s="175"/>
      <c r="AK682" s="175"/>
      <c r="AL682" s="175"/>
      <c r="AM682" s="175"/>
      <c r="AN682" s="175"/>
      <c r="AO682" s="76"/>
      <c r="AP682" s="76"/>
      <c r="AQ682" s="76"/>
      <c r="AR682" s="76"/>
      <c r="AS682" s="76"/>
      <c r="AT682" s="76"/>
      <c r="AU682" s="76"/>
      <c r="AV682" s="76"/>
      <c r="AW682" s="76"/>
      <c r="AX682" s="76"/>
    </row>
    <row r="683" ht="15.75" customHeight="1">
      <c r="A683" s="81" t="s">
        <v>4250</v>
      </c>
      <c r="B683" s="142" t="s">
        <v>4352</v>
      </c>
      <c r="C683" s="31" t="s">
        <v>5937</v>
      </c>
      <c r="D683" s="31" t="s">
        <v>5938</v>
      </c>
      <c r="E683" s="31" t="s">
        <v>5939</v>
      </c>
      <c r="F683" s="31" t="s">
        <v>1655</v>
      </c>
      <c r="G683" s="31" t="s">
        <v>4935</v>
      </c>
      <c r="H683" s="31" t="s">
        <v>1659</v>
      </c>
      <c r="I683" s="84"/>
      <c r="J683" s="159"/>
      <c r="K683" s="84"/>
      <c r="L683" s="84"/>
      <c r="M683" s="84"/>
      <c r="N683" s="84"/>
      <c r="O683" s="84" t="s">
        <v>5936</v>
      </c>
      <c r="P683" s="84"/>
      <c r="Q683" s="84" t="s">
        <v>166</v>
      </c>
      <c r="R683" s="84"/>
      <c r="S683" s="84"/>
      <c r="T683" s="84"/>
      <c r="U683" s="84"/>
      <c r="V683" s="84"/>
      <c r="W683" s="84"/>
      <c r="X683" s="84"/>
      <c r="Y683" s="149" t="s">
        <v>1006</v>
      </c>
      <c r="Z683" s="84"/>
      <c r="AA683" s="84"/>
      <c r="AB683" s="84"/>
      <c r="AC683" s="84"/>
      <c r="AD683" s="84"/>
      <c r="AE683" s="84"/>
      <c r="AF683" s="84"/>
      <c r="AG683" s="84"/>
      <c r="AH683" s="84"/>
      <c r="AI683" s="84"/>
      <c r="AJ683" s="84"/>
      <c r="AK683" s="84"/>
      <c r="AL683" s="84"/>
      <c r="AM683" s="84"/>
      <c r="AN683" s="84"/>
      <c r="AO683" s="76"/>
      <c r="AP683" s="76"/>
      <c r="AQ683" s="76"/>
      <c r="AR683" s="76"/>
      <c r="AS683" s="76"/>
      <c r="AT683" s="76"/>
      <c r="AU683" s="76"/>
      <c r="AV683" s="76"/>
      <c r="AW683" s="76"/>
      <c r="AX683" s="76"/>
    </row>
    <row r="684" ht="15.75" customHeight="1">
      <c r="A684" s="133" t="s">
        <v>214</v>
      </c>
      <c r="B684" s="143" t="s">
        <v>4359</v>
      </c>
      <c r="C684" s="31" t="s">
        <v>5940</v>
      </c>
      <c r="D684" s="31" t="s">
        <v>5941</v>
      </c>
      <c r="E684" s="31" t="s">
        <v>5942</v>
      </c>
      <c r="F684" s="31"/>
      <c r="G684" s="31"/>
      <c r="H684" s="31"/>
      <c r="I684" s="162"/>
      <c r="J684" s="163"/>
      <c r="K684" s="162"/>
      <c r="L684" s="162"/>
      <c r="M684" s="162"/>
      <c r="N684" s="162"/>
      <c r="O684" s="162" t="s">
        <v>5943</v>
      </c>
      <c r="P684" s="162"/>
      <c r="Q684" s="162" t="s">
        <v>166</v>
      </c>
      <c r="R684" s="162"/>
      <c r="S684" s="162"/>
      <c r="T684" s="162"/>
      <c r="U684" s="162"/>
      <c r="V684" s="162"/>
      <c r="W684" s="162"/>
      <c r="X684" s="162"/>
      <c r="Y684" s="162"/>
      <c r="Z684" s="162"/>
      <c r="AA684" s="162"/>
      <c r="AB684" s="162"/>
      <c r="AC684" s="162"/>
      <c r="AD684" s="162"/>
      <c r="AE684" s="162"/>
      <c r="AF684" s="162"/>
      <c r="AG684" s="162"/>
      <c r="AH684" s="162"/>
      <c r="AI684" s="162"/>
      <c r="AJ684" s="162"/>
      <c r="AK684" s="162"/>
      <c r="AL684" s="162"/>
      <c r="AM684" s="162"/>
      <c r="AN684" s="162"/>
      <c r="AO684" s="76"/>
      <c r="AP684" s="76"/>
      <c r="AQ684" s="76"/>
      <c r="AR684" s="76"/>
      <c r="AS684" s="76"/>
      <c r="AT684" s="76"/>
      <c r="AU684" s="76"/>
      <c r="AV684" s="76"/>
      <c r="AW684" s="76"/>
      <c r="AX684" s="76"/>
    </row>
    <row r="685" ht="15.75" customHeight="1">
      <c r="A685" s="81" t="s">
        <v>485</v>
      </c>
      <c r="B685" s="142" t="s">
        <v>4366</v>
      </c>
      <c r="C685" s="31" t="s">
        <v>5944</v>
      </c>
      <c r="D685" s="31" t="s">
        <v>5945</v>
      </c>
      <c r="E685" s="31" t="s">
        <v>5946</v>
      </c>
      <c r="F685" s="31"/>
      <c r="G685" s="31"/>
      <c r="H685" s="31"/>
      <c r="I685" s="84"/>
      <c r="J685" s="159"/>
      <c r="K685" s="84"/>
      <c r="L685" s="84"/>
      <c r="M685" s="84"/>
      <c r="N685" s="84"/>
      <c r="O685" s="84"/>
      <c r="P685" s="84"/>
      <c r="Q685" s="84" t="s">
        <v>166</v>
      </c>
      <c r="R685" s="84"/>
      <c r="S685" s="84"/>
      <c r="T685" s="84"/>
      <c r="U685" s="84"/>
      <c r="V685" s="84"/>
      <c r="W685" s="84"/>
      <c r="X685" s="84"/>
      <c r="Y685" s="84"/>
      <c r="Z685" s="84"/>
      <c r="AA685" s="84"/>
      <c r="AB685" s="84"/>
      <c r="AC685" s="84"/>
      <c r="AD685" s="84"/>
      <c r="AE685" s="84"/>
      <c r="AF685" s="84"/>
      <c r="AG685" s="84"/>
      <c r="AH685" s="84"/>
      <c r="AI685" s="84"/>
      <c r="AJ685" s="84"/>
      <c r="AK685" s="84"/>
      <c r="AL685" s="84"/>
      <c r="AM685" s="84"/>
      <c r="AN685" s="84"/>
      <c r="AO685" s="76"/>
      <c r="AP685" s="76"/>
      <c r="AQ685" s="76"/>
      <c r="AR685" s="76"/>
      <c r="AS685" s="76"/>
      <c r="AT685" s="76"/>
      <c r="AU685" s="76"/>
      <c r="AV685" s="76"/>
      <c r="AW685" s="76"/>
      <c r="AX685" s="76"/>
    </row>
    <row r="686" ht="15.75" customHeight="1">
      <c r="A686" s="146" t="s">
        <v>237</v>
      </c>
      <c r="B686" s="147" t="s">
        <v>4373</v>
      </c>
      <c r="C686" s="31" t="s">
        <v>5947</v>
      </c>
      <c r="D686" s="31" t="s">
        <v>5948</v>
      </c>
      <c r="E686" s="31" t="s">
        <v>5949</v>
      </c>
      <c r="F686" s="31"/>
      <c r="G686" s="31"/>
      <c r="H686" s="31"/>
      <c r="I686" s="175"/>
      <c r="J686" s="175"/>
      <c r="K686" s="176" t="s">
        <v>2539</v>
      </c>
      <c r="L686" s="176"/>
      <c r="M686" s="175"/>
      <c r="N686" s="175"/>
      <c r="O686" s="175" t="s">
        <v>5950</v>
      </c>
      <c r="P686" s="175"/>
      <c r="Q686" s="175" t="s">
        <v>166</v>
      </c>
      <c r="R686" s="175"/>
      <c r="S686" s="175"/>
      <c r="T686" s="175"/>
      <c r="U686" s="175"/>
      <c r="V686" s="175"/>
      <c r="W686" s="175"/>
      <c r="X686" s="175"/>
      <c r="Y686" s="175"/>
      <c r="Z686" s="175"/>
      <c r="AA686" s="175"/>
      <c r="AB686" s="175"/>
      <c r="AC686" s="175"/>
      <c r="AD686" s="175"/>
      <c r="AE686" s="175"/>
      <c r="AF686" s="175"/>
      <c r="AG686" s="175"/>
      <c r="AH686" s="175"/>
      <c r="AI686" s="175"/>
      <c r="AJ686" s="175"/>
      <c r="AK686" s="175"/>
      <c r="AL686" s="175"/>
      <c r="AM686" s="175"/>
      <c r="AN686" s="175"/>
      <c r="AO686" s="76"/>
      <c r="AP686" s="76"/>
      <c r="AQ686" s="76"/>
      <c r="AR686" s="76"/>
      <c r="AS686" s="76"/>
      <c r="AT686" s="76"/>
      <c r="AU686" s="76"/>
      <c r="AV686" s="76"/>
      <c r="AW686" s="76"/>
      <c r="AX686" s="76"/>
    </row>
    <row r="687" ht="15.75" customHeight="1">
      <c r="A687" s="81" t="s">
        <v>4323</v>
      </c>
      <c r="B687" s="142" t="s">
        <v>4385</v>
      </c>
      <c r="C687" s="31" t="s">
        <v>5951</v>
      </c>
      <c r="D687" s="31" t="s">
        <v>5952</v>
      </c>
      <c r="E687" s="31" t="s">
        <v>5953</v>
      </c>
      <c r="F687" s="31" t="s">
        <v>1655</v>
      </c>
      <c r="G687" s="31" t="s">
        <v>4935</v>
      </c>
      <c r="H687" s="31" t="s">
        <v>1659</v>
      </c>
      <c r="I687" s="84"/>
      <c r="J687" s="159"/>
      <c r="K687" s="84"/>
      <c r="L687" s="84"/>
      <c r="M687" s="84"/>
      <c r="N687" s="84"/>
      <c r="O687" s="84" t="s">
        <v>5950</v>
      </c>
      <c r="P687" s="84"/>
      <c r="Q687" s="84" t="s">
        <v>166</v>
      </c>
      <c r="R687" s="84"/>
      <c r="S687" s="84"/>
      <c r="T687" s="84"/>
      <c r="U687" s="84"/>
      <c r="V687" s="84"/>
      <c r="W687" s="84"/>
      <c r="X687" s="84"/>
      <c r="Y687" s="84"/>
      <c r="Z687" s="84"/>
      <c r="AA687" s="84"/>
      <c r="AB687" s="84"/>
      <c r="AC687" s="84"/>
      <c r="AD687" s="84"/>
      <c r="AE687" s="84"/>
      <c r="AF687" s="84"/>
      <c r="AG687" s="84"/>
      <c r="AH687" s="84"/>
      <c r="AI687" s="84"/>
      <c r="AJ687" s="84"/>
      <c r="AK687" s="84"/>
      <c r="AL687" s="84"/>
      <c r="AM687" s="84"/>
      <c r="AN687" s="84"/>
      <c r="AO687" s="76"/>
      <c r="AP687" s="76"/>
      <c r="AQ687" s="76"/>
      <c r="AR687" s="76"/>
      <c r="AS687" s="76"/>
      <c r="AT687" s="76"/>
      <c r="AU687" s="76"/>
      <c r="AV687" s="76"/>
      <c r="AW687" s="76"/>
      <c r="AX687" s="76"/>
    </row>
    <row r="688" ht="15.75" customHeight="1">
      <c r="A688" s="133" t="s">
        <v>214</v>
      </c>
      <c r="B688" s="143" t="s">
        <v>4390</v>
      </c>
      <c r="C688" s="31" t="s">
        <v>5954</v>
      </c>
      <c r="D688" s="31" t="s">
        <v>5955</v>
      </c>
      <c r="E688" s="31" t="s">
        <v>5956</v>
      </c>
      <c r="F688" s="31"/>
      <c r="G688" s="31"/>
      <c r="H688" s="31"/>
      <c r="I688" s="162"/>
      <c r="J688" s="163"/>
      <c r="K688" s="162"/>
      <c r="L688" s="162"/>
      <c r="M688" s="162"/>
      <c r="N688" s="162"/>
      <c r="O688" s="162" t="s">
        <v>5957</v>
      </c>
      <c r="P688" s="162"/>
      <c r="Q688" s="162" t="s">
        <v>166</v>
      </c>
      <c r="R688" s="162"/>
      <c r="S688" s="162"/>
      <c r="T688" s="162"/>
      <c r="U688" s="162"/>
      <c r="V688" s="162"/>
      <c r="W688" s="162"/>
      <c r="X688" s="162"/>
      <c r="Y688" s="162"/>
      <c r="Z688" s="162"/>
      <c r="AA688" s="162"/>
      <c r="AB688" s="162"/>
      <c r="AC688" s="162"/>
      <c r="AD688" s="162"/>
      <c r="AE688" s="162"/>
      <c r="AF688" s="162"/>
      <c r="AG688" s="162"/>
      <c r="AH688" s="162"/>
      <c r="AI688" s="162"/>
      <c r="AJ688" s="162"/>
      <c r="AK688" s="162"/>
      <c r="AL688" s="162"/>
      <c r="AM688" s="162"/>
      <c r="AN688" s="162"/>
      <c r="AO688" s="76"/>
      <c r="AP688" s="76"/>
      <c r="AQ688" s="76"/>
      <c r="AR688" s="76"/>
      <c r="AS688" s="76"/>
      <c r="AT688" s="76"/>
      <c r="AU688" s="76"/>
      <c r="AV688" s="76"/>
      <c r="AW688" s="76"/>
      <c r="AX688" s="76"/>
    </row>
    <row r="689" ht="15.75" customHeight="1">
      <c r="A689" s="81" t="s">
        <v>485</v>
      </c>
      <c r="B689" s="142" t="s">
        <v>4398</v>
      </c>
      <c r="C689" s="31" t="s">
        <v>5958</v>
      </c>
      <c r="D689" s="31" t="s">
        <v>5959</v>
      </c>
      <c r="E689" s="31" t="s">
        <v>5960</v>
      </c>
      <c r="F689" s="31"/>
      <c r="G689" s="31"/>
      <c r="H689" s="31"/>
      <c r="I689" s="84"/>
      <c r="J689" s="159"/>
      <c r="K689" s="84"/>
      <c r="L689" s="84"/>
      <c r="M689" s="84"/>
      <c r="N689" s="84"/>
      <c r="O689" s="84"/>
      <c r="P689" s="84"/>
      <c r="Q689" s="84" t="s">
        <v>166</v>
      </c>
      <c r="R689" s="84"/>
      <c r="S689" s="84"/>
      <c r="T689" s="84"/>
      <c r="U689" s="84"/>
      <c r="V689" s="84"/>
      <c r="W689" s="84"/>
      <c r="X689" s="84"/>
      <c r="Y689" s="84"/>
      <c r="Z689" s="84"/>
      <c r="AA689" s="84"/>
      <c r="AB689" s="84"/>
      <c r="AC689" s="84"/>
      <c r="AD689" s="84"/>
      <c r="AE689" s="84"/>
      <c r="AF689" s="84"/>
      <c r="AG689" s="84"/>
      <c r="AH689" s="84"/>
      <c r="AI689" s="84"/>
      <c r="AJ689" s="84"/>
      <c r="AK689" s="84"/>
      <c r="AL689" s="84"/>
      <c r="AM689" s="84"/>
      <c r="AN689" s="84"/>
      <c r="AO689" s="76"/>
      <c r="AP689" s="76"/>
      <c r="AQ689" s="76"/>
      <c r="AR689" s="76"/>
      <c r="AS689" s="76"/>
      <c r="AT689" s="76"/>
      <c r="AU689" s="76"/>
      <c r="AV689" s="76"/>
      <c r="AW689" s="76"/>
      <c r="AX689" s="76"/>
    </row>
    <row r="690" ht="15.75" customHeight="1">
      <c r="A690" s="146" t="s">
        <v>237</v>
      </c>
      <c r="B690" s="147" t="s">
        <v>4405</v>
      </c>
      <c r="C690" s="31" t="s">
        <v>5961</v>
      </c>
      <c r="D690" s="31" t="s">
        <v>5962</v>
      </c>
      <c r="E690" s="31" t="s">
        <v>5963</v>
      </c>
      <c r="F690" s="31"/>
      <c r="G690" s="31"/>
      <c r="H690" s="31"/>
      <c r="I690" s="175"/>
      <c r="J690" s="175"/>
      <c r="K690" s="176" t="s">
        <v>2539</v>
      </c>
      <c r="L690" s="176"/>
      <c r="M690" s="175"/>
      <c r="N690" s="175"/>
      <c r="O690" s="175" t="s">
        <v>5964</v>
      </c>
      <c r="P690" s="175"/>
      <c r="Q690" s="175" t="s">
        <v>166</v>
      </c>
      <c r="R690" s="175"/>
      <c r="S690" s="175"/>
      <c r="T690" s="175"/>
      <c r="U690" s="175"/>
      <c r="V690" s="175"/>
      <c r="W690" s="175"/>
      <c r="X690" s="175"/>
      <c r="Y690" s="175"/>
      <c r="Z690" s="175"/>
      <c r="AA690" s="175"/>
      <c r="AB690" s="175"/>
      <c r="AC690" s="175"/>
      <c r="AD690" s="175"/>
      <c r="AE690" s="175"/>
      <c r="AF690" s="175"/>
      <c r="AG690" s="175"/>
      <c r="AH690" s="175"/>
      <c r="AI690" s="175"/>
      <c r="AJ690" s="175"/>
      <c r="AK690" s="175"/>
      <c r="AL690" s="175"/>
      <c r="AM690" s="175"/>
      <c r="AN690" s="175"/>
      <c r="AO690" s="76"/>
      <c r="AP690" s="76"/>
      <c r="AQ690" s="76"/>
      <c r="AR690" s="76"/>
      <c r="AS690" s="76"/>
      <c r="AT690" s="76"/>
      <c r="AU690" s="76"/>
      <c r="AV690" s="76"/>
      <c r="AW690" s="76"/>
      <c r="AX690" s="76"/>
    </row>
    <row r="691" ht="15.75" customHeight="1">
      <c r="A691" s="81" t="s">
        <v>4250</v>
      </c>
      <c r="B691" s="142" t="s">
        <v>4412</v>
      </c>
      <c r="C691" s="31" t="s">
        <v>5965</v>
      </c>
      <c r="D691" s="31" t="s">
        <v>5966</v>
      </c>
      <c r="E691" s="31" t="s">
        <v>5967</v>
      </c>
      <c r="F691" s="31" t="s">
        <v>1655</v>
      </c>
      <c r="G691" s="31" t="s">
        <v>4935</v>
      </c>
      <c r="H691" s="31" t="s">
        <v>1659</v>
      </c>
      <c r="I691" s="84"/>
      <c r="J691" s="159"/>
      <c r="K691" s="84"/>
      <c r="L691" s="84"/>
      <c r="M691" s="84"/>
      <c r="N691" s="84"/>
      <c r="O691" s="84" t="s">
        <v>5964</v>
      </c>
      <c r="P691" s="84"/>
      <c r="Q691" s="84" t="s">
        <v>166</v>
      </c>
      <c r="R691" s="84"/>
      <c r="S691" s="84"/>
      <c r="T691" s="84"/>
      <c r="U691" s="84"/>
      <c r="V691" s="84"/>
      <c r="W691" s="84"/>
      <c r="X691" s="84"/>
      <c r="Y691" s="149" t="s">
        <v>1006</v>
      </c>
      <c r="Z691" s="84"/>
      <c r="AA691" s="84"/>
      <c r="AB691" s="84"/>
      <c r="AC691" s="84"/>
      <c r="AD691" s="84"/>
      <c r="AE691" s="84"/>
      <c r="AF691" s="84"/>
      <c r="AG691" s="84"/>
      <c r="AH691" s="84"/>
      <c r="AI691" s="84"/>
      <c r="AJ691" s="84"/>
      <c r="AK691" s="84"/>
      <c r="AL691" s="84"/>
      <c r="AM691" s="84"/>
      <c r="AN691" s="84"/>
      <c r="AO691" s="76"/>
      <c r="AP691" s="76"/>
      <c r="AQ691" s="76"/>
      <c r="AR691" s="76"/>
      <c r="AS691" s="76"/>
      <c r="AT691" s="76"/>
      <c r="AU691" s="76"/>
      <c r="AV691" s="76"/>
      <c r="AW691" s="76"/>
      <c r="AX691" s="76"/>
    </row>
    <row r="692" ht="15.75" customHeight="1">
      <c r="A692" s="133" t="s">
        <v>214</v>
      </c>
      <c r="B692" s="143" t="s">
        <v>4416</v>
      </c>
      <c r="C692" s="31" t="s">
        <v>5968</v>
      </c>
      <c r="D692" s="31" t="s">
        <v>5969</v>
      </c>
      <c r="E692" s="31" t="s">
        <v>5970</v>
      </c>
      <c r="F692" s="31"/>
      <c r="G692" s="31"/>
      <c r="H692" s="31"/>
      <c r="I692" s="162"/>
      <c r="J692" s="163"/>
      <c r="K692" s="162"/>
      <c r="L692" s="162"/>
      <c r="M692" s="162"/>
      <c r="N692" s="162"/>
      <c r="O692" s="162" t="s">
        <v>5971</v>
      </c>
      <c r="P692" s="162"/>
      <c r="Q692" s="162" t="s">
        <v>166</v>
      </c>
      <c r="R692" s="162"/>
      <c r="S692" s="162"/>
      <c r="T692" s="162"/>
      <c r="U692" s="162"/>
      <c r="V692" s="162"/>
      <c r="W692" s="162"/>
      <c r="X692" s="162"/>
      <c r="Y692" s="162"/>
      <c r="Z692" s="162"/>
      <c r="AA692" s="162"/>
      <c r="AB692" s="162"/>
      <c r="AC692" s="162"/>
      <c r="AD692" s="162"/>
      <c r="AE692" s="162"/>
      <c r="AF692" s="162"/>
      <c r="AG692" s="162"/>
      <c r="AH692" s="162"/>
      <c r="AI692" s="162"/>
      <c r="AJ692" s="162"/>
      <c r="AK692" s="162"/>
      <c r="AL692" s="162"/>
      <c r="AM692" s="162"/>
      <c r="AN692" s="162"/>
      <c r="AO692" s="76"/>
      <c r="AP692" s="76"/>
      <c r="AQ692" s="76"/>
      <c r="AR692" s="76"/>
      <c r="AS692" s="76"/>
      <c r="AT692" s="76"/>
      <c r="AU692" s="76"/>
      <c r="AV692" s="76"/>
      <c r="AW692" s="76"/>
      <c r="AX692" s="76"/>
    </row>
    <row r="693" ht="15.75" customHeight="1">
      <c r="A693" s="81" t="s">
        <v>485</v>
      </c>
      <c r="B693" s="142" t="s">
        <v>4420</v>
      </c>
      <c r="C693" s="31" t="s">
        <v>5972</v>
      </c>
      <c r="D693" s="31" t="s">
        <v>5973</v>
      </c>
      <c r="E693" s="31" t="s">
        <v>5974</v>
      </c>
      <c r="F693" s="31"/>
      <c r="G693" s="31"/>
      <c r="H693" s="31"/>
      <c r="I693" s="84"/>
      <c r="J693" s="159"/>
      <c r="K693" s="84"/>
      <c r="L693" s="84"/>
      <c r="M693" s="84"/>
      <c r="N693" s="84"/>
      <c r="O693" s="84"/>
      <c r="P693" s="84"/>
      <c r="Q693" s="84" t="s">
        <v>166</v>
      </c>
      <c r="R693" s="84"/>
      <c r="S693" s="84"/>
      <c r="T693" s="84"/>
      <c r="U693" s="84"/>
      <c r="V693" s="84"/>
      <c r="W693" s="84"/>
      <c r="X693" s="84"/>
      <c r="Y693" s="84"/>
      <c r="Z693" s="84"/>
      <c r="AA693" s="84"/>
      <c r="AB693" s="84"/>
      <c r="AC693" s="84"/>
      <c r="AD693" s="84"/>
      <c r="AE693" s="84"/>
      <c r="AF693" s="84"/>
      <c r="AG693" s="84"/>
      <c r="AH693" s="84"/>
      <c r="AI693" s="84"/>
      <c r="AJ693" s="84"/>
      <c r="AK693" s="84"/>
      <c r="AL693" s="84"/>
      <c r="AM693" s="84"/>
      <c r="AN693" s="84"/>
      <c r="AO693" s="76"/>
      <c r="AP693" s="76"/>
      <c r="AQ693" s="76"/>
      <c r="AR693" s="76"/>
      <c r="AS693" s="76"/>
      <c r="AT693" s="76"/>
      <c r="AU693" s="76"/>
      <c r="AV693" s="76"/>
      <c r="AW693" s="76"/>
      <c r="AX693" s="76"/>
    </row>
    <row r="694" ht="15.75" customHeight="1">
      <c r="A694" s="146" t="s">
        <v>237</v>
      </c>
      <c r="B694" s="147" t="s">
        <v>4432</v>
      </c>
      <c r="C694" s="31" t="s">
        <v>5975</v>
      </c>
      <c r="D694" s="31" t="s">
        <v>5976</v>
      </c>
      <c r="E694" s="31" t="s">
        <v>5977</v>
      </c>
      <c r="F694" s="31"/>
      <c r="G694" s="31"/>
      <c r="H694" s="31"/>
      <c r="I694" s="175"/>
      <c r="J694" s="175"/>
      <c r="K694" s="176" t="s">
        <v>2539</v>
      </c>
      <c r="L694" s="176"/>
      <c r="M694" s="175"/>
      <c r="N694" s="175"/>
      <c r="O694" s="175" t="s">
        <v>5978</v>
      </c>
      <c r="P694" s="175"/>
      <c r="Q694" s="175" t="s">
        <v>166</v>
      </c>
      <c r="R694" s="175"/>
      <c r="S694" s="175"/>
      <c r="T694" s="175"/>
      <c r="U694" s="175"/>
      <c r="V694" s="175"/>
      <c r="W694" s="175"/>
      <c r="X694" s="175"/>
      <c r="Y694" s="175"/>
      <c r="Z694" s="175"/>
      <c r="AA694" s="175"/>
      <c r="AB694" s="175"/>
      <c r="AC694" s="175"/>
      <c r="AD694" s="175"/>
      <c r="AE694" s="175"/>
      <c r="AF694" s="175"/>
      <c r="AG694" s="175"/>
      <c r="AH694" s="175"/>
      <c r="AI694" s="175"/>
      <c r="AJ694" s="175"/>
      <c r="AK694" s="175"/>
      <c r="AL694" s="175"/>
      <c r="AM694" s="175"/>
      <c r="AN694" s="175"/>
      <c r="AO694" s="76"/>
      <c r="AP694" s="76"/>
      <c r="AQ694" s="76"/>
      <c r="AR694" s="76"/>
      <c r="AS694" s="76"/>
      <c r="AT694" s="76"/>
      <c r="AU694" s="76"/>
      <c r="AV694" s="76"/>
      <c r="AW694" s="76"/>
      <c r="AX694" s="76"/>
    </row>
    <row r="695" ht="15.75" customHeight="1">
      <c r="A695" s="81" t="s">
        <v>4323</v>
      </c>
      <c r="B695" s="142" t="s">
        <v>4443</v>
      </c>
      <c r="C695" s="31" t="s">
        <v>5979</v>
      </c>
      <c r="D695" s="31" t="s">
        <v>5980</v>
      </c>
      <c r="E695" s="31" t="s">
        <v>5981</v>
      </c>
      <c r="F695" s="31" t="s">
        <v>1655</v>
      </c>
      <c r="G695" s="31" t="s">
        <v>4935</v>
      </c>
      <c r="H695" s="31" t="s">
        <v>1659</v>
      </c>
      <c r="I695" s="84"/>
      <c r="J695" s="159"/>
      <c r="K695" s="84"/>
      <c r="L695" s="84"/>
      <c r="M695" s="84"/>
      <c r="N695" s="84"/>
      <c r="O695" s="84" t="s">
        <v>5978</v>
      </c>
      <c r="P695" s="84"/>
      <c r="Q695" s="84" t="s">
        <v>166</v>
      </c>
      <c r="R695" s="84"/>
      <c r="S695" s="84"/>
      <c r="T695" s="84"/>
      <c r="U695" s="84"/>
      <c r="V695" s="84"/>
      <c r="W695" s="84"/>
      <c r="X695" s="84"/>
      <c r="Y695" s="84"/>
      <c r="Z695" s="84"/>
      <c r="AA695" s="84"/>
      <c r="AB695" s="84"/>
      <c r="AC695" s="84"/>
      <c r="AD695" s="84"/>
      <c r="AE695" s="84"/>
      <c r="AF695" s="84"/>
      <c r="AG695" s="84"/>
      <c r="AH695" s="84"/>
      <c r="AI695" s="84"/>
      <c r="AJ695" s="84"/>
      <c r="AK695" s="84"/>
      <c r="AL695" s="84"/>
      <c r="AM695" s="84"/>
      <c r="AN695" s="84"/>
      <c r="AO695" s="76"/>
      <c r="AP695" s="76"/>
      <c r="AQ695" s="76"/>
      <c r="AR695" s="76"/>
      <c r="AS695" s="76"/>
      <c r="AT695" s="76"/>
      <c r="AU695" s="76"/>
      <c r="AV695" s="76"/>
      <c r="AW695" s="76"/>
      <c r="AX695" s="76"/>
    </row>
    <row r="696" ht="15.75" customHeight="1">
      <c r="A696" s="133" t="s">
        <v>214</v>
      </c>
      <c r="B696" s="143" t="s">
        <v>4449</v>
      </c>
      <c r="C696" s="31" t="s">
        <v>5982</v>
      </c>
      <c r="D696" s="31" t="s">
        <v>5983</v>
      </c>
      <c r="E696" s="31" t="s">
        <v>5984</v>
      </c>
      <c r="F696" s="31"/>
      <c r="G696" s="31"/>
      <c r="H696" s="31"/>
      <c r="I696" s="162"/>
      <c r="J696" s="163"/>
      <c r="K696" s="162"/>
      <c r="L696" s="162"/>
      <c r="M696" s="162"/>
      <c r="N696" s="162"/>
      <c r="O696" s="162" t="s">
        <v>5985</v>
      </c>
      <c r="P696" s="162"/>
      <c r="Q696" s="162" t="s">
        <v>166</v>
      </c>
      <c r="R696" s="162"/>
      <c r="S696" s="162"/>
      <c r="T696" s="162"/>
      <c r="U696" s="162"/>
      <c r="V696" s="162"/>
      <c r="W696" s="162"/>
      <c r="X696" s="162"/>
      <c r="Y696" s="162"/>
      <c r="Z696" s="162"/>
      <c r="AA696" s="162"/>
      <c r="AB696" s="162"/>
      <c r="AC696" s="162"/>
      <c r="AD696" s="162"/>
      <c r="AE696" s="162"/>
      <c r="AF696" s="162"/>
      <c r="AG696" s="162"/>
      <c r="AH696" s="162"/>
      <c r="AI696" s="162"/>
      <c r="AJ696" s="162"/>
      <c r="AK696" s="162"/>
      <c r="AL696" s="162"/>
      <c r="AM696" s="162"/>
      <c r="AN696" s="162"/>
      <c r="AO696" s="76"/>
      <c r="AP696" s="76"/>
      <c r="AQ696" s="76"/>
      <c r="AR696" s="76"/>
      <c r="AS696" s="76"/>
      <c r="AT696" s="76"/>
      <c r="AU696" s="76"/>
      <c r="AV696" s="76"/>
      <c r="AW696" s="76"/>
      <c r="AX696" s="76"/>
    </row>
    <row r="697" ht="15.75" customHeight="1">
      <c r="A697" s="81" t="s">
        <v>485</v>
      </c>
      <c r="B697" s="142" t="s">
        <v>4457</v>
      </c>
      <c r="C697" s="31" t="s">
        <v>5986</v>
      </c>
      <c r="D697" s="31" t="s">
        <v>5987</v>
      </c>
      <c r="E697" s="31" t="s">
        <v>5988</v>
      </c>
      <c r="F697" s="31"/>
      <c r="G697" s="31"/>
      <c r="H697" s="31"/>
      <c r="I697" s="84"/>
      <c r="J697" s="159"/>
      <c r="K697" s="84"/>
      <c r="L697" s="84"/>
      <c r="M697" s="84"/>
      <c r="N697" s="84"/>
      <c r="O697" s="84"/>
      <c r="P697" s="84"/>
      <c r="Q697" s="84" t="s">
        <v>166</v>
      </c>
      <c r="R697" s="84"/>
      <c r="S697" s="84"/>
      <c r="T697" s="84"/>
      <c r="U697" s="84"/>
      <c r="V697" s="84"/>
      <c r="W697" s="84"/>
      <c r="X697" s="84"/>
      <c r="Y697" s="84"/>
      <c r="Z697" s="84"/>
      <c r="AA697" s="84"/>
      <c r="AB697" s="84"/>
      <c r="AC697" s="84"/>
      <c r="AD697" s="84"/>
      <c r="AE697" s="84"/>
      <c r="AF697" s="84"/>
      <c r="AG697" s="84"/>
      <c r="AH697" s="84"/>
      <c r="AI697" s="84"/>
      <c r="AJ697" s="84"/>
      <c r="AK697" s="84"/>
      <c r="AL697" s="84"/>
      <c r="AM697" s="84"/>
      <c r="AN697" s="84"/>
      <c r="AO697" s="76"/>
      <c r="AP697" s="76"/>
      <c r="AQ697" s="76"/>
      <c r="AR697" s="76"/>
      <c r="AS697" s="76"/>
      <c r="AT697" s="76"/>
      <c r="AU697" s="76"/>
      <c r="AV697" s="76"/>
      <c r="AW697" s="76"/>
      <c r="AX697" s="76"/>
    </row>
    <row r="698" ht="15.75" customHeight="1">
      <c r="A698" s="146" t="s">
        <v>237</v>
      </c>
      <c r="B698" s="147" t="s">
        <v>4464</v>
      </c>
      <c r="C698" s="31" t="s">
        <v>5989</v>
      </c>
      <c r="D698" s="31" t="s">
        <v>5990</v>
      </c>
      <c r="E698" s="31" t="s">
        <v>5991</v>
      </c>
      <c r="F698" s="31"/>
      <c r="G698" s="31"/>
      <c r="H698" s="31"/>
      <c r="I698" s="175"/>
      <c r="J698" s="175"/>
      <c r="K698" s="176" t="s">
        <v>2539</v>
      </c>
      <c r="L698" s="176"/>
      <c r="M698" s="175"/>
      <c r="N698" s="175"/>
      <c r="O698" s="175" t="s">
        <v>5992</v>
      </c>
      <c r="P698" s="175"/>
      <c r="Q698" s="175" t="s">
        <v>166</v>
      </c>
      <c r="R698" s="175"/>
      <c r="S698" s="175"/>
      <c r="T698" s="175"/>
      <c r="U698" s="175"/>
      <c r="V698" s="175"/>
      <c r="W698" s="175"/>
      <c r="X698" s="175"/>
      <c r="Y698" s="175"/>
      <c r="Z698" s="175"/>
      <c r="AA698" s="175"/>
      <c r="AB698" s="175"/>
      <c r="AC698" s="175"/>
      <c r="AD698" s="175"/>
      <c r="AE698" s="175"/>
      <c r="AF698" s="175"/>
      <c r="AG698" s="175"/>
      <c r="AH698" s="175"/>
      <c r="AI698" s="175"/>
      <c r="AJ698" s="175"/>
      <c r="AK698" s="175"/>
      <c r="AL698" s="175"/>
      <c r="AM698" s="175"/>
      <c r="AN698" s="175"/>
      <c r="AO698" s="76"/>
      <c r="AP698" s="76"/>
      <c r="AQ698" s="76"/>
      <c r="AR698" s="76"/>
      <c r="AS698" s="76"/>
      <c r="AT698" s="76"/>
      <c r="AU698" s="76"/>
      <c r="AV698" s="76"/>
      <c r="AW698" s="76"/>
      <c r="AX698" s="76"/>
    </row>
    <row r="699" ht="15.75" customHeight="1">
      <c r="A699" s="81" t="s">
        <v>4250</v>
      </c>
      <c r="B699" s="142" t="s">
        <v>4470</v>
      </c>
      <c r="C699" s="31" t="s">
        <v>5993</v>
      </c>
      <c r="D699" s="31" t="s">
        <v>5994</v>
      </c>
      <c r="E699" s="31" t="s">
        <v>5995</v>
      </c>
      <c r="F699" s="31" t="s">
        <v>1655</v>
      </c>
      <c r="G699" s="31" t="s">
        <v>4935</v>
      </c>
      <c r="H699" s="31" t="s">
        <v>1659</v>
      </c>
      <c r="I699" s="84"/>
      <c r="J699" s="159"/>
      <c r="K699" s="84"/>
      <c r="L699" s="84"/>
      <c r="M699" s="84"/>
      <c r="N699" s="84"/>
      <c r="O699" s="84" t="s">
        <v>5992</v>
      </c>
      <c r="P699" s="84"/>
      <c r="Q699" s="84" t="s">
        <v>166</v>
      </c>
      <c r="R699" s="84"/>
      <c r="S699" s="84"/>
      <c r="T699" s="84"/>
      <c r="U699" s="84"/>
      <c r="V699" s="84"/>
      <c r="W699" s="84"/>
      <c r="X699" s="84"/>
      <c r="Y699" s="149" t="s">
        <v>1006</v>
      </c>
      <c r="Z699" s="84"/>
      <c r="AA699" s="84"/>
      <c r="AB699" s="84"/>
      <c r="AC699" s="84"/>
      <c r="AD699" s="84"/>
      <c r="AE699" s="84"/>
      <c r="AF699" s="84"/>
      <c r="AG699" s="84"/>
      <c r="AH699" s="84"/>
      <c r="AI699" s="84"/>
      <c r="AJ699" s="84"/>
      <c r="AK699" s="84"/>
      <c r="AL699" s="84"/>
      <c r="AM699" s="84"/>
      <c r="AN699" s="84"/>
      <c r="AO699" s="76"/>
      <c r="AP699" s="76"/>
      <c r="AQ699" s="76"/>
      <c r="AR699" s="76"/>
      <c r="AS699" s="76"/>
      <c r="AT699" s="76"/>
      <c r="AU699" s="76"/>
      <c r="AV699" s="76"/>
      <c r="AW699" s="76"/>
      <c r="AX699" s="76"/>
    </row>
    <row r="700" ht="15.75" customHeight="1">
      <c r="A700" s="133" t="s">
        <v>214</v>
      </c>
      <c r="B700" s="143" t="s">
        <v>4474</v>
      </c>
      <c r="C700" s="31" t="s">
        <v>5996</v>
      </c>
      <c r="D700" s="31" t="s">
        <v>5997</v>
      </c>
      <c r="E700" s="31" t="s">
        <v>5998</v>
      </c>
      <c r="F700" s="31"/>
      <c r="G700" s="31"/>
      <c r="H700" s="31"/>
      <c r="I700" s="162"/>
      <c r="J700" s="163"/>
      <c r="K700" s="162"/>
      <c r="L700" s="162"/>
      <c r="M700" s="162"/>
      <c r="N700" s="162"/>
      <c r="O700" s="162" t="s">
        <v>5999</v>
      </c>
      <c r="P700" s="162"/>
      <c r="Q700" s="162" t="s">
        <v>166</v>
      </c>
      <c r="R700" s="162"/>
      <c r="S700" s="162"/>
      <c r="T700" s="162"/>
      <c r="U700" s="162"/>
      <c r="V700" s="162"/>
      <c r="W700" s="162"/>
      <c r="X700" s="162"/>
      <c r="Y700" s="162"/>
      <c r="Z700" s="162"/>
      <c r="AA700" s="162"/>
      <c r="AB700" s="162"/>
      <c r="AC700" s="162"/>
      <c r="AD700" s="162"/>
      <c r="AE700" s="162"/>
      <c r="AF700" s="162"/>
      <c r="AG700" s="162"/>
      <c r="AH700" s="162"/>
      <c r="AI700" s="162"/>
      <c r="AJ700" s="162"/>
      <c r="AK700" s="162"/>
      <c r="AL700" s="162"/>
      <c r="AM700" s="162"/>
      <c r="AN700" s="162"/>
      <c r="AO700" s="76"/>
      <c r="AP700" s="76"/>
      <c r="AQ700" s="76"/>
      <c r="AR700" s="76"/>
      <c r="AS700" s="76"/>
      <c r="AT700" s="76"/>
      <c r="AU700" s="76"/>
      <c r="AV700" s="76"/>
      <c r="AW700" s="76"/>
      <c r="AX700" s="76"/>
    </row>
    <row r="701" ht="15.75" customHeight="1">
      <c r="A701" s="81" t="s">
        <v>485</v>
      </c>
      <c r="B701" s="142" t="s">
        <v>4481</v>
      </c>
      <c r="C701" s="31" t="s">
        <v>6000</v>
      </c>
      <c r="D701" s="31" t="s">
        <v>6001</v>
      </c>
      <c r="E701" s="31" t="s">
        <v>6002</v>
      </c>
      <c r="F701" s="31"/>
      <c r="G701" s="31"/>
      <c r="H701" s="31"/>
      <c r="I701" s="84"/>
      <c r="J701" s="159"/>
      <c r="K701" s="84"/>
      <c r="L701" s="84"/>
      <c r="M701" s="84"/>
      <c r="N701" s="84"/>
      <c r="O701" s="84"/>
      <c r="P701" s="84"/>
      <c r="Q701" s="84" t="s">
        <v>166</v>
      </c>
      <c r="R701" s="84"/>
      <c r="S701" s="84"/>
      <c r="T701" s="84"/>
      <c r="U701" s="84"/>
      <c r="V701" s="84"/>
      <c r="W701" s="84"/>
      <c r="X701" s="84"/>
      <c r="Y701" s="84"/>
      <c r="Z701" s="84"/>
      <c r="AA701" s="84"/>
      <c r="AB701" s="84"/>
      <c r="AC701" s="84"/>
      <c r="AD701" s="84"/>
      <c r="AE701" s="84"/>
      <c r="AF701" s="84"/>
      <c r="AG701" s="84"/>
      <c r="AH701" s="84"/>
      <c r="AI701" s="84"/>
      <c r="AJ701" s="84"/>
      <c r="AK701" s="84"/>
      <c r="AL701" s="84"/>
      <c r="AM701" s="84"/>
      <c r="AN701" s="84"/>
      <c r="AO701" s="76"/>
      <c r="AP701" s="76"/>
      <c r="AQ701" s="76"/>
      <c r="AR701" s="76"/>
      <c r="AS701" s="76"/>
      <c r="AT701" s="76"/>
      <c r="AU701" s="76"/>
      <c r="AV701" s="76"/>
      <c r="AW701" s="76"/>
      <c r="AX701" s="76"/>
    </row>
    <row r="702" ht="15.75" customHeight="1">
      <c r="A702" s="146" t="s">
        <v>237</v>
      </c>
      <c r="B702" s="147" t="s">
        <v>4488</v>
      </c>
      <c r="C702" s="31" t="s">
        <v>6003</v>
      </c>
      <c r="D702" s="31" t="s">
        <v>6004</v>
      </c>
      <c r="E702" s="31" t="s">
        <v>6005</v>
      </c>
      <c r="F702" s="31"/>
      <c r="G702" s="31"/>
      <c r="H702" s="31"/>
      <c r="I702" s="175"/>
      <c r="J702" s="175"/>
      <c r="K702" s="176" t="s">
        <v>2539</v>
      </c>
      <c r="L702" s="176"/>
      <c r="M702" s="175"/>
      <c r="N702" s="175"/>
      <c r="O702" s="175" t="s">
        <v>6006</v>
      </c>
      <c r="P702" s="175"/>
      <c r="Q702" s="175" t="s">
        <v>166</v>
      </c>
      <c r="R702" s="175"/>
      <c r="S702" s="175"/>
      <c r="T702" s="175"/>
      <c r="U702" s="175"/>
      <c r="V702" s="175"/>
      <c r="W702" s="175"/>
      <c r="X702" s="175"/>
      <c r="Y702" s="175"/>
      <c r="Z702" s="175"/>
      <c r="AA702" s="175"/>
      <c r="AB702" s="175"/>
      <c r="AC702" s="175"/>
      <c r="AD702" s="175"/>
      <c r="AE702" s="175"/>
      <c r="AF702" s="175"/>
      <c r="AG702" s="175"/>
      <c r="AH702" s="175"/>
      <c r="AI702" s="175"/>
      <c r="AJ702" s="175"/>
      <c r="AK702" s="175"/>
      <c r="AL702" s="175"/>
      <c r="AM702" s="175"/>
      <c r="AN702" s="175"/>
      <c r="AO702" s="76"/>
      <c r="AP702" s="76"/>
      <c r="AQ702" s="76"/>
      <c r="AR702" s="76"/>
      <c r="AS702" s="76"/>
      <c r="AT702" s="76"/>
      <c r="AU702" s="76"/>
      <c r="AV702" s="76"/>
      <c r="AW702" s="76"/>
      <c r="AX702" s="76"/>
    </row>
    <row r="703" ht="15.75" customHeight="1">
      <c r="A703" s="81" t="s">
        <v>4323</v>
      </c>
      <c r="B703" s="142" t="s">
        <v>4501</v>
      </c>
      <c r="C703" s="31" t="s">
        <v>6007</v>
      </c>
      <c r="D703" s="31" t="s">
        <v>6008</v>
      </c>
      <c r="E703" s="31" t="s">
        <v>6009</v>
      </c>
      <c r="F703" s="31" t="s">
        <v>1655</v>
      </c>
      <c r="G703" s="31" t="s">
        <v>4935</v>
      </c>
      <c r="H703" s="31" t="s">
        <v>1659</v>
      </c>
      <c r="I703" s="84"/>
      <c r="J703" s="159"/>
      <c r="K703" s="84"/>
      <c r="L703" s="84"/>
      <c r="M703" s="84"/>
      <c r="N703" s="84"/>
      <c r="O703" s="84" t="s">
        <v>6006</v>
      </c>
      <c r="P703" s="84"/>
      <c r="Q703" s="84" t="s">
        <v>166</v>
      </c>
      <c r="R703" s="84"/>
      <c r="S703" s="84"/>
      <c r="T703" s="84"/>
      <c r="U703" s="84"/>
      <c r="V703" s="84"/>
      <c r="W703" s="84"/>
      <c r="X703" s="84"/>
      <c r="Y703" s="84"/>
      <c r="Z703" s="84"/>
      <c r="AA703" s="84"/>
      <c r="AB703" s="84"/>
      <c r="AC703" s="84"/>
      <c r="AD703" s="84"/>
      <c r="AE703" s="84"/>
      <c r="AF703" s="84"/>
      <c r="AG703" s="84"/>
      <c r="AH703" s="84"/>
      <c r="AI703" s="84"/>
      <c r="AJ703" s="84"/>
      <c r="AK703" s="84"/>
      <c r="AL703" s="84"/>
      <c r="AM703" s="84"/>
      <c r="AN703" s="84"/>
      <c r="AO703" s="76"/>
      <c r="AP703" s="76"/>
      <c r="AQ703" s="76"/>
      <c r="AR703" s="76"/>
      <c r="AS703" s="76"/>
      <c r="AT703" s="76"/>
      <c r="AU703" s="76"/>
      <c r="AV703" s="76"/>
      <c r="AW703" s="76"/>
      <c r="AX703" s="76"/>
    </row>
    <row r="704" ht="15.75" customHeight="1">
      <c r="A704" s="133" t="s">
        <v>214</v>
      </c>
      <c r="B704" s="143" t="s">
        <v>4506</v>
      </c>
      <c r="C704" s="31" t="s">
        <v>6010</v>
      </c>
      <c r="D704" s="31" t="s">
        <v>6011</v>
      </c>
      <c r="E704" s="31" t="s">
        <v>6012</v>
      </c>
      <c r="F704" s="31"/>
      <c r="G704" s="31"/>
      <c r="H704" s="31"/>
      <c r="I704" s="162"/>
      <c r="J704" s="163"/>
      <c r="K704" s="162"/>
      <c r="L704" s="162"/>
      <c r="M704" s="162"/>
      <c r="N704" s="162"/>
      <c r="O704" s="162" t="s">
        <v>6013</v>
      </c>
      <c r="P704" s="162"/>
      <c r="Q704" s="162" t="s">
        <v>166</v>
      </c>
      <c r="R704" s="162"/>
      <c r="S704" s="162"/>
      <c r="T704" s="162"/>
      <c r="U704" s="162"/>
      <c r="V704" s="162"/>
      <c r="W704" s="162"/>
      <c r="X704" s="162"/>
      <c r="Y704" s="162"/>
      <c r="Z704" s="162"/>
      <c r="AA704" s="162"/>
      <c r="AB704" s="162"/>
      <c r="AC704" s="162"/>
      <c r="AD704" s="162"/>
      <c r="AE704" s="162"/>
      <c r="AF704" s="162"/>
      <c r="AG704" s="162"/>
      <c r="AH704" s="162"/>
      <c r="AI704" s="162"/>
      <c r="AJ704" s="162"/>
      <c r="AK704" s="162"/>
      <c r="AL704" s="162"/>
      <c r="AM704" s="162"/>
      <c r="AN704" s="162"/>
      <c r="AO704" s="76"/>
      <c r="AP704" s="76"/>
      <c r="AQ704" s="76"/>
      <c r="AR704" s="76"/>
      <c r="AS704" s="76"/>
      <c r="AT704" s="76"/>
      <c r="AU704" s="76"/>
      <c r="AV704" s="76"/>
      <c r="AW704" s="76"/>
      <c r="AX704" s="76"/>
    </row>
    <row r="705" ht="15.75" customHeight="1">
      <c r="A705" s="81" t="s">
        <v>4511</v>
      </c>
      <c r="B705" s="142" t="s">
        <v>4512</v>
      </c>
      <c r="C705" s="31" t="s">
        <v>6014</v>
      </c>
      <c r="D705" s="31" t="s">
        <v>6015</v>
      </c>
      <c r="E705" s="31" t="s">
        <v>6016</v>
      </c>
      <c r="F705" s="31" t="s">
        <v>6017</v>
      </c>
      <c r="G705" s="31" t="s">
        <v>6018</v>
      </c>
      <c r="H705" s="31" t="s">
        <v>6019</v>
      </c>
      <c r="I705" s="84"/>
      <c r="J705" s="159"/>
      <c r="K705" s="84" t="s">
        <v>5590</v>
      </c>
      <c r="L705" s="84"/>
      <c r="M705" s="84"/>
      <c r="N705" s="84"/>
      <c r="O705" s="84"/>
      <c r="P705" s="84"/>
      <c r="Q705" s="84" t="s">
        <v>166</v>
      </c>
      <c r="R705" s="84"/>
      <c r="S705" s="84"/>
      <c r="T705" s="84"/>
      <c r="U705" s="84"/>
      <c r="V705" s="84"/>
      <c r="W705" s="84"/>
      <c r="X705" s="84"/>
      <c r="Y705" s="84"/>
      <c r="Z705" s="84"/>
      <c r="AA705" s="84"/>
      <c r="AB705" s="84"/>
      <c r="AC705" s="84"/>
      <c r="AD705" s="76"/>
      <c r="AE705" s="76"/>
      <c r="AF705" s="76"/>
      <c r="AG705" s="76"/>
      <c r="AH705" s="76"/>
      <c r="AI705" s="76"/>
      <c r="AJ705" s="76"/>
      <c r="AK705" s="76"/>
      <c r="AL705" s="70"/>
      <c r="AM705" s="70"/>
      <c r="AN705" s="70"/>
      <c r="AO705" s="76"/>
      <c r="AP705" s="76"/>
      <c r="AQ705" s="76"/>
      <c r="AR705" s="76"/>
      <c r="AS705" s="76"/>
      <c r="AT705" s="76"/>
      <c r="AU705" s="76"/>
      <c r="AV705" s="76"/>
      <c r="AW705" s="76"/>
      <c r="AX705" s="76"/>
    </row>
    <row r="706" ht="15.75" customHeight="1">
      <c r="A706" s="230" t="s">
        <v>237</v>
      </c>
      <c r="B706" s="131" t="s">
        <v>4516</v>
      </c>
      <c r="C706" s="31" t="s">
        <v>6020</v>
      </c>
      <c r="D706" s="31" t="s">
        <v>6021</v>
      </c>
      <c r="E706" s="31" t="s">
        <v>6022</v>
      </c>
      <c r="F706" s="31"/>
      <c r="G706" s="31"/>
      <c r="H706" s="31"/>
      <c r="I706" s="175"/>
      <c r="J706" s="175"/>
      <c r="K706" s="282" t="s">
        <v>1341</v>
      </c>
      <c r="L706" s="176"/>
      <c r="M706" s="175"/>
      <c r="N706" s="175"/>
      <c r="O706" s="205" t="s">
        <v>6023</v>
      </c>
      <c r="P706" s="175"/>
      <c r="Q706" s="175"/>
      <c r="R706" s="175"/>
      <c r="S706" s="175"/>
      <c r="T706" s="175"/>
      <c r="U706" s="175"/>
      <c r="V706" s="175"/>
      <c r="W706" s="175"/>
      <c r="X706" s="175"/>
      <c r="Y706" s="175"/>
      <c r="Z706" s="175"/>
      <c r="AA706" s="175"/>
      <c r="AB706" s="175"/>
      <c r="AC706" s="175"/>
      <c r="AD706" s="76"/>
      <c r="AE706" s="76"/>
      <c r="AF706" s="76"/>
      <c r="AG706" s="76"/>
      <c r="AH706" s="76"/>
      <c r="AI706" s="76"/>
      <c r="AJ706" s="76"/>
      <c r="AK706" s="76"/>
      <c r="AL706" s="70"/>
      <c r="AM706" s="70"/>
      <c r="AN706" s="70"/>
      <c r="AO706" s="76"/>
      <c r="AP706" s="76"/>
      <c r="AQ706" s="76"/>
      <c r="AR706" s="76"/>
      <c r="AS706" s="76"/>
      <c r="AT706" s="76"/>
      <c r="AU706" s="76"/>
      <c r="AV706" s="76"/>
      <c r="AW706" s="76"/>
      <c r="AX706" s="76"/>
    </row>
    <row r="707" ht="15.75" customHeight="1">
      <c r="A707" s="146" t="s">
        <v>237</v>
      </c>
      <c r="B707" s="147" t="s">
        <v>4522</v>
      </c>
      <c r="C707" s="31" t="s">
        <v>6024</v>
      </c>
      <c r="D707" s="31" t="s">
        <v>6025</v>
      </c>
      <c r="E707" s="31" t="s">
        <v>6026</v>
      </c>
      <c r="F707" s="31" t="s">
        <v>6027</v>
      </c>
      <c r="G707" s="31" t="s">
        <v>6028</v>
      </c>
      <c r="H707" s="31" t="s">
        <v>6029</v>
      </c>
      <c r="I707" s="175"/>
      <c r="J707" s="175"/>
      <c r="K707" s="176"/>
      <c r="L707" s="176"/>
      <c r="M707" s="175"/>
      <c r="N707" s="175"/>
      <c r="O707" s="175"/>
      <c r="P707" s="175"/>
      <c r="Q707" s="175" t="s">
        <v>166</v>
      </c>
      <c r="R707" s="175"/>
      <c r="S707" s="175"/>
      <c r="T707" s="175"/>
      <c r="U707" s="175"/>
      <c r="V707" s="175"/>
      <c r="W707" s="175"/>
      <c r="X707" s="175"/>
      <c r="Y707" s="175"/>
      <c r="Z707" s="175"/>
      <c r="AA707" s="175"/>
      <c r="AB707" s="175"/>
      <c r="AC707" s="175"/>
      <c r="AD707" s="76"/>
      <c r="AE707" s="76"/>
      <c r="AF707" s="76"/>
      <c r="AG707" s="76"/>
      <c r="AH707" s="76"/>
      <c r="AI707" s="76"/>
      <c r="AJ707" s="76"/>
      <c r="AK707" s="76"/>
      <c r="AL707" s="70"/>
      <c r="AM707" s="70"/>
      <c r="AN707" s="70"/>
      <c r="AO707" s="76"/>
      <c r="AP707" s="76"/>
      <c r="AQ707" s="76"/>
      <c r="AR707" s="76"/>
      <c r="AS707" s="76"/>
      <c r="AT707" s="76"/>
      <c r="AU707" s="76"/>
      <c r="AV707" s="76"/>
      <c r="AW707" s="76"/>
      <c r="AX707" s="76"/>
    </row>
    <row r="708" ht="15.75" customHeight="1">
      <c r="A708" s="104" t="s">
        <v>139</v>
      </c>
      <c r="B708" s="141" t="s">
        <v>4531</v>
      </c>
      <c r="C708" s="31"/>
      <c r="D708" s="31"/>
      <c r="E708" s="31"/>
      <c r="F708" s="108"/>
      <c r="G708" s="108"/>
      <c r="H708" s="108"/>
      <c r="I708" s="108"/>
      <c r="J708" s="108"/>
      <c r="K708" s="108"/>
      <c r="L708" s="108"/>
      <c r="M708" s="108"/>
      <c r="N708" s="108"/>
      <c r="O708" s="108"/>
      <c r="P708" s="108"/>
      <c r="Q708" s="108"/>
      <c r="R708" s="108"/>
      <c r="S708" s="108"/>
      <c r="T708" s="281" t="s">
        <v>145</v>
      </c>
      <c r="U708" s="108"/>
      <c r="V708" s="108"/>
      <c r="W708" s="108"/>
      <c r="X708" s="108"/>
      <c r="Y708" s="108"/>
      <c r="Z708" s="108"/>
      <c r="AA708" s="108"/>
      <c r="AB708" s="108"/>
      <c r="AC708" s="108"/>
      <c r="AD708" s="76"/>
      <c r="AE708" s="76"/>
      <c r="AF708" s="76"/>
      <c r="AG708" s="76"/>
      <c r="AH708" s="76"/>
      <c r="AI708" s="76"/>
      <c r="AJ708" s="76"/>
      <c r="AK708" s="76"/>
      <c r="AL708" s="76"/>
      <c r="AM708" s="76"/>
      <c r="AN708" s="76"/>
      <c r="AO708" s="76"/>
      <c r="AP708" s="76"/>
      <c r="AQ708" s="76"/>
      <c r="AR708" s="76"/>
      <c r="AS708" s="76"/>
      <c r="AT708" s="76"/>
      <c r="AU708" s="76"/>
      <c r="AV708" s="76"/>
      <c r="AW708" s="76"/>
      <c r="AX708" s="76"/>
    </row>
    <row r="709" ht="15.75" customHeight="1">
      <c r="A709" s="67" t="s">
        <v>108</v>
      </c>
      <c r="B709" s="69" t="s">
        <v>4534</v>
      </c>
      <c r="C709" s="31"/>
      <c r="D709" s="31"/>
      <c r="E709" s="31"/>
      <c r="F709" s="70"/>
      <c r="G709" s="70"/>
      <c r="H709" s="70"/>
      <c r="I709" s="71"/>
      <c r="J709" s="71"/>
      <c r="K709" s="70"/>
      <c r="L709" s="71"/>
      <c r="M709" s="71"/>
      <c r="N709" s="71"/>
      <c r="O709" s="71"/>
      <c r="P709" s="70"/>
      <c r="Q709" s="70"/>
      <c r="R709" s="70"/>
      <c r="S709" s="70"/>
      <c r="T709" s="67" t="s">
        <v>6030</v>
      </c>
      <c r="U709" s="70"/>
      <c r="V709" s="70"/>
      <c r="W709" s="70"/>
      <c r="X709" s="70"/>
      <c r="Y709" s="70"/>
      <c r="Z709" s="70"/>
      <c r="AA709" s="70"/>
      <c r="AB709" s="70"/>
      <c r="AC709" s="70"/>
      <c r="AD709" s="76"/>
      <c r="AE709" s="76"/>
      <c r="AF709" s="76"/>
      <c r="AG709" s="76"/>
      <c r="AH709" s="76"/>
      <c r="AI709" s="76"/>
      <c r="AJ709" s="76"/>
      <c r="AK709" s="76"/>
      <c r="AL709" s="76"/>
      <c r="AM709" s="76"/>
      <c r="AN709" s="76"/>
      <c r="AO709" s="76"/>
      <c r="AP709" s="76"/>
      <c r="AQ709" s="76"/>
      <c r="AR709" s="76"/>
      <c r="AS709" s="76"/>
      <c r="AT709" s="76"/>
      <c r="AU709" s="76"/>
      <c r="AV709" s="76"/>
      <c r="AW709" s="76"/>
      <c r="AX709" s="76"/>
    </row>
    <row r="710" ht="15.75" customHeight="1">
      <c r="A710" s="122" t="s">
        <v>236</v>
      </c>
      <c r="B710" s="153" t="s">
        <v>4244</v>
      </c>
      <c r="C710" s="31" t="s">
        <v>4245</v>
      </c>
      <c r="D710" s="31"/>
      <c r="E710" s="31"/>
      <c r="F710" s="70"/>
      <c r="G710" s="70"/>
      <c r="H710" s="70"/>
      <c r="I710" s="70"/>
      <c r="J710" s="70"/>
      <c r="K710" s="70"/>
      <c r="L710" s="70"/>
      <c r="M710" s="70"/>
      <c r="N710" s="70"/>
      <c r="O710" s="70"/>
      <c r="P710" s="70"/>
      <c r="Q710" s="70"/>
      <c r="R710" s="70"/>
      <c r="S710" s="70"/>
      <c r="T710" s="70"/>
      <c r="U710" s="70"/>
      <c r="V710" s="70"/>
      <c r="W710" s="70"/>
      <c r="X710" s="70"/>
      <c r="Y710" s="70"/>
      <c r="Z710" s="70"/>
      <c r="AA710" s="70"/>
      <c r="AB710" s="70"/>
      <c r="AC710" s="70"/>
      <c r="AD710" s="70"/>
      <c r="AE710" s="70"/>
      <c r="AF710" s="70"/>
      <c r="AG710" s="70"/>
      <c r="AH710" s="70"/>
      <c r="AI710" s="70"/>
      <c r="AJ710" s="70"/>
      <c r="AK710" s="70"/>
      <c r="AL710" s="70"/>
      <c r="AM710" s="70"/>
      <c r="AN710" s="70"/>
      <c r="AO710" s="76"/>
      <c r="AP710" s="76"/>
      <c r="AQ710" s="76"/>
      <c r="AR710" s="76"/>
      <c r="AS710" s="76"/>
      <c r="AT710" s="76"/>
      <c r="AU710" s="76"/>
      <c r="AV710" s="76"/>
      <c r="AW710" s="76"/>
      <c r="AX710" s="76"/>
    </row>
    <row r="711" ht="15.75" customHeight="1">
      <c r="A711" s="104" t="s">
        <v>139</v>
      </c>
      <c r="B711" s="141" t="s">
        <v>4542</v>
      </c>
      <c r="C711" s="31"/>
      <c r="D711" s="31"/>
      <c r="E711" s="31"/>
      <c r="F711" s="108"/>
      <c r="G711" s="108"/>
      <c r="H711" s="108"/>
      <c r="I711" s="108"/>
      <c r="J711" s="108"/>
      <c r="K711" s="108"/>
      <c r="L711" s="108"/>
      <c r="M711" s="108"/>
      <c r="N711" s="108"/>
      <c r="O711" s="108"/>
      <c r="P711" s="108"/>
      <c r="Q711" s="108"/>
      <c r="R711" s="108"/>
      <c r="S711" s="108"/>
      <c r="T711" s="281" t="s">
        <v>145</v>
      </c>
      <c r="U711" s="108"/>
      <c r="V711" s="108"/>
      <c r="W711" s="108"/>
      <c r="X711" s="108"/>
      <c r="Y711" s="108"/>
      <c r="Z711" s="108"/>
      <c r="AA711" s="108"/>
      <c r="AB711" s="108"/>
      <c r="AC711" s="108"/>
      <c r="AD711" s="76"/>
      <c r="AE711" s="76"/>
      <c r="AF711" s="76"/>
      <c r="AG711" s="76"/>
      <c r="AH711" s="76"/>
      <c r="AI711" s="76"/>
      <c r="AJ711" s="76"/>
      <c r="AK711" s="76"/>
      <c r="AL711" s="76"/>
      <c r="AM711" s="76"/>
      <c r="AN711" s="76"/>
      <c r="AO711" s="76"/>
      <c r="AP711" s="76"/>
      <c r="AQ711" s="76"/>
      <c r="AR711" s="76"/>
      <c r="AS711" s="76"/>
      <c r="AT711" s="76"/>
      <c r="AU711" s="76"/>
      <c r="AV711" s="76"/>
      <c r="AW711" s="76"/>
      <c r="AX711" s="76"/>
    </row>
    <row r="712" ht="15.75" customHeight="1">
      <c r="A712" s="122" t="s">
        <v>150</v>
      </c>
      <c r="B712" s="123" t="s">
        <v>4543</v>
      </c>
      <c r="C712" s="31" t="s">
        <v>4544</v>
      </c>
      <c r="D712" s="31" t="s">
        <v>4545</v>
      </c>
      <c r="E712" s="31" t="s">
        <v>4546</v>
      </c>
      <c r="F712" s="70"/>
      <c r="G712" s="70"/>
      <c r="H712" s="70"/>
      <c r="I712" s="70"/>
      <c r="J712" s="71" t="s">
        <v>1736</v>
      </c>
      <c r="K712" s="70"/>
      <c r="L712" s="70"/>
      <c r="M712" s="71"/>
      <c r="N712" s="71"/>
      <c r="O712" s="71"/>
      <c r="P712" s="70"/>
      <c r="Q712" s="70"/>
      <c r="R712" s="70"/>
      <c r="S712" s="70"/>
      <c r="T712" s="70"/>
      <c r="U712" s="70"/>
      <c r="V712" s="70"/>
      <c r="W712" s="70"/>
      <c r="X712" s="70"/>
      <c r="Y712" s="70"/>
      <c r="Z712" s="70"/>
      <c r="AA712" s="70"/>
      <c r="AB712" s="70"/>
      <c r="AC712" s="70"/>
      <c r="AD712" s="76"/>
      <c r="AE712" s="76"/>
      <c r="AF712" s="76"/>
      <c r="AG712" s="76"/>
      <c r="AH712" s="76"/>
      <c r="AI712" s="76"/>
      <c r="AJ712" s="76"/>
      <c r="AK712" s="76"/>
      <c r="AL712" s="76"/>
      <c r="AM712" s="76"/>
      <c r="AN712" s="76"/>
      <c r="AO712" s="76"/>
      <c r="AP712" s="76"/>
      <c r="AQ712" s="76"/>
      <c r="AR712" s="76"/>
      <c r="AS712" s="76"/>
      <c r="AT712" s="76"/>
      <c r="AU712" s="76"/>
      <c r="AV712" s="76"/>
      <c r="AW712" s="76"/>
      <c r="AX712" s="76"/>
    </row>
    <row r="713" ht="15.75" customHeight="1">
      <c r="A713" s="81" t="s">
        <v>338</v>
      </c>
      <c r="B713" s="142" t="s">
        <v>4550</v>
      </c>
      <c r="C713" s="31" t="s">
        <v>6031</v>
      </c>
      <c r="D713" s="31" t="s">
        <v>6032</v>
      </c>
      <c r="E713" s="31" t="s">
        <v>6033</v>
      </c>
      <c r="F713" s="31"/>
      <c r="G713" s="31"/>
      <c r="H713" s="31"/>
      <c r="I713" s="84"/>
      <c r="J713" s="159" t="s">
        <v>7</v>
      </c>
      <c r="K713" s="84"/>
      <c r="L713" s="84"/>
      <c r="M713" s="84"/>
      <c r="N713" s="84"/>
      <c r="O713" s="84"/>
      <c r="P713" s="84"/>
      <c r="Q713" s="84"/>
      <c r="R713" s="84"/>
      <c r="S713" s="84"/>
      <c r="T713" s="84"/>
      <c r="U713" s="84"/>
      <c r="V713" s="84"/>
      <c r="W713" s="84"/>
      <c r="X713" s="84"/>
      <c r="Y713" s="84"/>
      <c r="Z713" s="84"/>
      <c r="AA713" s="84"/>
      <c r="AB713" s="84"/>
      <c r="AC713" s="84"/>
      <c r="AD713" s="76"/>
      <c r="AE713" s="76"/>
      <c r="AF713" s="76"/>
      <c r="AG713" s="76"/>
      <c r="AH713" s="76"/>
      <c r="AI713" s="76"/>
      <c r="AJ713" s="76"/>
      <c r="AK713" s="76"/>
      <c r="AL713" s="84"/>
      <c r="AM713" s="84"/>
      <c r="AN713" s="84"/>
      <c r="AO713" s="76"/>
      <c r="AP713" s="76"/>
      <c r="AQ713" s="76"/>
      <c r="AR713" s="76"/>
      <c r="AS713" s="76"/>
      <c r="AT713" s="76"/>
      <c r="AU713" s="76"/>
      <c r="AV713" s="76"/>
      <c r="AW713" s="76"/>
      <c r="AX713" s="76"/>
    </row>
    <row r="714" ht="15.75" customHeight="1">
      <c r="A714" s="81" t="s">
        <v>338</v>
      </c>
      <c r="B714" s="142" t="s">
        <v>4554</v>
      </c>
      <c r="C714" s="31" t="s">
        <v>6034</v>
      </c>
      <c r="D714" s="31" t="s">
        <v>6035</v>
      </c>
      <c r="E714" s="31" t="s">
        <v>6036</v>
      </c>
      <c r="F714" s="31"/>
      <c r="G714" s="31"/>
      <c r="H714" s="31"/>
      <c r="I714" s="84"/>
      <c r="J714" s="159" t="s">
        <v>1756</v>
      </c>
      <c r="K714" s="84"/>
      <c r="L714" s="84"/>
      <c r="M714" s="84"/>
      <c r="N714" s="84"/>
      <c r="O714" s="84"/>
      <c r="P714" s="84"/>
      <c r="Q714" s="84" t="s">
        <v>166</v>
      </c>
      <c r="R714" s="84"/>
      <c r="S714" s="84"/>
      <c r="T714" s="84"/>
      <c r="U714" s="84"/>
      <c r="V714" s="84"/>
      <c r="W714" s="84"/>
      <c r="X714" s="84"/>
      <c r="Y714" s="84"/>
      <c r="Z714" s="84"/>
      <c r="AA714" s="84"/>
      <c r="AB714" s="84"/>
      <c r="AC714" s="84"/>
      <c r="AD714" s="76"/>
      <c r="AE714" s="76"/>
      <c r="AF714" s="76"/>
      <c r="AG714" s="76"/>
      <c r="AH714" s="76"/>
      <c r="AI714" s="76"/>
      <c r="AJ714" s="76"/>
      <c r="AK714" s="76"/>
      <c r="AL714" s="84"/>
      <c r="AM714" s="84"/>
      <c r="AN714" s="84"/>
      <c r="AO714" s="76"/>
      <c r="AP714" s="76"/>
      <c r="AQ714" s="76"/>
      <c r="AR714" s="76"/>
      <c r="AS714" s="76"/>
      <c r="AT714" s="76"/>
      <c r="AU714" s="76"/>
      <c r="AV714" s="76"/>
      <c r="AW714" s="76"/>
      <c r="AX714" s="76"/>
    </row>
    <row r="715" ht="15.75" customHeight="1">
      <c r="A715" s="81" t="s">
        <v>338</v>
      </c>
      <c r="B715" s="142" t="s">
        <v>4560</v>
      </c>
      <c r="C715" s="31" t="s">
        <v>6037</v>
      </c>
      <c r="D715" s="31" t="s">
        <v>6038</v>
      </c>
      <c r="E715" s="31" t="s">
        <v>6039</v>
      </c>
      <c r="F715" s="31"/>
      <c r="G715" s="31"/>
      <c r="H715" s="31"/>
      <c r="I715" s="84"/>
      <c r="J715" s="159" t="s">
        <v>1756</v>
      </c>
      <c r="K715" s="84"/>
      <c r="L715" s="84"/>
      <c r="M715" s="84"/>
      <c r="N715" s="84"/>
      <c r="O715" s="84"/>
      <c r="P715" s="84"/>
      <c r="Q715" s="84" t="s">
        <v>166</v>
      </c>
      <c r="R715" s="84"/>
      <c r="S715" s="84"/>
      <c r="T715" s="84"/>
      <c r="U715" s="84"/>
      <c r="V715" s="84"/>
      <c r="W715" s="84"/>
      <c r="X715" s="84"/>
      <c r="Y715" s="84"/>
      <c r="Z715" s="84"/>
      <c r="AA715" s="84"/>
      <c r="AB715" s="84"/>
      <c r="AC715" s="84"/>
      <c r="AD715" s="76"/>
      <c r="AE715" s="76"/>
      <c r="AF715" s="76"/>
      <c r="AG715" s="76"/>
      <c r="AH715" s="76"/>
      <c r="AI715" s="76"/>
      <c r="AJ715" s="76"/>
      <c r="AK715" s="76"/>
      <c r="AL715" s="84"/>
      <c r="AM715" s="84"/>
      <c r="AN715" s="84"/>
      <c r="AO715" s="76"/>
      <c r="AP715" s="76"/>
      <c r="AQ715" s="76"/>
      <c r="AR715" s="76"/>
      <c r="AS715" s="76"/>
      <c r="AT715" s="76"/>
      <c r="AU715" s="76"/>
      <c r="AV715" s="76"/>
      <c r="AW715" s="76"/>
      <c r="AX715" s="76"/>
    </row>
    <row r="716" ht="15.75" customHeight="1">
      <c r="A716" s="81" t="s">
        <v>338</v>
      </c>
      <c r="B716" s="142" t="s">
        <v>4565</v>
      </c>
      <c r="C716" s="31" t="s">
        <v>6040</v>
      </c>
      <c r="D716" s="31" t="s">
        <v>6041</v>
      </c>
      <c r="E716" s="31" t="s">
        <v>6042</v>
      </c>
      <c r="F716" s="31"/>
      <c r="G716" s="31"/>
      <c r="H716" s="31"/>
      <c r="I716" s="84"/>
      <c r="J716" s="159" t="s">
        <v>1756</v>
      </c>
      <c r="K716" s="84"/>
      <c r="L716" s="84"/>
      <c r="M716" s="84"/>
      <c r="N716" s="84"/>
      <c r="O716" s="84"/>
      <c r="P716" s="84"/>
      <c r="Q716" s="84" t="s">
        <v>166</v>
      </c>
      <c r="R716" s="84"/>
      <c r="S716" s="84"/>
      <c r="T716" s="84"/>
      <c r="U716" s="84"/>
      <c r="V716" s="84"/>
      <c r="W716" s="84"/>
      <c r="X716" s="84"/>
      <c r="Y716" s="84"/>
      <c r="Z716" s="84"/>
      <c r="AA716" s="84"/>
      <c r="AB716" s="84"/>
      <c r="AC716" s="84"/>
      <c r="AD716" s="76"/>
      <c r="AE716" s="76"/>
      <c r="AF716" s="76"/>
      <c r="AG716" s="76"/>
      <c r="AH716" s="76"/>
      <c r="AI716" s="76"/>
      <c r="AJ716" s="76"/>
      <c r="AK716" s="76"/>
      <c r="AL716" s="84"/>
      <c r="AM716" s="84"/>
      <c r="AN716" s="84"/>
      <c r="AO716" s="76"/>
      <c r="AP716" s="76"/>
      <c r="AQ716" s="76"/>
      <c r="AR716" s="76"/>
      <c r="AS716" s="76"/>
      <c r="AT716" s="76"/>
      <c r="AU716" s="76"/>
      <c r="AV716" s="76"/>
      <c r="AW716" s="76"/>
      <c r="AX716" s="76"/>
    </row>
    <row r="717" ht="15.75" customHeight="1">
      <c r="A717" s="81" t="s">
        <v>338</v>
      </c>
      <c r="B717" s="142" t="s">
        <v>4571</v>
      </c>
      <c r="C717" s="31" t="s">
        <v>6043</v>
      </c>
      <c r="D717" s="31" t="s">
        <v>6044</v>
      </c>
      <c r="E717" s="31" t="s">
        <v>6045</v>
      </c>
      <c r="F717" s="31"/>
      <c r="G717" s="31"/>
      <c r="H717" s="31"/>
      <c r="I717" s="84"/>
      <c r="J717" s="159" t="s">
        <v>1756</v>
      </c>
      <c r="K717" s="84"/>
      <c r="L717" s="84"/>
      <c r="M717" s="84"/>
      <c r="N717" s="84"/>
      <c r="O717" s="84"/>
      <c r="P717" s="84"/>
      <c r="Q717" s="84" t="s">
        <v>166</v>
      </c>
      <c r="R717" s="84"/>
      <c r="S717" s="84"/>
      <c r="T717" s="84"/>
      <c r="U717" s="84"/>
      <c r="V717" s="84"/>
      <c r="W717" s="84"/>
      <c r="X717" s="84"/>
      <c r="Y717" s="84"/>
      <c r="Z717" s="84"/>
      <c r="AA717" s="84"/>
      <c r="AB717" s="84"/>
      <c r="AC717" s="84"/>
      <c r="AD717" s="76"/>
      <c r="AE717" s="76"/>
      <c r="AF717" s="76"/>
      <c r="AG717" s="76"/>
      <c r="AH717" s="76"/>
      <c r="AI717" s="76"/>
      <c r="AJ717" s="76"/>
      <c r="AK717" s="76"/>
      <c r="AL717" s="84"/>
      <c r="AM717" s="84"/>
      <c r="AN717" s="84"/>
      <c r="AO717" s="76"/>
      <c r="AP717" s="76"/>
      <c r="AQ717" s="76"/>
      <c r="AR717" s="76"/>
      <c r="AS717" s="76"/>
      <c r="AT717" s="76"/>
      <c r="AU717" s="76"/>
      <c r="AV717" s="76"/>
      <c r="AW717" s="76"/>
      <c r="AX717" s="76"/>
    </row>
    <row r="718" ht="15.75" customHeight="1">
      <c r="A718" s="81" t="s">
        <v>338</v>
      </c>
      <c r="B718" s="142" t="s">
        <v>4577</v>
      </c>
      <c r="C718" s="31" t="s">
        <v>6046</v>
      </c>
      <c r="D718" s="31" t="s">
        <v>6047</v>
      </c>
      <c r="E718" s="31" t="s">
        <v>6048</v>
      </c>
      <c r="F718" s="31"/>
      <c r="G718" s="31"/>
      <c r="H718" s="31"/>
      <c r="I718" s="84"/>
      <c r="J718" s="159" t="s">
        <v>1756</v>
      </c>
      <c r="K718" s="84"/>
      <c r="L718" s="84"/>
      <c r="M718" s="84"/>
      <c r="N718" s="84"/>
      <c r="O718" s="84"/>
      <c r="P718" s="84"/>
      <c r="Q718" s="84" t="s">
        <v>166</v>
      </c>
      <c r="R718" s="84"/>
      <c r="S718" s="84"/>
      <c r="T718" s="84"/>
      <c r="U718" s="84"/>
      <c r="V718" s="84"/>
      <c r="W718" s="84"/>
      <c r="X718" s="84"/>
      <c r="Y718" s="84"/>
      <c r="Z718" s="84"/>
      <c r="AA718" s="84"/>
      <c r="AB718" s="84"/>
      <c r="AC718" s="84"/>
      <c r="AD718" s="76"/>
      <c r="AE718" s="76"/>
      <c r="AF718" s="76"/>
      <c r="AG718" s="76"/>
      <c r="AH718" s="76"/>
      <c r="AI718" s="76"/>
      <c r="AJ718" s="76"/>
      <c r="AK718" s="76"/>
      <c r="AL718" s="84"/>
      <c r="AM718" s="84"/>
      <c r="AN718" s="84"/>
      <c r="AO718" s="76"/>
      <c r="AP718" s="76"/>
      <c r="AQ718" s="76"/>
      <c r="AR718" s="76"/>
      <c r="AS718" s="76"/>
      <c r="AT718" s="76"/>
      <c r="AU718" s="76"/>
      <c r="AV718" s="76"/>
      <c r="AW718" s="76"/>
      <c r="AX718" s="76"/>
    </row>
    <row r="719" ht="15.75" customHeight="1">
      <c r="A719" s="122" t="s">
        <v>236</v>
      </c>
      <c r="B719" s="153" t="s">
        <v>4543</v>
      </c>
      <c r="C719" s="31" t="s">
        <v>4544</v>
      </c>
      <c r="D719" s="31" t="s">
        <v>4545</v>
      </c>
      <c r="E719" s="31" t="s">
        <v>4546</v>
      </c>
      <c r="F719" s="70"/>
      <c r="G719" s="70"/>
      <c r="H719" s="70"/>
      <c r="I719" s="70"/>
      <c r="J719" s="70"/>
      <c r="K719" s="70"/>
      <c r="L719" s="70"/>
      <c r="M719" s="70"/>
      <c r="N719" s="70"/>
      <c r="O719" s="70"/>
      <c r="P719" s="70"/>
      <c r="Q719" s="70"/>
      <c r="R719" s="70"/>
      <c r="S719" s="70"/>
      <c r="T719" s="70"/>
      <c r="U719" s="70"/>
      <c r="V719" s="70"/>
      <c r="W719" s="70"/>
      <c r="X719" s="70"/>
      <c r="Y719" s="70"/>
      <c r="Z719" s="70"/>
      <c r="AA719" s="70"/>
      <c r="AB719" s="70"/>
      <c r="AC719" s="70"/>
      <c r="AD719" s="76"/>
      <c r="AE719" s="76"/>
      <c r="AF719" s="76"/>
      <c r="AG719" s="76"/>
      <c r="AH719" s="76"/>
      <c r="AI719" s="76"/>
      <c r="AJ719" s="76"/>
      <c r="AK719" s="76"/>
      <c r="AL719" s="84"/>
      <c r="AM719" s="84"/>
      <c r="AN719" s="84"/>
      <c r="AO719" s="76"/>
      <c r="AP719" s="76"/>
      <c r="AQ719" s="76"/>
      <c r="AR719" s="76"/>
      <c r="AS719" s="76"/>
      <c r="AT719" s="76"/>
      <c r="AU719" s="76"/>
      <c r="AV719" s="76"/>
      <c r="AW719" s="76"/>
      <c r="AX719" s="76"/>
    </row>
    <row r="720" ht="15.75" customHeight="1">
      <c r="A720" s="133" t="s">
        <v>214</v>
      </c>
      <c r="B720" s="143" t="s">
        <v>4587</v>
      </c>
      <c r="C720" s="31" t="s">
        <v>6049</v>
      </c>
      <c r="D720" s="31" t="s">
        <v>6050</v>
      </c>
      <c r="E720" s="31" t="s">
        <v>6051</v>
      </c>
      <c r="F720" s="31"/>
      <c r="G720" s="31"/>
      <c r="H720" s="31"/>
      <c r="I720" s="162"/>
      <c r="J720" s="163"/>
      <c r="K720" s="162"/>
      <c r="L720" s="162"/>
      <c r="M720" s="162"/>
      <c r="N720" s="162"/>
      <c r="O720" s="162" t="s">
        <v>6052</v>
      </c>
      <c r="P720" s="162"/>
      <c r="Q720" s="162" t="s">
        <v>166</v>
      </c>
      <c r="R720" s="162"/>
      <c r="S720" s="162"/>
      <c r="T720" s="162"/>
      <c r="U720" s="162"/>
      <c r="V720" s="162"/>
      <c r="W720" s="162"/>
      <c r="X720" s="162"/>
      <c r="Y720" s="162"/>
      <c r="Z720" s="162"/>
      <c r="AA720" s="162"/>
      <c r="AB720" s="162"/>
      <c r="AC720" s="162"/>
      <c r="AD720" s="76"/>
      <c r="AE720" s="76"/>
      <c r="AF720" s="76"/>
      <c r="AG720" s="76"/>
      <c r="AH720" s="76"/>
      <c r="AI720" s="76"/>
      <c r="AJ720" s="76"/>
      <c r="AK720" s="76"/>
      <c r="AL720" s="84"/>
      <c r="AM720" s="84"/>
      <c r="AN720" s="84"/>
      <c r="AO720" s="76"/>
      <c r="AP720" s="76"/>
      <c r="AQ720" s="76"/>
      <c r="AR720" s="76"/>
      <c r="AS720" s="76"/>
      <c r="AT720" s="76"/>
      <c r="AU720" s="76"/>
      <c r="AV720" s="76"/>
      <c r="AW720" s="76"/>
      <c r="AX720" s="76"/>
    </row>
    <row r="721" ht="15.75" customHeight="1">
      <c r="A721" s="146" t="s">
        <v>237</v>
      </c>
      <c r="B721" s="147" t="s">
        <v>4593</v>
      </c>
      <c r="C721" s="31" t="s">
        <v>6053</v>
      </c>
      <c r="D721" s="31" t="s">
        <v>6054</v>
      </c>
      <c r="E721" s="31" t="s">
        <v>6055</v>
      </c>
      <c r="F721" s="31"/>
      <c r="G721" s="31"/>
      <c r="H721" s="31"/>
      <c r="I721" s="175"/>
      <c r="J721" s="175"/>
      <c r="K721" s="176"/>
      <c r="L721" s="176"/>
      <c r="M721" s="175"/>
      <c r="N721" s="175"/>
      <c r="O721" s="175" t="s">
        <v>6056</v>
      </c>
      <c r="P721" s="175"/>
      <c r="Q721" s="175" t="s">
        <v>166</v>
      </c>
      <c r="R721" s="175"/>
      <c r="S721" s="175"/>
      <c r="T721" s="175"/>
      <c r="U721" s="175"/>
      <c r="V721" s="175"/>
      <c r="W721" s="175"/>
      <c r="X721" s="175"/>
      <c r="Y721" s="175"/>
      <c r="Z721" s="175"/>
      <c r="AA721" s="175"/>
      <c r="AB721" s="175"/>
      <c r="AC721" s="175"/>
      <c r="AD721" s="76"/>
      <c r="AE721" s="76"/>
      <c r="AF721" s="76"/>
      <c r="AG721" s="76"/>
      <c r="AH721" s="76"/>
      <c r="AI721" s="76"/>
      <c r="AJ721" s="76"/>
      <c r="AK721" s="76"/>
      <c r="AL721" s="84"/>
      <c r="AM721" s="84"/>
      <c r="AN721" s="84"/>
      <c r="AO721" s="76"/>
      <c r="AP721" s="76"/>
      <c r="AQ721" s="76"/>
      <c r="AR721" s="76"/>
      <c r="AS721" s="76"/>
      <c r="AT721" s="76"/>
      <c r="AU721" s="76"/>
      <c r="AV721" s="76"/>
      <c r="AW721" s="76"/>
      <c r="AX721" s="76"/>
    </row>
    <row r="722" ht="15.75" customHeight="1">
      <c r="A722" s="81" t="s">
        <v>338</v>
      </c>
      <c r="B722" s="142" t="s">
        <v>4600</v>
      </c>
      <c r="C722" s="31" t="s">
        <v>6057</v>
      </c>
      <c r="D722" s="31" t="s">
        <v>6058</v>
      </c>
      <c r="E722" s="31" t="s">
        <v>6059</v>
      </c>
      <c r="F722" s="31"/>
      <c r="G722" s="31"/>
      <c r="H722" s="31"/>
      <c r="I722" s="84"/>
      <c r="J722" s="159"/>
      <c r="K722" s="84"/>
      <c r="L722" s="84"/>
      <c r="M722" s="84"/>
      <c r="N722" s="84"/>
      <c r="O722" s="84" t="s">
        <v>5820</v>
      </c>
      <c r="P722" s="84"/>
      <c r="Q722" s="84" t="s">
        <v>166</v>
      </c>
      <c r="R722" s="84"/>
      <c r="S722" s="84"/>
      <c r="T722" s="84"/>
      <c r="U722" s="84"/>
      <c r="V722" s="84"/>
      <c r="W722" s="84"/>
      <c r="X722" s="84"/>
      <c r="Y722" s="84"/>
      <c r="Z722" s="84"/>
      <c r="AA722" s="84"/>
      <c r="AB722" s="84"/>
      <c r="AC722" s="84"/>
      <c r="AD722" s="76"/>
      <c r="AE722" s="76"/>
      <c r="AF722" s="76"/>
      <c r="AG722" s="76"/>
      <c r="AH722" s="76"/>
      <c r="AI722" s="76"/>
      <c r="AJ722" s="76"/>
      <c r="AK722" s="76"/>
      <c r="AL722" s="84"/>
      <c r="AM722" s="84"/>
      <c r="AN722" s="84"/>
      <c r="AO722" s="76"/>
      <c r="AP722" s="76"/>
      <c r="AQ722" s="76"/>
      <c r="AR722" s="76"/>
      <c r="AS722" s="76"/>
      <c r="AT722" s="76"/>
      <c r="AU722" s="76"/>
      <c r="AV722" s="76"/>
      <c r="AW722" s="76"/>
      <c r="AX722" s="76"/>
    </row>
    <row r="723" ht="15.75" customHeight="1">
      <c r="A723" s="133" t="s">
        <v>214</v>
      </c>
      <c r="B723" s="143" t="s">
        <v>4604</v>
      </c>
      <c r="C723" s="31" t="s">
        <v>6060</v>
      </c>
      <c r="D723" s="31" t="s">
        <v>6061</v>
      </c>
      <c r="E723" s="31" t="s">
        <v>6062</v>
      </c>
      <c r="F723" s="31"/>
      <c r="G723" s="31"/>
      <c r="H723" s="31"/>
      <c r="I723" s="162"/>
      <c r="J723" s="163"/>
      <c r="K723" s="162"/>
      <c r="L723" s="162"/>
      <c r="M723" s="162"/>
      <c r="N723" s="162"/>
      <c r="O723" s="162" t="s">
        <v>6063</v>
      </c>
      <c r="P723" s="162"/>
      <c r="Q723" s="162" t="s">
        <v>166</v>
      </c>
      <c r="R723" s="162"/>
      <c r="S723" s="162"/>
      <c r="T723" s="162"/>
      <c r="U723" s="162"/>
      <c r="V723" s="162"/>
      <c r="W723" s="162"/>
      <c r="X723" s="162"/>
      <c r="Y723" s="162"/>
      <c r="Z723" s="162"/>
      <c r="AA723" s="162"/>
      <c r="AB723" s="162"/>
      <c r="AC723" s="162"/>
      <c r="AD723" s="76"/>
      <c r="AE723" s="76"/>
      <c r="AF723" s="76"/>
      <c r="AG723" s="76"/>
      <c r="AH723" s="76"/>
      <c r="AI723" s="76"/>
      <c r="AJ723" s="76"/>
      <c r="AK723" s="76"/>
      <c r="AL723" s="84"/>
      <c r="AM723" s="84"/>
      <c r="AN723" s="84"/>
      <c r="AO723" s="76"/>
      <c r="AP723" s="76"/>
      <c r="AQ723" s="76"/>
      <c r="AR723" s="76"/>
      <c r="AS723" s="76"/>
      <c r="AT723" s="76"/>
      <c r="AU723" s="76"/>
      <c r="AV723" s="76"/>
      <c r="AW723" s="76"/>
      <c r="AX723" s="76"/>
    </row>
    <row r="724" ht="15.75" customHeight="1">
      <c r="A724" s="81" t="s">
        <v>338</v>
      </c>
      <c r="B724" s="142" t="s">
        <v>4609</v>
      </c>
      <c r="C724" s="31" t="s">
        <v>6064</v>
      </c>
      <c r="D724" s="31" t="s">
        <v>6065</v>
      </c>
      <c r="E724" s="31" t="s">
        <v>6066</v>
      </c>
      <c r="F724" s="31"/>
      <c r="G724" s="31"/>
      <c r="H724" s="31"/>
      <c r="I724" s="84"/>
      <c r="J724" s="159"/>
      <c r="K724" s="84"/>
      <c r="L724" s="84"/>
      <c r="M724" s="84"/>
      <c r="N724" s="84"/>
      <c r="O724" s="84"/>
      <c r="P724" s="84"/>
      <c r="Q724" s="84" t="s">
        <v>166</v>
      </c>
      <c r="R724" s="84"/>
      <c r="S724" s="84"/>
      <c r="T724" s="84"/>
      <c r="U724" s="84"/>
      <c r="V724" s="84"/>
      <c r="W724" s="84"/>
      <c r="X724" s="84"/>
      <c r="Y724" s="84"/>
      <c r="Z724" s="84"/>
      <c r="AA724" s="84"/>
      <c r="AB724" s="84"/>
      <c r="AC724" s="84"/>
      <c r="AD724" s="76"/>
      <c r="AE724" s="76"/>
      <c r="AF724" s="76"/>
      <c r="AG724" s="76"/>
      <c r="AH724" s="76"/>
      <c r="AI724" s="76"/>
      <c r="AJ724" s="76"/>
      <c r="AK724" s="76"/>
      <c r="AL724" s="84"/>
      <c r="AM724" s="84"/>
      <c r="AN724" s="84"/>
      <c r="AO724" s="76"/>
      <c r="AP724" s="76"/>
      <c r="AQ724" s="76"/>
      <c r="AR724" s="76"/>
      <c r="AS724" s="76"/>
      <c r="AT724" s="76"/>
      <c r="AU724" s="76"/>
      <c r="AV724" s="76"/>
      <c r="AW724" s="76"/>
      <c r="AX724" s="76"/>
    </row>
    <row r="725" ht="15.75" customHeight="1">
      <c r="A725" s="133" t="s">
        <v>214</v>
      </c>
      <c r="B725" s="143" t="s">
        <v>4614</v>
      </c>
      <c r="C725" s="31" t="s">
        <v>6067</v>
      </c>
      <c r="D725" s="31" t="s">
        <v>6068</v>
      </c>
      <c r="E725" s="31" t="s">
        <v>6069</v>
      </c>
      <c r="F725" s="31"/>
      <c r="G725" s="31"/>
      <c r="H725" s="31"/>
      <c r="I725" s="162"/>
      <c r="J725" s="163"/>
      <c r="K725" s="162"/>
      <c r="L725" s="162"/>
      <c r="M725" s="162"/>
      <c r="N725" s="162"/>
      <c r="O725" s="162" t="s">
        <v>6070</v>
      </c>
      <c r="P725" s="162"/>
      <c r="Q725" s="162" t="s">
        <v>166</v>
      </c>
      <c r="R725" s="162"/>
      <c r="S725" s="162"/>
      <c r="T725" s="162"/>
      <c r="U725" s="162"/>
      <c r="V725" s="162"/>
      <c r="W725" s="162"/>
      <c r="X725" s="162"/>
      <c r="Y725" s="162"/>
      <c r="Z725" s="162"/>
      <c r="AA725" s="162"/>
      <c r="AB725" s="162"/>
      <c r="AC725" s="162"/>
      <c r="AD725" s="76"/>
      <c r="AE725" s="76"/>
      <c r="AF725" s="76"/>
      <c r="AG725" s="76"/>
      <c r="AH725" s="76"/>
      <c r="AI725" s="76"/>
      <c r="AJ725" s="76"/>
      <c r="AK725" s="76"/>
      <c r="AL725" s="84"/>
      <c r="AM725" s="84"/>
      <c r="AN725" s="84"/>
      <c r="AO725" s="76"/>
      <c r="AP725" s="76"/>
      <c r="AQ725" s="76"/>
      <c r="AR725" s="76"/>
      <c r="AS725" s="76"/>
      <c r="AT725" s="76"/>
      <c r="AU725" s="76"/>
      <c r="AV725" s="76"/>
      <c r="AW725" s="76"/>
      <c r="AX725" s="76"/>
    </row>
    <row r="726" ht="15.75" customHeight="1">
      <c r="A726" s="104" t="s">
        <v>139</v>
      </c>
      <c r="B726" s="141" t="s">
        <v>4621</v>
      </c>
      <c r="C726" s="31"/>
      <c r="D726" s="31"/>
      <c r="E726" s="31"/>
      <c r="F726" s="108"/>
      <c r="G726" s="108"/>
      <c r="H726" s="108"/>
      <c r="I726" s="108"/>
      <c r="J726" s="108"/>
      <c r="K726" s="108"/>
      <c r="L726" s="108"/>
      <c r="M726" s="108"/>
      <c r="N726" s="108"/>
      <c r="O726" s="108"/>
      <c r="P726" s="108"/>
      <c r="Q726" s="108"/>
      <c r="R726" s="108"/>
      <c r="S726" s="108"/>
      <c r="T726" s="281" t="s">
        <v>145</v>
      </c>
      <c r="U726" s="108"/>
      <c r="V726" s="108"/>
      <c r="W726" s="108"/>
      <c r="X726" s="108"/>
      <c r="Y726" s="108"/>
      <c r="Z726" s="108"/>
      <c r="AA726" s="108"/>
      <c r="AB726" s="108"/>
      <c r="AC726" s="108"/>
      <c r="AD726" s="76"/>
      <c r="AE726" s="76"/>
      <c r="AF726" s="76"/>
      <c r="AG726" s="76"/>
      <c r="AH726" s="76"/>
      <c r="AI726" s="76"/>
      <c r="AJ726" s="76"/>
      <c r="AK726" s="76"/>
      <c r="AL726" s="76"/>
      <c r="AM726" s="76"/>
      <c r="AN726" s="76"/>
      <c r="AO726" s="76"/>
      <c r="AP726" s="76"/>
      <c r="AQ726" s="76"/>
      <c r="AR726" s="76"/>
      <c r="AS726" s="76"/>
      <c r="AT726" s="76"/>
      <c r="AU726" s="76"/>
      <c r="AV726" s="76"/>
      <c r="AW726" s="76"/>
      <c r="AX726" s="76"/>
    </row>
    <row r="727" ht="15.75" customHeight="1">
      <c r="A727" s="67" t="s">
        <v>108</v>
      </c>
      <c r="B727" s="69" t="s">
        <v>4625</v>
      </c>
      <c r="C727" s="31"/>
      <c r="D727" s="31"/>
      <c r="E727" s="31"/>
      <c r="F727" s="70"/>
      <c r="G727" s="70"/>
      <c r="H727" s="70"/>
      <c r="I727" s="71"/>
      <c r="J727" s="71"/>
      <c r="K727" s="70"/>
      <c r="L727" s="71"/>
      <c r="M727" s="71"/>
      <c r="N727" s="71"/>
      <c r="O727" s="71"/>
      <c r="P727" s="70"/>
      <c r="Q727" s="70"/>
      <c r="R727" s="70"/>
      <c r="S727" s="70"/>
      <c r="T727" s="67" t="s">
        <v>6071</v>
      </c>
      <c r="U727" s="70"/>
      <c r="V727" s="70"/>
      <c r="W727" s="70"/>
      <c r="X727" s="70"/>
      <c r="Y727" s="70"/>
      <c r="Z727" s="70"/>
      <c r="AA727" s="70"/>
      <c r="AB727" s="70"/>
      <c r="AC727" s="70"/>
      <c r="AD727" s="76"/>
      <c r="AE727" s="76"/>
      <c r="AF727" s="76"/>
      <c r="AG727" s="76"/>
      <c r="AH727" s="76"/>
      <c r="AI727" s="76"/>
      <c r="AJ727" s="76"/>
      <c r="AK727" s="76"/>
      <c r="AL727" s="76"/>
      <c r="AM727" s="76"/>
      <c r="AN727" s="76"/>
      <c r="AO727" s="76"/>
      <c r="AP727" s="76"/>
      <c r="AQ727" s="76"/>
      <c r="AR727" s="76"/>
      <c r="AS727" s="76"/>
      <c r="AT727" s="76"/>
      <c r="AU727" s="76"/>
      <c r="AV727" s="76"/>
      <c r="AW727" s="76"/>
      <c r="AX727" s="76"/>
    </row>
    <row r="728" ht="15.75" customHeight="1">
      <c r="A728" s="104" t="s">
        <v>139</v>
      </c>
      <c r="B728" s="141" t="s">
        <v>4629</v>
      </c>
      <c r="C728" s="31"/>
      <c r="D728" s="31"/>
      <c r="E728" s="31"/>
      <c r="F728" s="108"/>
      <c r="G728" s="108"/>
      <c r="H728" s="108"/>
      <c r="I728" s="108"/>
      <c r="J728" s="108"/>
      <c r="K728" s="108"/>
      <c r="L728" s="108"/>
      <c r="M728" s="108"/>
      <c r="N728" s="108"/>
      <c r="O728" s="108"/>
      <c r="P728" s="108"/>
      <c r="Q728" s="108"/>
      <c r="R728" s="108"/>
      <c r="S728" s="108"/>
      <c r="T728" s="281" t="s">
        <v>145</v>
      </c>
      <c r="U728" s="108"/>
      <c r="V728" s="108"/>
      <c r="W728" s="108"/>
      <c r="X728" s="108"/>
      <c r="Y728" s="108"/>
      <c r="Z728" s="108"/>
      <c r="AA728" s="108"/>
      <c r="AB728" s="108"/>
      <c r="AC728" s="108"/>
      <c r="AD728" s="76"/>
      <c r="AE728" s="76"/>
      <c r="AF728" s="76"/>
      <c r="AG728" s="76"/>
      <c r="AH728" s="76"/>
      <c r="AI728" s="76"/>
      <c r="AJ728" s="76"/>
      <c r="AK728" s="76"/>
      <c r="AL728" s="76"/>
      <c r="AM728" s="76"/>
      <c r="AN728" s="76"/>
      <c r="AO728" s="76"/>
      <c r="AP728" s="76"/>
      <c r="AQ728" s="76"/>
      <c r="AR728" s="76"/>
      <c r="AS728" s="76"/>
      <c r="AT728" s="76"/>
      <c r="AU728" s="76"/>
      <c r="AV728" s="76"/>
      <c r="AW728" s="76"/>
      <c r="AX728" s="76"/>
    </row>
    <row r="729" ht="15.75" customHeight="1">
      <c r="A729" s="126" t="s">
        <v>42</v>
      </c>
      <c r="B729" s="127" t="s">
        <v>4633</v>
      </c>
      <c r="C729" s="31" t="s">
        <v>6072</v>
      </c>
      <c r="D729" s="31" t="s">
        <v>6073</v>
      </c>
      <c r="E729" s="31" t="s">
        <v>6074</v>
      </c>
      <c r="F729" s="31"/>
      <c r="G729" s="31"/>
      <c r="H729" s="31"/>
      <c r="I729" s="154"/>
      <c r="J729" s="154"/>
      <c r="K729" s="154"/>
      <c r="L729" s="154"/>
      <c r="M729" s="154"/>
      <c r="N729" s="154"/>
      <c r="O729" s="154"/>
      <c r="P729" s="154"/>
      <c r="Q729" s="154"/>
      <c r="R729" s="154"/>
      <c r="S729" s="154"/>
      <c r="T729" s="154"/>
      <c r="U729" s="154"/>
      <c r="V729" s="154"/>
      <c r="W729" s="154"/>
      <c r="X729" s="154"/>
      <c r="Y729" s="154"/>
      <c r="Z729" s="154"/>
      <c r="AA729" s="154"/>
      <c r="AB729" s="154"/>
      <c r="AC729" s="154"/>
      <c r="AD729" s="76"/>
      <c r="AE729" s="76"/>
      <c r="AF729" s="76"/>
      <c r="AG729" s="76"/>
      <c r="AH729" s="76"/>
      <c r="AI729" s="76"/>
      <c r="AJ729" s="76"/>
      <c r="AK729" s="76"/>
      <c r="AL729" s="84"/>
      <c r="AM729" s="84"/>
      <c r="AN729" s="84"/>
      <c r="AO729" s="76"/>
      <c r="AP729" s="76"/>
      <c r="AQ729" s="76"/>
      <c r="AR729" s="76"/>
      <c r="AS729" s="76"/>
      <c r="AT729" s="76"/>
      <c r="AU729" s="76"/>
      <c r="AV729" s="76"/>
      <c r="AW729" s="76"/>
      <c r="AX729" s="76"/>
    </row>
    <row r="730" ht="15.75" customHeight="1">
      <c r="A730" s="81" t="s">
        <v>637</v>
      </c>
      <c r="B730" s="142" t="s">
        <v>4642</v>
      </c>
      <c r="C730" s="31" t="s">
        <v>6075</v>
      </c>
      <c r="D730" s="31" t="s">
        <v>6076</v>
      </c>
      <c r="E730" s="31" t="s">
        <v>6077</v>
      </c>
      <c r="F730" s="31"/>
      <c r="G730" s="31"/>
      <c r="H730" s="31"/>
      <c r="I730" s="84"/>
      <c r="J730" s="159"/>
      <c r="K730" s="84" t="s">
        <v>2693</v>
      </c>
      <c r="L730" s="84"/>
      <c r="M730" s="84"/>
      <c r="N730" s="84"/>
      <c r="O730" s="84"/>
      <c r="P730" s="84"/>
      <c r="Q730" s="84" t="s">
        <v>166</v>
      </c>
      <c r="R730" s="84"/>
      <c r="S730" s="84"/>
      <c r="T730" s="84"/>
      <c r="U730" s="84"/>
      <c r="V730" s="84"/>
      <c r="W730" s="84"/>
      <c r="X730" s="84"/>
      <c r="Y730" s="84"/>
      <c r="Z730" s="84"/>
      <c r="AA730" s="84"/>
      <c r="AB730" s="84"/>
      <c r="AC730" s="84"/>
      <c r="AD730" s="76"/>
      <c r="AE730" s="76"/>
      <c r="AF730" s="76"/>
      <c r="AG730" s="76"/>
      <c r="AH730" s="76"/>
      <c r="AI730" s="76"/>
      <c r="AJ730" s="76"/>
      <c r="AK730" s="76"/>
      <c r="AL730" s="84"/>
      <c r="AM730" s="84"/>
      <c r="AN730" s="84"/>
      <c r="AO730" s="76"/>
      <c r="AP730" s="76"/>
      <c r="AQ730" s="76"/>
      <c r="AR730" s="76"/>
      <c r="AS730" s="76"/>
      <c r="AT730" s="76"/>
      <c r="AU730" s="76"/>
      <c r="AV730" s="76"/>
      <c r="AW730" s="76"/>
      <c r="AX730" s="76"/>
    </row>
    <row r="731" ht="15.75" customHeight="1">
      <c r="A731" s="133" t="s">
        <v>214</v>
      </c>
      <c r="B731" s="143" t="s">
        <v>4648</v>
      </c>
      <c r="C731" s="31" t="s">
        <v>6078</v>
      </c>
      <c r="D731" s="31" t="s">
        <v>6079</v>
      </c>
      <c r="E731" s="31" t="s">
        <v>6080</v>
      </c>
      <c r="F731" s="31"/>
      <c r="G731" s="31"/>
      <c r="H731" s="31"/>
      <c r="I731" s="162"/>
      <c r="J731" s="163"/>
      <c r="K731" s="162"/>
      <c r="L731" s="162"/>
      <c r="M731" s="162"/>
      <c r="N731" s="162"/>
      <c r="O731" s="162" t="s">
        <v>6081</v>
      </c>
      <c r="P731" s="162"/>
      <c r="Q731" s="162" t="s">
        <v>166</v>
      </c>
      <c r="R731" s="162"/>
      <c r="S731" s="162"/>
      <c r="T731" s="162"/>
      <c r="U731" s="162"/>
      <c r="V731" s="162"/>
      <c r="W731" s="162"/>
      <c r="X731" s="162"/>
      <c r="Y731" s="162"/>
      <c r="Z731" s="162"/>
      <c r="AA731" s="162"/>
      <c r="AB731" s="162"/>
      <c r="AC731" s="162"/>
      <c r="AD731" s="76"/>
      <c r="AE731" s="76"/>
      <c r="AF731" s="76"/>
      <c r="AG731" s="76"/>
      <c r="AH731" s="76"/>
      <c r="AI731" s="76"/>
      <c r="AJ731" s="76"/>
      <c r="AK731" s="76"/>
      <c r="AL731" s="84"/>
      <c r="AM731" s="84"/>
      <c r="AN731" s="84"/>
      <c r="AO731" s="76"/>
      <c r="AP731" s="76"/>
      <c r="AQ731" s="76"/>
      <c r="AR731" s="76"/>
      <c r="AS731" s="76"/>
      <c r="AT731" s="76"/>
      <c r="AU731" s="76"/>
      <c r="AV731" s="76"/>
      <c r="AW731" s="76"/>
      <c r="AX731" s="76"/>
    </row>
    <row r="732" ht="15.75" customHeight="1">
      <c r="A732" s="144" t="s">
        <v>648</v>
      </c>
      <c r="B732" s="145" t="s">
        <v>4655</v>
      </c>
      <c r="C732" s="31" t="s">
        <v>650</v>
      </c>
      <c r="D732" s="31" t="s">
        <v>651</v>
      </c>
      <c r="E732" s="31" t="s">
        <v>653</v>
      </c>
      <c r="F732" s="173"/>
      <c r="G732" s="173"/>
      <c r="H732" s="173"/>
      <c r="I732" s="173"/>
      <c r="J732" s="173"/>
      <c r="K732" s="173"/>
      <c r="L732" s="173"/>
      <c r="M732" s="174"/>
      <c r="N732" s="174"/>
      <c r="O732" s="174" t="s">
        <v>6082</v>
      </c>
      <c r="P732" s="173"/>
      <c r="Q732" s="173"/>
      <c r="R732" s="173"/>
      <c r="S732" s="173"/>
      <c r="T732" s="173"/>
      <c r="U732" s="174" t="s">
        <v>6083</v>
      </c>
      <c r="V732" s="173"/>
      <c r="W732" s="173"/>
      <c r="X732" s="173"/>
      <c r="Y732" s="173"/>
      <c r="Z732" s="173"/>
      <c r="AA732" s="173"/>
      <c r="AB732" s="173"/>
      <c r="AC732" s="173"/>
      <c r="AD732" s="76"/>
      <c r="AE732" s="76"/>
      <c r="AF732" s="76"/>
      <c r="AG732" s="76"/>
      <c r="AH732" s="76"/>
      <c r="AI732" s="76"/>
      <c r="AJ732" s="76"/>
      <c r="AK732" s="76"/>
      <c r="AL732" s="84"/>
      <c r="AM732" s="84"/>
      <c r="AN732" s="84"/>
      <c r="AO732" s="76"/>
      <c r="AP732" s="76"/>
      <c r="AQ732" s="76"/>
      <c r="AR732" s="76"/>
      <c r="AS732" s="76"/>
      <c r="AT732" s="76"/>
      <c r="AU732" s="76"/>
      <c r="AV732" s="76"/>
      <c r="AW732" s="76"/>
      <c r="AX732" s="76"/>
    </row>
    <row r="733" ht="15.75" customHeight="1">
      <c r="A733" s="104" t="s">
        <v>108</v>
      </c>
      <c r="B733" s="105" t="s">
        <v>4659</v>
      </c>
      <c r="C733" s="31"/>
      <c r="D733" s="31"/>
      <c r="E733" s="31"/>
      <c r="F733" s="108"/>
      <c r="G733" s="108"/>
      <c r="H733" s="108"/>
      <c r="I733" s="108"/>
      <c r="J733" s="108"/>
      <c r="K733" s="108"/>
      <c r="L733" s="108"/>
      <c r="M733" s="108"/>
      <c r="N733" s="108"/>
      <c r="O733" s="108"/>
      <c r="P733" s="108"/>
      <c r="Q733" s="108"/>
      <c r="R733" s="108"/>
      <c r="S733" s="108"/>
      <c r="T733" s="121" t="s">
        <v>6084</v>
      </c>
      <c r="U733" s="108"/>
      <c r="V733" s="108"/>
      <c r="W733" s="108"/>
      <c r="X733" s="108"/>
      <c r="Y733" s="108"/>
      <c r="Z733" s="108"/>
      <c r="AA733" s="108"/>
      <c r="AB733" s="108"/>
      <c r="AC733" s="108"/>
      <c r="AD733" s="76"/>
      <c r="AE733" s="76"/>
      <c r="AF733" s="76"/>
      <c r="AG733" s="76"/>
      <c r="AH733" s="76"/>
      <c r="AI733" s="76"/>
      <c r="AJ733" s="76"/>
      <c r="AK733" s="76"/>
      <c r="AL733" s="84"/>
      <c r="AM733" s="84"/>
      <c r="AN733" s="84"/>
      <c r="AO733" s="76"/>
      <c r="AP733" s="76"/>
      <c r="AQ733" s="76"/>
      <c r="AR733" s="76"/>
      <c r="AS733" s="76"/>
      <c r="AT733" s="76"/>
      <c r="AU733" s="76"/>
      <c r="AV733" s="76"/>
      <c r="AW733" s="76"/>
      <c r="AX733" s="76"/>
    </row>
    <row r="734" ht="15.75" customHeight="1">
      <c r="A734" s="104" t="s">
        <v>108</v>
      </c>
      <c r="B734" s="105" t="s">
        <v>4665</v>
      </c>
      <c r="C734" s="31" t="s">
        <v>659</v>
      </c>
      <c r="D734" s="31" t="s">
        <v>660</v>
      </c>
      <c r="E734" s="31" t="s">
        <v>4666</v>
      </c>
      <c r="F734" s="108"/>
      <c r="G734" s="108"/>
      <c r="H734" s="108"/>
      <c r="I734" s="108"/>
      <c r="J734" s="108"/>
      <c r="K734" s="108"/>
      <c r="L734" s="108"/>
      <c r="M734" s="108"/>
      <c r="N734" s="108"/>
      <c r="O734" s="108"/>
      <c r="P734" s="108"/>
      <c r="Q734" s="108"/>
      <c r="R734" s="108"/>
      <c r="S734" s="108"/>
      <c r="T734" s="121" t="s">
        <v>6085</v>
      </c>
      <c r="U734" s="108"/>
      <c r="V734" s="108"/>
      <c r="W734" s="108"/>
      <c r="X734" s="108"/>
      <c r="Y734" s="108"/>
      <c r="Z734" s="108"/>
      <c r="AA734" s="108"/>
      <c r="AB734" s="108"/>
      <c r="AC734" s="108"/>
      <c r="AD734" s="76"/>
      <c r="AE734" s="76"/>
      <c r="AF734" s="76"/>
      <c r="AG734" s="76"/>
      <c r="AH734" s="76"/>
      <c r="AI734" s="76"/>
      <c r="AJ734" s="76"/>
      <c r="AK734" s="76"/>
      <c r="AL734" s="84"/>
      <c r="AM734" s="84"/>
      <c r="AN734" s="84"/>
      <c r="AO734" s="76"/>
      <c r="AP734" s="76"/>
      <c r="AQ734" s="76"/>
      <c r="AR734" s="76"/>
      <c r="AS734" s="76"/>
      <c r="AT734" s="76"/>
      <c r="AU734" s="76"/>
      <c r="AV734" s="76"/>
      <c r="AW734" s="76"/>
      <c r="AX734" s="76"/>
    </row>
    <row r="735" ht="15.75" customHeight="1">
      <c r="A735" s="146" t="s">
        <v>237</v>
      </c>
      <c r="B735" s="147" t="s">
        <v>4672</v>
      </c>
      <c r="C735" s="31" t="s">
        <v>6086</v>
      </c>
      <c r="D735" s="31" t="s">
        <v>6087</v>
      </c>
      <c r="E735" s="31" t="s">
        <v>6088</v>
      </c>
      <c r="F735" s="31"/>
      <c r="G735" s="31"/>
      <c r="H735" s="31"/>
      <c r="I735" s="175"/>
      <c r="J735" s="175"/>
      <c r="K735" s="176"/>
      <c r="L735" s="176" t="s">
        <v>1341</v>
      </c>
      <c r="M735" s="175"/>
      <c r="N735" s="175"/>
      <c r="O735" s="175"/>
      <c r="P735" s="175"/>
      <c r="Q735" s="175" t="s">
        <v>166</v>
      </c>
      <c r="R735" s="175"/>
      <c r="S735" s="175"/>
      <c r="T735" s="175"/>
      <c r="U735" s="175"/>
      <c r="V735" s="175"/>
      <c r="W735" s="175"/>
      <c r="X735" s="175"/>
      <c r="Y735" s="175"/>
      <c r="Z735" s="175"/>
      <c r="AA735" s="175"/>
      <c r="AB735" s="175"/>
      <c r="AC735" s="175"/>
      <c r="AD735" s="76"/>
      <c r="AE735" s="76"/>
      <c r="AF735" s="76"/>
      <c r="AG735" s="76"/>
      <c r="AH735" s="76"/>
      <c r="AI735" s="76"/>
      <c r="AJ735" s="76"/>
      <c r="AK735" s="76"/>
      <c r="AL735" s="84"/>
      <c r="AM735" s="84"/>
      <c r="AN735" s="84"/>
      <c r="AO735" s="76"/>
      <c r="AP735" s="76"/>
      <c r="AQ735" s="76"/>
      <c r="AR735" s="76"/>
      <c r="AS735" s="76"/>
      <c r="AT735" s="76"/>
      <c r="AU735" s="76"/>
      <c r="AV735" s="76"/>
      <c r="AW735" s="76"/>
      <c r="AX735" s="76"/>
    </row>
    <row r="736" ht="15.75" customHeight="1">
      <c r="A736" s="81" t="s">
        <v>338</v>
      </c>
      <c r="B736" s="142" t="s">
        <v>4679</v>
      </c>
      <c r="C736" s="31" t="s">
        <v>6089</v>
      </c>
      <c r="D736" s="31" t="s">
        <v>6090</v>
      </c>
      <c r="E736" s="31" t="s">
        <v>6091</v>
      </c>
      <c r="F736" s="31"/>
      <c r="G736" s="31"/>
      <c r="H736" s="31"/>
      <c r="I736" s="84"/>
      <c r="J736" s="159"/>
      <c r="K736" s="84"/>
      <c r="L736" s="84"/>
      <c r="M736" s="84"/>
      <c r="N736" s="84"/>
      <c r="O736" s="84" t="s">
        <v>6092</v>
      </c>
      <c r="P736" s="84"/>
      <c r="Q736" s="84" t="s">
        <v>166</v>
      </c>
      <c r="R736" s="84"/>
      <c r="S736" s="84"/>
      <c r="T736" s="84"/>
      <c r="U736" s="84"/>
      <c r="V736" s="84"/>
      <c r="W736" s="84"/>
      <c r="X736" s="84"/>
      <c r="Y736" s="84"/>
      <c r="Z736" s="84"/>
      <c r="AA736" s="84"/>
      <c r="AB736" s="84"/>
      <c r="AC736" s="84"/>
      <c r="AD736" s="76"/>
      <c r="AE736" s="76"/>
      <c r="AF736" s="76"/>
      <c r="AG736" s="76"/>
      <c r="AH736" s="76"/>
      <c r="AI736" s="76"/>
      <c r="AJ736" s="76"/>
      <c r="AK736" s="76"/>
      <c r="AL736" s="84"/>
      <c r="AM736" s="84"/>
      <c r="AN736" s="84"/>
      <c r="AO736" s="76"/>
      <c r="AP736" s="76"/>
      <c r="AQ736" s="76"/>
      <c r="AR736" s="76"/>
      <c r="AS736" s="76"/>
      <c r="AT736" s="76"/>
      <c r="AU736" s="76"/>
      <c r="AV736" s="76"/>
      <c r="AW736" s="76"/>
      <c r="AX736" s="76"/>
    </row>
    <row r="737" ht="15.75" customHeight="1">
      <c r="A737" s="144" t="s">
        <v>691</v>
      </c>
      <c r="B737" s="150" t="s">
        <v>4655</v>
      </c>
      <c r="C737" s="31" t="s">
        <v>650</v>
      </c>
      <c r="D737" s="31" t="s">
        <v>651</v>
      </c>
      <c r="E737" s="31" t="s">
        <v>653</v>
      </c>
      <c r="F737" s="173"/>
      <c r="G737" s="173"/>
      <c r="H737" s="173"/>
      <c r="I737" s="173"/>
      <c r="J737" s="173"/>
      <c r="K737" s="173"/>
      <c r="L737" s="173"/>
      <c r="M737" s="173"/>
      <c r="N737" s="173"/>
      <c r="O737" s="173"/>
      <c r="P737" s="173"/>
      <c r="Q737" s="173"/>
      <c r="R737" s="173"/>
      <c r="S737" s="173"/>
      <c r="T737" s="173"/>
      <c r="U737" s="173"/>
      <c r="V737" s="173"/>
      <c r="W737" s="173"/>
      <c r="X737" s="173"/>
      <c r="Y737" s="173"/>
      <c r="Z737" s="173"/>
      <c r="AA737" s="173"/>
      <c r="AB737" s="173"/>
      <c r="AC737" s="173"/>
      <c r="AD737" s="76"/>
      <c r="AE737" s="76"/>
      <c r="AF737" s="76"/>
      <c r="AG737" s="76"/>
      <c r="AH737" s="76"/>
      <c r="AI737" s="76"/>
      <c r="AJ737" s="76"/>
      <c r="AK737" s="76"/>
      <c r="AL737" s="84"/>
      <c r="AM737" s="84"/>
      <c r="AN737" s="84"/>
      <c r="AO737" s="76"/>
      <c r="AP737" s="76"/>
      <c r="AQ737" s="76"/>
      <c r="AR737" s="76"/>
      <c r="AS737" s="76"/>
      <c r="AT737" s="76"/>
      <c r="AU737" s="76"/>
      <c r="AV737" s="76"/>
      <c r="AW737" s="76"/>
      <c r="AX737" s="76"/>
    </row>
    <row r="738" ht="15.75" customHeight="1">
      <c r="A738" s="104" t="s">
        <v>139</v>
      </c>
      <c r="B738" s="141" t="s">
        <v>4689</v>
      </c>
      <c r="C738" s="31"/>
      <c r="D738" s="31"/>
      <c r="E738" s="31"/>
      <c r="F738" s="108"/>
      <c r="G738" s="108"/>
      <c r="H738" s="108"/>
      <c r="I738" s="108"/>
      <c r="J738" s="108"/>
      <c r="K738" s="108"/>
      <c r="L738" s="108"/>
      <c r="M738" s="108"/>
      <c r="N738" s="108"/>
      <c r="O738" s="108"/>
      <c r="P738" s="108"/>
      <c r="Q738" s="108"/>
      <c r="R738" s="108"/>
      <c r="S738" s="108"/>
      <c r="T738" s="281" t="s">
        <v>145</v>
      </c>
      <c r="U738" s="108"/>
      <c r="V738" s="108"/>
      <c r="W738" s="108"/>
      <c r="X738" s="108"/>
      <c r="Y738" s="108"/>
      <c r="Z738" s="108"/>
      <c r="AA738" s="108"/>
      <c r="AB738" s="108"/>
      <c r="AC738" s="108"/>
      <c r="AD738" s="76"/>
      <c r="AE738" s="76"/>
      <c r="AF738" s="76"/>
      <c r="AG738" s="76"/>
      <c r="AH738" s="76"/>
      <c r="AI738" s="76"/>
      <c r="AJ738" s="76"/>
      <c r="AK738" s="76"/>
      <c r="AL738" s="76"/>
      <c r="AM738" s="76"/>
      <c r="AN738" s="76"/>
      <c r="AO738" s="76"/>
      <c r="AP738" s="76"/>
      <c r="AQ738" s="76"/>
      <c r="AR738" s="76"/>
      <c r="AS738" s="76"/>
      <c r="AT738" s="76"/>
      <c r="AU738" s="76"/>
      <c r="AV738" s="76"/>
      <c r="AW738" s="76"/>
      <c r="AX738" s="76"/>
    </row>
    <row r="739" ht="15.75" customHeight="1">
      <c r="A739" s="67" t="s">
        <v>108</v>
      </c>
      <c r="B739" s="69" t="s">
        <v>4691</v>
      </c>
      <c r="C739" s="31"/>
      <c r="D739" s="31"/>
      <c r="E739" s="31"/>
      <c r="F739" s="70"/>
      <c r="G739" s="70"/>
      <c r="H739" s="70"/>
      <c r="I739" s="71"/>
      <c r="J739" s="71"/>
      <c r="K739" s="70"/>
      <c r="L739" s="71"/>
      <c r="M739" s="71"/>
      <c r="N739" s="71"/>
      <c r="O739" s="71"/>
      <c r="P739" s="70"/>
      <c r="Q739" s="70"/>
      <c r="R739" s="70"/>
      <c r="S739" s="70"/>
      <c r="T739" s="67" t="s">
        <v>6093</v>
      </c>
      <c r="U739" s="70"/>
      <c r="V739" s="70"/>
      <c r="W739" s="70"/>
      <c r="X739" s="70"/>
      <c r="Y739" s="70"/>
      <c r="Z739" s="70"/>
      <c r="AA739" s="70"/>
      <c r="AB739" s="70"/>
      <c r="AC739" s="70"/>
      <c r="AD739" s="76"/>
      <c r="AE739" s="76"/>
      <c r="AF739" s="76"/>
      <c r="AG739" s="76"/>
      <c r="AH739" s="76"/>
      <c r="AI739" s="76"/>
      <c r="AJ739" s="76"/>
      <c r="AK739" s="76"/>
      <c r="AL739" s="76"/>
      <c r="AM739" s="76"/>
      <c r="AN739" s="76"/>
      <c r="AO739" s="76"/>
      <c r="AP739" s="76"/>
      <c r="AQ739" s="76"/>
      <c r="AR739" s="76"/>
      <c r="AS739" s="76"/>
      <c r="AT739" s="76"/>
      <c r="AU739" s="76"/>
      <c r="AV739" s="76"/>
      <c r="AW739" s="76"/>
      <c r="AX739" s="76"/>
    </row>
    <row r="740" ht="15.75" customHeight="1">
      <c r="A740" s="104" t="s">
        <v>108</v>
      </c>
      <c r="B740" s="105" t="s">
        <v>4693</v>
      </c>
      <c r="C740" s="31"/>
      <c r="D740" s="31"/>
      <c r="E740" s="31"/>
      <c r="F740" s="108"/>
      <c r="G740" s="108"/>
      <c r="H740" s="108"/>
      <c r="I740" s="108"/>
      <c r="J740" s="108"/>
      <c r="K740" s="108"/>
      <c r="L740" s="108"/>
      <c r="M740" s="108"/>
      <c r="N740" s="108"/>
      <c r="O740" s="108"/>
      <c r="P740" s="108"/>
      <c r="Q740" s="108"/>
      <c r="R740" s="108"/>
      <c r="S740" s="108"/>
      <c r="T740" s="121" t="s">
        <v>6094</v>
      </c>
      <c r="U740" s="108"/>
      <c r="V740" s="108"/>
      <c r="W740" s="108"/>
      <c r="X740" s="108"/>
      <c r="Y740" s="108"/>
      <c r="Z740" s="108"/>
      <c r="AA740" s="108"/>
      <c r="AB740" s="108"/>
      <c r="AC740" s="108"/>
      <c r="AD740" s="76"/>
      <c r="AE740" s="76"/>
      <c r="AF740" s="76"/>
      <c r="AG740" s="76"/>
      <c r="AH740" s="76"/>
      <c r="AI740" s="76"/>
      <c r="AJ740" s="76"/>
      <c r="AK740" s="76"/>
      <c r="AL740" s="84"/>
      <c r="AM740" s="84"/>
      <c r="AN740" s="84"/>
      <c r="AO740" s="76"/>
      <c r="AP740" s="76"/>
      <c r="AQ740" s="76"/>
      <c r="AR740" s="76"/>
      <c r="AS740" s="76"/>
      <c r="AT740" s="76"/>
      <c r="AU740" s="76"/>
      <c r="AV740" s="76"/>
      <c r="AW740" s="76"/>
      <c r="AX740" s="76"/>
    </row>
    <row r="741" ht="15.75" customHeight="1">
      <c r="A741" s="81" t="s">
        <v>338</v>
      </c>
      <c r="B741" s="142" t="s">
        <v>4698</v>
      </c>
      <c r="C741" s="31" t="s">
        <v>6095</v>
      </c>
      <c r="D741" s="31" t="s">
        <v>6096</v>
      </c>
      <c r="E741" s="31" t="s">
        <v>6097</v>
      </c>
      <c r="F741" s="31"/>
      <c r="G741" s="31"/>
      <c r="H741" s="31"/>
      <c r="I741" s="84"/>
      <c r="J741" s="159"/>
      <c r="K741" s="84" t="s">
        <v>5692</v>
      </c>
      <c r="L741" s="84" t="s">
        <v>6098</v>
      </c>
      <c r="M741" s="84"/>
      <c r="N741" s="84"/>
      <c r="O741" s="84"/>
      <c r="P741" s="84"/>
      <c r="Q741" s="84" t="s">
        <v>166</v>
      </c>
      <c r="R741" s="84"/>
      <c r="S741" s="84"/>
      <c r="T741" s="84"/>
      <c r="U741" s="84"/>
      <c r="V741" s="84"/>
      <c r="W741" s="84"/>
      <c r="X741" s="84"/>
      <c r="Y741" s="84"/>
      <c r="Z741" s="84"/>
      <c r="AA741" s="84"/>
      <c r="AB741" s="84"/>
      <c r="AC741" s="84"/>
      <c r="AD741" s="76"/>
      <c r="AE741" s="76"/>
      <c r="AF741" s="76"/>
      <c r="AG741" s="76"/>
      <c r="AH741" s="76"/>
      <c r="AI741" s="76"/>
      <c r="AJ741" s="76"/>
      <c r="AK741" s="76"/>
      <c r="AL741" s="84"/>
      <c r="AM741" s="84"/>
      <c r="AN741" s="84"/>
      <c r="AO741" s="76"/>
      <c r="AP741" s="76"/>
      <c r="AQ741" s="76"/>
      <c r="AR741" s="76"/>
      <c r="AS741" s="76"/>
      <c r="AT741" s="76"/>
      <c r="AU741" s="76"/>
      <c r="AV741" s="76"/>
      <c r="AW741" s="76"/>
      <c r="AX741" s="76"/>
    </row>
    <row r="742" ht="15.75" customHeight="1">
      <c r="A742" s="81"/>
      <c r="B742" s="142"/>
      <c r="C742" s="31"/>
      <c r="D742" s="31"/>
      <c r="E742" s="31"/>
      <c r="F742" s="84"/>
      <c r="G742" s="84"/>
      <c r="H742" s="84"/>
      <c r="I742" s="84"/>
      <c r="J742" s="159"/>
      <c r="K742" s="84"/>
      <c r="L742" s="84"/>
      <c r="M742" s="84"/>
      <c r="N742" s="84"/>
      <c r="O742" s="84"/>
      <c r="P742" s="84"/>
      <c r="Q742" s="84"/>
      <c r="R742" s="84"/>
      <c r="S742" s="84"/>
      <c r="T742" s="84"/>
      <c r="U742" s="84"/>
      <c r="V742" s="84"/>
      <c r="W742" s="84"/>
      <c r="X742" s="84"/>
      <c r="Y742" s="84"/>
      <c r="Z742" s="84"/>
      <c r="AA742" s="84"/>
      <c r="AB742" s="84"/>
      <c r="AC742" s="84"/>
      <c r="AD742" s="84"/>
      <c r="AE742" s="84"/>
      <c r="AF742" s="84"/>
      <c r="AG742" s="84"/>
      <c r="AH742" s="84"/>
      <c r="AI742" s="84"/>
      <c r="AJ742" s="84"/>
      <c r="AK742" s="84"/>
      <c r="AL742" s="84"/>
      <c r="AM742" s="84"/>
      <c r="AN742" s="84"/>
      <c r="AO742" s="76"/>
      <c r="AP742" s="76"/>
      <c r="AQ742" s="76"/>
      <c r="AR742" s="76"/>
      <c r="AS742" s="76"/>
      <c r="AT742" s="76"/>
      <c r="AU742" s="76"/>
      <c r="AV742" s="76"/>
      <c r="AW742" s="76"/>
      <c r="AX742" s="76"/>
    </row>
    <row r="743" ht="15.75" customHeight="1">
      <c r="A743" s="81" t="s">
        <v>1394</v>
      </c>
      <c r="B743" s="142" t="s">
        <v>4706</v>
      </c>
      <c r="C743" s="31" t="s">
        <v>6099</v>
      </c>
      <c r="D743" s="31" t="s">
        <v>6100</v>
      </c>
      <c r="E743" s="31" t="s">
        <v>6101</v>
      </c>
      <c r="F743" s="31" t="s">
        <v>2688</v>
      </c>
      <c r="G743" s="31" t="s">
        <v>2689</v>
      </c>
      <c r="H743" s="31" t="s">
        <v>2690</v>
      </c>
      <c r="I743" s="84"/>
      <c r="J743" s="159"/>
      <c r="K743" s="84" t="s">
        <v>2693</v>
      </c>
      <c r="L743" s="84"/>
      <c r="M743" s="84"/>
      <c r="N743" s="84"/>
      <c r="O743" s="84"/>
      <c r="P743" s="84"/>
      <c r="Q743" s="84" t="s">
        <v>166</v>
      </c>
      <c r="R743" s="84"/>
      <c r="S743" s="84"/>
      <c r="T743" s="84"/>
      <c r="U743" s="84"/>
      <c r="V743" s="84"/>
      <c r="W743" s="84"/>
      <c r="X743" s="84"/>
      <c r="Y743" s="84"/>
      <c r="Z743" s="84"/>
      <c r="AA743" s="84"/>
      <c r="AB743" s="84"/>
      <c r="AC743" s="84"/>
      <c r="AD743" s="84"/>
      <c r="AE743" s="84"/>
      <c r="AF743" s="84"/>
      <c r="AG743" s="84"/>
      <c r="AH743" s="84"/>
      <c r="AI743" s="84"/>
      <c r="AJ743" s="84"/>
      <c r="AK743" s="84"/>
      <c r="AL743" s="84"/>
      <c r="AM743" s="84"/>
      <c r="AN743" s="84"/>
      <c r="AO743" s="76"/>
      <c r="AP743" s="76"/>
      <c r="AQ743" s="76"/>
      <c r="AR743" s="76"/>
      <c r="AS743" s="76"/>
      <c r="AT743" s="76"/>
      <c r="AU743" s="76"/>
      <c r="AV743" s="76"/>
      <c r="AW743" s="76"/>
      <c r="AX743" s="76"/>
    </row>
    <row r="744" ht="15.75" customHeight="1">
      <c r="A744" s="133" t="s">
        <v>214</v>
      </c>
      <c r="B744" s="143" t="s">
        <v>4710</v>
      </c>
      <c r="C744" s="31" t="s">
        <v>6102</v>
      </c>
      <c r="D744" s="31" t="s">
        <v>6103</v>
      </c>
      <c r="E744" s="31" t="s">
        <v>6104</v>
      </c>
      <c r="F744" s="31"/>
      <c r="G744" s="31"/>
      <c r="H744" s="31"/>
      <c r="I744" s="162"/>
      <c r="J744" s="163"/>
      <c r="K744" s="162"/>
      <c r="L744" s="162"/>
      <c r="M744" s="162"/>
      <c r="N744" s="162"/>
      <c r="O744" s="162" t="s">
        <v>6105</v>
      </c>
      <c r="P744" s="162"/>
      <c r="Q744" s="162" t="s">
        <v>166</v>
      </c>
      <c r="R744" s="162"/>
      <c r="S744" s="162"/>
      <c r="T744" s="162"/>
      <c r="U744" s="162"/>
      <c r="V744" s="162"/>
      <c r="W744" s="162"/>
      <c r="X744" s="162"/>
      <c r="Y744" s="162"/>
      <c r="Z744" s="162"/>
      <c r="AA744" s="162"/>
      <c r="AB744" s="162"/>
      <c r="AC744" s="162"/>
      <c r="AD744" s="162"/>
      <c r="AE744" s="162"/>
      <c r="AF744" s="162"/>
      <c r="AG744" s="162"/>
      <c r="AH744" s="162"/>
      <c r="AI744" s="162"/>
      <c r="AJ744" s="162"/>
      <c r="AK744" s="162"/>
      <c r="AL744" s="162"/>
      <c r="AM744" s="162"/>
      <c r="AN744" s="162"/>
      <c r="AO744" s="76"/>
      <c r="AP744" s="76"/>
      <c r="AQ744" s="76"/>
      <c r="AR744" s="76"/>
      <c r="AS744" s="76"/>
      <c r="AT744" s="76"/>
      <c r="AU744" s="76"/>
      <c r="AV744" s="76"/>
      <c r="AW744" s="76"/>
      <c r="AX744" s="76"/>
    </row>
    <row r="745" ht="15.75" customHeight="1">
      <c r="A745" s="104" t="s">
        <v>139</v>
      </c>
      <c r="B745" s="141" t="s">
        <v>4716</v>
      </c>
      <c r="C745" s="31"/>
      <c r="D745" s="31"/>
      <c r="E745" s="31"/>
      <c r="F745" s="108"/>
      <c r="G745" s="108"/>
      <c r="H745" s="108"/>
      <c r="I745" s="108"/>
      <c r="J745" s="108"/>
      <c r="K745" s="108"/>
      <c r="L745" s="108"/>
      <c r="M745" s="108"/>
      <c r="N745" s="108"/>
      <c r="O745" s="108"/>
      <c r="P745" s="108"/>
      <c r="Q745" s="108"/>
      <c r="R745" s="108"/>
      <c r="S745" s="108"/>
      <c r="T745" s="281" t="s">
        <v>145</v>
      </c>
      <c r="U745" s="108"/>
      <c r="V745" s="108"/>
      <c r="W745" s="108"/>
      <c r="X745" s="108"/>
      <c r="Y745" s="108"/>
      <c r="Z745" s="108"/>
      <c r="AA745" s="108"/>
      <c r="AB745" s="108"/>
      <c r="AC745" s="108"/>
      <c r="AD745" s="76"/>
      <c r="AE745" s="76"/>
      <c r="AF745" s="76"/>
      <c r="AG745" s="76"/>
      <c r="AH745" s="76"/>
      <c r="AI745" s="76"/>
      <c r="AJ745" s="76"/>
      <c r="AK745" s="76"/>
      <c r="AL745" s="76"/>
      <c r="AM745" s="76"/>
      <c r="AN745" s="76"/>
      <c r="AO745" s="76"/>
      <c r="AP745" s="76"/>
      <c r="AQ745" s="76"/>
      <c r="AR745" s="76"/>
      <c r="AS745" s="76"/>
      <c r="AT745" s="76"/>
      <c r="AU745" s="76"/>
      <c r="AV745" s="76"/>
      <c r="AW745" s="76"/>
      <c r="AX745" s="76"/>
    </row>
    <row r="746" ht="15.75" customHeight="1">
      <c r="A746" s="144" t="s">
        <v>648</v>
      </c>
      <c r="B746" s="145" t="s">
        <v>4717</v>
      </c>
      <c r="C746" s="31" t="s">
        <v>1418</v>
      </c>
      <c r="D746" s="31"/>
      <c r="E746" s="31"/>
      <c r="F746" s="173"/>
      <c r="G746" s="173"/>
      <c r="H746" s="173"/>
      <c r="I746" s="173"/>
      <c r="J746" s="173"/>
      <c r="K746" s="173"/>
      <c r="L746" s="173"/>
      <c r="M746" s="174"/>
      <c r="N746" s="174"/>
      <c r="O746" s="174" t="s">
        <v>6106</v>
      </c>
      <c r="P746" s="173"/>
      <c r="Q746" s="173"/>
      <c r="R746" s="173"/>
      <c r="S746" s="173"/>
      <c r="T746" s="173"/>
      <c r="U746" s="174" t="s">
        <v>2713</v>
      </c>
      <c r="V746" s="173"/>
      <c r="W746" s="173"/>
      <c r="X746" s="173"/>
      <c r="Y746" s="173"/>
      <c r="Z746" s="173"/>
      <c r="AA746" s="173"/>
      <c r="AB746" s="173"/>
      <c r="AC746" s="173"/>
      <c r="AD746" s="173"/>
      <c r="AE746" s="173"/>
      <c r="AF746" s="173"/>
      <c r="AG746" s="173"/>
      <c r="AH746" s="173"/>
      <c r="AI746" s="173"/>
      <c r="AJ746" s="173"/>
      <c r="AK746" s="173"/>
      <c r="AL746" s="173"/>
      <c r="AM746" s="173"/>
      <c r="AN746" s="173"/>
      <c r="AO746" s="76"/>
      <c r="AP746" s="76"/>
      <c r="AQ746" s="76"/>
      <c r="AR746" s="76"/>
      <c r="AS746" s="76"/>
      <c r="AT746" s="76"/>
      <c r="AU746" s="76"/>
      <c r="AV746" s="76"/>
      <c r="AW746" s="76"/>
      <c r="AX746" s="76"/>
    </row>
    <row r="747" ht="15.75" customHeight="1">
      <c r="A747" s="104" t="s">
        <v>108</v>
      </c>
      <c r="B747" s="105" t="s">
        <v>4718</v>
      </c>
      <c r="C747" s="31" t="s">
        <v>1432</v>
      </c>
      <c r="D747" s="31"/>
      <c r="E747" s="31"/>
      <c r="F747" s="108"/>
      <c r="G747" s="108"/>
      <c r="H747" s="108"/>
      <c r="I747" s="108"/>
      <c r="J747" s="108"/>
      <c r="K747" s="108"/>
      <c r="L747" s="108"/>
      <c r="M747" s="108"/>
      <c r="N747" s="108"/>
      <c r="O747" s="108"/>
      <c r="P747" s="108"/>
      <c r="Q747" s="108"/>
      <c r="R747" s="108"/>
      <c r="S747" s="108"/>
      <c r="T747" s="121" t="s">
        <v>6107</v>
      </c>
      <c r="U747" s="108"/>
      <c r="V747" s="108"/>
      <c r="W747" s="108"/>
      <c r="X747" s="108"/>
      <c r="Y747" s="108"/>
      <c r="Z747" s="108"/>
      <c r="AA747" s="108"/>
      <c r="AB747" s="108"/>
      <c r="AC747" s="108"/>
      <c r="AD747" s="108"/>
      <c r="AE747" s="108"/>
      <c r="AF747" s="108"/>
      <c r="AG747" s="108"/>
      <c r="AH747" s="108"/>
      <c r="AI747" s="108"/>
      <c r="AJ747" s="108"/>
      <c r="AK747" s="108"/>
      <c r="AL747" s="108"/>
      <c r="AM747" s="108"/>
      <c r="AN747" s="108"/>
      <c r="AO747" s="76"/>
      <c r="AP747" s="76"/>
      <c r="AQ747" s="76"/>
      <c r="AR747" s="76"/>
      <c r="AS747" s="76"/>
      <c r="AT747" s="76"/>
      <c r="AU747" s="76"/>
      <c r="AV747" s="76"/>
      <c r="AW747" s="76"/>
      <c r="AX747" s="76"/>
    </row>
    <row r="748" ht="15.75" customHeight="1">
      <c r="A748" s="122" t="s">
        <v>150</v>
      </c>
      <c r="B748" s="123" t="s">
        <v>4719</v>
      </c>
      <c r="C748" s="31"/>
      <c r="D748" s="31"/>
      <c r="E748" s="31"/>
      <c r="F748" s="70"/>
      <c r="G748" s="70"/>
      <c r="H748" s="70"/>
      <c r="I748" s="70"/>
      <c r="J748" s="71" t="s">
        <v>1736</v>
      </c>
      <c r="K748" s="70"/>
      <c r="L748" s="70"/>
      <c r="M748" s="71"/>
      <c r="N748" s="71"/>
      <c r="O748" s="71"/>
      <c r="P748" s="70"/>
      <c r="Q748" s="70"/>
      <c r="R748" s="70"/>
      <c r="S748" s="70"/>
      <c r="T748" s="70"/>
      <c r="U748" s="70"/>
      <c r="V748" s="70"/>
      <c r="W748" s="70"/>
      <c r="X748" s="70"/>
      <c r="Y748" s="70"/>
      <c r="Z748" s="70"/>
      <c r="AA748" s="70"/>
      <c r="AB748" s="70"/>
      <c r="AC748" s="70"/>
      <c r="AD748" s="70"/>
      <c r="AE748" s="70"/>
      <c r="AF748" s="70"/>
      <c r="AG748" s="70"/>
      <c r="AH748" s="70"/>
      <c r="AI748" s="70"/>
      <c r="AJ748" s="70"/>
      <c r="AK748" s="70"/>
      <c r="AL748" s="70"/>
      <c r="AM748" s="70"/>
      <c r="AN748" s="70"/>
      <c r="AO748" s="76"/>
      <c r="AP748" s="76"/>
      <c r="AQ748" s="76"/>
      <c r="AR748" s="76"/>
      <c r="AS748" s="76"/>
      <c r="AT748" s="76"/>
      <c r="AU748" s="76"/>
      <c r="AV748" s="76"/>
      <c r="AW748" s="76"/>
      <c r="AX748" s="76"/>
    </row>
    <row r="749" ht="15.75" customHeight="1">
      <c r="A749" s="81" t="s">
        <v>485</v>
      </c>
      <c r="B749" s="142" t="s">
        <v>4723</v>
      </c>
      <c r="C749" s="31" t="s">
        <v>6108</v>
      </c>
      <c r="D749" s="31" t="s">
        <v>6109</v>
      </c>
      <c r="E749" s="31" t="s">
        <v>6110</v>
      </c>
      <c r="F749" s="31"/>
      <c r="G749" s="31"/>
      <c r="H749" s="31"/>
      <c r="I749" s="84"/>
      <c r="J749" s="159" t="s">
        <v>7</v>
      </c>
      <c r="K749" s="84"/>
      <c r="L749" s="84"/>
      <c r="M749" s="84"/>
      <c r="N749" s="84"/>
      <c r="O749" s="84"/>
      <c r="P749" s="84"/>
      <c r="Q749" s="84"/>
      <c r="R749" s="84"/>
      <c r="S749" s="84"/>
      <c r="T749" s="84"/>
      <c r="U749" s="84"/>
      <c r="V749" s="84"/>
      <c r="W749" s="84"/>
      <c r="X749" s="84"/>
      <c r="Y749" s="84"/>
      <c r="Z749" s="84"/>
      <c r="AA749" s="84"/>
      <c r="AB749" s="84"/>
      <c r="AC749" s="84"/>
      <c r="AD749" s="84"/>
      <c r="AE749" s="84"/>
      <c r="AF749" s="84"/>
      <c r="AG749" s="84"/>
      <c r="AH749" s="84"/>
      <c r="AI749" s="84"/>
      <c r="AJ749" s="84"/>
      <c r="AK749" s="84"/>
      <c r="AL749" s="84"/>
      <c r="AM749" s="84"/>
      <c r="AN749" s="84"/>
      <c r="AO749" s="76"/>
      <c r="AP749" s="76"/>
      <c r="AQ749" s="76"/>
      <c r="AR749" s="76"/>
      <c r="AS749" s="76"/>
      <c r="AT749" s="76"/>
      <c r="AU749" s="76"/>
      <c r="AV749" s="76"/>
      <c r="AW749" s="76"/>
      <c r="AX749" s="76"/>
    </row>
    <row r="750" ht="15.75" customHeight="1">
      <c r="A750" s="81" t="s">
        <v>485</v>
      </c>
      <c r="B750" s="142" t="s">
        <v>4729</v>
      </c>
      <c r="C750" s="31" t="s">
        <v>6111</v>
      </c>
      <c r="D750" s="31" t="s">
        <v>6112</v>
      </c>
      <c r="E750" s="31" t="s">
        <v>6113</v>
      </c>
      <c r="F750" s="31"/>
      <c r="G750" s="31"/>
      <c r="H750" s="31"/>
      <c r="I750" s="84"/>
      <c r="J750" s="159" t="s">
        <v>1756</v>
      </c>
      <c r="K750" s="84"/>
      <c r="L750" s="84"/>
      <c r="M750" s="84"/>
      <c r="N750" s="84"/>
      <c r="O750" s="84"/>
      <c r="P750" s="84"/>
      <c r="Q750" s="84" t="s">
        <v>166</v>
      </c>
      <c r="R750" s="84"/>
      <c r="S750" s="84"/>
      <c r="T750" s="84"/>
      <c r="U750" s="84"/>
      <c r="V750" s="84"/>
      <c r="W750" s="84"/>
      <c r="X750" s="84"/>
      <c r="Y750" s="84"/>
      <c r="Z750" s="84"/>
      <c r="AA750" s="84"/>
      <c r="AB750" s="84"/>
      <c r="AC750" s="84"/>
      <c r="AD750" s="84"/>
      <c r="AE750" s="84"/>
      <c r="AF750" s="84"/>
      <c r="AG750" s="84"/>
      <c r="AH750" s="84"/>
      <c r="AI750" s="84"/>
      <c r="AJ750" s="84"/>
      <c r="AK750" s="84"/>
      <c r="AL750" s="84"/>
      <c r="AM750" s="84"/>
      <c r="AN750" s="84"/>
      <c r="AO750" s="76"/>
      <c r="AP750" s="76"/>
      <c r="AQ750" s="76"/>
      <c r="AR750" s="76"/>
      <c r="AS750" s="76"/>
      <c r="AT750" s="76"/>
      <c r="AU750" s="76"/>
      <c r="AV750" s="76"/>
      <c r="AW750" s="76"/>
      <c r="AX750" s="76"/>
    </row>
    <row r="751" ht="15.75" customHeight="1">
      <c r="A751" s="81" t="s">
        <v>485</v>
      </c>
      <c r="B751" s="142" t="s">
        <v>4733</v>
      </c>
      <c r="C751" s="31" t="s">
        <v>6114</v>
      </c>
      <c r="D751" s="31" t="s">
        <v>6115</v>
      </c>
      <c r="E751" s="31" t="s">
        <v>6116</v>
      </c>
      <c r="F751" s="31"/>
      <c r="G751" s="31"/>
      <c r="H751" s="31"/>
      <c r="I751" s="84"/>
      <c r="J751" s="159" t="s">
        <v>1756</v>
      </c>
      <c r="K751" s="84"/>
      <c r="L751" s="84"/>
      <c r="M751" s="84"/>
      <c r="N751" s="84"/>
      <c r="O751" s="84"/>
      <c r="P751" s="84"/>
      <c r="Q751" s="84" t="s">
        <v>166</v>
      </c>
      <c r="R751" s="84"/>
      <c r="S751" s="84"/>
      <c r="T751" s="84"/>
      <c r="U751" s="84"/>
      <c r="V751" s="84"/>
      <c r="W751" s="84"/>
      <c r="X751" s="84"/>
      <c r="Y751" s="84"/>
      <c r="Z751" s="84"/>
      <c r="AA751" s="84"/>
      <c r="AB751" s="84"/>
      <c r="AC751" s="84"/>
      <c r="AD751" s="84"/>
      <c r="AE751" s="84"/>
      <c r="AF751" s="84"/>
      <c r="AG751" s="84"/>
      <c r="AH751" s="84"/>
      <c r="AI751" s="84"/>
      <c r="AJ751" s="84"/>
      <c r="AK751" s="84"/>
      <c r="AL751" s="84"/>
      <c r="AM751" s="84"/>
      <c r="AN751" s="84"/>
      <c r="AO751" s="76"/>
      <c r="AP751" s="76"/>
      <c r="AQ751" s="76"/>
      <c r="AR751" s="76"/>
      <c r="AS751" s="76"/>
      <c r="AT751" s="76"/>
      <c r="AU751" s="76"/>
      <c r="AV751" s="76"/>
      <c r="AW751" s="76"/>
      <c r="AX751" s="76"/>
    </row>
    <row r="752" ht="15.75" customHeight="1">
      <c r="A752" s="81" t="s">
        <v>485</v>
      </c>
      <c r="B752" s="142" t="s">
        <v>4737</v>
      </c>
      <c r="C752" s="31" t="s">
        <v>6117</v>
      </c>
      <c r="D752" s="31" t="s">
        <v>6118</v>
      </c>
      <c r="E752" s="31" t="s">
        <v>6119</v>
      </c>
      <c r="F752" s="31"/>
      <c r="G752" s="31"/>
      <c r="H752" s="31"/>
      <c r="I752" s="84"/>
      <c r="J752" s="159" t="s">
        <v>1756</v>
      </c>
      <c r="K752" s="84"/>
      <c r="L752" s="84"/>
      <c r="M752" s="84"/>
      <c r="N752" s="84"/>
      <c r="O752" s="84"/>
      <c r="P752" s="84"/>
      <c r="Q752" s="84" t="s">
        <v>166</v>
      </c>
      <c r="R752" s="84"/>
      <c r="S752" s="84"/>
      <c r="T752" s="84"/>
      <c r="U752" s="84"/>
      <c r="V752" s="84"/>
      <c r="W752" s="84"/>
      <c r="X752" s="84"/>
      <c r="Y752" s="84"/>
      <c r="Z752" s="84"/>
      <c r="AA752" s="84"/>
      <c r="AB752" s="84"/>
      <c r="AC752" s="84"/>
      <c r="AD752" s="84"/>
      <c r="AE752" s="84"/>
      <c r="AF752" s="84"/>
      <c r="AG752" s="84"/>
      <c r="AH752" s="84"/>
      <c r="AI752" s="84"/>
      <c r="AJ752" s="84"/>
      <c r="AK752" s="84"/>
      <c r="AL752" s="84"/>
      <c r="AM752" s="84"/>
      <c r="AN752" s="84"/>
      <c r="AO752" s="76"/>
      <c r="AP752" s="76"/>
      <c r="AQ752" s="76"/>
      <c r="AR752" s="76"/>
      <c r="AS752" s="76"/>
      <c r="AT752" s="76"/>
      <c r="AU752" s="76"/>
      <c r="AV752" s="76"/>
      <c r="AW752" s="76"/>
      <c r="AX752" s="76"/>
    </row>
    <row r="753" ht="15.75" customHeight="1">
      <c r="A753" s="81" t="s">
        <v>485</v>
      </c>
      <c r="B753" s="142" t="s">
        <v>4741</v>
      </c>
      <c r="C753" s="31" t="s">
        <v>6120</v>
      </c>
      <c r="D753" s="31" t="s">
        <v>6121</v>
      </c>
      <c r="E753" s="31" t="s">
        <v>6122</v>
      </c>
      <c r="F753" s="31"/>
      <c r="G753" s="31"/>
      <c r="H753" s="31"/>
      <c r="I753" s="84"/>
      <c r="J753" s="159" t="s">
        <v>1756</v>
      </c>
      <c r="K753" s="84"/>
      <c r="L753" s="84"/>
      <c r="M753" s="84"/>
      <c r="N753" s="84"/>
      <c r="O753" s="84"/>
      <c r="P753" s="84"/>
      <c r="Q753" s="84" t="s">
        <v>166</v>
      </c>
      <c r="R753" s="84"/>
      <c r="S753" s="84"/>
      <c r="T753" s="84"/>
      <c r="U753" s="84"/>
      <c r="V753" s="84"/>
      <c r="W753" s="84"/>
      <c r="X753" s="84"/>
      <c r="Y753" s="84"/>
      <c r="Z753" s="84"/>
      <c r="AA753" s="84"/>
      <c r="AB753" s="84"/>
      <c r="AC753" s="84"/>
      <c r="AD753" s="84"/>
      <c r="AE753" s="84"/>
      <c r="AF753" s="84"/>
      <c r="AG753" s="84"/>
      <c r="AH753" s="84"/>
      <c r="AI753" s="84"/>
      <c r="AJ753" s="84"/>
      <c r="AK753" s="84"/>
      <c r="AL753" s="84"/>
      <c r="AM753" s="84"/>
      <c r="AN753" s="84"/>
      <c r="AO753" s="76"/>
      <c r="AP753" s="76"/>
      <c r="AQ753" s="76"/>
      <c r="AR753" s="76"/>
      <c r="AS753" s="76"/>
      <c r="AT753" s="76"/>
      <c r="AU753" s="76"/>
      <c r="AV753" s="76"/>
      <c r="AW753" s="76"/>
      <c r="AX753" s="76"/>
    </row>
    <row r="754" ht="15.75" customHeight="1">
      <c r="A754" s="122" t="s">
        <v>236</v>
      </c>
      <c r="B754" s="153" t="s">
        <v>4719</v>
      </c>
      <c r="C754" s="31"/>
      <c r="D754" s="31"/>
      <c r="E754" s="31"/>
      <c r="F754" s="70"/>
      <c r="G754" s="70"/>
      <c r="H754" s="70"/>
      <c r="I754" s="70"/>
      <c r="J754" s="70"/>
      <c r="K754" s="70"/>
      <c r="L754" s="70"/>
      <c r="M754" s="70"/>
      <c r="N754" s="70"/>
      <c r="O754" s="70"/>
      <c r="P754" s="70"/>
      <c r="Q754" s="70"/>
      <c r="R754" s="70"/>
      <c r="S754" s="70"/>
      <c r="T754" s="70"/>
      <c r="U754" s="70"/>
      <c r="V754" s="70"/>
      <c r="W754" s="70"/>
      <c r="X754" s="70"/>
      <c r="Y754" s="70"/>
      <c r="Z754" s="70"/>
      <c r="AA754" s="70"/>
      <c r="AB754" s="70"/>
      <c r="AC754" s="70"/>
      <c r="AD754" s="70"/>
      <c r="AE754" s="70"/>
      <c r="AF754" s="70"/>
      <c r="AG754" s="70"/>
      <c r="AH754" s="70"/>
      <c r="AI754" s="70"/>
      <c r="AJ754" s="70"/>
      <c r="AK754" s="70"/>
      <c r="AL754" s="70"/>
      <c r="AM754" s="70"/>
      <c r="AN754" s="70"/>
      <c r="AO754" s="76"/>
      <c r="AP754" s="76"/>
      <c r="AQ754" s="76"/>
      <c r="AR754" s="76"/>
      <c r="AS754" s="76"/>
      <c r="AT754" s="76"/>
      <c r="AU754" s="76"/>
      <c r="AV754" s="76"/>
      <c r="AW754" s="76"/>
      <c r="AX754" s="76"/>
    </row>
    <row r="755" ht="15.75" customHeight="1">
      <c r="A755" s="122" t="s">
        <v>150</v>
      </c>
      <c r="B755" s="123" t="s">
        <v>4751</v>
      </c>
      <c r="C755" s="31"/>
      <c r="D755" s="31"/>
      <c r="E755" s="31"/>
      <c r="F755" s="70"/>
      <c r="G755" s="70"/>
      <c r="H755" s="70"/>
      <c r="I755" s="70"/>
      <c r="J755" s="71" t="s">
        <v>1736</v>
      </c>
      <c r="K755" s="70"/>
      <c r="L755" s="70"/>
      <c r="M755" s="71"/>
      <c r="N755" s="71"/>
      <c r="O755" s="71" t="s">
        <v>6123</v>
      </c>
      <c r="P755" s="70"/>
      <c r="Q755" s="70"/>
      <c r="R755" s="70"/>
      <c r="S755" s="70"/>
      <c r="T755" s="70"/>
      <c r="U755" s="70"/>
      <c r="V755" s="70"/>
      <c r="W755" s="70"/>
      <c r="X755" s="70"/>
      <c r="Y755" s="70"/>
      <c r="Z755" s="70"/>
      <c r="AA755" s="70"/>
      <c r="AB755" s="70"/>
      <c r="AC755" s="70"/>
      <c r="AD755" s="70"/>
      <c r="AE755" s="70"/>
      <c r="AF755" s="70"/>
      <c r="AG755" s="70"/>
      <c r="AH755" s="70"/>
      <c r="AI755" s="70"/>
      <c r="AJ755" s="70"/>
      <c r="AK755" s="70"/>
      <c r="AL755" s="70"/>
      <c r="AM755" s="70"/>
      <c r="AN755" s="70"/>
      <c r="AO755" s="76"/>
      <c r="AP755" s="76"/>
      <c r="AQ755" s="76"/>
      <c r="AR755" s="76"/>
      <c r="AS755" s="76"/>
      <c r="AT755" s="76"/>
      <c r="AU755" s="76"/>
      <c r="AV755" s="76"/>
      <c r="AW755" s="76"/>
      <c r="AX755" s="76"/>
    </row>
    <row r="756" ht="15.75" customHeight="1">
      <c r="A756" s="126" t="s">
        <v>42</v>
      </c>
      <c r="B756" s="127" t="s">
        <v>4755</v>
      </c>
      <c r="C756" s="31" t="s">
        <v>6124</v>
      </c>
      <c r="D756" s="31" t="s">
        <v>6125</v>
      </c>
      <c r="E756" s="31" t="s">
        <v>6126</v>
      </c>
      <c r="F756" s="31"/>
      <c r="G756" s="31"/>
      <c r="H756" s="31"/>
      <c r="I756" s="154"/>
      <c r="J756" s="154" t="s">
        <v>7</v>
      </c>
      <c r="K756" s="154"/>
      <c r="L756" s="154"/>
      <c r="M756" s="154"/>
      <c r="N756" s="154"/>
      <c r="O756" s="154"/>
      <c r="P756" s="154"/>
      <c r="Q756" s="154"/>
      <c r="R756" s="154"/>
      <c r="S756" s="154"/>
      <c r="T756" s="154"/>
      <c r="U756" s="154"/>
      <c r="V756" s="154"/>
      <c r="W756" s="154"/>
      <c r="X756" s="154"/>
      <c r="Y756" s="154"/>
      <c r="Z756" s="154"/>
      <c r="AA756" s="154"/>
      <c r="AB756" s="154"/>
      <c r="AC756" s="154"/>
      <c r="AD756" s="154"/>
      <c r="AE756" s="154"/>
      <c r="AF756" s="154"/>
      <c r="AG756" s="154"/>
      <c r="AH756" s="154"/>
      <c r="AI756" s="154"/>
      <c r="AJ756" s="154"/>
      <c r="AK756" s="154"/>
      <c r="AL756" s="154"/>
      <c r="AM756" s="154"/>
      <c r="AN756" s="154"/>
      <c r="AO756" s="76"/>
      <c r="AP756" s="76"/>
      <c r="AQ756" s="76"/>
      <c r="AR756" s="76"/>
      <c r="AS756" s="76"/>
      <c r="AT756" s="76"/>
      <c r="AU756" s="76"/>
      <c r="AV756" s="76"/>
      <c r="AW756" s="76"/>
      <c r="AX756" s="76"/>
    </row>
    <row r="757" ht="15.75" customHeight="1">
      <c r="A757" s="146" t="s">
        <v>237</v>
      </c>
      <c r="B757" s="147" t="s">
        <v>4768</v>
      </c>
      <c r="C757" s="31" t="s">
        <v>6127</v>
      </c>
      <c r="D757" s="31" t="s">
        <v>6128</v>
      </c>
      <c r="E757" s="31" t="s">
        <v>6129</v>
      </c>
      <c r="F757" s="31" t="s">
        <v>2867</v>
      </c>
      <c r="G757" s="31" t="s">
        <v>2868</v>
      </c>
      <c r="H757" s="31" t="s">
        <v>2869</v>
      </c>
      <c r="I757" s="175"/>
      <c r="J757" s="175" t="s">
        <v>1756</v>
      </c>
      <c r="K757" s="176" t="s">
        <v>2539</v>
      </c>
      <c r="L757" s="176"/>
      <c r="M757" s="175"/>
      <c r="N757" s="175"/>
      <c r="O757" s="175" t="s">
        <v>6130</v>
      </c>
      <c r="P757" s="175"/>
      <c r="Q757" s="175" t="s">
        <v>166</v>
      </c>
      <c r="R757" s="175"/>
      <c r="S757" s="175"/>
      <c r="T757" s="175"/>
      <c r="U757" s="175"/>
      <c r="V757" s="175"/>
      <c r="W757" s="175"/>
      <c r="X757" s="175"/>
      <c r="Y757" s="175"/>
      <c r="Z757" s="175"/>
      <c r="AA757" s="175"/>
      <c r="AB757" s="175"/>
      <c r="AC757" s="175"/>
      <c r="AD757" s="175"/>
      <c r="AE757" s="175"/>
      <c r="AF757" s="175"/>
      <c r="AG757" s="175"/>
      <c r="AH757" s="175"/>
      <c r="AI757" s="175"/>
      <c r="AJ757" s="175"/>
      <c r="AK757" s="175"/>
      <c r="AL757" s="175"/>
      <c r="AM757" s="175"/>
      <c r="AN757" s="175"/>
      <c r="AO757" s="76"/>
      <c r="AP757" s="76"/>
      <c r="AQ757" s="76"/>
      <c r="AR757" s="76"/>
      <c r="AS757" s="76"/>
      <c r="AT757" s="76"/>
      <c r="AU757" s="76"/>
      <c r="AV757" s="76"/>
      <c r="AW757" s="76"/>
      <c r="AX757" s="76"/>
    </row>
    <row r="758" ht="15.75" customHeight="1">
      <c r="A758" s="146" t="s">
        <v>237</v>
      </c>
      <c r="B758" s="147" t="s">
        <v>4772</v>
      </c>
      <c r="C758" s="31" t="s">
        <v>6131</v>
      </c>
      <c r="D758" s="31" t="s">
        <v>6132</v>
      </c>
      <c r="E758" s="31" t="s">
        <v>6133</v>
      </c>
      <c r="F758" s="31"/>
      <c r="G758" s="31"/>
      <c r="H758" s="31"/>
      <c r="I758" s="175"/>
      <c r="J758" s="175" t="s">
        <v>1756</v>
      </c>
      <c r="K758" s="176" t="s">
        <v>2539</v>
      </c>
      <c r="L758" s="176"/>
      <c r="M758" s="175"/>
      <c r="N758" s="175"/>
      <c r="O758" s="175" t="s">
        <v>6134</v>
      </c>
      <c r="P758" s="175"/>
      <c r="Q758" s="175" t="s">
        <v>166</v>
      </c>
      <c r="R758" s="175"/>
      <c r="S758" s="175"/>
      <c r="T758" s="175"/>
      <c r="U758" s="175"/>
      <c r="V758" s="175"/>
      <c r="W758" s="175"/>
      <c r="X758" s="175"/>
      <c r="Y758" s="175"/>
      <c r="Z758" s="175"/>
      <c r="AA758" s="175"/>
      <c r="AB758" s="175"/>
      <c r="AC758" s="175"/>
      <c r="AD758" s="175"/>
      <c r="AE758" s="175"/>
      <c r="AF758" s="175"/>
      <c r="AG758" s="175"/>
      <c r="AH758" s="175"/>
      <c r="AI758" s="175"/>
      <c r="AJ758" s="175"/>
      <c r="AK758" s="175"/>
      <c r="AL758" s="175"/>
      <c r="AM758" s="175"/>
      <c r="AN758" s="175"/>
      <c r="AO758" s="76"/>
      <c r="AP758" s="76"/>
      <c r="AQ758" s="76"/>
      <c r="AR758" s="76"/>
      <c r="AS758" s="76"/>
      <c r="AT758" s="76"/>
      <c r="AU758" s="76"/>
      <c r="AV758" s="76"/>
      <c r="AW758" s="76"/>
      <c r="AX758" s="76"/>
    </row>
    <row r="759" ht="15.75" customHeight="1">
      <c r="A759" s="146" t="s">
        <v>237</v>
      </c>
      <c r="B759" s="147" t="s">
        <v>4782</v>
      </c>
      <c r="C759" s="31" t="s">
        <v>6135</v>
      </c>
      <c r="D759" s="31" t="s">
        <v>6136</v>
      </c>
      <c r="E759" s="31" t="s">
        <v>6137</v>
      </c>
      <c r="F759" s="31"/>
      <c r="G759" s="31"/>
      <c r="H759" s="31"/>
      <c r="I759" s="175"/>
      <c r="J759" s="175" t="s">
        <v>1756</v>
      </c>
      <c r="K759" s="176" t="s">
        <v>2539</v>
      </c>
      <c r="L759" s="176"/>
      <c r="M759" s="175"/>
      <c r="N759" s="175"/>
      <c r="O759" s="175" t="s">
        <v>6138</v>
      </c>
      <c r="P759" s="175"/>
      <c r="Q759" s="175" t="s">
        <v>166</v>
      </c>
      <c r="R759" s="175"/>
      <c r="S759" s="175"/>
      <c r="T759" s="175"/>
      <c r="U759" s="175"/>
      <c r="V759" s="175"/>
      <c r="W759" s="175"/>
      <c r="X759" s="175"/>
      <c r="Y759" s="175"/>
      <c r="Z759" s="175"/>
      <c r="AA759" s="175"/>
      <c r="AB759" s="175"/>
      <c r="AC759" s="175"/>
      <c r="AD759" s="175"/>
      <c r="AE759" s="175"/>
      <c r="AF759" s="175"/>
      <c r="AG759" s="175"/>
      <c r="AH759" s="175"/>
      <c r="AI759" s="175"/>
      <c r="AJ759" s="175"/>
      <c r="AK759" s="175"/>
      <c r="AL759" s="175"/>
      <c r="AM759" s="175"/>
      <c r="AN759" s="175"/>
      <c r="AO759" s="76"/>
      <c r="AP759" s="76"/>
      <c r="AQ759" s="76"/>
      <c r="AR759" s="76"/>
      <c r="AS759" s="76"/>
      <c r="AT759" s="76"/>
      <c r="AU759" s="76"/>
      <c r="AV759" s="76"/>
      <c r="AW759" s="76"/>
      <c r="AX759" s="76"/>
    </row>
    <row r="760" ht="15.75" customHeight="1">
      <c r="A760" s="122" t="s">
        <v>236</v>
      </c>
      <c r="B760" s="153" t="s">
        <v>4751</v>
      </c>
      <c r="C760" s="31"/>
      <c r="D760" s="31"/>
      <c r="E760" s="31"/>
      <c r="F760" s="70"/>
      <c r="G760" s="70"/>
      <c r="H760" s="70"/>
      <c r="I760" s="70"/>
      <c r="J760" s="70"/>
      <c r="K760" s="70"/>
      <c r="L760" s="70"/>
      <c r="M760" s="70"/>
      <c r="N760" s="70"/>
      <c r="O760" s="70"/>
      <c r="P760" s="70"/>
      <c r="Q760" s="70"/>
      <c r="R760" s="70"/>
      <c r="S760" s="70"/>
      <c r="T760" s="70"/>
      <c r="U760" s="70"/>
      <c r="V760" s="70"/>
      <c r="W760" s="70"/>
      <c r="X760" s="70"/>
      <c r="Y760" s="70"/>
      <c r="Z760" s="70"/>
      <c r="AA760" s="70"/>
      <c r="AB760" s="70"/>
      <c r="AC760" s="70"/>
      <c r="AD760" s="70"/>
      <c r="AE760" s="70"/>
      <c r="AF760" s="70"/>
      <c r="AG760" s="70"/>
      <c r="AH760" s="70"/>
      <c r="AI760" s="70"/>
      <c r="AJ760" s="70"/>
      <c r="AK760" s="70"/>
      <c r="AL760" s="70"/>
      <c r="AM760" s="70"/>
      <c r="AN760" s="70"/>
      <c r="AO760" s="76"/>
      <c r="AP760" s="76"/>
      <c r="AQ760" s="76"/>
      <c r="AR760" s="76"/>
      <c r="AS760" s="76"/>
      <c r="AT760" s="76"/>
      <c r="AU760" s="76"/>
      <c r="AV760" s="76"/>
      <c r="AW760" s="76"/>
      <c r="AX760" s="76"/>
    </row>
    <row r="761" ht="15.75" customHeight="1">
      <c r="A761" s="144" t="s">
        <v>691</v>
      </c>
      <c r="B761" s="150" t="s">
        <v>4717</v>
      </c>
      <c r="C761" s="31" t="s">
        <v>1418</v>
      </c>
      <c r="D761" s="31"/>
      <c r="E761" s="31"/>
      <c r="F761" s="173"/>
      <c r="G761" s="173"/>
      <c r="H761" s="173"/>
      <c r="I761" s="173"/>
      <c r="J761" s="173"/>
      <c r="K761" s="173"/>
      <c r="L761" s="173"/>
      <c r="M761" s="173"/>
      <c r="N761" s="173"/>
      <c r="O761" s="173"/>
      <c r="P761" s="173"/>
      <c r="Q761" s="173"/>
      <c r="R761" s="173"/>
      <c r="S761" s="173"/>
      <c r="T761" s="173"/>
      <c r="U761" s="173"/>
      <c r="V761" s="173"/>
      <c r="W761" s="173"/>
      <c r="X761" s="173"/>
      <c r="Y761" s="173"/>
      <c r="Z761" s="173"/>
      <c r="AA761" s="173"/>
      <c r="AB761" s="173"/>
      <c r="AC761" s="173"/>
      <c r="AD761" s="173"/>
      <c r="AE761" s="173"/>
      <c r="AF761" s="173"/>
      <c r="AG761" s="173"/>
      <c r="AH761" s="173"/>
      <c r="AI761" s="173"/>
      <c r="AJ761" s="173"/>
      <c r="AK761" s="173"/>
      <c r="AL761" s="173"/>
      <c r="AM761" s="173"/>
      <c r="AN761" s="173"/>
      <c r="AO761" s="76"/>
      <c r="AP761" s="76"/>
      <c r="AQ761" s="76"/>
      <c r="AR761" s="76"/>
      <c r="AS761" s="76"/>
      <c r="AT761" s="76"/>
      <c r="AU761" s="76"/>
      <c r="AV761" s="76"/>
      <c r="AW761" s="76"/>
      <c r="AX761" s="76"/>
    </row>
    <row r="762" ht="15.75" customHeight="1">
      <c r="A762" s="104" t="s">
        <v>139</v>
      </c>
      <c r="B762" s="141" t="s">
        <v>4797</v>
      </c>
      <c r="C762" s="31"/>
      <c r="D762" s="31"/>
      <c r="E762" s="31"/>
      <c r="F762" s="108"/>
      <c r="G762" s="108"/>
      <c r="H762" s="108"/>
      <c r="I762" s="108"/>
      <c r="J762" s="108"/>
      <c r="K762" s="108"/>
      <c r="L762" s="108"/>
      <c r="M762" s="108"/>
      <c r="N762" s="108"/>
      <c r="O762" s="108"/>
      <c r="P762" s="108"/>
      <c r="Q762" s="108"/>
      <c r="R762" s="108"/>
      <c r="S762" s="108"/>
      <c r="T762" s="281" t="s">
        <v>145</v>
      </c>
      <c r="U762" s="108"/>
      <c r="V762" s="108"/>
      <c r="W762" s="108"/>
      <c r="X762" s="108"/>
      <c r="Y762" s="108"/>
      <c r="Z762" s="108"/>
      <c r="AA762" s="108"/>
      <c r="AB762" s="108"/>
      <c r="AC762" s="108"/>
      <c r="AD762" s="76"/>
      <c r="AE762" s="76"/>
      <c r="AF762" s="76"/>
      <c r="AG762" s="76"/>
      <c r="AH762" s="76"/>
      <c r="AI762" s="76"/>
      <c r="AJ762" s="76"/>
      <c r="AK762" s="76"/>
      <c r="AL762" s="76"/>
      <c r="AM762" s="76"/>
      <c r="AN762" s="76"/>
      <c r="AO762" s="76"/>
      <c r="AP762" s="76"/>
      <c r="AQ762" s="76"/>
      <c r="AR762" s="76"/>
      <c r="AS762" s="76"/>
      <c r="AT762" s="76"/>
      <c r="AU762" s="76"/>
      <c r="AV762" s="76"/>
      <c r="AW762" s="76"/>
      <c r="AX762" s="76"/>
    </row>
    <row r="763" ht="15.75" customHeight="1">
      <c r="A763" s="67" t="s">
        <v>108</v>
      </c>
      <c r="B763" s="69" t="s">
        <v>4804</v>
      </c>
      <c r="C763" s="31"/>
      <c r="D763" s="31"/>
      <c r="E763" s="31"/>
      <c r="F763" s="70"/>
      <c r="G763" s="70"/>
      <c r="H763" s="70"/>
      <c r="I763" s="71"/>
      <c r="J763" s="71"/>
      <c r="K763" s="70"/>
      <c r="L763" s="71"/>
      <c r="M763" s="71"/>
      <c r="N763" s="71"/>
      <c r="O763" s="71"/>
      <c r="P763" s="70"/>
      <c r="Q763" s="70"/>
      <c r="R763" s="70"/>
      <c r="S763" s="70"/>
      <c r="T763" s="67" t="s">
        <v>6139</v>
      </c>
      <c r="U763" s="70"/>
      <c r="V763" s="70"/>
      <c r="W763" s="70"/>
      <c r="X763" s="70"/>
      <c r="Y763" s="70"/>
      <c r="Z763" s="70"/>
      <c r="AA763" s="70"/>
      <c r="AB763" s="70"/>
      <c r="AC763" s="70"/>
      <c r="AD763" s="76"/>
      <c r="AE763" s="76"/>
      <c r="AF763" s="76"/>
      <c r="AG763" s="76"/>
      <c r="AH763" s="76"/>
      <c r="AI763" s="76"/>
      <c r="AJ763" s="76"/>
      <c r="AK763" s="76"/>
      <c r="AL763" s="76"/>
      <c r="AM763" s="76"/>
      <c r="AN763" s="76"/>
      <c r="AO763" s="76"/>
      <c r="AP763" s="76"/>
      <c r="AQ763" s="76"/>
      <c r="AR763" s="76"/>
      <c r="AS763" s="76"/>
      <c r="AT763" s="76"/>
      <c r="AU763" s="76"/>
      <c r="AV763" s="76"/>
      <c r="AW763" s="76"/>
      <c r="AX763" s="76"/>
    </row>
    <row r="764" ht="15.75" customHeight="1">
      <c r="A764" s="104" t="s">
        <v>139</v>
      </c>
      <c r="B764" s="141" t="s">
        <v>4808</v>
      </c>
      <c r="C764" s="31"/>
      <c r="D764" s="31"/>
      <c r="E764" s="31"/>
      <c r="F764" s="108"/>
      <c r="G764" s="108"/>
      <c r="H764" s="108"/>
      <c r="I764" s="108"/>
      <c r="J764" s="108"/>
      <c r="K764" s="108"/>
      <c r="L764" s="108"/>
      <c r="M764" s="108"/>
      <c r="N764" s="108"/>
      <c r="O764" s="108"/>
      <c r="P764" s="108"/>
      <c r="Q764" s="108"/>
      <c r="R764" s="108"/>
      <c r="S764" s="108"/>
      <c r="T764" s="281" t="s">
        <v>145</v>
      </c>
      <c r="U764" s="108"/>
      <c r="V764" s="108"/>
      <c r="W764" s="108"/>
      <c r="X764" s="108"/>
      <c r="Y764" s="108"/>
      <c r="Z764" s="108"/>
      <c r="AA764" s="108"/>
      <c r="AB764" s="108"/>
      <c r="AC764" s="108"/>
      <c r="AD764" s="76"/>
      <c r="AE764" s="76"/>
      <c r="AF764" s="76"/>
      <c r="AG764" s="76"/>
      <c r="AH764" s="76"/>
      <c r="AI764" s="76"/>
      <c r="AJ764" s="76"/>
      <c r="AK764" s="76"/>
      <c r="AL764" s="76"/>
      <c r="AM764" s="76"/>
      <c r="AN764" s="76"/>
      <c r="AO764" s="76"/>
      <c r="AP764" s="76"/>
      <c r="AQ764" s="76"/>
      <c r="AR764" s="76"/>
      <c r="AS764" s="76"/>
      <c r="AT764" s="76"/>
      <c r="AU764" s="76"/>
      <c r="AV764" s="76"/>
      <c r="AW764" s="76"/>
      <c r="AX764" s="76"/>
    </row>
    <row r="765" ht="15.75" customHeight="1">
      <c r="A765" s="126" t="s">
        <v>42</v>
      </c>
      <c r="B765" s="127" t="s">
        <v>4816</v>
      </c>
      <c r="C765" s="31" t="s">
        <v>6140</v>
      </c>
      <c r="D765" s="31" t="s">
        <v>6141</v>
      </c>
      <c r="E765" s="31" t="s">
        <v>6142</v>
      </c>
      <c r="F765" s="31"/>
      <c r="G765" s="31"/>
      <c r="H765" s="31"/>
      <c r="I765" s="154"/>
      <c r="J765" s="154"/>
      <c r="K765" s="154"/>
      <c r="L765" s="154"/>
      <c r="M765" s="154"/>
      <c r="N765" s="154"/>
      <c r="O765" s="154"/>
      <c r="P765" s="154"/>
      <c r="Q765" s="154"/>
      <c r="R765" s="154"/>
      <c r="S765" s="154"/>
      <c r="T765" s="154"/>
      <c r="U765" s="154"/>
      <c r="V765" s="154"/>
      <c r="W765" s="154"/>
      <c r="X765" s="154"/>
      <c r="Y765" s="154"/>
      <c r="Z765" s="154"/>
      <c r="AA765" s="154"/>
      <c r="AB765" s="154"/>
      <c r="AC765" s="154"/>
      <c r="AD765" s="76"/>
      <c r="AE765" s="76"/>
      <c r="AF765" s="76"/>
      <c r="AG765" s="76"/>
      <c r="AH765" s="76"/>
      <c r="AI765" s="76"/>
      <c r="AJ765" s="76"/>
      <c r="AK765" s="76"/>
      <c r="AL765" s="154"/>
      <c r="AM765" s="154"/>
      <c r="AN765" s="154"/>
      <c r="AO765" s="76"/>
      <c r="AP765" s="76"/>
      <c r="AQ765" s="76"/>
      <c r="AR765" s="76"/>
      <c r="AS765" s="76"/>
      <c r="AT765" s="76"/>
      <c r="AU765" s="76"/>
      <c r="AV765" s="76"/>
      <c r="AW765" s="76"/>
      <c r="AX765" s="76"/>
    </row>
    <row r="766" ht="15.75" customHeight="1">
      <c r="A766" s="81" t="s">
        <v>485</v>
      </c>
      <c r="B766" s="142" t="s">
        <v>4823</v>
      </c>
      <c r="C766" s="31" t="s">
        <v>6143</v>
      </c>
      <c r="D766" s="31" t="s">
        <v>6144</v>
      </c>
      <c r="E766" s="31" t="s">
        <v>6145</v>
      </c>
      <c r="F766" s="31"/>
      <c r="G766" s="31"/>
      <c r="H766" s="31"/>
      <c r="I766" s="84"/>
      <c r="J766" s="159"/>
      <c r="K766" s="84"/>
      <c r="L766" s="84"/>
      <c r="M766" s="84"/>
      <c r="N766" s="84"/>
      <c r="O766" s="84"/>
      <c r="P766" s="84"/>
      <c r="Q766" s="84" t="s">
        <v>166</v>
      </c>
      <c r="R766" s="84"/>
      <c r="S766" s="84"/>
      <c r="T766" s="84"/>
      <c r="U766" s="84"/>
      <c r="V766" s="84"/>
      <c r="W766" s="84"/>
      <c r="X766" s="84"/>
      <c r="Y766" s="84"/>
      <c r="Z766" s="84"/>
      <c r="AA766" s="84"/>
      <c r="AB766" s="84"/>
      <c r="AC766" s="84"/>
      <c r="AD766" s="76"/>
      <c r="AE766" s="76"/>
      <c r="AF766" s="76"/>
      <c r="AG766" s="76"/>
      <c r="AH766" s="76"/>
      <c r="AI766" s="76"/>
      <c r="AJ766" s="76"/>
      <c r="AK766" s="76"/>
      <c r="AL766" s="154"/>
      <c r="AM766" s="154"/>
      <c r="AN766" s="154"/>
      <c r="AO766" s="76"/>
      <c r="AP766" s="76"/>
      <c r="AQ766" s="76"/>
      <c r="AR766" s="76"/>
      <c r="AS766" s="76"/>
      <c r="AT766" s="76"/>
      <c r="AU766" s="76"/>
      <c r="AV766" s="76"/>
      <c r="AW766" s="76"/>
      <c r="AX766" s="76"/>
    </row>
    <row r="767" ht="15.75" customHeight="1">
      <c r="A767" s="146" t="s">
        <v>237</v>
      </c>
      <c r="B767" s="147" t="s">
        <v>4830</v>
      </c>
      <c r="C767" s="31" t="s">
        <v>6146</v>
      </c>
      <c r="D767" s="31" t="s">
        <v>6147</v>
      </c>
      <c r="E767" s="31" t="s">
        <v>6148</v>
      </c>
      <c r="F767" s="31"/>
      <c r="G767" s="31"/>
      <c r="H767" s="31"/>
      <c r="I767" s="175"/>
      <c r="J767" s="175"/>
      <c r="K767" s="176"/>
      <c r="L767" s="176"/>
      <c r="M767" s="175"/>
      <c r="N767" s="175"/>
      <c r="O767" s="175" t="s">
        <v>6149</v>
      </c>
      <c r="P767" s="175"/>
      <c r="Q767" s="175" t="s">
        <v>166</v>
      </c>
      <c r="R767" s="175"/>
      <c r="S767" s="175"/>
      <c r="T767" s="175"/>
      <c r="U767" s="175"/>
      <c r="V767" s="175"/>
      <c r="W767" s="175"/>
      <c r="X767" s="175"/>
      <c r="Y767" s="175"/>
      <c r="Z767" s="175"/>
      <c r="AA767" s="175"/>
      <c r="AB767" s="175"/>
      <c r="AC767" s="175"/>
      <c r="AD767" s="76"/>
      <c r="AE767" s="76"/>
      <c r="AF767" s="76"/>
      <c r="AG767" s="76"/>
      <c r="AH767" s="76"/>
      <c r="AI767" s="76"/>
      <c r="AJ767" s="76"/>
      <c r="AK767" s="76"/>
      <c r="AL767" s="154"/>
      <c r="AM767" s="154"/>
      <c r="AN767" s="154"/>
      <c r="AO767" s="76"/>
      <c r="AP767" s="76"/>
      <c r="AQ767" s="76"/>
      <c r="AR767" s="76"/>
      <c r="AS767" s="76"/>
      <c r="AT767" s="76"/>
      <c r="AU767" s="76"/>
      <c r="AV767" s="76"/>
      <c r="AW767" s="76"/>
      <c r="AX767" s="76"/>
    </row>
    <row r="768" ht="15.75" customHeight="1">
      <c r="A768" s="146" t="s">
        <v>237</v>
      </c>
      <c r="B768" s="147" t="s">
        <v>4838</v>
      </c>
      <c r="C768" s="31" t="s">
        <v>6150</v>
      </c>
      <c r="D768" s="31" t="s">
        <v>6151</v>
      </c>
      <c r="E768" s="31" t="s">
        <v>6152</v>
      </c>
      <c r="F768" s="31"/>
      <c r="G768" s="31"/>
      <c r="H768" s="31"/>
      <c r="I768" s="175"/>
      <c r="J768" s="175"/>
      <c r="K768" s="176"/>
      <c r="L768" s="176"/>
      <c r="M768" s="175"/>
      <c r="N768" s="175"/>
      <c r="O768" s="175"/>
      <c r="P768" s="175"/>
      <c r="Q768" s="175" t="s">
        <v>166</v>
      </c>
      <c r="R768" s="175"/>
      <c r="S768" s="175"/>
      <c r="T768" s="175"/>
      <c r="U768" s="175"/>
      <c r="V768" s="175"/>
      <c r="W768" s="175"/>
      <c r="X768" s="175"/>
      <c r="Y768" s="175"/>
      <c r="Z768" s="175"/>
      <c r="AA768" s="175"/>
      <c r="AB768" s="175"/>
      <c r="AC768" s="175"/>
      <c r="AD768" s="76"/>
      <c r="AE768" s="76"/>
      <c r="AF768" s="76"/>
      <c r="AG768" s="76"/>
      <c r="AH768" s="76"/>
      <c r="AI768" s="76"/>
      <c r="AJ768" s="76"/>
      <c r="AK768" s="76"/>
      <c r="AL768" s="154"/>
      <c r="AM768" s="154"/>
      <c r="AN768" s="154"/>
      <c r="AO768" s="76"/>
      <c r="AP768" s="76"/>
      <c r="AQ768" s="76"/>
      <c r="AR768" s="76"/>
      <c r="AS768" s="76"/>
      <c r="AT768" s="76"/>
      <c r="AU768" s="76"/>
      <c r="AV768" s="76"/>
      <c r="AW768" s="76"/>
      <c r="AX768" s="76"/>
    </row>
    <row r="769" ht="15.75" customHeight="1">
      <c r="A769" s="81" t="s">
        <v>485</v>
      </c>
      <c r="B769" s="142" t="s">
        <v>4842</v>
      </c>
      <c r="C769" s="31" t="s">
        <v>6153</v>
      </c>
      <c r="D769" s="31" t="s">
        <v>6154</v>
      </c>
      <c r="E769" s="31" t="s">
        <v>6155</v>
      </c>
      <c r="F769" s="31"/>
      <c r="G769" s="31"/>
      <c r="H769" s="31"/>
      <c r="I769" s="84"/>
      <c r="J769" s="159"/>
      <c r="K769" s="84"/>
      <c r="L769" s="84"/>
      <c r="M769" s="84"/>
      <c r="N769" s="84"/>
      <c r="O769" s="84" t="s">
        <v>6156</v>
      </c>
      <c r="P769" s="84"/>
      <c r="Q769" s="84" t="s">
        <v>166</v>
      </c>
      <c r="R769" s="84"/>
      <c r="S769" s="84"/>
      <c r="T769" s="84"/>
      <c r="U769" s="84"/>
      <c r="V769" s="84"/>
      <c r="W769" s="84"/>
      <c r="X769" s="84"/>
      <c r="Y769" s="84"/>
      <c r="Z769" s="84"/>
      <c r="AA769" s="84"/>
      <c r="AB769" s="84"/>
      <c r="AC769" s="84"/>
      <c r="AD769" s="154"/>
      <c r="AE769" s="154"/>
      <c r="AF769" s="154"/>
      <c r="AG769" s="154"/>
      <c r="AH769" s="154"/>
      <c r="AI769" s="154"/>
      <c r="AJ769" s="154"/>
      <c r="AK769" s="154"/>
      <c r="AL769" s="154"/>
      <c r="AM769" s="154"/>
      <c r="AN769" s="154"/>
      <c r="AO769" s="76"/>
      <c r="AP769" s="76"/>
      <c r="AQ769" s="76"/>
      <c r="AR769" s="76"/>
      <c r="AS769" s="76"/>
      <c r="AT769" s="76"/>
      <c r="AU769" s="76"/>
      <c r="AV769" s="76"/>
      <c r="AW769" s="76"/>
      <c r="AX769" s="76"/>
    </row>
    <row r="770" ht="15.75" customHeight="1">
      <c r="A770" s="81" t="s">
        <v>338</v>
      </c>
      <c r="B770" s="142" t="s">
        <v>4847</v>
      </c>
      <c r="C770" s="31" t="s">
        <v>6157</v>
      </c>
      <c r="D770" s="31" t="s">
        <v>6158</v>
      </c>
      <c r="E770" s="31" t="s">
        <v>6159</v>
      </c>
      <c r="F770" s="31"/>
      <c r="G770" s="31"/>
      <c r="H770" s="31"/>
      <c r="I770" s="84"/>
      <c r="J770" s="159"/>
      <c r="K770" s="84"/>
      <c r="L770" s="84"/>
      <c r="M770" s="84"/>
      <c r="N770" s="84"/>
      <c r="O770" s="84"/>
      <c r="P770" s="84"/>
      <c r="Q770" s="84" t="s">
        <v>166</v>
      </c>
      <c r="R770" s="84"/>
      <c r="S770" s="84"/>
      <c r="T770" s="84"/>
      <c r="U770" s="84"/>
      <c r="V770" s="84"/>
      <c r="W770" s="84"/>
      <c r="X770" s="84"/>
      <c r="Y770" s="84"/>
      <c r="Z770" s="84"/>
      <c r="AA770" s="84"/>
      <c r="AB770" s="84"/>
      <c r="AC770" s="84"/>
      <c r="AD770" s="154"/>
      <c r="AE770" s="154"/>
      <c r="AF770" s="154"/>
      <c r="AG770" s="154"/>
      <c r="AH770" s="154"/>
      <c r="AI770" s="154"/>
      <c r="AJ770" s="154"/>
      <c r="AK770" s="154"/>
      <c r="AL770" s="154"/>
      <c r="AM770" s="154"/>
      <c r="AN770" s="154"/>
      <c r="AO770" s="76"/>
      <c r="AP770" s="76"/>
      <c r="AQ770" s="76"/>
      <c r="AR770" s="76"/>
      <c r="AS770" s="76"/>
      <c r="AT770" s="76"/>
      <c r="AU770" s="76"/>
      <c r="AV770" s="76"/>
      <c r="AW770" s="76"/>
      <c r="AX770" s="76"/>
    </row>
    <row r="771" ht="15.75" customHeight="1">
      <c r="A771" s="81" t="s">
        <v>485</v>
      </c>
      <c r="B771" s="142" t="s">
        <v>4851</v>
      </c>
      <c r="C771" s="31" t="s">
        <v>6160</v>
      </c>
      <c r="D771" s="31" t="s">
        <v>6161</v>
      </c>
      <c r="E771" s="31" t="s">
        <v>6162</v>
      </c>
      <c r="F771" s="31"/>
      <c r="G771" s="31"/>
      <c r="H771" s="31"/>
      <c r="I771" s="84"/>
      <c r="J771" s="159"/>
      <c r="K771" s="84"/>
      <c r="L771" s="84"/>
      <c r="M771" s="84"/>
      <c r="N771" s="84"/>
      <c r="O771" s="84" t="s">
        <v>6163</v>
      </c>
      <c r="P771" s="84"/>
      <c r="Q771" s="84" t="s">
        <v>166</v>
      </c>
      <c r="R771" s="84"/>
      <c r="S771" s="84"/>
      <c r="T771" s="84"/>
      <c r="U771" s="84"/>
      <c r="V771" s="84"/>
      <c r="W771" s="84"/>
      <c r="X771" s="84"/>
      <c r="Y771" s="84"/>
      <c r="Z771" s="84"/>
      <c r="AA771" s="84"/>
      <c r="AB771" s="84"/>
      <c r="AC771" s="84"/>
      <c r="AD771" s="154"/>
      <c r="AE771" s="154"/>
      <c r="AF771" s="154"/>
      <c r="AG771" s="154"/>
      <c r="AH771" s="154"/>
      <c r="AI771" s="154"/>
      <c r="AJ771" s="154"/>
      <c r="AK771" s="154"/>
      <c r="AL771" s="154"/>
      <c r="AM771" s="154"/>
      <c r="AN771" s="154"/>
      <c r="AO771" s="76"/>
      <c r="AP771" s="76"/>
      <c r="AQ771" s="76"/>
      <c r="AR771" s="76"/>
      <c r="AS771" s="76"/>
      <c r="AT771" s="76"/>
      <c r="AU771" s="76"/>
      <c r="AV771" s="76"/>
      <c r="AW771" s="76"/>
      <c r="AX771" s="76"/>
    </row>
    <row r="772" ht="15.75" customHeight="1">
      <c r="A772" s="104" t="s">
        <v>139</v>
      </c>
      <c r="B772" s="141" t="s">
        <v>4860</v>
      </c>
      <c r="C772" s="31"/>
      <c r="D772" s="31"/>
      <c r="E772" s="31"/>
      <c r="F772" s="108"/>
      <c r="G772" s="108"/>
      <c r="H772" s="108"/>
      <c r="I772" s="108"/>
      <c r="J772" s="108"/>
      <c r="K772" s="108"/>
      <c r="L772" s="108"/>
      <c r="M772" s="108"/>
      <c r="N772" s="108"/>
      <c r="O772" s="108"/>
      <c r="P772" s="108"/>
      <c r="Q772" s="108"/>
      <c r="R772" s="108"/>
      <c r="S772" s="108"/>
      <c r="T772" s="281" t="s">
        <v>145</v>
      </c>
      <c r="U772" s="108"/>
      <c r="V772" s="108"/>
      <c r="W772" s="108"/>
      <c r="X772" s="108"/>
      <c r="Y772" s="108"/>
      <c r="Z772" s="108"/>
      <c r="AA772" s="108"/>
      <c r="AB772" s="108"/>
      <c r="AC772" s="108"/>
      <c r="AD772" s="76"/>
      <c r="AE772" s="76"/>
      <c r="AF772" s="76"/>
      <c r="AG772" s="76"/>
      <c r="AH772" s="76"/>
      <c r="AI772" s="76"/>
      <c r="AJ772" s="76"/>
      <c r="AK772" s="76"/>
      <c r="AL772" s="76"/>
      <c r="AM772" s="76"/>
      <c r="AN772" s="76"/>
      <c r="AO772" s="76"/>
      <c r="AP772" s="76"/>
      <c r="AQ772" s="76"/>
      <c r="AR772" s="76"/>
      <c r="AS772" s="76"/>
      <c r="AT772" s="76"/>
      <c r="AU772" s="76"/>
      <c r="AV772" s="76"/>
      <c r="AW772" s="76"/>
      <c r="AX772" s="76"/>
    </row>
    <row r="773" ht="15.75" customHeight="1">
      <c r="A773" s="67" t="s">
        <v>108</v>
      </c>
      <c r="B773" s="69" t="s">
        <v>4866</v>
      </c>
      <c r="C773" s="31"/>
      <c r="D773" s="31"/>
      <c r="E773" s="31"/>
      <c r="F773" s="70"/>
      <c r="G773" s="70"/>
      <c r="H773" s="70"/>
      <c r="I773" s="71"/>
      <c r="J773" s="71"/>
      <c r="K773" s="70"/>
      <c r="L773" s="71"/>
      <c r="M773" s="71"/>
      <c r="N773" s="71"/>
      <c r="O773" s="71"/>
      <c r="P773" s="70"/>
      <c r="Q773" s="70"/>
      <c r="R773" s="70"/>
      <c r="S773" s="70"/>
      <c r="T773" s="67" t="s">
        <v>6164</v>
      </c>
      <c r="U773" s="70"/>
      <c r="V773" s="70"/>
      <c r="W773" s="70"/>
      <c r="X773" s="70"/>
      <c r="Y773" s="70"/>
      <c r="Z773" s="70"/>
      <c r="AA773" s="70"/>
      <c r="AB773" s="70"/>
      <c r="AC773" s="70"/>
      <c r="AD773" s="76"/>
      <c r="AE773" s="76"/>
      <c r="AF773" s="76"/>
      <c r="AG773" s="76"/>
      <c r="AH773" s="76"/>
      <c r="AI773" s="76"/>
      <c r="AJ773" s="76"/>
      <c r="AK773" s="76"/>
      <c r="AL773" s="76"/>
      <c r="AM773" s="76"/>
      <c r="AN773" s="76"/>
      <c r="AO773" s="76"/>
      <c r="AP773" s="76"/>
      <c r="AQ773" s="76"/>
      <c r="AR773" s="76"/>
      <c r="AS773" s="76"/>
      <c r="AT773" s="76"/>
      <c r="AU773" s="76"/>
      <c r="AV773" s="76"/>
      <c r="AW773" s="76"/>
      <c r="AX773" s="76"/>
    </row>
    <row r="774" ht="15.75" customHeight="1">
      <c r="A774" s="104" t="s">
        <v>139</v>
      </c>
      <c r="B774" s="141" t="s">
        <v>4868</v>
      </c>
      <c r="C774" s="31"/>
      <c r="D774" s="31"/>
      <c r="E774" s="31"/>
      <c r="F774" s="108"/>
      <c r="G774" s="108"/>
      <c r="H774" s="108"/>
      <c r="I774" s="108"/>
      <c r="J774" s="108"/>
      <c r="K774" s="108"/>
      <c r="L774" s="108"/>
      <c r="M774" s="108"/>
      <c r="N774" s="108"/>
      <c r="O774" s="108"/>
      <c r="P774" s="108"/>
      <c r="Q774" s="108"/>
      <c r="R774" s="108"/>
      <c r="S774" s="108"/>
      <c r="T774" s="281" t="s">
        <v>145</v>
      </c>
      <c r="U774" s="108"/>
      <c r="V774" s="108"/>
      <c r="W774" s="108"/>
      <c r="X774" s="108"/>
      <c r="Y774" s="108"/>
      <c r="Z774" s="108"/>
      <c r="AA774" s="108"/>
      <c r="AB774" s="108"/>
      <c r="AC774" s="108"/>
      <c r="AD774" s="76"/>
      <c r="AE774" s="76"/>
      <c r="AF774" s="76"/>
      <c r="AG774" s="76"/>
      <c r="AH774" s="76"/>
      <c r="AI774" s="76"/>
      <c r="AJ774" s="76"/>
      <c r="AK774" s="76"/>
      <c r="AL774" s="76"/>
      <c r="AM774" s="76"/>
      <c r="AN774" s="76"/>
      <c r="AO774" s="76"/>
      <c r="AP774" s="76"/>
      <c r="AQ774" s="76"/>
      <c r="AR774" s="76"/>
      <c r="AS774" s="76"/>
      <c r="AT774" s="76"/>
      <c r="AU774" s="76"/>
      <c r="AV774" s="76"/>
      <c r="AW774" s="76"/>
      <c r="AX774" s="76"/>
    </row>
    <row r="775" ht="15.75" customHeight="1">
      <c r="A775" s="126" t="s">
        <v>42</v>
      </c>
      <c r="B775" s="127" t="s">
        <v>4869</v>
      </c>
      <c r="C775" s="31" t="s">
        <v>6165</v>
      </c>
      <c r="D775" s="31" t="s">
        <v>6166</v>
      </c>
      <c r="E775" s="31" t="s">
        <v>6167</v>
      </c>
      <c r="F775" s="31"/>
      <c r="G775" s="31"/>
      <c r="H775" s="31"/>
      <c r="I775" s="154"/>
      <c r="J775" s="154"/>
      <c r="K775" s="154"/>
      <c r="L775" s="154"/>
      <c r="M775" s="154"/>
      <c r="N775" s="154"/>
      <c r="O775" s="154"/>
      <c r="P775" s="154"/>
      <c r="Q775" s="154"/>
      <c r="R775" s="154"/>
      <c r="S775" s="154"/>
      <c r="T775" s="154"/>
      <c r="U775" s="154"/>
      <c r="V775" s="154"/>
      <c r="W775" s="154"/>
      <c r="X775" s="154"/>
      <c r="Y775" s="154"/>
      <c r="Z775" s="154"/>
      <c r="AA775" s="154"/>
      <c r="AB775" s="154"/>
      <c r="AC775" s="154"/>
      <c r="AD775" s="154"/>
      <c r="AE775" s="154"/>
      <c r="AF775" s="154"/>
      <c r="AG775" s="154"/>
      <c r="AH775" s="154"/>
      <c r="AI775" s="154"/>
      <c r="AJ775" s="154"/>
      <c r="AK775" s="154"/>
      <c r="AL775" s="154"/>
      <c r="AM775" s="154"/>
      <c r="AN775" s="154"/>
      <c r="AO775" s="76"/>
      <c r="AP775" s="76"/>
      <c r="AQ775" s="76"/>
      <c r="AR775" s="76"/>
      <c r="AS775" s="76"/>
      <c r="AT775" s="76"/>
      <c r="AU775" s="76"/>
      <c r="AV775" s="76"/>
      <c r="AW775" s="76"/>
      <c r="AX775" s="76"/>
    </row>
    <row r="776" ht="15.75" customHeight="1">
      <c r="A776" s="81" t="s">
        <v>485</v>
      </c>
      <c r="B776" s="142" t="s">
        <v>4879</v>
      </c>
      <c r="C776" s="31" t="s">
        <v>6168</v>
      </c>
      <c r="D776" s="31" t="s">
        <v>6169</v>
      </c>
      <c r="E776" s="31" t="s">
        <v>6170</v>
      </c>
      <c r="F776" s="31"/>
      <c r="G776" s="31"/>
      <c r="H776" s="31"/>
      <c r="I776" s="84"/>
      <c r="J776" s="159"/>
      <c r="K776" s="84"/>
      <c r="L776" s="84"/>
      <c r="M776" s="84"/>
      <c r="N776" s="84"/>
      <c r="O776" s="84"/>
      <c r="P776" s="84"/>
      <c r="Q776" s="84" t="s">
        <v>166</v>
      </c>
      <c r="R776" s="84"/>
      <c r="S776" s="84"/>
      <c r="T776" s="84"/>
      <c r="U776" s="84"/>
      <c r="V776" s="84"/>
      <c r="W776" s="84"/>
      <c r="X776" s="84"/>
      <c r="Y776" s="84"/>
      <c r="Z776" s="84"/>
      <c r="AA776" s="84"/>
      <c r="AB776" s="84"/>
      <c r="AC776" s="84"/>
      <c r="AD776" s="84"/>
      <c r="AE776" s="84"/>
      <c r="AF776" s="84"/>
      <c r="AG776" s="84"/>
      <c r="AH776" s="84"/>
      <c r="AI776" s="84"/>
      <c r="AJ776" s="84"/>
      <c r="AK776" s="84"/>
      <c r="AL776" s="84"/>
      <c r="AM776" s="84"/>
      <c r="AN776" s="84"/>
      <c r="AO776" s="76"/>
      <c r="AP776" s="76"/>
      <c r="AQ776" s="76"/>
      <c r="AR776" s="76"/>
      <c r="AS776" s="76"/>
      <c r="AT776" s="76"/>
      <c r="AU776" s="76"/>
      <c r="AV776" s="76"/>
      <c r="AW776" s="76"/>
      <c r="AX776" s="76"/>
    </row>
    <row r="777" ht="15.75" customHeight="1">
      <c r="A777" s="146" t="s">
        <v>237</v>
      </c>
      <c r="B777" s="147" t="s">
        <v>4886</v>
      </c>
      <c r="C777" s="31" t="s">
        <v>6171</v>
      </c>
      <c r="D777" s="31" t="s">
        <v>6172</v>
      </c>
      <c r="E777" s="31" t="s">
        <v>6173</v>
      </c>
      <c r="F777" s="31"/>
      <c r="G777" s="31"/>
      <c r="H777" s="31"/>
      <c r="I777" s="175"/>
      <c r="J777" s="175"/>
      <c r="K777" s="176" t="s">
        <v>2389</v>
      </c>
      <c r="L777" s="176"/>
      <c r="M777" s="175"/>
      <c r="N777" s="175"/>
      <c r="O777" s="175" t="s">
        <v>6174</v>
      </c>
      <c r="P777" s="175"/>
      <c r="Q777" s="175" t="s">
        <v>166</v>
      </c>
      <c r="R777" s="175"/>
      <c r="S777" s="175"/>
      <c r="T777" s="175"/>
      <c r="U777" s="175"/>
      <c r="V777" s="175"/>
      <c r="W777" s="175"/>
      <c r="X777" s="175"/>
      <c r="Y777" s="175"/>
      <c r="Z777" s="175"/>
      <c r="AA777" s="175"/>
      <c r="AB777" s="175"/>
      <c r="AC777" s="175"/>
      <c r="AD777" s="175"/>
      <c r="AE777" s="175"/>
      <c r="AF777" s="175"/>
      <c r="AG777" s="175"/>
      <c r="AH777" s="175"/>
      <c r="AI777" s="175"/>
      <c r="AJ777" s="175"/>
      <c r="AK777" s="175"/>
      <c r="AL777" s="175"/>
      <c r="AM777" s="175"/>
      <c r="AN777" s="175"/>
      <c r="AO777" s="76"/>
      <c r="AP777" s="76"/>
      <c r="AQ777" s="76"/>
      <c r="AR777" s="76"/>
      <c r="AS777" s="76"/>
      <c r="AT777" s="76"/>
      <c r="AU777" s="76"/>
      <c r="AV777" s="76"/>
      <c r="AW777" s="76"/>
      <c r="AX777" s="76"/>
    </row>
    <row r="778" ht="15.75" customHeight="1">
      <c r="A778" s="81" t="s">
        <v>485</v>
      </c>
      <c r="B778" s="142" t="s">
        <v>4896</v>
      </c>
      <c r="C778" s="31" t="s">
        <v>6175</v>
      </c>
      <c r="D778" s="31" t="s">
        <v>6176</v>
      </c>
      <c r="E778" s="31" t="s">
        <v>6177</v>
      </c>
      <c r="F778" s="31"/>
      <c r="G778" s="31"/>
      <c r="H778" s="31"/>
      <c r="I778" s="84"/>
      <c r="J778" s="159"/>
      <c r="K778" s="84"/>
      <c r="L778" s="84"/>
      <c r="M778" s="84"/>
      <c r="N778" s="84"/>
      <c r="O778" s="84"/>
      <c r="P778" s="84"/>
      <c r="Q778" s="84" t="s">
        <v>166</v>
      </c>
      <c r="R778" s="84"/>
      <c r="S778" s="84"/>
      <c r="T778" s="84"/>
      <c r="U778" s="84"/>
      <c r="V778" s="84"/>
      <c r="W778" s="84"/>
      <c r="X778" s="84"/>
      <c r="Y778" s="84"/>
      <c r="Z778" s="84"/>
      <c r="AA778" s="84"/>
      <c r="AB778" s="84"/>
      <c r="AC778" s="84"/>
      <c r="AD778" s="84"/>
      <c r="AE778" s="84"/>
      <c r="AF778" s="84"/>
      <c r="AG778" s="84"/>
      <c r="AH778" s="84"/>
      <c r="AI778" s="84"/>
      <c r="AJ778" s="84"/>
      <c r="AK778" s="84"/>
      <c r="AL778" s="84"/>
      <c r="AM778" s="84"/>
      <c r="AN778" s="84"/>
      <c r="AO778" s="76"/>
      <c r="AP778" s="76"/>
      <c r="AQ778" s="76"/>
      <c r="AR778" s="76"/>
      <c r="AS778" s="76"/>
      <c r="AT778" s="76"/>
      <c r="AU778" s="76"/>
      <c r="AV778" s="76"/>
      <c r="AW778" s="76"/>
      <c r="AX778" s="76"/>
    </row>
    <row r="779" ht="15.75" customHeight="1">
      <c r="A779" s="146" t="s">
        <v>237</v>
      </c>
      <c r="B779" s="147" t="s">
        <v>4900</v>
      </c>
      <c r="C779" s="31" t="s">
        <v>6178</v>
      </c>
      <c r="D779" s="31" t="s">
        <v>6179</v>
      </c>
      <c r="E779" s="31" t="s">
        <v>6180</v>
      </c>
      <c r="F779" s="31"/>
      <c r="G779" s="31"/>
      <c r="H779" s="31"/>
      <c r="I779" s="175"/>
      <c r="J779" s="175"/>
      <c r="K779" s="176" t="s">
        <v>2389</v>
      </c>
      <c r="L779" s="176"/>
      <c r="M779" s="175"/>
      <c r="N779" s="175"/>
      <c r="O779" s="175" t="s">
        <v>6181</v>
      </c>
      <c r="P779" s="175"/>
      <c r="Q779" s="175" t="s">
        <v>166</v>
      </c>
      <c r="R779" s="175"/>
      <c r="S779" s="175"/>
      <c r="T779" s="175"/>
      <c r="U779" s="175"/>
      <c r="V779" s="175"/>
      <c r="W779" s="175"/>
      <c r="X779" s="175"/>
      <c r="Y779" s="175"/>
      <c r="Z779" s="175"/>
      <c r="AA779" s="175"/>
      <c r="AB779" s="175"/>
      <c r="AC779" s="175"/>
      <c r="AD779" s="175"/>
      <c r="AE779" s="175"/>
      <c r="AF779" s="175"/>
      <c r="AG779" s="175"/>
      <c r="AH779" s="175"/>
      <c r="AI779" s="175"/>
      <c r="AJ779" s="175"/>
      <c r="AK779" s="175"/>
      <c r="AL779" s="175"/>
      <c r="AM779" s="175"/>
      <c r="AN779" s="175"/>
      <c r="AO779" s="76"/>
      <c r="AP779" s="76"/>
      <c r="AQ779" s="76"/>
      <c r="AR779" s="76"/>
      <c r="AS779" s="76"/>
      <c r="AT779" s="76"/>
      <c r="AU779" s="76"/>
      <c r="AV779" s="76"/>
      <c r="AW779" s="76"/>
      <c r="AX779" s="76"/>
    </row>
    <row r="780" ht="15.75" customHeight="1">
      <c r="A780" s="146" t="s">
        <v>237</v>
      </c>
      <c r="B780" s="147" t="s">
        <v>4907</v>
      </c>
      <c r="C780" s="31" t="s">
        <v>6182</v>
      </c>
      <c r="D780" s="31" t="s">
        <v>6183</v>
      </c>
      <c r="E780" s="31" t="s">
        <v>6184</v>
      </c>
      <c r="F780" s="31"/>
      <c r="G780" s="31"/>
      <c r="H780" s="31"/>
      <c r="I780" s="175"/>
      <c r="J780" s="175"/>
      <c r="K780" s="176" t="s">
        <v>2389</v>
      </c>
      <c r="L780" s="176"/>
      <c r="M780" s="175"/>
      <c r="N780" s="175"/>
      <c r="O780" s="175"/>
      <c r="P780" s="175"/>
      <c r="Q780" s="175" t="s">
        <v>166</v>
      </c>
      <c r="R780" s="175"/>
      <c r="S780" s="175"/>
      <c r="T780" s="175"/>
      <c r="U780" s="175"/>
      <c r="V780" s="175"/>
      <c r="W780" s="175"/>
      <c r="X780" s="175"/>
      <c r="Y780" s="175"/>
      <c r="Z780" s="175"/>
      <c r="AA780" s="175"/>
      <c r="AB780" s="175"/>
      <c r="AC780" s="175"/>
      <c r="AD780" s="175"/>
      <c r="AE780" s="175"/>
      <c r="AF780" s="175"/>
      <c r="AG780" s="175"/>
      <c r="AH780" s="175"/>
      <c r="AI780" s="175"/>
      <c r="AJ780" s="175"/>
      <c r="AK780" s="175"/>
      <c r="AL780" s="175"/>
      <c r="AM780" s="175"/>
      <c r="AN780" s="175"/>
      <c r="AO780" s="76"/>
      <c r="AP780" s="76"/>
      <c r="AQ780" s="76"/>
      <c r="AR780" s="76"/>
      <c r="AS780" s="76"/>
      <c r="AT780" s="76"/>
      <c r="AU780" s="76"/>
      <c r="AV780" s="76"/>
      <c r="AW780" s="76"/>
      <c r="AX780" s="76"/>
    </row>
    <row r="781" ht="15.75" customHeight="1">
      <c r="A781" s="81" t="s">
        <v>485</v>
      </c>
      <c r="B781" s="142" t="s">
        <v>4914</v>
      </c>
      <c r="C781" s="31" t="s">
        <v>6185</v>
      </c>
      <c r="D781" s="31" t="s">
        <v>6186</v>
      </c>
      <c r="E781" s="31" t="s">
        <v>6187</v>
      </c>
      <c r="F781" s="31"/>
      <c r="G781" s="31"/>
      <c r="H781" s="31"/>
      <c r="I781" s="84"/>
      <c r="J781" s="159"/>
      <c r="K781" s="84"/>
      <c r="L781" s="84"/>
      <c r="M781" s="84"/>
      <c r="N781" s="84"/>
      <c r="O781" s="84"/>
      <c r="P781" s="84"/>
      <c r="Q781" s="84" t="s">
        <v>166</v>
      </c>
      <c r="R781" s="84"/>
      <c r="S781" s="84"/>
      <c r="T781" s="84"/>
      <c r="U781" s="84"/>
      <c r="V781" s="84"/>
      <c r="W781" s="84"/>
      <c r="X781" s="84"/>
      <c r="Y781" s="84"/>
      <c r="Z781" s="84"/>
      <c r="AA781" s="84"/>
      <c r="AB781" s="84"/>
      <c r="AC781" s="84"/>
      <c r="AD781" s="84"/>
      <c r="AE781" s="84"/>
      <c r="AF781" s="84"/>
      <c r="AG781" s="84"/>
      <c r="AH781" s="84"/>
      <c r="AI781" s="84"/>
      <c r="AJ781" s="84"/>
      <c r="AK781" s="84"/>
      <c r="AL781" s="84"/>
      <c r="AM781" s="84"/>
      <c r="AN781" s="84"/>
      <c r="AO781" s="76"/>
      <c r="AP781" s="76"/>
      <c r="AQ781" s="76"/>
      <c r="AR781" s="76"/>
      <c r="AS781" s="76"/>
      <c r="AT781" s="76"/>
      <c r="AU781" s="76"/>
      <c r="AV781" s="76"/>
      <c r="AW781" s="76"/>
      <c r="AX781" s="76"/>
    </row>
    <row r="782" ht="15.75" customHeight="1">
      <c r="A782" s="146" t="s">
        <v>237</v>
      </c>
      <c r="B782" s="147" t="s">
        <v>4918</v>
      </c>
      <c r="C782" s="31" t="s">
        <v>6188</v>
      </c>
      <c r="D782" s="31" t="s">
        <v>6189</v>
      </c>
      <c r="E782" s="31" t="s">
        <v>6190</v>
      </c>
      <c r="F782" s="31"/>
      <c r="G782" s="31"/>
      <c r="H782" s="31"/>
      <c r="I782" s="175"/>
      <c r="J782" s="175"/>
      <c r="K782" s="176" t="s">
        <v>2389</v>
      </c>
      <c r="L782" s="176"/>
      <c r="M782" s="175"/>
      <c r="N782" s="175"/>
      <c r="O782" s="175" t="s">
        <v>6191</v>
      </c>
      <c r="P782" s="175"/>
      <c r="Q782" s="175" t="s">
        <v>166</v>
      </c>
      <c r="R782" s="175"/>
      <c r="S782" s="175"/>
      <c r="T782" s="175"/>
      <c r="U782" s="175"/>
      <c r="V782" s="175"/>
      <c r="W782" s="175"/>
      <c r="X782" s="175"/>
      <c r="Y782" s="175"/>
      <c r="Z782" s="175"/>
      <c r="AA782" s="175"/>
      <c r="AB782" s="175"/>
      <c r="AC782" s="175"/>
      <c r="AD782" s="175"/>
      <c r="AE782" s="175"/>
      <c r="AF782" s="175"/>
      <c r="AG782" s="175"/>
      <c r="AH782" s="175"/>
      <c r="AI782" s="175"/>
      <c r="AJ782" s="175"/>
      <c r="AK782" s="175"/>
      <c r="AL782" s="175"/>
      <c r="AM782" s="175"/>
      <c r="AN782" s="175"/>
      <c r="AO782" s="76"/>
      <c r="AP782" s="76"/>
      <c r="AQ782" s="76"/>
      <c r="AR782" s="76"/>
      <c r="AS782" s="76"/>
      <c r="AT782" s="76"/>
      <c r="AU782" s="76"/>
      <c r="AV782" s="76"/>
      <c r="AW782" s="76"/>
      <c r="AX782" s="76"/>
    </row>
    <row r="783" ht="15.75" customHeight="1">
      <c r="A783" s="81" t="s">
        <v>485</v>
      </c>
      <c r="B783" s="142" t="s">
        <v>4922</v>
      </c>
      <c r="C783" s="31" t="s">
        <v>6192</v>
      </c>
      <c r="D783" s="31" t="s">
        <v>6193</v>
      </c>
      <c r="E783" s="31" t="s">
        <v>6194</v>
      </c>
      <c r="F783" s="31"/>
      <c r="G783" s="31"/>
      <c r="H783" s="31"/>
      <c r="I783" s="84"/>
      <c r="J783" s="159"/>
      <c r="K783" s="84"/>
      <c r="L783" s="84"/>
      <c r="M783" s="84"/>
      <c r="N783" s="84"/>
      <c r="O783" s="84"/>
      <c r="P783" s="84"/>
      <c r="Q783" s="84" t="s">
        <v>166</v>
      </c>
      <c r="R783" s="84"/>
      <c r="S783" s="84"/>
      <c r="T783" s="84"/>
      <c r="U783" s="84"/>
      <c r="V783" s="84"/>
      <c r="W783" s="84"/>
      <c r="X783" s="84"/>
      <c r="Y783" s="84"/>
      <c r="Z783" s="84"/>
      <c r="AA783" s="84"/>
      <c r="AB783" s="84"/>
      <c r="AC783" s="84"/>
      <c r="AD783" s="84"/>
      <c r="AE783" s="84"/>
      <c r="AF783" s="84"/>
      <c r="AG783" s="84"/>
      <c r="AH783" s="84"/>
      <c r="AI783" s="84"/>
      <c r="AJ783" s="84"/>
      <c r="AK783" s="84"/>
      <c r="AL783" s="84"/>
      <c r="AM783" s="84"/>
      <c r="AN783" s="84"/>
      <c r="AO783" s="76"/>
      <c r="AP783" s="76"/>
      <c r="AQ783" s="76"/>
      <c r="AR783" s="76"/>
      <c r="AS783" s="76"/>
      <c r="AT783" s="76"/>
      <c r="AU783" s="76"/>
      <c r="AV783" s="76"/>
      <c r="AW783" s="76"/>
      <c r="AX783" s="76"/>
    </row>
    <row r="784" ht="15.75" customHeight="1">
      <c r="A784" s="146" t="s">
        <v>237</v>
      </c>
      <c r="B784" s="147" t="s">
        <v>4928</v>
      </c>
      <c r="C784" s="31" t="s">
        <v>6195</v>
      </c>
      <c r="D784" s="31" t="s">
        <v>6196</v>
      </c>
      <c r="E784" s="31" t="s">
        <v>6197</v>
      </c>
      <c r="F784" s="31"/>
      <c r="G784" s="31"/>
      <c r="H784" s="31"/>
      <c r="I784" s="175"/>
      <c r="J784" s="175"/>
      <c r="K784" s="176" t="s">
        <v>2389</v>
      </c>
      <c r="L784" s="176"/>
      <c r="M784" s="175"/>
      <c r="N784" s="175"/>
      <c r="O784" s="175" t="s">
        <v>6198</v>
      </c>
      <c r="P784" s="175"/>
      <c r="Q784" s="175" t="s">
        <v>166</v>
      </c>
      <c r="R784" s="175"/>
      <c r="S784" s="175"/>
      <c r="T784" s="175"/>
      <c r="U784" s="175"/>
      <c r="V784" s="175"/>
      <c r="W784" s="175"/>
      <c r="X784" s="175"/>
      <c r="Y784" s="175"/>
      <c r="Z784" s="175"/>
      <c r="AA784" s="175"/>
      <c r="AB784" s="175"/>
      <c r="AC784" s="175"/>
      <c r="AD784" s="175"/>
      <c r="AE784" s="175"/>
      <c r="AF784" s="175"/>
      <c r="AG784" s="175"/>
      <c r="AH784" s="175"/>
      <c r="AI784" s="175"/>
      <c r="AJ784" s="175"/>
      <c r="AK784" s="175"/>
      <c r="AL784" s="175"/>
      <c r="AM784" s="175"/>
      <c r="AN784" s="175"/>
      <c r="AO784" s="76"/>
      <c r="AP784" s="76"/>
      <c r="AQ784" s="76"/>
      <c r="AR784" s="76"/>
      <c r="AS784" s="76"/>
      <c r="AT784" s="76"/>
      <c r="AU784" s="76"/>
      <c r="AV784" s="76"/>
      <c r="AW784" s="76"/>
      <c r="AX784" s="76"/>
    </row>
    <row r="785" ht="15.75" customHeight="1">
      <c r="A785" s="146" t="s">
        <v>237</v>
      </c>
      <c r="B785" s="147" t="s">
        <v>4936</v>
      </c>
      <c r="C785" s="31" t="s">
        <v>6199</v>
      </c>
      <c r="D785" s="31" t="s">
        <v>6200</v>
      </c>
      <c r="E785" s="31" t="s">
        <v>6201</v>
      </c>
      <c r="F785" s="31"/>
      <c r="G785" s="31"/>
      <c r="H785" s="31"/>
      <c r="I785" s="175"/>
      <c r="J785" s="175"/>
      <c r="K785" s="176" t="s">
        <v>2389</v>
      </c>
      <c r="L785" s="176"/>
      <c r="M785" s="175"/>
      <c r="N785" s="175"/>
      <c r="O785" s="175"/>
      <c r="P785" s="175"/>
      <c r="Q785" s="175" t="s">
        <v>166</v>
      </c>
      <c r="R785" s="175"/>
      <c r="S785" s="175"/>
      <c r="T785" s="175"/>
      <c r="U785" s="175"/>
      <c r="V785" s="175"/>
      <c r="W785" s="175"/>
      <c r="X785" s="175"/>
      <c r="Y785" s="175"/>
      <c r="Z785" s="175"/>
      <c r="AA785" s="175"/>
      <c r="AB785" s="175"/>
      <c r="AC785" s="175"/>
      <c r="AD785" s="175"/>
      <c r="AE785" s="175"/>
      <c r="AF785" s="175"/>
      <c r="AG785" s="175"/>
      <c r="AH785" s="175"/>
      <c r="AI785" s="175"/>
      <c r="AJ785" s="175"/>
      <c r="AK785" s="175"/>
      <c r="AL785" s="175"/>
      <c r="AM785" s="175"/>
      <c r="AN785" s="175"/>
      <c r="AO785" s="76"/>
      <c r="AP785" s="76"/>
      <c r="AQ785" s="76"/>
      <c r="AR785" s="76"/>
      <c r="AS785" s="76"/>
      <c r="AT785" s="76"/>
      <c r="AU785" s="76"/>
      <c r="AV785" s="76"/>
      <c r="AW785" s="76"/>
      <c r="AX785" s="76"/>
    </row>
    <row r="786" ht="15.75" customHeight="1">
      <c r="A786" s="104" t="s">
        <v>139</v>
      </c>
      <c r="B786" s="141" t="s">
        <v>4940</v>
      </c>
      <c r="C786" s="31"/>
      <c r="D786" s="31"/>
      <c r="E786" s="31"/>
      <c r="F786" s="108"/>
      <c r="G786" s="108"/>
      <c r="H786" s="108"/>
      <c r="I786" s="108"/>
      <c r="J786" s="108"/>
      <c r="K786" s="108"/>
      <c r="L786" s="108"/>
      <c r="M786" s="108"/>
      <c r="N786" s="108"/>
      <c r="O786" s="108"/>
      <c r="P786" s="108"/>
      <c r="Q786" s="108"/>
      <c r="R786" s="108"/>
      <c r="S786" s="108"/>
      <c r="T786" s="281" t="s">
        <v>145</v>
      </c>
      <c r="U786" s="108"/>
      <c r="V786" s="108"/>
      <c r="W786" s="108"/>
      <c r="X786" s="108"/>
      <c r="Y786" s="108"/>
      <c r="Z786" s="108"/>
      <c r="AA786" s="108"/>
      <c r="AB786" s="108"/>
      <c r="AC786" s="108"/>
      <c r="AD786" s="76"/>
      <c r="AE786" s="76"/>
      <c r="AF786" s="76"/>
      <c r="AG786" s="76"/>
      <c r="AH786" s="76"/>
      <c r="AI786" s="76"/>
      <c r="AJ786" s="76"/>
      <c r="AK786" s="76"/>
      <c r="AL786" s="76"/>
      <c r="AM786" s="76"/>
      <c r="AN786" s="76"/>
      <c r="AO786" s="76"/>
      <c r="AP786" s="76"/>
      <c r="AQ786" s="76"/>
      <c r="AR786" s="76"/>
      <c r="AS786" s="76"/>
      <c r="AT786" s="76"/>
      <c r="AU786" s="76"/>
      <c r="AV786" s="76"/>
      <c r="AW786" s="76"/>
      <c r="AX786" s="76"/>
    </row>
    <row r="787" ht="15.75" customHeight="1">
      <c r="A787" s="67" t="s">
        <v>108</v>
      </c>
      <c r="B787" s="69" t="s">
        <v>4948</v>
      </c>
      <c r="C787" s="31"/>
      <c r="D787" s="31"/>
      <c r="E787" s="31"/>
      <c r="F787" s="70"/>
      <c r="G787" s="70"/>
      <c r="H787" s="70"/>
      <c r="I787" s="71"/>
      <c r="J787" s="71"/>
      <c r="K787" s="70"/>
      <c r="L787" s="71"/>
      <c r="M787" s="71"/>
      <c r="N787" s="71"/>
      <c r="O787" s="71"/>
      <c r="P787" s="70"/>
      <c r="Q787" s="70"/>
      <c r="R787" s="70"/>
      <c r="S787" s="70"/>
      <c r="T787" s="67" t="s">
        <v>6202</v>
      </c>
      <c r="U787" s="70"/>
      <c r="V787" s="70"/>
      <c r="W787" s="70"/>
      <c r="X787" s="70"/>
      <c r="Y787" s="70"/>
      <c r="Z787" s="70"/>
      <c r="AA787" s="70"/>
      <c r="AB787" s="70"/>
      <c r="AC787" s="70"/>
      <c r="AD787" s="76"/>
      <c r="AE787" s="76"/>
      <c r="AF787" s="76"/>
      <c r="AG787" s="76"/>
      <c r="AH787" s="76"/>
      <c r="AI787" s="76"/>
      <c r="AJ787" s="76"/>
      <c r="AK787" s="76"/>
      <c r="AL787" s="76"/>
      <c r="AM787" s="76"/>
      <c r="AN787" s="76"/>
      <c r="AO787" s="76"/>
      <c r="AP787" s="76"/>
      <c r="AQ787" s="76"/>
      <c r="AR787" s="76"/>
      <c r="AS787" s="76"/>
      <c r="AT787" s="76"/>
      <c r="AU787" s="76"/>
      <c r="AV787" s="76"/>
      <c r="AW787" s="76"/>
      <c r="AX787" s="76"/>
    </row>
    <row r="788" ht="15.75" customHeight="1">
      <c r="A788" s="169"/>
      <c r="B788" s="170"/>
      <c r="C788" s="31" t="s">
        <v>53</v>
      </c>
      <c r="D788" s="31" t="s">
        <v>53</v>
      </c>
      <c r="E788" s="31" t="s">
        <v>53</v>
      </c>
      <c r="F788" s="76"/>
      <c r="G788" s="76"/>
      <c r="H788" s="76"/>
      <c r="I788" s="76"/>
      <c r="J788" s="76"/>
      <c r="K788" s="76"/>
      <c r="L788" s="76"/>
      <c r="M788" s="76"/>
      <c r="N788" s="76"/>
      <c r="O788" s="76"/>
      <c r="P788" s="76"/>
      <c r="Q788" s="76"/>
      <c r="R788" s="76"/>
      <c r="S788" s="76"/>
      <c r="T788" s="76"/>
      <c r="U788" s="76"/>
      <c r="V788" s="76"/>
      <c r="W788" s="76"/>
      <c r="X788" s="76"/>
      <c r="Y788" s="76"/>
      <c r="Z788" s="76"/>
      <c r="AA788" s="76"/>
      <c r="AB788" s="76"/>
      <c r="AC788" s="76"/>
      <c r="AD788" s="76"/>
      <c r="AE788" s="76"/>
      <c r="AF788" s="76"/>
      <c r="AG788" s="76"/>
      <c r="AH788" s="76"/>
      <c r="AI788" s="76"/>
      <c r="AJ788" s="76"/>
      <c r="AK788" s="76"/>
      <c r="AL788" s="76"/>
      <c r="AM788" s="76"/>
      <c r="AN788" s="76"/>
      <c r="AO788" s="76"/>
      <c r="AP788" s="76"/>
      <c r="AQ788" s="76"/>
      <c r="AR788" s="76"/>
      <c r="AS788" s="76"/>
      <c r="AT788" s="76"/>
      <c r="AU788" s="76"/>
      <c r="AV788" s="76"/>
      <c r="AW788" s="76"/>
      <c r="AX788" s="76"/>
    </row>
    <row r="789" ht="15.75" customHeight="1">
      <c r="A789" s="122" t="s">
        <v>150</v>
      </c>
      <c r="B789" s="123" t="s">
        <v>4958</v>
      </c>
      <c r="C789" s="31"/>
      <c r="D789" s="31"/>
      <c r="E789" s="31"/>
      <c r="F789" s="70"/>
      <c r="G789" s="70"/>
      <c r="H789" s="70"/>
      <c r="I789" s="70"/>
      <c r="J789" s="71"/>
      <c r="K789" s="70"/>
      <c r="L789" s="70"/>
      <c r="M789" s="71"/>
      <c r="N789" s="71"/>
      <c r="O789" s="71"/>
      <c r="P789" s="70"/>
      <c r="Q789" s="70"/>
      <c r="R789" s="70"/>
      <c r="S789" s="70"/>
      <c r="T789" s="70"/>
      <c r="U789" s="70"/>
      <c r="V789" s="70"/>
      <c r="W789" s="70"/>
      <c r="X789" s="70"/>
      <c r="Y789" s="70"/>
      <c r="Z789" s="70"/>
      <c r="AA789" s="70"/>
      <c r="AB789" s="70"/>
      <c r="AC789" s="70"/>
      <c r="AD789" s="76"/>
      <c r="AE789" s="76"/>
      <c r="AF789" s="76"/>
      <c r="AG789" s="76"/>
      <c r="AH789" s="76"/>
      <c r="AI789" s="76"/>
      <c r="AJ789" s="76"/>
      <c r="AK789" s="76"/>
      <c r="AL789" s="76"/>
      <c r="AM789" s="76"/>
      <c r="AN789" s="76"/>
      <c r="AO789" s="76"/>
      <c r="AP789" s="76"/>
      <c r="AQ789" s="76"/>
      <c r="AR789" s="76"/>
      <c r="AS789" s="76"/>
      <c r="AT789" s="76"/>
      <c r="AU789" s="76"/>
      <c r="AV789" s="76"/>
      <c r="AW789" s="76"/>
      <c r="AX789" s="76"/>
    </row>
    <row r="790" ht="15.75" customHeight="1">
      <c r="A790" s="104" t="s">
        <v>139</v>
      </c>
      <c r="B790" s="141" t="s">
        <v>4967</v>
      </c>
      <c r="C790" s="31"/>
      <c r="D790" s="31"/>
      <c r="E790" s="31"/>
      <c r="F790" s="108"/>
      <c r="G790" s="108"/>
      <c r="H790" s="108"/>
      <c r="I790" s="108"/>
      <c r="J790" s="108"/>
      <c r="K790" s="108"/>
      <c r="L790" s="108"/>
      <c r="M790" s="108"/>
      <c r="N790" s="108"/>
      <c r="O790" s="108"/>
      <c r="P790" s="108"/>
      <c r="Q790" s="108"/>
      <c r="R790" s="108"/>
      <c r="S790" s="108"/>
      <c r="T790" s="281" t="s">
        <v>145</v>
      </c>
      <c r="U790" s="108"/>
      <c r="V790" s="108"/>
      <c r="W790" s="108"/>
      <c r="X790" s="108"/>
      <c r="Y790" s="108"/>
      <c r="Z790" s="108"/>
      <c r="AA790" s="108"/>
      <c r="AB790" s="108"/>
      <c r="AC790" s="108"/>
      <c r="AD790" s="76"/>
      <c r="AE790" s="76"/>
      <c r="AF790" s="76"/>
      <c r="AG790" s="76"/>
      <c r="AH790" s="76"/>
      <c r="AI790" s="76"/>
      <c r="AJ790" s="76"/>
      <c r="AK790" s="76"/>
      <c r="AL790" s="76"/>
      <c r="AM790" s="76"/>
      <c r="AN790" s="76"/>
      <c r="AO790" s="76"/>
      <c r="AP790" s="76"/>
      <c r="AQ790" s="76"/>
      <c r="AR790" s="76"/>
      <c r="AS790" s="76"/>
      <c r="AT790" s="76"/>
      <c r="AU790" s="76"/>
      <c r="AV790" s="76"/>
      <c r="AW790" s="76"/>
      <c r="AX790" s="76"/>
    </row>
    <row r="791" ht="15.75" customHeight="1">
      <c r="A791" s="81" t="s">
        <v>1272</v>
      </c>
      <c r="B791" s="142" t="s">
        <v>4973</v>
      </c>
      <c r="C791" s="31" t="s">
        <v>6203</v>
      </c>
      <c r="D791" s="31" t="s">
        <v>6204</v>
      </c>
      <c r="E791" s="31" t="s">
        <v>6205</v>
      </c>
      <c r="F791" s="31"/>
      <c r="G791" s="31"/>
      <c r="H791" s="31"/>
      <c r="I791" s="84"/>
      <c r="J791" s="159"/>
      <c r="K791" s="84" t="s">
        <v>2506</v>
      </c>
      <c r="L791" s="84"/>
      <c r="M791" s="84"/>
      <c r="N791" s="84"/>
      <c r="O791" s="84"/>
      <c r="P791" s="84"/>
      <c r="Q791" s="84" t="s">
        <v>166</v>
      </c>
      <c r="R791" s="84"/>
      <c r="S791" s="84"/>
      <c r="T791" s="84"/>
      <c r="U791" s="84"/>
      <c r="V791" s="84"/>
      <c r="W791" s="84"/>
      <c r="X791" s="84"/>
      <c r="Y791" s="84"/>
      <c r="Z791" s="84"/>
      <c r="AA791" s="84"/>
      <c r="AB791" s="84"/>
      <c r="AC791" s="84"/>
      <c r="AD791" s="84"/>
      <c r="AE791" s="84"/>
      <c r="AF791" s="84"/>
      <c r="AG791" s="84"/>
      <c r="AH791" s="84"/>
      <c r="AI791" s="84"/>
      <c r="AJ791" s="84"/>
      <c r="AK791" s="84"/>
      <c r="AL791" s="84"/>
      <c r="AM791" s="84"/>
      <c r="AN791" s="84"/>
      <c r="AO791" s="76"/>
      <c r="AP791" s="76"/>
      <c r="AQ791" s="76"/>
      <c r="AR791" s="76"/>
      <c r="AS791" s="76"/>
      <c r="AT791" s="76"/>
      <c r="AU791" s="76"/>
      <c r="AV791" s="76"/>
      <c r="AW791" s="76"/>
      <c r="AX791" s="76"/>
    </row>
    <row r="792" ht="15.75" customHeight="1">
      <c r="A792" s="144" t="s">
        <v>648</v>
      </c>
      <c r="B792" s="145" t="s">
        <v>5018</v>
      </c>
      <c r="C792" s="31" t="s">
        <v>1282</v>
      </c>
      <c r="D792" s="31" t="s">
        <v>1283</v>
      </c>
      <c r="E792" s="31" t="s">
        <v>1284</v>
      </c>
      <c r="F792" s="173"/>
      <c r="G792" s="173"/>
      <c r="H792" s="173"/>
      <c r="I792" s="173"/>
      <c r="J792" s="173"/>
      <c r="K792" s="173"/>
      <c r="L792" s="173"/>
      <c r="M792" s="174"/>
      <c r="N792" s="174"/>
      <c r="O792" s="174" t="s">
        <v>6206</v>
      </c>
      <c r="P792" s="173"/>
      <c r="Q792" s="173"/>
      <c r="R792" s="173"/>
      <c r="S792" s="173"/>
      <c r="T792" s="173"/>
      <c r="U792" s="174" t="s">
        <v>6207</v>
      </c>
      <c r="V792" s="173"/>
      <c r="W792" s="173"/>
      <c r="X792" s="173"/>
      <c r="Y792" s="173"/>
      <c r="Z792" s="173"/>
      <c r="AA792" s="173"/>
      <c r="AB792" s="173"/>
      <c r="AC792" s="173"/>
      <c r="AD792" s="173"/>
      <c r="AE792" s="173"/>
      <c r="AF792" s="173"/>
      <c r="AG792" s="173"/>
      <c r="AH792" s="173"/>
      <c r="AI792" s="173"/>
      <c r="AJ792" s="173"/>
      <c r="AK792" s="173"/>
      <c r="AL792" s="173"/>
      <c r="AM792" s="173"/>
      <c r="AN792" s="173"/>
      <c r="AO792" s="76"/>
      <c r="AP792" s="76"/>
      <c r="AQ792" s="76"/>
      <c r="AR792" s="76"/>
      <c r="AS792" s="76"/>
      <c r="AT792" s="76"/>
      <c r="AU792" s="76"/>
      <c r="AV792" s="76"/>
      <c r="AW792" s="76"/>
      <c r="AX792" s="76"/>
    </row>
    <row r="793" ht="15.75" customHeight="1">
      <c r="A793" s="104" t="s">
        <v>108</v>
      </c>
      <c r="B793" s="105" t="s">
        <v>5026</v>
      </c>
      <c r="C793" s="31" t="s">
        <v>1286</v>
      </c>
      <c r="D793" s="31" t="s">
        <v>1287</v>
      </c>
      <c r="E793" s="31" t="s">
        <v>1288</v>
      </c>
      <c r="F793" s="108"/>
      <c r="G793" s="108"/>
      <c r="H793" s="108"/>
      <c r="I793" s="108"/>
      <c r="J793" s="108"/>
      <c r="K793" s="108"/>
      <c r="L793" s="108"/>
      <c r="M793" s="108"/>
      <c r="N793" s="108"/>
      <c r="O793" s="108"/>
      <c r="P793" s="108"/>
      <c r="Q793" s="108"/>
      <c r="R793" s="108"/>
      <c r="S793" s="108"/>
      <c r="T793" s="121" t="s">
        <v>6208</v>
      </c>
      <c r="U793" s="108"/>
      <c r="V793" s="108"/>
      <c r="W793" s="108"/>
      <c r="X793" s="108"/>
      <c r="Y793" s="108"/>
      <c r="Z793" s="108"/>
      <c r="AA793" s="108"/>
      <c r="AB793" s="108"/>
      <c r="AC793" s="108"/>
      <c r="AD793" s="108"/>
      <c r="AE793" s="108"/>
      <c r="AF793" s="108"/>
      <c r="AG793" s="108"/>
      <c r="AH793" s="108"/>
      <c r="AI793" s="108"/>
      <c r="AJ793" s="108"/>
      <c r="AK793" s="108"/>
      <c r="AL793" s="108"/>
      <c r="AM793" s="108"/>
      <c r="AN793" s="108"/>
      <c r="AO793" s="76"/>
      <c r="AP793" s="76"/>
      <c r="AQ793" s="76"/>
      <c r="AR793" s="76"/>
      <c r="AS793" s="76"/>
      <c r="AT793" s="76"/>
      <c r="AU793" s="76"/>
      <c r="AV793" s="76"/>
      <c r="AW793" s="76"/>
      <c r="AX793" s="76"/>
    </row>
    <row r="794" ht="15.75" customHeight="1">
      <c r="A794" s="146" t="s">
        <v>237</v>
      </c>
      <c r="B794" s="147" t="s">
        <v>5030</v>
      </c>
      <c r="C794" s="31" t="s">
        <v>6209</v>
      </c>
      <c r="D794" s="31" t="s">
        <v>6210</v>
      </c>
      <c r="E794" s="31" t="s">
        <v>6211</v>
      </c>
      <c r="F794" s="31"/>
      <c r="G794" s="31"/>
      <c r="H794" s="31"/>
      <c r="I794" s="175"/>
      <c r="J794" s="175"/>
      <c r="K794" s="176" t="s">
        <v>2539</v>
      </c>
      <c r="L794" s="176"/>
      <c r="M794" s="175"/>
      <c r="N794" s="175"/>
      <c r="O794" s="175"/>
      <c r="P794" s="175"/>
      <c r="Q794" s="175" t="s">
        <v>166</v>
      </c>
      <c r="R794" s="175"/>
      <c r="S794" s="175"/>
      <c r="T794" s="175"/>
      <c r="U794" s="175"/>
      <c r="V794" s="175"/>
      <c r="W794" s="175"/>
      <c r="X794" s="175"/>
      <c r="Y794" s="175"/>
      <c r="Z794" s="175"/>
      <c r="AA794" s="175"/>
      <c r="AB794" s="175"/>
      <c r="AC794" s="175"/>
      <c r="AD794" s="175"/>
      <c r="AE794" s="175"/>
      <c r="AF794" s="175"/>
      <c r="AG794" s="175"/>
      <c r="AH794" s="175"/>
      <c r="AI794" s="175"/>
      <c r="AJ794" s="175"/>
      <c r="AK794" s="175"/>
      <c r="AL794" s="175"/>
      <c r="AM794" s="175"/>
      <c r="AN794" s="175"/>
      <c r="AO794" s="76"/>
      <c r="AP794" s="76"/>
      <c r="AQ794" s="76"/>
      <c r="AR794" s="76"/>
      <c r="AS794" s="76"/>
      <c r="AT794" s="76"/>
      <c r="AU794" s="76"/>
      <c r="AV794" s="76"/>
      <c r="AW794" s="76"/>
      <c r="AX794" s="76"/>
    </row>
    <row r="795" ht="15.75" customHeight="1">
      <c r="A795" s="144" t="s">
        <v>691</v>
      </c>
      <c r="B795" s="150" t="s">
        <v>5018</v>
      </c>
      <c r="C795" s="31" t="s">
        <v>1282</v>
      </c>
      <c r="D795" s="31" t="s">
        <v>1283</v>
      </c>
      <c r="E795" s="31" t="s">
        <v>1284</v>
      </c>
      <c r="F795" s="173"/>
      <c r="G795" s="173"/>
      <c r="H795" s="173"/>
      <c r="I795" s="173"/>
      <c r="J795" s="173"/>
      <c r="K795" s="173"/>
      <c r="L795" s="173"/>
      <c r="M795" s="173"/>
      <c r="N795" s="173"/>
      <c r="O795" s="173"/>
      <c r="P795" s="173"/>
      <c r="Q795" s="173"/>
      <c r="R795" s="173"/>
      <c r="S795" s="173"/>
      <c r="T795" s="173"/>
      <c r="U795" s="173"/>
      <c r="V795" s="173"/>
      <c r="W795" s="173"/>
      <c r="X795" s="173"/>
      <c r="Y795" s="173"/>
      <c r="Z795" s="173"/>
      <c r="AA795" s="173"/>
      <c r="AB795" s="173"/>
      <c r="AC795" s="173"/>
      <c r="AD795" s="173"/>
      <c r="AE795" s="173"/>
      <c r="AF795" s="173"/>
      <c r="AG795" s="173"/>
      <c r="AH795" s="173"/>
      <c r="AI795" s="173"/>
      <c r="AJ795" s="173"/>
      <c r="AK795" s="173"/>
      <c r="AL795" s="173"/>
      <c r="AM795" s="173"/>
      <c r="AN795" s="173"/>
      <c r="AO795" s="76"/>
      <c r="AP795" s="76"/>
      <c r="AQ795" s="76"/>
      <c r="AR795" s="76"/>
      <c r="AS795" s="76"/>
      <c r="AT795" s="76"/>
      <c r="AU795" s="76"/>
      <c r="AV795" s="76"/>
      <c r="AW795" s="76"/>
      <c r="AX795" s="76"/>
    </row>
    <row r="796" ht="15.75" customHeight="1">
      <c r="A796" s="81" t="s">
        <v>1301</v>
      </c>
      <c r="B796" s="142" t="s">
        <v>5042</v>
      </c>
      <c r="C796" s="31" t="s">
        <v>6212</v>
      </c>
      <c r="D796" s="31" t="s">
        <v>6213</v>
      </c>
      <c r="E796" s="31" t="s">
        <v>6214</v>
      </c>
      <c r="F796" s="31"/>
      <c r="G796" s="31"/>
      <c r="H796" s="31"/>
      <c r="I796" s="84"/>
      <c r="J796" s="159"/>
      <c r="K796" s="84" t="s">
        <v>2506</v>
      </c>
      <c r="L796" s="84"/>
      <c r="M796" s="84"/>
      <c r="N796" s="84"/>
      <c r="O796" s="84"/>
      <c r="P796" s="84"/>
      <c r="Q796" s="84" t="s">
        <v>166</v>
      </c>
      <c r="R796" s="84"/>
      <c r="S796" s="84"/>
      <c r="T796" s="84"/>
      <c r="U796" s="84"/>
      <c r="V796" s="84"/>
      <c r="W796" s="84"/>
      <c r="X796" s="84"/>
      <c r="Y796" s="84"/>
      <c r="Z796" s="84"/>
      <c r="AA796" s="84"/>
      <c r="AB796" s="84"/>
      <c r="AC796" s="84"/>
      <c r="AD796" s="84"/>
      <c r="AE796" s="84"/>
      <c r="AF796" s="84"/>
      <c r="AG796" s="84"/>
      <c r="AH796" s="84"/>
      <c r="AI796" s="84"/>
      <c r="AJ796" s="84"/>
      <c r="AK796" s="84"/>
      <c r="AL796" s="84"/>
      <c r="AM796" s="84"/>
      <c r="AN796" s="84"/>
      <c r="AO796" s="76"/>
      <c r="AP796" s="76"/>
      <c r="AQ796" s="76"/>
      <c r="AR796" s="76"/>
      <c r="AS796" s="76"/>
      <c r="AT796" s="76"/>
      <c r="AU796" s="76"/>
      <c r="AV796" s="76"/>
      <c r="AW796" s="76"/>
      <c r="AX796" s="76"/>
    </row>
    <row r="797" ht="15.75" customHeight="1">
      <c r="A797" s="144" t="s">
        <v>648</v>
      </c>
      <c r="B797" s="145" t="s">
        <v>5049</v>
      </c>
      <c r="C797" s="31" t="s">
        <v>1311</v>
      </c>
      <c r="D797" s="31" t="s">
        <v>1312</v>
      </c>
      <c r="E797" s="31" t="s">
        <v>1313</v>
      </c>
      <c r="F797" s="173"/>
      <c r="G797" s="173"/>
      <c r="H797" s="173"/>
      <c r="I797" s="173"/>
      <c r="J797" s="173"/>
      <c r="K797" s="173"/>
      <c r="L797" s="173"/>
      <c r="M797" s="174"/>
      <c r="N797" s="174"/>
      <c r="O797" s="174" t="s">
        <v>6215</v>
      </c>
      <c r="P797" s="173"/>
      <c r="Q797" s="173"/>
      <c r="R797" s="173"/>
      <c r="S797" s="173"/>
      <c r="T797" s="173"/>
      <c r="U797" s="174" t="s">
        <v>6216</v>
      </c>
      <c r="V797" s="173"/>
      <c r="W797" s="173"/>
      <c r="X797" s="173"/>
      <c r="Y797" s="173"/>
      <c r="Z797" s="173"/>
      <c r="AA797" s="173"/>
      <c r="AB797" s="173"/>
      <c r="AC797" s="173"/>
      <c r="AD797" s="173"/>
      <c r="AE797" s="173"/>
      <c r="AF797" s="173"/>
      <c r="AG797" s="173"/>
      <c r="AH797" s="173"/>
      <c r="AI797" s="173"/>
      <c r="AJ797" s="173"/>
      <c r="AK797" s="173"/>
      <c r="AL797" s="173"/>
      <c r="AM797" s="173"/>
      <c r="AN797" s="173"/>
      <c r="AO797" s="76"/>
      <c r="AP797" s="76"/>
      <c r="AQ797" s="76"/>
      <c r="AR797" s="76"/>
      <c r="AS797" s="76"/>
      <c r="AT797" s="76"/>
      <c r="AU797" s="76"/>
      <c r="AV797" s="76"/>
      <c r="AW797" s="76"/>
      <c r="AX797" s="76"/>
    </row>
    <row r="798" ht="15.75" customHeight="1">
      <c r="A798" s="104" t="s">
        <v>108</v>
      </c>
      <c r="B798" s="105" t="s">
        <v>5056</v>
      </c>
      <c r="C798" s="31" t="s">
        <v>1320</v>
      </c>
      <c r="D798" s="31" t="s">
        <v>1321</v>
      </c>
      <c r="E798" s="31" t="s">
        <v>1322</v>
      </c>
      <c r="F798" s="108"/>
      <c r="G798" s="108"/>
      <c r="H798" s="108"/>
      <c r="I798" s="108"/>
      <c r="J798" s="108"/>
      <c r="K798" s="108"/>
      <c r="L798" s="108"/>
      <c r="M798" s="108"/>
      <c r="N798" s="108"/>
      <c r="O798" s="108"/>
      <c r="P798" s="108"/>
      <c r="Q798" s="108"/>
      <c r="R798" s="108"/>
      <c r="S798" s="108"/>
      <c r="T798" s="121" t="s">
        <v>6217</v>
      </c>
      <c r="U798" s="108"/>
      <c r="V798" s="108"/>
      <c r="W798" s="108"/>
      <c r="X798" s="108"/>
      <c r="Y798" s="108"/>
      <c r="Z798" s="108"/>
      <c r="AA798" s="108"/>
      <c r="AB798" s="108"/>
      <c r="AC798" s="108"/>
      <c r="AD798" s="108"/>
      <c r="AE798" s="108"/>
      <c r="AF798" s="108"/>
      <c r="AG798" s="108"/>
      <c r="AH798" s="108"/>
      <c r="AI798" s="108"/>
      <c r="AJ798" s="108"/>
      <c r="AK798" s="108"/>
      <c r="AL798" s="108"/>
      <c r="AM798" s="108"/>
      <c r="AN798" s="108"/>
      <c r="AO798" s="76"/>
      <c r="AP798" s="76"/>
      <c r="AQ798" s="76"/>
      <c r="AR798" s="76"/>
      <c r="AS798" s="76"/>
      <c r="AT798" s="76"/>
      <c r="AU798" s="76"/>
      <c r="AV798" s="76"/>
      <c r="AW798" s="76"/>
      <c r="AX798" s="76"/>
    </row>
    <row r="799" ht="15.75" customHeight="1">
      <c r="A799" s="146" t="s">
        <v>237</v>
      </c>
      <c r="B799" s="147" t="s">
        <v>5062</v>
      </c>
      <c r="C799" s="31" t="s">
        <v>6218</v>
      </c>
      <c r="D799" s="31" t="s">
        <v>6219</v>
      </c>
      <c r="E799" s="31" t="s">
        <v>6220</v>
      </c>
      <c r="F799" s="31"/>
      <c r="G799" s="31"/>
      <c r="H799" s="31"/>
      <c r="I799" s="175"/>
      <c r="J799" s="175"/>
      <c r="K799" s="176" t="s">
        <v>2539</v>
      </c>
      <c r="L799" s="176"/>
      <c r="M799" s="175"/>
      <c r="N799" s="175"/>
      <c r="O799" s="175"/>
      <c r="P799" s="175"/>
      <c r="Q799" s="175" t="s">
        <v>166</v>
      </c>
      <c r="R799" s="175"/>
      <c r="S799" s="175"/>
      <c r="T799" s="175"/>
      <c r="U799" s="175"/>
      <c r="V799" s="175"/>
      <c r="W799" s="175"/>
      <c r="X799" s="175"/>
      <c r="Y799" s="175"/>
      <c r="Z799" s="175"/>
      <c r="AA799" s="175"/>
      <c r="AB799" s="175"/>
      <c r="AC799" s="175"/>
      <c r="AD799" s="175"/>
      <c r="AE799" s="175"/>
      <c r="AF799" s="175"/>
      <c r="AG799" s="175"/>
      <c r="AH799" s="175"/>
      <c r="AI799" s="175"/>
      <c r="AJ799" s="175"/>
      <c r="AK799" s="175"/>
      <c r="AL799" s="175"/>
      <c r="AM799" s="175"/>
      <c r="AN799" s="175"/>
      <c r="AO799" s="76"/>
      <c r="AP799" s="76"/>
      <c r="AQ799" s="76"/>
      <c r="AR799" s="76"/>
      <c r="AS799" s="76"/>
      <c r="AT799" s="76"/>
      <c r="AU799" s="76"/>
      <c r="AV799" s="76"/>
      <c r="AW799" s="76"/>
      <c r="AX799" s="76"/>
    </row>
    <row r="800" ht="15.75" customHeight="1">
      <c r="A800" s="144" t="s">
        <v>691</v>
      </c>
      <c r="B800" s="150" t="s">
        <v>5049</v>
      </c>
      <c r="C800" s="31" t="s">
        <v>1311</v>
      </c>
      <c r="D800" s="31" t="s">
        <v>1312</v>
      </c>
      <c r="E800" s="31" t="s">
        <v>1313</v>
      </c>
      <c r="F800" s="173"/>
      <c r="G800" s="173"/>
      <c r="H800" s="173"/>
      <c r="I800" s="173"/>
      <c r="J800" s="173"/>
      <c r="K800" s="173"/>
      <c r="L800" s="173"/>
      <c r="M800" s="173"/>
      <c r="N800" s="173"/>
      <c r="O800" s="173"/>
      <c r="P800" s="173"/>
      <c r="Q800" s="173"/>
      <c r="R800" s="173"/>
      <c r="S800" s="173"/>
      <c r="T800" s="173"/>
      <c r="U800" s="173"/>
      <c r="V800" s="173"/>
      <c r="W800" s="173"/>
      <c r="X800" s="173"/>
      <c r="Y800" s="173"/>
      <c r="Z800" s="173"/>
      <c r="AA800" s="173"/>
      <c r="AB800" s="173"/>
      <c r="AC800" s="173"/>
      <c r="AD800" s="173"/>
      <c r="AE800" s="173"/>
      <c r="AF800" s="173"/>
      <c r="AG800" s="173"/>
      <c r="AH800" s="173"/>
      <c r="AI800" s="173"/>
      <c r="AJ800" s="173"/>
      <c r="AK800" s="173"/>
      <c r="AL800" s="173"/>
      <c r="AM800" s="173"/>
      <c r="AN800" s="173"/>
      <c r="AO800" s="76"/>
      <c r="AP800" s="76"/>
      <c r="AQ800" s="76"/>
      <c r="AR800" s="76"/>
      <c r="AS800" s="76"/>
      <c r="AT800" s="76"/>
      <c r="AU800" s="76"/>
      <c r="AV800" s="76"/>
      <c r="AW800" s="76"/>
      <c r="AX800" s="76"/>
    </row>
    <row r="801" ht="15.75" customHeight="1">
      <c r="A801" s="122" t="s">
        <v>150</v>
      </c>
      <c r="B801" s="69" t="s">
        <v>5076</v>
      </c>
      <c r="C801" s="31"/>
      <c r="D801" s="31"/>
      <c r="E801" s="31"/>
      <c r="F801" s="70"/>
      <c r="G801" s="70"/>
      <c r="H801" s="70"/>
      <c r="I801" s="70"/>
      <c r="J801" s="71" t="s">
        <v>1736</v>
      </c>
      <c r="K801" s="70"/>
      <c r="L801" s="70"/>
      <c r="M801" s="71"/>
      <c r="N801" s="71"/>
      <c r="O801" s="71"/>
      <c r="P801" s="70"/>
      <c r="Q801" s="70"/>
      <c r="R801" s="70"/>
      <c r="S801" s="70"/>
      <c r="T801" s="70"/>
      <c r="U801" s="70"/>
      <c r="V801" s="70"/>
      <c r="W801" s="70"/>
      <c r="X801" s="70"/>
      <c r="Y801" s="70"/>
      <c r="Z801" s="70"/>
      <c r="AA801" s="70"/>
      <c r="AB801" s="70"/>
      <c r="AC801" s="70"/>
      <c r="AD801" s="76"/>
      <c r="AE801" s="76"/>
      <c r="AF801" s="76"/>
      <c r="AG801" s="76"/>
      <c r="AH801" s="76"/>
      <c r="AI801" s="76"/>
      <c r="AJ801" s="76"/>
      <c r="AK801" s="76"/>
      <c r="AL801" s="76"/>
      <c r="AM801" s="76"/>
      <c r="AN801" s="76"/>
      <c r="AO801" s="76"/>
      <c r="AP801" s="76"/>
      <c r="AQ801" s="76"/>
      <c r="AR801" s="76"/>
      <c r="AS801" s="76"/>
      <c r="AT801" s="76"/>
      <c r="AU801" s="76"/>
      <c r="AV801" s="76"/>
      <c r="AW801" s="76"/>
      <c r="AX801" s="76"/>
    </row>
    <row r="802" ht="15.75" customHeight="1">
      <c r="A802" s="81" t="s">
        <v>485</v>
      </c>
      <c r="B802" s="142" t="s">
        <v>5083</v>
      </c>
      <c r="C802" s="31" t="s">
        <v>6221</v>
      </c>
      <c r="D802" s="31" t="s">
        <v>6222</v>
      </c>
      <c r="E802" s="31" t="s">
        <v>6223</v>
      </c>
      <c r="F802" s="31"/>
      <c r="G802" s="31"/>
      <c r="H802" s="31"/>
      <c r="I802" s="84"/>
      <c r="J802" s="159" t="s">
        <v>7</v>
      </c>
      <c r="K802" s="84"/>
      <c r="L802" s="84"/>
      <c r="M802" s="84"/>
      <c r="N802" s="84"/>
      <c r="O802" s="84"/>
      <c r="P802" s="84"/>
      <c r="Q802" s="84"/>
      <c r="R802" s="84"/>
      <c r="S802" s="84"/>
      <c r="T802" s="84"/>
      <c r="U802" s="84"/>
      <c r="V802" s="84"/>
      <c r="W802" s="84"/>
      <c r="X802" s="84"/>
      <c r="Y802" s="84"/>
      <c r="Z802" s="84"/>
      <c r="AA802" s="84"/>
      <c r="AB802" s="84"/>
      <c r="AC802" s="84"/>
      <c r="AD802" s="76"/>
      <c r="AE802" s="76"/>
      <c r="AF802" s="76"/>
      <c r="AG802" s="76"/>
      <c r="AH802" s="76"/>
      <c r="AI802" s="76"/>
      <c r="AJ802" s="76"/>
      <c r="AK802" s="76"/>
      <c r="AL802" s="76"/>
      <c r="AM802" s="76"/>
      <c r="AN802" s="76"/>
      <c r="AO802" s="76"/>
      <c r="AP802" s="76"/>
      <c r="AQ802" s="76"/>
      <c r="AR802" s="76"/>
      <c r="AS802" s="76"/>
      <c r="AT802" s="76"/>
      <c r="AU802" s="76"/>
      <c r="AV802" s="76"/>
      <c r="AW802" s="76"/>
      <c r="AX802" s="76"/>
    </row>
    <row r="803" ht="15.75" customHeight="1">
      <c r="A803" s="81" t="s">
        <v>485</v>
      </c>
      <c r="B803" s="142" t="s">
        <v>5091</v>
      </c>
      <c r="C803" s="31" t="s">
        <v>6224</v>
      </c>
      <c r="D803" s="31" t="s">
        <v>6225</v>
      </c>
      <c r="E803" s="31" t="s">
        <v>6226</v>
      </c>
      <c r="F803" s="31"/>
      <c r="G803" s="31"/>
      <c r="H803" s="31"/>
      <c r="I803" s="84"/>
      <c r="J803" s="159" t="s">
        <v>1756</v>
      </c>
      <c r="K803" s="84"/>
      <c r="L803" s="84"/>
      <c r="M803" s="84"/>
      <c r="N803" s="84"/>
      <c r="O803" s="84"/>
      <c r="P803" s="84"/>
      <c r="Q803" s="84" t="s">
        <v>166</v>
      </c>
      <c r="R803" s="84"/>
      <c r="S803" s="84"/>
      <c r="T803" s="84"/>
      <c r="U803" s="84"/>
      <c r="V803" s="84"/>
      <c r="W803" s="84"/>
      <c r="X803" s="84"/>
      <c r="Y803" s="84"/>
      <c r="Z803" s="84"/>
      <c r="AA803" s="84"/>
      <c r="AB803" s="84"/>
      <c r="AC803" s="84"/>
      <c r="AD803" s="76"/>
      <c r="AE803" s="76"/>
      <c r="AF803" s="76"/>
      <c r="AG803" s="76"/>
      <c r="AH803" s="76"/>
      <c r="AI803" s="76"/>
      <c r="AJ803" s="76"/>
      <c r="AK803" s="76"/>
      <c r="AL803" s="76"/>
      <c r="AM803" s="76"/>
      <c r="AN803" s="76"/>
      <c r="AO803" s="76"/>
      <c r="AP803" s="76"/>
      <c r="AQ803" s="76"/>
      <c r="AR803" s="76"/>
      <c r="AS803" s="76"/>
      <c r="AT803" s="76"/>
      <c r="AU803" s="76"/>
      <c r="AV803" s="76"/>
      <c r="AW803" s="76"/>
      <c r="AX803" s="76"/>
    </row>
    <row r="804" ht="15.75" customHeight="1">
      <c r="A804" s="81" t="s">
        <v>485</v>
      </c>
      <c r="B804" s="142" t="s">
        <v>5095</v>
      </c>
      <c r="C804" s="31" t="s">
        <v>6227</v>
      </c>
      <c r="D804" s="31" t="s">
        <v>6228</v>
      </c>
      <c r="E804" s="31" t="s">
        <v>6229</v>
      </c>
      <c r="F804" s="31"/>
      <c r="G804" s="31"/>
      <c r="H804" s="31"/>
      <c r="I804" s="84"/>
      <c r="J804" s="159" t="s">
        <v>1756</v>
      </c>
      <c r="K804" s="84"/>
      <c r="L804" s="84"/>
      <c r="M804" s="84"/>
      <c r="N804" s="84"/>
      <c r="O804" s="84"/>
      <c r="P804" s="84"/>
      <c r="Q804" s="84" t="s">
        <v>166</v>
      </c>
      <c r="R804" s="84"/>
      <c r="S804" s="84"/>
      <c r="T804" s="84"/>
      <c r="U804" s="84"/>
      <c r="V804" s="84"/>
      <c r="W804" s="84"/>
      <c r="X804" s="84"/>
      <c r="Y804" s="84"/>
      <c r="Z804" s="84"/>
      <c r="AA804" s="84"/>
      <c r="AB804" s="84"/>
      <c r="AC804" s="84"/>
      <c r="AD804" s="76"/>
      <c r="AE804" s="76"/>
      <c r="AF804" s="76"/>
      <c r="AG804" s="76"/>
      <c r="AH804" s="76"/>
      <c r="AI804" s="76"/>
      <c r="AJ804" s="76"/>
      <c r="AK804" s="76"/>
      <c r="AL804" s="76"/>
      <c r="AM804" s="76"/>
      <c r="AN804" s="76"/>
      <c r="AO804" s="76"/>
      <c r="AP804" s="76"/>
      <c r="AQ804" s="76"/>
      <c r="AR804" s="76"/>
      <c r="AS804" s="76"/>
      <c r="AT804" s="76"/>
      <c r="AU804" s="76"/>
      <c r="AV804" s="76"/>
      <c r="AW804" s="76"/>
      <c r="AX804" s="76"/>
    </row>
    <row r="805" ht="15.75" customHeight="1">
      <c r="A805" s="81" t="s">
        <v>485</v>
      </c>
      <c r="B805" s="142" t="s">
        <v>5099</v>
      </c>
      <c r="C805" s="31" t="s">
        <v>6230</v>
      </c>
      <c r="D805" s="31" t="s">
        <v>6231</v>
      </c>
      <c r="E805" s="31" t="s">
        <v>6232</v>
      </c>
      <c r="F805" s="31"/>
      <c r="G805" s="31"/>
      <c r="H805" s="31"/>
      <c r="I805" s="84"/>
      <c r="J805" s="159" t="s">
        <v>1756</v>
      </c>
      <c r="K805" s="84"/>
      <c r="L805" s="84"/>
      <c r="M805" s="84"/>
      <c r="N805" s="84"/>
      <c r="O805" s="84"/>
      <c r="P805" s="84"/>
      <c r="Q805" s="84" t="s">
        <v>166</v>
      </c>
      <c r="R805" s="84"/>
      <c r="S805" s="84"/>
      <c r="T805" s="84"/>
      <c r="U805" s="84"/>
      <c r="V805" s="84"/>
      <c r="W805" s="84"/>
      <c r="X805" s="84"/>
      <c r="Y805" s="84"/>
      <c r="Z805" s="84"/>
      <c r="AA805" s="84"/>
      <c r="AB805" s="84"/>
      <c r="AC805" s="84"/>
      <c r="AD805" s="76"/>
      <c r="AE805" s="76"/>
      <c r="AF805" s="76"/>
      <c r="AG805" s="76"/>
      <c r="AH805" s="76"/>
      <c r="AI805" s="76"/>
      <c r="AJ805" s="76"/>
      <c r="AK805" s="76"/>
      <c r="AL805" s="76"/>
      <c r="AM805" s="76"/>
      <c r="AN805" s="76"/>
      <c r="AO805" s="76"/>
      <c r="AP805" s="76"/>
      <c r="AQ805" s="76"/>
      <c r="AR805" s="76"/>
      <c r="AS805" s="76"/>
      <c r="AT805" s="76"/>
      <c r="AU805" s="76"/>
      <c r="AV805" s="76"/>
      <c r="AW805" s="76"/>
      <c r="AX805" s="76"/>
    </row>
    <row r="806" ht="15.75" customHeight="1">
      <c r="A806" s="81" t="s">
        <v>485</v>
      </c>
      <c r="B806" s="142" t="s">
        <v>5107</v>
      </c>
      <c r="C806" s="31" t="s">
        <v>6233</v>
      </c>
      <c r="D806" s="31" t="s">
        <v>6234</v>
      </c>
      <c r="E806" s="31" t="s">
        <v>6235</v>
      </c>
      <c r="F806" s="31"/>
      <c r="G806" s="31"/>
      <c r="H806" s="31"/>
      <c r="I806" s="84"/>
      <c r="J806" s="159" t="s">
        <v>1756</v>
      </c>
      <c r="K806" s="84"/>
      <c r="L806" s="84"/>
      <c r="M806" s="84"/>
      <c r="N806" s="84"/>
      <c r="O806" s="84"/>
      <c r="P806" s="84"/>
      <c r="Q806" s="84" t="s">
        <v>166</v>
      </c>
      <c r="R806" s="84"/>
      <c r="S806" s="84"/>
      <c r="T806" s="84"/>
      <c r="U806" s="84"/>
      <c r="V806" s="84"/>
      <c r="W806" s="84"/>
      <c r="X806" s="84"/>
      <c r="Y806" s="84"/>
      <c r="Z806" s="84"/>
      <c r="AA806" s="84"/>
      <c r="AB806" s="84"/>
      <c r="AC806" s="84"/>
      <c r="AD806" s="76"/>
      <c r="AE806" s="76"/>
      <c r="AF806" s="76"/>
      <c r="AG806" s="76"/>
      <c r="AH806" s="76"/>
      <c r="AI806" s="76"/>
      <c r="AJ806" s="76"/>
      <c r="AK806" s="76"/>
      <c r="AL806" s="76"/>
      <c r="AM806" s="76"/>
      <c r="AN806" s="76"/>
      <c r="AO806" s="76"/>
      <c r="AP806" s="76"/>
      <c r="AQ806" s="76"/>
      <c r="AR806" s="76"/>
      <c r="AS806" s="76"/>
      <c r="AT806" s="76"/>
      <c r="AU806" s="76"/>
      <c r="AV806" s="76"/>
      <c r="AW806" s="76"/>
      <c r="AX806" s="76"/>
    </row>
    <row r="807" ht="15.75" customHeight="1">
      <c r="A807" s="122" t="s">
        <v>236</v>
      </c>
      <c r="B807" s="69" t="s">
        <v>5076</v>
      </c>
      <c r="C807" s="31"/>
      <c r="D807" s="31"/>
      <c r="E807" s="31"/>
      <c r="F807" s="70"/>
      <c r="G807" s="70"/>
      <c r="H807" s="70"/>
      <c r="I807" s="70"/>
      <c r="J807" s="70"/>
      <c r="K807" s="70"/>
      <c r="L807" s="70"/>
      <c r="M807" s="70"/>
      <c r="N807" s="70"/>
      <c r="O807" s="70"/>
      <c r="P807" s="70"/>
      <c r="Q807" s="70"/>
      <c r="R807" s="70"/>
      <c r="S807" s="70"/>
      <c r="T807" s="70"/>
      <c r="U807" s="70"/>
      <c r="V807" s="70"/>
      <c r="W807" s="70"/>
      <c r="X807" s="70"/>
      <c r="Y807" s="70"/>
      <c r="Z807" s="70"/>
      <c r="AA807" s="70"/>
      <c r="AB807" s="70"/>
      <c r="AC807" s="70"/>
      <c r="AD807" s="76"/>
      <c r="AE807" s="76"/>
      <c r="AF807" s="76"/>
      <c r="AG807" s="76"/>
      <c r="AH807" s="76"/>
      <c r="AI807" s="76"/>
      <c r="AJ807" s="76"/>
      <c r="AK807" s="76"/>
      <c r="AL807" s="76"/>
      <c r="AM807" s="76"/>
      <c r="AN807" s="76"/>
      <c r="AO807" s="76"/>
      <c r="AP807" s="76"/>
      <c r="AQ807" s="76"/>
      <c r="AR807" s="76"/>
      <c r="AS807" s="76"/>
      <c r="AT807" s="76"/>
      <c r="AU807" s="76"/>
      <c r="AV807" s="76"/>
      <c r="AW807" s="76"/>
      <c r="AX807" s="76"/>
    </row>
    <row r="808" ht="15.75" customHeight="1">
      <c r="A808" s="122" t="s">
        <v>236</v>
      </c>
      <c r="B808" s="153" t="s">
        <v>4958</v>
      </c>
      <c r="C808" s="31"/>
      <c r="D808" s="31"/>
      <c r="E808" s="31"/>
      <c r="F808" s="70"/>
      <c r="G808" s="70"/>
      <c r="H808" s="70"/>
      <c r="I808" s="70"/>
      <c r="J808" s="70"/>
      <c r="K808" s="70"/>
      <c r="L808" s="70"/>
      <c r="M808" s="70"/>
      <c r="N808" s="70"/>
      <c r="O808" s="70"/>
      <c r="P808" s="70"/>
      <c r="Q808" s="70"/>
      <c r="R808" s="70"/>
      <c r="S808" s="70"/>
      <c r="T808" s="70"/>
      <c r="U808" s="70"/>
      <c r="V808" s="70"/>
      <c r="W808" s="70"/>
      <c r="X808" s="70"/>
      <c r="Y808" s="70"/>
      <c r="Z808" s="70"/>
      <c r="AA808" s="70"/>
      <c r="AB808" s="70"/>
      <c r="AC808" s="70"/>
      <c r="AD808" s="76"/>
      <c r="AE808" s="76"/>
      <c r="AF808" s="76"/>
      <c r="AG808" s="76"/>
      <c r="AH808" s="76"/>
      <c r="AI808" s="76"/>
      <c r="AJ808" s="76"/>
      <c r="AK808" s="76"/>
      <c r="AL808" s="76"/>
      <c r="AM808" s="76"/>
      <c r="AN808" s="76"/>
      <c r="AO808" s="76"/>
      <c r="AP808" s="76"/>
      <c r="AQ808" s="76"/>
      <c r="AR808" s="76"/>
      <c r="AS808" s="76"/>
      <c r="AT808" s="76"/>
      <c r="AU808" s="76"/>
      <c r="AV808" s="76"/>
      <c r="AW808" s="76"/>
      <c r="AX808" s="76"/>
    </row>
    <row r="809" ht="15.75" customHeight="1">
      <c r="A809" s="104" t="s">
        <v>139</v>
      </c>
      <c r="B809" s="141" t="s">
        <v>5125</v>
      </c>
      <c r="C809" s="31"/>
      <c r="D809" s="31"/>
      <c r="E809" s="31"/>
      <c r="F809" s="108"/>
      <c r="G809" s="108"/>
      <c r="H809" s="108"/>
      <c r="I809" s="108"/>
      <c r="J809" s="108"/>
      <c r="K809" s="108"/>
      <c r="L809" s="108"/>
      <c r="M809" s="108"/>
      <c r="N809" s="108"/>
      <c r="O809" s="108"/>
      <c r="P809" s="108"/>
      <c r="Q809" s="108"/>
      <c r="R809" s="108"/>
      <c r="S809" s="108"/>
      <c r="T809" s="281" t="s">
        <v>145</v>
      </c>
      <c r="U809" s="108"/>
      <c r="V809" s="108"/>
      <c r="W809" s="108"/>
      <c r="X809" s="108"/>
      <c r="Y809" s="108"/>
      <c r="Z809" s="108"/>
      <c r="AA809" s="108"/>
      <c r="AB809" s="108"/>
      <c r="AC809" s="108"/>
      <c r="AD809" s="76"/>
      <c r="AE809" s="76"/>
      <c r="AF809" s="76"/>
      <c r="AG809" s="76"/>
      <c r="AH809" s="76"/>
      <c r="AI809" s="76"/>
      <c r="AJ809" s="76"/>
      <c r="AK809" s="76"/>
      <c r="AL809" s="76"/>
      <c r="AM809" s="76"/>
      <c r="AN809" s="76"/>
      <c r="AO809" s="76"/>
      <c r="AP809" s="76"/>
      <c r="AQ809" s="76"/>
      <c r="AR809" s="76"/>
      <c r="AS809" s="76"/>
      <c r="AT809" s="76"/>
      <c r="AU809" s="76"/>
      <c r="AV809" s="76"/>
      <c r="AW809" s="76"/>
      <c r="AX809" s="76"/>
    </row>
    <row r="810" ht="15.75" customHeight="1">
      <c r="A810" s="67" t="s">
        <v>108</v>
      </c>
      <c r="B810" s="69" t="s">
        <v>5130</v>
      </c>
      <c r="C810" s="31"/>
      <c r="D810" s="31"/>
      <c r="E810" s="31"/>
      <c r="F810" s="70"/>
      <c r="G810" s="70"/>
      <c r="H810" s="70"/>
      <c r="I810" s="71"/>
      <c r="J810" s="71"/>
      <c r="K810" s="70"/>
      <c r="L810" s="71"/>
      <c r="M810" s="71"/>
      <c r="N810" s="71"/>
      <c r="O810" s="71"/>
      <c r="P810" s="70"/>
      <c r="Q810" s="70"/>
      <c r="R810" s="70"/>
      <c r="S810" s="70"/>
      <c r="T810" s="67" t="s">
        <v>6236</v>
      </c>
      <c r="U810" s="70"/>
      <c r="V810" s="70"/>
      <c r="W810" s="70"/>
      <c r="X810" s="70"/>
      <c r="Y810" s="70"/>
      <c r="Z810" s="70"/>
      <c r="AA810" s="70"/>
      <c r="AB810" s="70"/>
      <c r="AC810" s="70"/>
      <c r="AD810" s="76"/>
      <c r="AE810" s="76"/>
      <c r="AF810" s="76"/>
      <c r="AG810" s="76"/>
      <c r="AH810" s="76"/>
      <c r="AI810" s="76"/>
      <c r="AJ810" s="76"/>
      <c r="AK810" s="76"/>
      <c r="AL810" s="76"/>
      <c r="AM810" s="76"/>
      <c r="AN810" s="76"/>
      <c r="AO810" s="76"/>
      <c r="AP810" s="76"/>
      <c r="AQ810" s="76"/>
      <c r="AR810" s="76"/>
      <c r="AS810" s="76"/>
      <c r="AT810" s="76"/>
      <c r="AU810" s="76"/>
      <c r="AV810" s="76"/>
      <c r="AW810" s="76"/>
      <c r="AX810" s="76"/>
    </row>
    <row r="811" ht="15.75" customHeight="1">
      <c r="A811" s="122" t="s">
        <v>236</v>
      </c>
      <c r="B811" s="153" t="s">
        <v>3214</v>
      </c>
      <c r="C811" s="31"/>
      <c r="D811" s="31"/>
      <c r="E811" s="31"/>
      <c r="F811" s="70"/>
      <c r="G811" s="70"/>
      <c r="H811" s="70"/>
      <c r="I811" s="70"/>
      <c r="J811" s="70"/>
      <c r="K811" s="70"/>
      <c r="L811" s="70"/>
      <c r="M811" s="70"/>
      <c r="N811" s="70"/>
      <c r="O811" s="70"/>
      <c r="P811" s="70"/>
      <c r="Q811" s="70"/>
      <c r="R811" s="70"/>
      <c r="S811" s="70"/>
      <c r="T811" s="70"/>
      <c r="U811" s="70"/>
      <c r="V811" s="70"/>
      <c r="W811" s="70"/>
      <c r="X811" s="70"/>
      <c r="Y811" s="70"/>
      <c r="Z811" s="70"/>
      <c r="AA811" s="70"/>
      <c r="AB811" s="70"/>
      <c r="AC811" s="70"/>
      <c r="AD811" s="76"/>
      <c r="AE811" s="76"/>
      <c r="AF811" s="76"/>
      <c r="AG811" s="76"/>
      <c r="AH811" s="76"/>
      <c r="AI811" s="76"/>
      <c r="AJ811" s="76"/>
      <c r="AK811" s="76"/>
      <c r="AL811" s="76"/>
      <c r="AM811" s="76"/>
      <c r="AN811" s="76"/>
      <c r="AO811" s="76"/>
      <c r="AP811" s="76"/>
      <c r="AQ811" s="76"/>
      <c r="AR811" s="76"/>
      <c r="AS811" s="76"/>
      <c r="AT811" s="76"/>
      <c r="AU811" s="76"/>
      <c r="AV811" s="76"/>
      <c r="AW811" s="76"/>
      <c r="AX811" s="76"/>
    </row>
    <row r="812" ht="15.75" customHeight="1">
      <c r="A812" s="122" t="s">
        <v>236</v>
      </c>
      <c r="B812" s="122" t="s">
        <v>2515</v>
      </c>
      <c r="C812" s="31" t="s">
        <v>2519</v>
      </c>
      <c r="D812" s="31"/>
      <c r="E812" s="31"/>
      <c r="F812" s="70"/>
      <c r="G812" s="70"/>
      <c r="H812" s="70"/>
      <c r="I812" s="70"/>
      <c r="J812" s="70"/>
      <c r="K812" s="70"/>
      <c r="L812" s="70"/>
      <c r="M812" s="70"/>
      <c r="N812" s="70"/>
      <c r="O812" s="70"/>
      <c r="P812" s="70"/>
      <c r="Q812" s="70"/>
      <c r="R812" s="70"/>
      <c r="S812" s="70"/>
      <c r="T812" s="70"/>
      <c r="U812" s="70"/>
      <c r="V812" s="70"/>
      <c r="W812" s="70"/>
      <c r="X812" s="70"/>
      <c r="Y812" s="70"/>
      <c r="Z812" s="70"/>
      <c r="AA812" s="70"/>
      <c r="AB812" s="70"/>
      <c r="AC812" s="70"/>
      <c r="AD812" s="76"/>
      <c r="AE812" s="76"/>
      <c r="AF812" s="76"/>
      <c r="AG812" s="76"/>
      <c r="AH812" s="76"/>
      <c r="AI812" s="76"/>
      <c r="AJ812" s="76"/>
      <c r="AK812" s="76"/>
      <c r="AL812" s="76"/>
      <c r="AM812" s="76"/>
      <c r="AN812" s="76"/>
      <c r="AO812" s="76"/>
      <c r="AP812" s="76"/>
      <c r="AQ812" s="76"/>
      <c r="AR812" s="76"/>
      <c r="AS812" s="76"/>
      <c r="AT812" s="76"/>
      <c r="AU812" s="76"/>
      <c r="AV812" s="76"/>
      <c r="AW812" s="76"/>
      <c r="AX812" s="76"/>
    </row>
    <row r="813" ht="15.75" customHeight="1">
      <c r="A813" s="67" t="s">
        <v>139</v>
      </c>
      <c r="B813" s="69" t="s">
        <v>5142</v>
      </c>
      <c r="C813" s="31"/>
      <c r="D813" s="31"/>
      <c r="E813" s="31"/>
      <c r="F813" s="70"/>
      <c r="G813" s="70"/>
      <c r="H813" s="70"/>
      <c r="I813" s="70"/>
      <c r="J813" s="71"/>
      <c r="K813" s="70"/>
      <c r="L813" s="70"/>
      <c r="M813" s="71"/>
      <c r="N813" s="71"/>
      <c r="O813" s="72"/>
      <c r="P813" s="70"/>
      <c r="Q813" s="70"/>
      <c r="R813" s="70"/>
      <c r="S813" s="70"/>
      <c r="T813" s="73" t="s">
        <v>145</v>
      </c>
      <c r="U813" s="70"/>
      <c r="V813" s="70"/>
      <c r="W813" s="70"/>
      <c r="X813" s="70"/>
      <c r="Y813" s="70"/>
      <c r="Z813" s="70"/>
      <c r="AA813" s="70"/>
      <c r="AB813" s="70"/>
      <c r="AC813" s="70"/>
      <c r="AD813" s="76"/>
      <c r="AE813" s="76"/>
      <c r="AF813" s="76"/>
      <c r="AG813" s="76"/>
      <c r="AH813" s="76"/>
      <c r="AI813" s="76"/>
      <c r="AJ813" s="76"/>
      <c r="AK813" s="76"/>
      <c r="AL813" s="76"/>
      <c r="AM813" s="76"/>
      <c r="AN813" s="76"/>
      <c r="AO813" s="76"/>
      <c r="AP813" s="76"/>
      <c r="AQ813" s="76"/>
      <c r="AR813" s="76"/>
      <c r="AS813" s="76"/>
      <c r="AT813" s="76"/>
      <c r="AU813" s="76"/>
      <c r="AV813" s="76"/>
      <c r="AW813" s="76"/>
      <c r="AX813" s="76"/>
    </row>
    <row r="814" ht="15.75" customHeight="1">
      <c r="A814" s="67" t="s">
        <v>108</v>
      </c>
      <c r="B814" s="69" t="s">
        <v>5152</v>
      </c>
      <c r="C814" s="31"/>
      <c r="D814" s="31"/>
      <c r="E814" s="31"/>
      <c r="F814" s="70"/>
      <c r="G814" s="70"/>
      <c r="H814" s="70"/>
      <c r="I814" s="71"/>
      <c r="J814" s="71"/>
      <c r="K814" s="70"/>
      <c r="L814" s="71"/>
      <c r="M814" s="71"/>
      <c r="N814" s="71"/>
      <c r="O814" s="71"/>
      <c r="P814" s="70"/>
      <c r="Q814" s="70"/>
      <c r="R814" s="70"/>
      <c r="S814" s="70"/>
      <c r="T814" s="67" t="s">
        <v>6237</v>
      </c>
      <c r="U814" s="70"/>
      <c r="V814" s="70"/>
      <c r="W814" s="70"/>
      <c r="X814" s="70"/>
      <c r="Y814" s="70"/>
      <c r="Z814" s="70"/>
      <c r="AA814" s="70"/>
      <c r="AB814" s="70"/>
      <c r="AC814" s="70"/>
      <c r="AD814" s="76"/>
      <c r="AE814" s="76"/>
      <c r="AF814" s="76"/>
      <c r="AG814" s="76"/>
      <c r="AH814" s="76"/>
      <c r="AI814" s="76"/>
      <c r="AJ814" s="76"/>
      <c r="AK814" s="76"/>
      <c r="AL814" s="76"/>
      <c r="AM814" s="76"/>
      <c r="AN814" s="76"/>
      <c r="AO814" s="76"/>
      <c r="AP814" s="76"/>
      <c r="AQ814" s="76"/>
      <c r="AR814" s="76"/>
      <c r="AS814" s="76"/>
      <c r="AT814" s="76"/>
      <c r="AU814" s="76"/>
      <c r="AV814" s="76"/>
      <c r="AW814" s="76"/>
      <c r="AX814" s="76"/>
    </row>
    <row r="815" ht="15.75" customHeight="1">
      <c r="A815" s="65" t="s">
        <v>236</v>
      </c>
      <c r="B815" s="65" t="s">
        <v>424</v>
      </c>
      <c r="C815" s="31"/>
      <c r="D815" s="31"/>
      <c r="E815" s="31"/>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row>
    <row r="816" ht="15.75" customHeight="1">
      <c r="A816" s="30"/>
      <c r="B816" s="30"/>
      <c r="C816" s="31"/>
      <c r="D816" s="31"/>
      <c r="E816" s="31"/>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row>
    <row r="817" ht="15.75" customHeight="1">
      <c r="A817" s="76"/>
      <c r="B817" s="76"/>
      <c r="C817" s="31"/>
      <c r="D817" s="31"/>
      <c r="E817" s="31"/>
      <c r="F817" s="76"/>
      <c r="G817" s="76"/>
      <c r="H817" s="76"/>
      <c r="I817" s="76"/>
      <c r="J817" s="76"/>
      <c r="K817" s="76"/>
      <c r="L817" s="76"/>
      <c r="M817" s="76"/>
      <c r="N817" s="76"/>
      <c r="O817" s="76"/>
      <c r="P817" s="76"/>
      <c r="Q817" s="76"/>
      <c r="R817" s="76"/>
      <c r="S817" s="76"/>
      <c r="T817" s="76"/>
      <c r="U817" s="76"/>
      <c r="V817" s="76"/>
      <c r="W817" s="76"/>
      <c r="X817" s="76"/>
      <c r="Y817" s="76"/>
      <c r="Z817" s="76"/>
      <c r="AA817" s="76"/>
      <c r="AB817" s="76"/>
      <c r="AC817" s="76"/>
      <c r="AD817" s="76"/>
      <c r="AE817" s="76"/>
      <c r="AF817" s="76"/>
      <c r="AG817" s="76"/>
      <c r="AH817" s="76"/>
      <c r="AI817" s="76"/>
      <c r="AJ817" s="76"/>
      <c r="AK817" s="76"/>
      <c r="AL817" s="76"/>
      <c r="AM817" s="76"/>
      <c r="AN817" s="76"/>
      <c r="AO817" s="76"/>
      <c r="AP817" s="76"/>
      <c r="AQ817" s="76"/>
      <c r="AR817" s="76"/>
      <c r="AS817" s="76"/>
      <c r="AT817" s="76"/>
      <c r="AU817" s="76"/>
      <c r="AV817" s="76"/>
      <c r="AW817" s="76"/>
      <c r="AX817" s="76"/>
    </row>
    <row r="818" ht="15.75" customHeight="1">
      <c r="A818" s="70" t="s">
        <v>150</v>
      </c>
      <c r="B818" s="71" t="s">
        <v>5159</v>
      </c>
      <c r="C818" s="31" t="s">
        <v>5160</v>
      </c>
      <c r="D818" s="31" t="s">
        <v>5161</v>
      </c>
      <c r="E818" s="31" t="s">
        <v>5162</v>
      </c>
      <c r="F818" s="70"/>
      <c r="G818" s="70"/>
      <c r="H818" s="70"/>
      <c r="I818" s="70"/>
      <c r="J818" s="71"/>
      <c r="K818" s="70"/>
      <c r="L818" s="70"/>
      <c r="M818" s="71"/>
      <c r="N818" s="71"/>
      <c r="O818" s="71"/>
      <c r="P818" s="70"/>
      <c r="Q818" s="70"/>
      <c r="R818" s="70"/>
      <c r="S818" s="70"/>
      <c r="T818" s="70"/>
      <c r="U818" s="70"/>
      <c r="V818" s="70"/>
      <c r="W818" s="70"/>
      <c r="X818" s="70"/>
      <c r="Y818" s="70"/>
      <c r="Z818" s="70"/>
      <c r="AA818" s="70"/>
      <c r="AB818" s="70"/>
      <c r="AC818" s="70"/>
      <c r="AD818" s="76"/>
      <c r="AE818" s="76"/>
      <c r="AF818" s="76"/>
      <c r="AG818" s="76"/>
      <c r="AH818" s="76"/>
      <c r="AI818" s="76"/>
      <c r="AJ818" s="76"/>
      <c r="AK818" s="76"/>
      <c r="AL818" s="76"/>
      <c r="AM818" s="76"/>
      <c r="AN818" s="76"/>
      <c r="AO818" s="76"/>
      <c r="AP818" s="76"/>
      <c r="AQ818" s="76"/>
      <c r="AR818" s="76"/>
      <c r="AS818" s="76"/>
      <c r="AT818" s="76"/>
      <c r="AU818" s="76"/>
      <c r="AV818" s="76"/>
      <c r="AW818" s="76"/>
      <c r="AX818" s="76"/>
    </row>
    <row r="819" ht="15.75" customHeight="1">
      <c r="A819" s="67" t="s">
        <v>139</v>
      </c>
      <c r="B819" s="69" t="s">
        <v>5164</v>
      </c>
      <c r="C819" s="31"/>
      <c r="D819" s="31"/>
      <c r="E819" s="31"/>
      <c r="F819" s="70"/>
      <c r="G819" s="70"/>
      <c r="H819" s="70"/>
      <c r="I819" s="70"/>
      <c r="J819" s="71"/>
      <c r="K819" s="70"/>
      <c r="L819" s="70"/>
      <c r="M819" s="71"/>
      <c r="N819" s="71"/>
      <c r="O819" s="72"/>
      <c r="P819" s="70"/>
      <c r="Q819" s="70"/>
      <c r="R819" s="70"/>
      <c r="S819" s="70"/>
      <c r="T819" s="73" t="s">
        <v>145</v>
      </c>
      <c r="U819" s="70"/>
      <c r="V819" s="70"/>
      <c r="W819" s="70"/>
      <c r="X819" s="70"/>
      <c r="Y819" s="70"/>
      <c r="Z819" s="70"/>
      <c r="AA819" s="70"/>
      <c r="AB819" s="70"/>
      <c r="AC819" s="70"/>
      <c r="AD819" s="76"/>
      <c r="AE819" s="76"/>
      <c r="AF819" s="76"/>
      <c r="AG819" s="76"/>
      <c r="AH819" s="76"/>
      <c r="AI819" s="76"/>
      <c r="AJ819" s="76"/>
      <c r="AK819" s="76"/>
      <c r="AL819" s="76"/>
      <c r="AM819" s="76"/>
      <c r="AN819" s="76"/>
      <c r="AO819" s="76"/>
      <c r="AP819" s="76"/>
      <c r="AQ819" s="76"/>
      <c r="AR819" s="76"/>
      <c r="AS819" s="76"/>
      <c r="AT819" s="76"/>
      <c r="AU819" s="76"/>
      <c r="AV819" s="76"/>
      <c r="AW819" s="76"/>
      <c r="AX819" s="76"/>
    </row>
    <row r="820" ht="15.75" customHeight="1">
      <c r="A820" s="154" t="s">
        <v>42</v>
      </c>
      <c r="B820" s="274" t="s">
        <v>5165</v>
      </c>
      <c r="C820" s="31" t="s">
        <v>6238</v>
      </c>
      <c r="D820" s="31" t="s">
        <v>6239</v>
      </c>
      <c r="E820" s="31" t="s">
        <v>6240</v>
      </c>
      <c r="F820" s="31"/>
      <c r="G820" s="31"/>
      <c r="H820" s="31"/>
      <c r="I820" s="154"/>
      <c r="J820" s="154"/>
      <c r="K820" s="154"/>
      <c r="L820" s="154"/>
      <c r="M820" s="154"/>
      <c r="N820" s="154"/>
      <c r="O820" s="154"/>
      <c r="P820" s="154"/>
      <c r="Q820" s="154"/>
      <c r="R820" s="154"/>
      <c r="S820" s="154"/>
      <c r="T820" s="154"/>
      <c r="U820" s="154"/>
      <c r="V820" s="154"/>
      <c r="W820" s="154"/>
      <c r="X820" s="154"/>
      <c r="Y820" s="154"/>
      <c r="Z820" s="154"/>
      <c r="AA820" s="154"/>
      <c r="AB820" s="154"/>
      <c r="AC820" s="154"/>
      <c r="AD820" s="76"/>
      <c r="AE820" s="76"/>
      <c r="AF820" s="76"/>
      <c r="AG820" s="76"/>
      <c r="AH820" s="76"/>
      <c r="AI820" s="76"/>
      <c r="AJ820" s="76"/>
      <c r="AK820" s="76"/>
      <c r="AL820" s="76"/>
      <c r="AM820" s="76"/>
      <c r="AN820" s="76"/>
      <c r="AO820" s="76"/>
      <c r="AP820" s="76"/>
      <c r="AQ820" s="76"/>
      <c r="AR820" s="76"/>
      <c r="AS820" s="76"/>
      <c r="AT820" s="76"/>
      <c r="AU820" s="76"/>
      <c r="AV820" s="76"/>
      <c r="AW820" s="76"/>
      <c r="AX820" s="76"/>
    </row>
    <row r="821" ht="15.75" customHeight="1">
      <c r="A821" s="162" t="s">
        <v>214</v>
      </c>
      <c r="B821" s="163" t="s">
        <v>5176</v>
      </c>
      <c r="C821" s="31" t="s">
        <v>6241</v>
      </c>
      <c r="D821" s="31" t="s">
        <v>6242</v>
      </c>
      <c r="E821" s="31" t="s">
        <v>6243</v>
      </c>
      <c r="F821" s="31" t="s">
        <v>6244</v>
      </c>
      <c r="G821" s="31" t="s">
        <v>6245</v>
      </c>
      <c r="H821" s="31" t="s">
        <v>6246</v>
      </c>
      <c r="I821" s="162"/>
      <c r="J821" s="163" t="s">
        <v>6247</v>
      </c>
      <c r="K821" s="162" t="s">
        <v>6248</v>
      </c>
      <c r="L821" s="162"/>
      <c r="M821" s="162"/>
      <c r="N821" s="162"/>
      <c r="O821" s="162"/>
      <c r="P821" s="162"/>
      <c r="Q821" s="162" t="s">
        <v>166</v>
      </c>
      <c r="R821" s="162"/>
      <c r="S821" s="162"/>
      <c r="T821" s="162"/>
      <c r="U821" s="162"/>
      <c r="V821" s="162"/>
      <c r="W821" s="162"/>
      <c r="X821" s="162"/>
      <c r="Y821" s="162"/>
      <c r="Z821" s="162"/>
      <c r="AA821" s="162"/>
      <c r="AB821" s="162"/>
      <c r="AC821" s="162"/>
      <c r="AD821" s="76"/>
      <c r="AE821" s="76"/>
      <c r="AF821" s="76"/>
      <c r="AG821" s="76"/>
      <c r="AH821" s="76"/>
      <c r="AI821" s="76"/>
      <c r="AJ821" s="76"/>
      <c r="AK821" s="76"/>
      <c r="AL821" s="76"/>
      <c r="AM821" s="76"/>
      <c r="AN821" s="76"/>
      <c r="AO821" s="76"/>
      <c r="AP821" s="76"/>
      <c r="AQ821" s="76"/>
      <c r="AR821" s="76"/>
      <c r="AS821" s="76"/>
      <c r="AT821" s="76"/>
      <c r="AU821" s="76"/>
      <c r="AV821" s="76"/>
      <c r="AW821" s="76"/>
      <c r="AX821" s="76"/>
    </row>
    <row r="822" ht="15.75" customHeight="1">
      <c r="A822" s="84" t="s">
        <v>338</v>
      </c>
      <c r="B822" s="159" t="s">
        <v>5184</v>
      </c>
      <c r="C822" s="31" t="s">
        <v>6249</v>
      </c>
      <c r="D822" s="31" t="s">
        <v>6250</v>
      </c>
      <c r="E822" s="31" t="s">
        <v>6251</v>
      </c>
      <c r="F822" s="31"/>
      <c r="G822" s="31"/>
      <c r="H822" s="31"/>
      <c r="I822" s="84"/>
      <c r="J822" s="159"/>
      <c r="K822" s="84"/>
      <c r="L822" s="84"/>
      <c r="M822" s="84"/>
      <c r="N822" s="84"/>
      <c r="O822" s="84"/>
      <c r="P822" s="84"/>
      <c r="Q822" s="84" t="s">
        <v>166</v>
      </c>
      <c r="R822" s="84"/>
      <c r="S822" s="84"/>
      <c r="T822" s="84"/>
      <c r="U822" s="84"/>
      <c r="V822" s="84"/>
      <c r="W822" s="84"/>
      <c r="X822" s="84"/>
      <c r="Y822" s="84"/>
      <c r="Z822" s="84"/>
      <c r="AA822" s="84"/>
      <c r="AB822" s="84"/>
      <c r="AC822" s="84"/>
      <c r="AD822" s="76"/>
      <c r="AE822" s="76"/>
      <c r="AF822" s="76"/>
      <c r="AG822" s="76"/>
      <c r="AH822" s="76"/>
      <c r="AI822" s="76"/>
      <c r="AJ822" s="76"/>
      <c r="AK822" s="76"/>
      <c r="AL822" s="76"/>
      <c r="AM822" s="76"/>
      <c r="AN822" s="76"/>
      <c r="AO822" s="76"/>
      <c r="AP822" s="76"/>
      <c r="AQ822" s="76"/>
      <c r="AR822" s="76"/>
      <c r="AS822" s="76"/>
      <c r="AT822" s="76"/>
      <c r="AU822" s="76"/>
      <c r="AV822" s="76"/>
      <c r="AW822" s="76"/>
      <c r="AX822" s="76"/>
    </row>
    <row r="823" ht="15.75" customHeight="1">
      <c r="A823" s="154" t="s">
        <v>42</v>
      </c>
      <c r="B823" s="274" t="s">
        <v>5194</v>
      </c>
      <c r="C823" s="31" t="s">
        <v>6252</v>
      </c>
      <c r="D823" s="31" t="s">
        <v>6253</v>
      </c>
      <c r="E823" s="31" t="s">
        <v>6254</v>
      </c>
      <c r="F823" s="31"/>
      <c r="G823" s="31"/>
      <c r="H823" s="31"/>
      <c r="I823" s="154"/>
      <c r="J823" s="154"/>
      <c r="K823" s="154"/>
      <c r="L823" s="154"/>
      <c r="M823" s="154"/>
      <c r="N823" s="154"/>
      <c r="O823" s="154" t="s">
        <v>6255</v>
      </c>
      <c r="P823" s="154"/>
      <c r="Q823" s="154" t="s">
        <v>166</v>
      </c>
      <c r="R823" s="154"/>
      <c r="S823" s="154"/>
      <c r="T823" s="154"/>
      <c r="U823" s="154"/>
      <c r="V823" s="154"/>
      <c r="W823" s="154"/>
      <c r="X823" s="154"/>
      <c r="Y823" s="154"/>
      <c r="Z823" s="154"/>
      <c r="AA823" s="154"/>
      <c r="AB823" s="154"/>
      <c r="AC823" s="154"/>
      <c r="AD823" s="76"/>
      <c r="AE823" s="76"/>
      <c r="AF823" s="76"/>
      <c r="AG823" s="76"/>
      <c r="AH823" s="76"/>
      <c r="AI823" s="76"/>
      <c r="AJ823" s="76"/>
      <c r="AK823" s="76"/>
      <c r="AL823" s="76"/>
      <c r="AM823" s="76"/>
      <c r="AN823" s="76"/>
      <c r="AO823" s="76"/>
      <c r="AP823" s="76"/>
      <c r="AQ823" s="76"/>
      <c r="AR823" s="76"/>
      <c r="AS823" s="76"/>
      <c r="AT823" s="76"/>
      <c r="AU823" s="76"/>
      <c r="AV823" s="76"/>
      <c r="AW823" s="76"/>
      <c r="AX823" s="76"/>
    </row>
    <row r="824" ht="15.75" customHeight="1">
      <c r="A824" s="84" t="s">
        <v>5202</v>
      </c>
      <c r="B824" s="159" t="s">
        <v>5203</v>
      </c>
      <c r="C824" s="31" t="s">
        <v>6256</v>
      </c>
      <c r="D824" s="31" t="s">
        <v>6257</v>
      </c>
      <c r="E824" s="31" t="s">
        <v>6258</v>
      </c>
      <c r="F824" s="31" t="s">
        <v>6259</v>
      </c>
      <c r="G824" s="31" t="s">
        <v>6260</v>
      </c>
      <c r="H824" s="31" t="s">
        <v>6261</v>
      </c>
      <c r="I824" s="84"/>
      <c r="J824" s="159"/>
      <c r="K824" s="84"/>
      <c r="L824" s="84"/>
      <c r="M824" s="84"/>
      <c r="N824" s="84"/>
      <c r="O824" s="84"/>
      <c r="P824" s="84"/>
      <c r="Q824" s="84" t="s">
        <v>166</v>
      </c>
      <c r="R824" s="84"/>
      <c r="S824" s="84"/>
      <c r="T824" s="84"/>
      <c r="U824" s="84"/>
      <c r="V824" s="84"/>
      <c r="W824" s="84"/>
      <c r="X824" s="84"/>
      <c r="Y824" s="84"/>
      <c r="Z824" s="84"/>
      <c r="AA824" s="84"/>
      <c r="AB824" s="84"/>
      <c r="AC824" s="84"/>
      <c r="AD824" s="76"/>
      <c r="AE824" s="76"/>
      <c r="AF824" s="76"/>
      <c r="AG824" s="76"/>
      <c r="AH824" s="76"/>
      <c r="AI824" s="76"/>
      <c r="AJ824" s="76"/>
      <c r="AK824" s="76"/>
      <c r="AL824" s="76"/>
      <c r="AM824" s="76"/>
      <c r="AN824" s="76"/>
      <c r="AO824" s="76"/>
      <c r="AP824" s="76"/>
      <c r="AQ824" s="76"/>
      <c r="AR824" s="76"/>
      <c r="AS824" s="76"/>
      <c r="AT824" s="76"/>
      <c r="AU824" s="76"/>
      <c r="AV824" s="76"/>
      <c r="AW824" s="76"/>
      <c r="AX824" s="76"/>
    </row>
    <row r="825" ht="15.75" customHeight="1">
      <c r="A825" s="154" t="s">
        <v>42</v>
      </c>
      <c r="B825" s="274" t="s">
        <v>5210</v>
      </c>
      <c r="C825" s="31" t="s">
        <v>6262</v>
      </c>
      <c r="D825" s="31" t="s">
        <v>6263</v>
      </c>
      <c r="E825" s="31" t="s">
        <v>6264</v>
      </c>
      <c r="F825" s="31"/>
      <c r="G825" s="31"/>
      <c r="H825" s="31"/>
      <c r="I825" s="154"/>
      <c r="J825" s="154"/>
      <c r="K825" s="154"/>
      <c r="L825" s="154"/>
      <c r="M825" s="154"/>
      <c r="N825" s="154"/>
      <c r="O825" s="154" t="s">
        <v>6265</v>
      </c>
      <c r="P825" s="154"/>
      <c r="Q825" s="154" t="s">
        <v>166</v>
      </c>
      <c r="R825" s="154"/>
      <c r="S825" s="154"/>
      <c r="T825" s="154"/>
      <c r="U825" s="154"/>
      <c r="V825" s="154"/>
      <c r="W825" s="154"/>
      <c r="X825" s="154"/>
      <c r="Y825" s="154"/>
      <c r="Z825" s="154"/>
      <c r="AA825" s="154"/>
      <c r="AB825" s="154"/>
      <c r="AC825" s="154"/>
      <c r="AD825" s="76"/>
      <c r="AE825" s="76"/>
      <c r="AF825" s="76"/>
      <c r="AG825" s="76"/>
      <c r="AH825" s="76"/>
      <c r="AI825" s="76"/>
      <c r="AJ825" s="76"/>
      <c r="AK825" s="76"/>
      <c r="AL825" s="76"/>
      <c r="AM825" s="76"/>
      <c r="AN825" s="76"/>
      <c r="AO825" s="76"/>
      <c r="AP825" s="76"/>
      <c r="AQ825" s="76"/>
      <c r="AR825" s="76"/>
      <c r="AS825" s="76"/>
      <c r="AT825" s="76"/>
      <c r="AU825" s="76"/>
      <c r="AV825" s="76"/>
      <c r="AW825" s="76"/>
      <c r="AX825" s="76"/>
    </row>
    <row r="826" ht="15.75" customHeight="1">
      <c r="A826" s="84" t="s">
        <v>338</v>
      </c>
      <c r="B826" s="159" t="s">
        <v>5218</v>
      </c>
      <c r="C826" s="31" t="s">
        <v>6266</v>
      </c>
      <c r="D826" s="31" t="s">
        <v>6267</v>
      </c>
      <c r="E826" s="31" t="s">
        <v>6268</v>
      </c>
      <c r="F826" s="31"/>
      <c r="G826" s="31"/>
      <c r="H826" s="31"/>
      <c r="I826" s="84"/>
      <c r="J826" s="159"/>
      <c r="K826" s="84"/>
      <c r="L826" s="84"/>
      <c r="M826" s="84"/>
      <c r="N826" s="84"/>
      <c r="O826" s="84"/>
      <c r="P826" s="84"/>
      <c r="Q826" s="84" t="s">
        <v>166</v>
      </c>
      <c r="R826" s="84"/>
      <c r="S826" s="84"/>
      <c r="T826" s="84"/>
      <c r="U826" s="84"/>
      <c r="V826" s="84"/>
      <c r="W826" s="84"/>
      <c r="X826" s="84"/>
      <c r="Y826" s="84"/>
      <c r="Z826" s="84"/>
      <c r="AA826" s="84"/>
      <c r="AB826" s="84"/>
      <c r="AC826" s="84"/>
      <c r="AD826" s="76"/>
      <c r="AE826" s="76"/>
      <c r="AF826" s="76"/>
      <c r="AG826" s="76"/>
      <c r="AH826" s="76"/>
      <c r="AI826" s="76"/>
      <c r="AJ826" s="76"/>
      <c r="AK826" s="76"/>
      <c r="AL826" s="76"/>
      <c r="AM826" s="76"/>
      <c r="AN826" s="76"/>
      <c r="AO826" s="76"/>
      <c r="AP826" s="76"/>
      <c r="AQ826" s="76"/>
      <c r="AR826" s="76"/>
      <c r="AS826" s="76"/>
      <c r="AT826" s="76"/>
      <c r="AU826" s="76"/>
      <c r="AV826" s="76"/>
      <c r="AW826" s="76"/>
      <c r="AX826" s="76"/>
    </row>
    <row r="827" ht="15.75" customHeight="1">
      <c r="A827" s="84" t="s">
        <v>338</v>
      </c>
      <c r="B827" s="159" t="s">
        <v>5225</v>
      </c>
      <c r="C827" s="31" t="s">
        <v>6269</v>
      </c>
      <c r="D827" s="31" t="s">
        <v>6270</v>
      </c>
      <c r="E827" s="31" t="s">
        <v>6271</v>
      </c>
      <c r="F827" s="31"/>
      <c r="G827" s="31"/>
      <c r="H827" s="31"/>
      <c r="I827" s="84"/>
      <c r="J827" s="159"/>
      <c r="K827" s="84"/>
      <c r="L827" s="84"/>
      <c r="M827" s="84"/>
      <c r="N827" s="84"/>
      <c r="O827" s="84" t="s">
        <v>6272</v>
      </c>
      <c r="P827" s="84"/>
      <c r="Q827" s="84" t="s">
        <v>166</v>
      </c>
      <c r="R827" s="84"/>
      <c r="S827" s="84"/>
      <c r="T827" s="84"/>
      <c r="U827" s="84"/>
      <c r="V827" s="84"/>
      <c r="W827" s="84"/>
      <c r="X827" s="84"/>
      <c r="Y827" s="84"/>
      <c r="Z827" s="84"/>
      <c r="AA827" s="84"/>
      <c r="AB827" s="84"/>
      <c r="AC827" s="84"/>
      <c r="AD827" s="76"/>
      <c r="AE827" s="76"/>
      <c r="AF827" s="76"/>
      <c r="AG827" s="76"/>
      <c r="AH827" s="76"/>
      <c r="AI827" s="76"/>
      <c r="AJ827" s="76"/>
      <c r="AK827" s="76"/>
      <c r="AL827" s="76"/>
      <c r="AM827" s="76"/>
      <c r="AN827" s="76"/>
      <c r="AO827" s="76"/>
      <c r="AP827" s="76"/>
      <c r="AQ827" s="76"/>
      <c r="AR827" s="76"/>
      <c r="AS827" s="76"/>
      <c r="AT827" s="76"/>
      <c r="AU827" s="76"/>
      <c r="AV827" s="76"/>
      <c r="AW827" s="76"/>
      <c r="AX827" s="76"/>
    </row>
    <row r="828" ht="15.75" customHeight="1">
      <c r="A828" s="162" t="s">
        <v>214</v>
      </c>
      <c r="B828" s="163" t="s">
        <v>5236</v>
      </c>
      <c r="C828" s="31" t="s">
        <v>6273</v>
      </c>
      <c r="D828" s="31" t="s">
        <v>6274</v>
      </c>
      <c r="E828" s="31" t="s">
        <v>6275</v>
      </c>
      <c r="F828" s="31" t="s">
        <v>6244</v>
      </c>
      <c r="G828" s="31" t="s">
        <v>6245</v>
      </c>
      <c r="H828" s="31" t="s">
        <v>6246</v>
      </c>
      <c r="I828" s="162"/>
      <c r="J828" s="163" t="s">
        <v>6247</v>
      </c>
      <c r="K828" s="162" t="s">
        <v>6248</v>
      </c>
      <c r="L828" s="162"/>
      <c r="M828" s="162"/>
      <c r="N828" s="162"/>
      <c r="O828" s="162" t="s">
        <v>6276</v>
      </c>
      <c r="P828" s="162"/>
      <c r="Q828" s="162" t="s">
        <v>166</v>
      </c>
      <c r="R828" s="162"/>
      <c r="S828" s="162"/>
      <c r="T828" s="162"/>
      <c r="U828" s="162"/>
      <c r="V828" s="162"/>
      <c r="W828" s="162"/>
      <c r="X828" s="162"/>
      <c r="Y828" s="162"/>
      <c r="Z828" s="162"/>
      <c r="AA828" s="162"/>
      <c r="AB828" s="162"/>
      <c r="AC828" s="162"/>
      <c r="AD828" s="76"/>
      <c r="AE828" s="76"/>
      <c r="AF828" s="76"/>
      <c r="AG828" s="76"/>
      <c r="AH828" s="76"/>
      <c r="AI828" s="76"/>
      <c r="AJ828" s="76"/>
      <c r="AK828" s="76"/>
      <c r="AL828" s="76"/>
      <c r="AM828" s="76"/>
      <c r="AN828" s="76"/>
      <c r="AO828" s="76"/>
      <c r="AP828" s="76"/>
      <c r="AQ828" s="76"/>
      <c r="AR828" s="76"/>
      <c r="AS828" s="76"/>
      <c r="AT828" s="76"/>
      <c r="AU828" s="76"/>
      <c r="AV828" s="76"/>
      <c r="AW828" s="76"/>
      <c r="AX828" s="76"/>
    </row>
    <row r="829" ht="15.75" customHeight="1">
      <c r="A829" s="84" t="s">
        <v>338</v>
      </c>
      <c r="B829" s="159" t="s">
        <v>5240</v>
      </c>
      <c r="C829" s="31" t="s">
        <v>6277</v>
      </c>
      <c r="D829" s="31" t="s">
        <v>6278</v>
      </c>
      <c r="E829" s="31" t="s">
        <v>6279</v>
      </c>
      <c r="F829" s="31"/>
      <c r="G829" s="31"/>
      <c r="H829" s="31"/>
      <c r="I829" s="84"/>
      <c r="J829" s="159"/>
      <c r="K829" s="84"/>
      <c r="L829" s="84"/>
      <c r="M829" s="84"/>
      <c r="N829" s="84"/>
      <c r="O829" s="84" t="s">
        <v>6276</v>
      </c>
      <c r="P829" s="84"/>
      <c r="Q829" s="84" t="s">
        <v>166</v>
      </c>
      <c r="R829" s="84"/>
      <c r="S829" s="84"/>
      <c r="T829" s="84"/>
      <c r="U829" s="84"/>
      <c r="V829" s="84"/>
      <c r="W829" s="84"/>
      <c r="X829" s="84"/>
      <c r="Y829" s="84"/>
      <c r="Z829" s="84"/>
      <c r="AA829" s="84"/>
      <c r="AB829" s="84"/>
      <c r="AC829" s="84"/>
      <c r="AD829" s="76"/>
      <c r="AE829" s="76"/>
      <c r="AF829" s="76"/>
      <c r="AG829" s="76"/>
      <c r="AH829" s="76"/>
      <c r="AI829" s="76"/>
      <c r="AJ829" s="76"/>
      <c r="AK829" s="76"/>
      <c r="AL829" s="76"/>
      <c r="AM829" s="76"/>
      <c r="AN829" s="76"/>
      <c r="AO829" s="76"/>
      <c r="AP829" s="76"/>
      <c r="AQ829" s="76"/>
      <c r="AR829" s="76"/>
      <c r="AS829" s="76"/>
      <c r="AT829" s="76"/>
      <c r="AU829" s="76"/>
      <c r="AV829" s="76"/>
      <c r="AW829" s="76"/>
      <c r="AX829" s="76"/>
    </row>
    <row r="830" ht="15.75" customHeight="1">
      <c r="A830" s="154" t="s">
        <v>42</v>
      </c>
      <c r="B830" s="274" t="s">
        <v>5251</v>
      </c>
      <c r="C830" s="31" t="s">
        <v>6280</v>
      </c>
      <c r="D830" s="31" t="s">
        <v>6281</v>
      </c>
      <c r="E830" s="31" t="s">
        <v>6282</v>
      </c>
      <c r="F830" s="31"/>
      <c r="G830" s="31"/>
      <c r="H830" s="31"/>
      <c r="I830" s="154"/>
      <c r="J830" s="154"/>
      <c r="K830" s="154"/>
      <c r="L830" s="154"/>
      <c r="M830" s="154"/>
      <c r="N830" s="154"/>
      <c r="O830" s="154" t="s">
        <v>6283</v>
      </c>
      <c r="P830" s="154"/>
      <c r="Q830" s="154" t="s">
        <v>166</v>
      </c>
      <c r="R830" s="154"/>
      <c r="S830" s="154"/>
      <c r="T830" s="154"/>
      <c r="U830" s="154"/>
      <c r="V830" s="154"/>
      <c r="W830" s="154"/>
      <c r="X830" s="154"/>
      <c r="Y830" s="154"/>
      <c r="Z830" s="154"/>
      <c r="AA830" s="154"/>
      <c r="AB830" s="154"/>
      <c r="AC830" s="154"/>
      <c r="AD830" s="76"/>
      <c r="AE830" s="76"/>
      <c r="AF830" s="76"/>
      <c r="AG830" s="76"/>
      <c r="AH830" s="76"/>
      <c r="AI830" s="76"/>
      <c r="AJ830" s="76"/>
      <c r="AK830" s="76"/>
      <c r="AL830" s="76"/>
      <c r="AM830" s="76"/>
      <c r="AN830" s="76"/>
      <c r="AO830" s="76"/>
      <c r="AP830" s="76"/>
      <c r="AQ830" s="76"/>
      <c r="AR830" s="76"/>
      <c r="AS830" s="76"/>
      <c r="AT830" s="76"/>
      <c r="AU830" s="76"/>
      <c r="AV830" s="76"/>
      <c r="AW830" s="76"/>
      <c r="AX830" s="76"/>
    </row>
    <row r="831" ht="15.75" customHeight="1">
      <c r="A831" s="84" t="s">
        <v>338</v>
      </c>
      <c r="B831" s="159" t="s">
        <v>5258</v>
      </c>
      <c r="C831" s="31" t="s">
        <v>6284</v>
      </c>
      <c r="D831" s="31" t="s">
        <v>6285</v>
      </c>
      <c r="E831" s="31" t="s">
        <v>6286</v>
      </c>
      <c r="F831" s="31"/>
      <c r="G831" s="31"/>
      <c r="H831" s="31"/>
      <c r="I831" s="84"/>
      <c r="J831" s="159"/>
      <c r="K831" s="84"/>
      <c r="L831" s="84"/>
      <c r="M831" s="84"/>
      <c r="N831" s="84"/>
      <c r="O831" s="84"/>
      <c r="P831" s="84"/>
      <c r="Q831" s="84" t="s">
        <v>166</v>
      </c>
      <c r="R831" s="84"/>
      <c r="S831" s="84"/>
      <c r="T831" s="84"/>
      <c r="U831" s="84"/>
      <c r="V831" s="84"/>
      <c r="W831" s="84"/>
      <c r="X831" s="84"/>
      <c r="Y831" s="84"/>
      <c r="Z831" s="84"/>
      <c r="AA831" s="84"/>
      <c r="AB831" s="84"/>
      <c r="AC831" s="84"/>
      <c r="AD831" s="76"/>
      <c r="AE831" s="76"/>
      <c r="AF831" s="76"/>
      <c r="AG831" s="76"/>
      <c r="AH831" s="76"/>
      <c r="AI831" s="76"/>
      <c r="AJ831" s="76"/>
      <c r="AK831" s="76"/>
      <c r="AL831" s="76"/>
      <c r="AM831" s="76"/>
      <c r="AN831" s="76"/>
      <c r="AO831" s="76"/>
      <c r="AP831" s="76"/>
      <c r="AQ831" s="76"/>
      <c r="AR831" s="76"/>
      <c r="AS831" s="76"/>
      <c r="AT831" s="76"/>
      <c r="AU831" s="76"/>
      <c r="AV831" s="76"/>
      <c r="AW831" s="76"/>
      <c r="AX831" s="76"/>
    </row>
    <row r="832" ht="15.75" customHeight="1">
      <c r="A832" s="175" t="s">
        <v>237</v>
      </c>
      <c r="B832" s="176" t="s">
        <v>5267</v>
      </c>
      <c r="C832" s="31" t="s">
        <v>6287</v>
      </c>
      <c r="D832" s="31" t="s">
        <v>6288</v>
      </c>
      <c r="E832" s="31" t="s">
        <v>6289</v>
      </c>
      <c r="F832" s="31"/>
      <c r="G832" s="31"/>
      <c r="H832" s="31"/>
      <c r="I832" s="175"/>
      <c r="J832" s="175"/>
      <c r="K832" s="176"/>
      <c r="L832" s="176"/>
      <c r="M832" s="175"/>
      <c r="N832" s="175"/>
      <c r="O832" s="175" t="s">
        <v>6290</v>
      </c>
      <c r="P832" s="175"/>
      <c r="Q832" s="175" t="s">
        <v>166</v>
      </c>
      <c r="R832" s="175"/>
      <c r="S832" s="175"/>
      <c r="T832" s="175"/>
      <c r="U832" s="175"/>
      <c r="V832" s="175"/>
      <c r="W832" s="175"/>
      <c r="X832" s="175"/>
      <c r="Y832" s="175"/>
      <c r="Z832" s="175"/>
      <c r="AA832" s="175"/>
      <c r="AB832" s="175"/>
      <c r="AC832" s="175"/>
      <c r="AD832" s="76"/>
      <c r="AE832" s="76"/>
      <c r="AF832" s="76"/>
      <c r="AG832" s="76"/>
      <c r="AH832" s="76"/>
      <c r="AI832" s="76"/>
      <c r="AJ832" s="76"/>
      <c r="AK832" s="76"/>
      <c r="AL832" s="76"/>
      <c r="AM832" s="76"/>
      <c r="AN832" s="76"/>
      <c r="AO832" s="76"/>
      <c r="AP832" s="76"/>
      <c r="AQ832" s="76"/>
      <c r="AR832" s="76"/>
      <c r="AS832" s="76"/>
      <c r="AT832" s="76"/>
      <c r="AU832" s="76"/>
      <c r="AV832" s="76"/>
      <c r="AW832" s="76"/>
      <c r="AX832" s="76"/>
    </row>
    <row r="833" ht="15.75" customHeight="1">
      <c r="A833" s="173" t="s">
        <v>648</v>
      </c>
      <c r="B833" s="174" t="s">
        <v>5273</v>
      </c>
      <c r="C833" s="31" t="s">
        <v>5274</v>
      </c>
      <c r="D833" s="31"/>
      <c r="E833" s="31"/>
      <c r="F833" s="173"/>
      <c r="G833" s="173"/>
      <c r="H833" s="173"/>
      <c r="I833" s="173"/>
      <c r="J833" s="173"/>
      <c r="K833" s="173"/>
      <c r="L833" s="173"/>
      <c r="M833" s="174"/>
      <c r="N833" s="174"/>
      <c r="O833" s="174" t="s">
        <v>6290</v>
      </c>
      <c r="P833" s="173"/>
      <c r="Q833" s="173"/>
      <c r="R833" s="173"/>
      <c r="S833" s="173"/>
      <c r="T833" s="173"/>
      <c r="U833" s="174" t="s">
        <v>6291</v>
      </c>
      <c r="V833" s="173"/>
      <c r="W833" s="173"/>
      <c r="X833" s="173"/>
      <c r="Y833" s="173"/>
      <c r="Z833" s="173"/>
      <c r="AA833" s="173"/>
      <c r="AB833" s="173"/>
      <c r="AC833" s="173"/>
      <c r="AD833" s="76"/>
      <c r="AE833" s="76"/>
      <c r="AF833" s="76"/>
      <c r="AG833" s="76"/>
      <c r="AH833" s="76"/>
      <c r="AI833" s="76"/>
      <c r="AJ833" s="76"/>
      <c r="AK833" s="76"/>
      <c r="AL833" s="76"/>
      <c r="AM833" s="76"/>
      <c r="AN833" s="76"/>
      <c r="AO833" s="76"/>
      <c r="AP833" s="76"/>
      <c r="AQ833" s="76"/>
      <c r="AR833" s="76"/>
      <c r="AS833" s="76"/>
      <c r="AT833" s="76"/>
      <c r="AU833" s="76"/>
      <c r="AV833" s="76"/>
      <c r="AW833" s="76"/>
      <c r="AX833" s="76"/>
    </row>
    <row r="834" ht="15.75" customHeight="1">
      <c r="A834" s="162" t="s">
        <v>214</v>
      </c>
      <c r="B834" s="163" t="s">
        <v>5275</v>
      </c>
      <c r="C834" s="31" t="s">
        <v>6292</v>
      </c>
      <c r="D834" s="31" t="s">
        <v>6293</v>
      </c>
      <c r="E834" s="31" t="s">
        <v>6294</v>
      </c>
      <c r="F834" s="31" t="s">
        <v>6244</v>
      </c>
      <c r="G834" s="31" t="s">
        <v>6245</v>
      </c>
      <c r="H834" s="31" t="s">
        <v>6246</v>
      </c>
      <c r="I834" s="162"/>
      <c r="J834" s="163" t="s">
        <v>6247</v>
      </c>
      <c r="K834" s="162" t="s">
        <v>6248</v>
      </c>
      <c r="L834" s="162"/>
      <c r="M834" s="162"/>
      <c r="N834" s="162"/>
      <c r="O834" s="162"/>
      <c r="P834" s="162"/>
      <c r="Q834" s="162" t="s">
        <v>166</v>
      </c>
      <c r="R834" s="162"/>
      <c r="S834" s="162"/>
      <c r="T834" s="162"/>
      <c r="U834" s="162"/>
      <c r="V834" s="162"/>
      <c r="W834" s="162"/>
      <c r="X834" s="162"/>
      <c r="Y834" s="162"/>
      <c r="Z834" s="162"/>
      <c r="AA834" s="162"/>
      <c r="AB834" s="162"/>
      <c r="AC834" s="162"/>
      <c r="AD834" s="76"/>
      <c r="AE834" s="76"/>
      <c r="AF834" s="76"/>
      <c r="AG834" s="76"/>
      <c r="AH834" s="76"/>
      <c r="AI834" s="76"/>
      <c r="AJ834" s="76"/>
      <c r="AK834" s="76"/>
      <c r="AL834" s="76"/>
      <c r="AM834" s="76"/>
      <c r="AN834" s="76"/>
      <c r="AO834" s="76"/>
      <c r="AP834" s="76"/>
      <c r="AQ834" s="76"/>
      <c r="AR834" s="76"/>
      <c r="AS834" s="76"/>
      <c r="AT834" s="76"/>
      <c r="AU834" s="76"/>
      <c r="AV834" s="76"/>
      <c r="AW834" s="76"/>
      <c r="AX834" s="76"/>
    </row>
    <row r="835" ht="15.75" customHeight="1">
      <c r="A835" s="173" t="s">
        <v>691</v>
      </c>
      <c r="B835" s="173" t="s">
        <v>5273</v>
      </c>
      <c r="C835" s="31" t="s">
        <v>5274</v>
      </c>
      <c r="D835" s="31"/>
      <c r="E835" s="31"/>
      <c r="F835" s="173"/>
      <c r="G835" s="173"/>
      <c r="H835" s="173"/>
      <c r="I835" s="173"/>
      <c r="J835" s="173"/>
      <c r="K835" s="173"/>
      <c r="L835" s="173"/>
      <c r="M835" s="173"/>
      <c r="N835" s="173"/>
      <c r="O835" s="173"/>
      <c r="P835" s="173"/>
      <c r="Q835" s="173"/>
      <c r="R835" s="173"/>
      <c r="S835" s="173"/>
      <c r="T835" s="173"/>
      <c r="U835" s="173"/>
      <c r="V835" s="173"/>
      <c r="W835" s="173"/>
      <c r="X835" s="173"/>
      <c r="Y835" s="173"/>
      <c r="Z835" s="173"/>
      <c r="AA835" s="173"/>
      <c r="AB835" s="173"/>
      <c r="AC835" s="173"/>
      <c r="AD835" s="76"/>
      <c r="AE835" s="76"/>
      <c r="AF835" s="76"/>
      <c r="AG835" s="76"/>
      <c r="AH835" s="76"/>
      <c r="AI835" s="76"/>
      <c r="AJ835" s="76"/>
      <c r="AK835" s="76"/>
      <c r="AL835" s="76"/>
      <c r="AM835" s="76"/>
      <c r="AN835" s="76"/>
      <c r="AO835" s="76"/>
      <c r="AP835" s="76"/>
      <c r="AQ835" s="76"/>
      <c r="AR835" s="76"/>
      <c r="AS835" s="76"/>
      <c r="AT835" s="76"/>
      <c r="AU835" s="76"/>
      <c r="AV835" s="76"/>
      <c r="AW835" s="76"/>
      <c r="AX835" s="76"/>
    </row>
    <row r="836" ht="15.75" customHeight="1">
      <c r="A836" s="84" t="s">
        <v>338</v>
      </c>
      <c r="B836" s="159" t="s">
        <v>5283</v>
      </c>
      <c r="C836" s="31" t="s">
        <v>6295</v>
      </c>
      <c r="D836" s="31" t="s">
        <v>6296</v>
      </c>
      <c r="E836" s="31" t="s">
        <v>6297</v>
      </c>
      <c r="F836" s="31"/>
      <c r="G836" s="31"/>
      <c r="H836" s="31"/>
      <c r="I836" s="84"/>
      <c r="J836" s="159"/>
      <c r="K836" s="84"/>
      <c r="L836" s="84"/>
      <c r="M836" s="84"/>
      <c r="N836" s="84"/>
      <c r="O836" s="84"/>
      <c r="P836" s="84"/>
      <c r="Q836" s="84" t="s">
        <v>166</v>
      </c>
      <c r="R836" s="84"/>
      <c r="S836" s="84"/>
      <c r="T836" s="84"/>
      <c r="U836" s="84"/>
      <c r="V836" s="84"/>
      <c r="W836" s="84"/>
      <c r="X836" s="84"/>
      <c r="Y836" s="84"/>
      <c r="Z836" s="84"/>
      <c r="AA836" s="84"/>
      <c r="AB836" s="84"/>
      <c r="AC836" s="84"/>
      <c r="AD836" s="76"/>
      <c r="AE836" s="76"/>
      <c r="AF836" s="76"/>
      <c r="AG836" s="76"/>
      <c r="AH836" s="76"/>
      <c r="AI836" s="76"/>
      <c r="AJ836" s="76"/>
      <c r="AK836" s="76"/>
      <c r="AL836" s="76"/>
      <c r="AM836" s="76"/>
      <c r="AN836" s="76"/>
      <c r="AO836" s="76"/>
      <c r="AP836" s="76"/>
      <c r="AQ836" s="76"/>
      <c r="AR836" s="76"/>
      <c r="AS836" s="76"/>
      <c r="AT836" s="76"/>
      <c r="AU836" s="76"/>
      <c r="AV836" s="76"/>
      <c r="AW836" s="76"/>
      <c r="AX836" s="76"/>
    </row>
    <row r="837" ht="15.75" customHeight="1">
      <c r="A837" s="70" t="s">
        <v>150</v>
      </c>
      <c r="B837" s="71" t="s">
        <v>5290</v>
      </c>
      <c r="C837" s="31" t="s">
        <v>5291</v>
      </c>
      <c r="D837" s="31"/>
      <c r="E837" s="31"/>
      <c r="F837" s="70"/>
      <c r="G837" s="70"/>
      <c r="H837" s="70"/>
      <c r="I837" s="70"/>
      <c r="J837" s="71" t="s">
        <v>1736</v>
      </c>
      <c r="K837" s="70"/>
      <c r="L837" s="70"/>
      <c r="M837" s="71"/>
      <c r="N837" s="71"/>
      <c r="O837" s="71"/>
      <c r="P837" s="70"/>
      <c r="Q837" s="70"/>
      <c r="R837" s="70"/>
      <c r="S837" s="70"/>
      <c r="T837" s="70"/>
      <c r="U837" s="70"/>
      <c r="V837" s="70"/>
      <c r="W837" s="70"/>
      <c r="X837" s="70"/>
      <c r="Y837" s="70"/>
      <c r="Z837" s="70"/>
      <c r="AA837" s="70"/>
      <c r="AB837" s="70"/>
      <c r="AC837" s="70"/>
      <c r="AD837" s="76"/>
      <c r="AE837" s="76"/>
      <c r="AF837" s="76"/>
      <c r="AG837" s="76"/>
      <c r="AH837" s="76"/>
      <c r="AI837" s="76"/>
      <c r="AJ837" s="76"/>
      <c r="AK837" s="76"/>
      <c r="AL837" s="76"/>
      <c r="AM837" s="76"/>
      <c r="AN837" s="76"/>
      <c r="AO837" s="76"/>
      <c r="AP837" s="76"/>
      <c r="AQ837" s="76"/>
      <c r="AR837" s="76"/>
      <c r="AS837" s="76"/>
      <c r="AT837" s="76"/>
      <c r="AU837" s="76"/>
      <c r="AV837" s="76"/>
      <c r="AW837" s="76"/>
      <c r="AX837" s="76"/>
    </row>
    <row r="838" ht="15.75" customHeight="1">
      <c r="A838" s="162" t="s">
        <v>214</v>
      </c>
      <c r="B838" s="163" t="s">
        <v>5294</v>
      </c>
      <c r="C838" s="31" t="s">
        <v>6298</v>
      </c>
      <c r="D838" s="31" t="s">
        <v>6299</v>
      </c>
      <c r="E838" s="31" t="s">
        <v>6300</v>
      </c>
      <c r="F838" s="31"/>
      <c r="G838" s="31"/>
      <c r="H838" s="31"/>
      <c r="I838" s="162"/>
      <c r="J838" s="163"/>
      <c r="K838" s="162"/>
      <c r="L838" s="162"/>
      <c r="M838" s="162"/>
      <c r="N838" s="162"/>
      <c r="O838" s="162" t="s">
        <v>6301</v>
      </c>
      <c r="P838" s="162"/>
      <c r="Q838" s="162" t="s">
        <v>166</v>
      </c>
      <c r="R838" s="162"/>
      <c r="S838" s="162"/>
      <c r="T838" s="162"/>
      <c r="U838" s="162"/>
      <c r="V838" s="162"/>
      <c r="W838" s="162"/>
      <c r="X838" s="162"/>
      <c r="Y838" s="162"/>
      <c r="Z838" s="162"/>
      <c r="AA838" s="162"/>
      <c r="AB838" s="162"/>
      <c r="AC838" s="162"/>
      <c r="AD838" s="76"/>
      <c r="AE838" s="76"/>
      <c r="AF838" s="76"/>
      <c r="AG838" s="76"/>
      <c r="AH838" s="76"/>
      <c r="AI838" s="76"/>
      <c r="AJ838" s="76"/>
      <c r="AK838" s="76"/>
      <c r="AL838" s="76"/>
      <c r="AM838" s="76"/>
      <c r="AN838" s="76"/>
      <c r="AO838" s="76"/>
      <c r="AP838" s="76"/>
      <c r="AQ838" s="76"/>
      <c r="AR838" s="76"/>
      <c r="AS838" s="76"/>
      <c r="AT838" s="76"/>
      <c r="AU838" s="76"/>
      <c r="AV838" s="76"/>
      <c r="AW838" s="76"/>
      <c r="AX838" s="76"/>
    </row>
    <row r="839" ht="15.75" customHeight="1">
      <c r="A839" s="162" t="s">
        <v>214</v>
      </c>
      <c r="B839" s="163" t="s">
        <v>5301</v>
      </c>
      <c r="C839" s="31" t="s">
        <v>6302</v>
      </c>
      <c r="D839" s="31" t="s">
        <v>6303</v>
      </c>
      <c r="E839" s="31" t="s">
        <v>6304</v>
      </c>
      <c r="F839" s="31"/>
      <c r="G839" s="31"/>
      <c r="H839" s="31"/>
      <c r="I839" s="162"/>
      <c r="J839" s="163"/>
      <c r="K839" s="162"/>
      <c r="L839" s="162"/>
      <c r="M839" s="162"/>
      <c r="N839" s="162"/>
      <c r="O839" s="162" t="s">
        <v>6301</v>
      </c>
      <c r="P839" s="162"/>
      <c r="Q839" s="162" t="s">
        <v>166</v>
      </c>
      <c r="R839" s="162"/>
      <c r="S839" s="162"/>
      <c r="T839" s="162"/>
      <c r="U839" s="162"/>
      <c r="V839" s="162"/>
      <c r="W839" s="162"/>
      <c r="X839" s="162"/>
      <c r="Y839" s="162"/>
      <c r="Z839" s="162"/>
      <c r="AA839" s="162"/>
      <c r="AB839" s="162"/>
      <c r="AC839" s="162"/>
      <c r="AD839" s="76"/>
      <c r="AE839" s="76"/>
      <c r="AF839" s="76"/>
      <c r="AG839" s="76"/>
      <c r="AH839" s="76"/>
      <c r="AI839" s="76"/>
      <c r="AJ839" s="76"/>
      <c r="AK839" s="76"/>
      <c r="AL839" s="76"/>
      <c r="AM839" s="76"/>
      <c r="AN839" s="76"/>
      <c r="AO839" s="76"/>
      <c r="AP839" s="76"/>
      <c r="AQ839" s="76"/>
      <c r="AR839" s="76"/>
      <c r="AS839" s="76"/>
      <c r="AT839" s="76"/>
      <c r="AU839" s="76"/>
      <c r="AV839" s="76"/>
      <c r="AW839" s="76"/>
      <c r="AX839" s="76"/>
    </row>
    <row r="840" ht="15.75" customHeight="1">
      <c r="A840" s="70" t="s">
        <v>236</v>
      </c>
      <c r="B840" s="70" t="s">
        <v>5290</v>
      </c>
      <c r="C840" s="31" t="s">
        <v>5291</v>
      </c>
      <c r="D840" s="31"/>
      <c r="E840" s="31"/>
      <c r="F840" s="70"/>
      <c r="G840" s="70"/>
      <c r="H840" s="70"/>
      <c r="I840" s="70"/>
      <c r="J840" s="70"/>
      <c r="K840" s="70"/>
      <c r="L840" s="70"/>
      <c r="M840" s="70"/>
      <c r="N840" s="70"/>
      <c r="O840" s="70"/>
      <c r="P840" s="70"/>
      <c r="Q840" s="70"/>
      <c r="R840" s="70"/>
      <c r="S840" s="70"/>
      <c r="T840" s="70"/>
      <c r="U840" s="70"/>
      <c r="V840" s="70"/>
      <c r="W840" s="70"/>
      <c r="X840" s="70"/>
      <c r="Y840" s="70"/>
      <c r="Z840" s="70"/>
      <c r="AA840" s="70"/>
      <c r="AB840" s="70"/>
      <c r="AC840" s="70"/>
      <c r="AD840" s="76"/>
      <c r="AE840" s="76"/>
      <c r="AF840" s="76"/>
      <c r="AG840" s="76"/>
      <c r="AH840" s="76"/>
      <c r="AI840" s="76"/>
      <c r="AJ840" s="76"/>
      <c r="AK840" s="76"/>
      <c r="AL840" s="76"/>
      <c r="AM840" s="76"/>
      <c r="AN840" s="76"/>
      <c r="AO840" s="76"/>
      <c r="AP840" s="76"/>
      <c r="AQ840" s="76"/>
      <c r="AR840" s="76"/>
      <c r="AS840" s="76"/>
      <c r="AT840" s="76"/>
      <c r="AU840" s="76"/>
      <c r="AV840" s="76"/>
      <c r="AW840" s="76"/>
      <c r="AX840" s="76"/>
    </row>
    <row r="841" ht="15.75" customHeight="1">
      <c r="A841" s="108" t="s">
        <v>108</v>
      </c>
      <c r="B841" s="121" t="s">
        <v>5313</v>
      </c>
      <c r="C841" s="31"/>
      <c r="D841" s="31"/>
      <c r="E841" s="31"/>
      <c r="F841" s="108"/>
      <c r="G841" s="108"/>
      <c r="H841" s="108"/>
      <c r="I841" s="108"/>
      <c r="J841" s="108"/>
      <c r="K841" s="108"/>
      <c r="L841" s="108"/>
      <c r="M841" s="108"/>
      <c r="N841" s="108"/>
      <c r="O841" s="108"/>
      <c r="P841" s="108"/>
      <c r="Q841" s="108"/>
      <c r="R841" s="108"/>
      <c r="S841" s="108"/>
      <c r="T841" s="121" t="s">
        <v>6305</v>
      </c>
      <c r="U841" s="108"/>
      <c r="V841" s="108"/>
      <c r="W841" s="108"/>
      <c r="X841" s="108"/>
      <c r="Y841" s="108"/>
      <c r="Z841" s="108"/>
      <c r="AA841" s="108"/>
      <c r="AB841" s="108"/>
      <c r="AC841" s="108"/>
      <c r="AD841" s="76"/>
      <c r="AE841" s="76"/>
      <c r="AF841" s="76"/>
      <c r="AG841" s="76"/>
      <c r="AH841" s="76"/>
      <c r="AI841" s="76"/>
      <c r="AJ841" s="76"/>
      <c r="AK841" s="76"/>
      <c r="AL841" s="76"/>
      <c r="AM841" s="76"/>
      <c r="AN841" s="76"/>
      <c r="AO841" s="76"/>
      <c r="AP841" s="76"/>
      <c r="AQ841" s="76"/>
      <c r="AR841" s="76"/>
      <c r="AS841" s="76"/>
      <c r="AT841" s="76"/>
      <c r="AU841" s="76"/>
      <c r="AV841" s="76"/>
      <c r="AW841" s="76"/>
      <c r="AX841" s="76"/>
    </row>
    <row r="842" ht="15.75" customHeight="1">
      <c r="A842" s="162" t="s">
        <v>214</v>
      </c>
      <c r="B842" s="163" t="s">
        <v>5314</v>
      </c>
      <c r="C842" s="31" t="s">
        <v>6306</v>
      </c>
      <c r="D842" s="31" t="s">
        <v>6307</v>
      </c>
      <c r="E842" s="31" t="s">
        <v>6308</v>
      </c>
      <c r="F842" s="31" t="s">
        <v>6244</v>
      </c>
      <c r="G842" s="31" t="s">
        <v>6245</v>
      </c>
      <c r="H842" s="31" t="s">
        <v>6246</v>
      </c>
      <c r="I842" s="162"/>
      <c r="J842" s="163" t="s">
        <v>6247</v>
      </c>
      <c r="K842" s="162" t="s">
        <v>6248</v>
      </c>
      <c r="L842" s="162"/>
      <c r="M842" s="162"/>
      <c r="N842" s="162"/>
      <c r="O842" s="162" t="s">
        <v>6301</v>
      </c>
      <c r="P842" s="162"/>
      <c r="Q842" s="162" t="s">
        <v>166</v>
      </c>
      <c r="R842" s="162"/>
      <c r="S842" s="162"/>
      <c r="T842" s="162"/>
      <c r="U842" s="162"/>
      <c r="V842" s="162"/>
      <c r="W842" s="162"/>
      <c r="X842" s="162"/>
      <c r="Y842" s="162"/>
      <c r="Z842" s="162"/>
      <c r="AA842" s="162"/>
      <c r="AB842" s="162"/>
      <c r="AC842" s="162"/>
      <c r="AD842" s="76"/>
      <c r="AE842" s="76"/>
      <c r="AF842" s="76"/>
      <c r="AG842" s="76"/>
      <c r="AH842" s="76"/>
      <c r="AI842" s="76"/>
      <c r="AJ842" s="76"/>
      <c r="AK842" s="76"/>
      <c r="AL842" s="76"/>
      <c r="AM842" s="76"/>
      <c r="AN842" s="76"/>
      <c r="AO842" s="76"/>
      <c r="AP842" s="76"/>
      <c r="AQ842" s="76"/>
      <c r="AR842" s="76"/>
      <c r="AS842" s="76"/>
      <c r="AT842" s="76"/>
      <c r="AU842" s="76"/>
      <c r="AV842" s="76"/>
      <c r="AW842" s="76"/>
      <c r="AX842" s="76"/>
    </row>
    <row r="843" ht="15.75" customHeight="1">
      <c r="A843" s="84" t="s">
        <v>1909</v>
      </c>
      <c r="B843" s="159" t="s">
        <v>5319</v>
      </c>
      <c r="C843" s="31" t="s">
        <v>6309</v>
      </c>
      <c r="D843" s="31" t="s">
        <v>6310</v>
      </c>
      <c r="E843" s="31" t="s">
        <v>6311</v>
      </c>
      <c r="F843" s="31"/>
      <c r="G843" s="31"/>
      <c r="H843" s="31"/>
      <c r="I843" s="84"/>
      <c r="J843" s="159"/>
      <c r="K843" s="84"/>
      <c r="L843" s="84"/>
      <c r="M843" s="84"/>
      <c r="N843" s="84"/>
      <c r="O843" s="84" t="s">
        <v>6301</v>
      </c>
      <c r="P843" s="84"/>
      <c r="Q843" s="84" t="s">
        <v>166</v>
      </c>
      <c r="R843" s="84"/>
      <c r="S843" s="84"/>
      <c r="T843" s="84"/>
      <c r="U843" s="84"/>
      <c r="V843" s="84"/>
      <c r="W843" s="84"/>
      <c r="X843" s="84"/>
      <c r="Y843" s="84"/>
      <c r="Z843" s="84"/>
      <c r="AA843" s="84"/>
      <c r="AB843" s="84"/>
      <c r="AC843" s="84"/>
      <c r="AD843" s="76"/>
      <c r="AE843" s="76"/>
      <c r="AF843" s="76"/>
      <c r="AG843" s="76"/>
      <c r="AH843" s="76"/>
      <c r="AI843" s="76"/>
      <c r="AJ843" s="76"/>
      <c r="AK843" s="76"/>
      <c r="AL843" s="76"/>
      <c r="AM843" s="76"/>
      <c r="AN843" s="76"/>
      <c r="AO843" s="76"/>
      <c r="AP843" s="76"/>
      <c r="AQ843" s="76"/>
      <c r="AR843" s="76"/>
      <c r="AS843" s="76"/>
      <c r="AT843" s="76"/>
      <c r="AU843" s="76"/>
      <c r="AV843" s="76"/>
      <c r="AW843" s="76"/>
      <c r="AX843" s="76"/>
    </row>
    <row r="844" ht="15.75" customHeight="1">
      <c r="A844" s="84" t="s">
        <v>338</v>
      </c>
      <c r="B844" s="159" t="s">
        <v>5327</v>
      </c>
      <c r="C844" s="31" t="s">
        <v>6312</v>
      </c>
      <c r="D844" s="31" t="s">
        <v>6313</v>
      </c>
      <c r="E844" s="31" t="s">
        <v>6314</v>
      </c>
      <c r="F844" s="31"/>
      <c r="G844" s="31"/>
      <c r="H844" s="31"/>
      <c r="I844" s="84"/>
      <c r="J844" s="159"/>
      <c r="K844" s="84"/>
      <c r="L844" s="84"/>
      <c r="M844" s="84"/>
      <c r="N844" s="84"/>
      <c r="O844" s="84" t="s">
        <v>6301</v>
      </c>
      <c r="P844" s="84"/>
      <c r="Q844" s="84" t="s">
        <v>166</v>
      </c>
      <c r="R844" s="84"/>
      <c r="S844" s="84"/>
      <c r="T844" s="84"/>
      <c r="U844" s="84"/>
      <c r="V844" s="84"/>
      <c r="W844" s="84"/>
      <c r="X844" s="84"/>
      <c r="Y844" s="84"/>
      <c r="Z844" s="84"/>
      <c r="AA844" s="84"/>
      <c r="AB844" s="84"/>
      <c r="AC844" s="84"/>
      <c r="AD844" s="76"/>
      <c r="AE844" s="76"/>
      <c r="AF844" s="76"/>
      <c r="AG844" s="76"/>
      <c r="AH844" s="76"/>
      <c r="AI844" s="76"/>
      <c r="AJ844" s="76"/>
      <c r="AK844" s="76"/>
      <c r="AL844" s="76"/>
      <c r="AM844" s="76"/>
      <c r="AN844" s="76"/>
      <c r="AO844" s="76"/>
      <c r="AP844" s="76"/>
      <c r="AQ844" s="76"/>
      <c r="AR844" s="76"/>
      <c r="AS844" s="76"/>
      <c r="AT844" s="76"/>
      <c r="AU844" s="76"/>
      <c r="AV844" s="76"/>
      <c r="AW844" s="76"/>
      <c r="AX844" s="76"/>
    </row>
    <row r="845" ht="15.75" customHeight="1">
      <c r="A845" s="154" t="s">
        <v>42</v>
      </c>
      <c r="B845" s="274" t="s">
        <v>5331</v>
      </c>
      <c r="C845" s="31" t="s">
        <v>6315</v>
      </c>
      <c r="D845" s="31" t="s">
        <v>6316</v>
      </c>
      <c r="E845" s="31" t="s">
        <v>6317</v>
      </c>
      <c r="F845" s="31"/>
      <c r="G845" s="31"/>
      <c r="H845" s="31"/>
      <c r="I845" s="154"/>
      <c r="J845" s="154"/>
      <c r="K845" s="154"/>
      <c r="L845" s="154"/>
      <c r="M845" s="154"/>
      <c r="N845" s="154"/>
      <c r="O845" s="154" t="s">
        <v>6318</v>
      </c>
      <c r="P845" s="154"/>
      <c r="Q845" s="154" t="s">
        <v>166</v>
      </c>
      <c r="R845" s="154"/>
      <c r="S845" s="154"/>
      <c r="T845" s="154"/>
      <c r="U845" s="154"/>
      <c r="V845" s="154"/>
      <c r="W845" s="154"/>
      <c r="X845" s="154"/>
      <c r="Y845" s="154"/>
      <c r="Z845" s="154"/>
      <c r="AA845" s="154"/>
      <c r="AB845" s="154"/>
      <c r="AC845" s="154"/>
      <c r="AD845" s="76"/>
      <c r="AE845" s="76"/>
      <c r="AF845" s="76"/>
      <c r="AG845" s="76"/>
      <c r="AH845" s="76"/>
      <c r="AI845" s="76"/>
      <c r="AJ845" s="76"/>
      <c r="AK845" s="76"/>
      <c r="AL845" s="76"/>
      <c r="AM845" s="76"/>
      <c r="AN845" s="76"/>
      <c r="AO845" s="76"/>
      <c r="AP845" s="76"/>
      <c r="AQ845" s="76"/>
      <c r="AR845" s="76"/>
      <c r="AS845" s="76"/>
      <c r="AT845" s="76"/>
      <c r="AU845" s="76"/>
      <c r="AV845" s="76"/>
      <c r="AW845" s="76"/>
      <c r="AX845" s="76"/>
    </row>
    <row r="846" ht="15.75" customHeight="1">
      <c r="A846" s="84" t="s">
        <v>5202</v>
      </c>
      <c r="B846" s="159" t="s">
        <v>5338</v>
      </c>
      <c r="C846" s="31" t="s">
        <v>6319</v>
      </c>
      <c r="D846" s="31" t="s">
        <v>6320</v>
      </c>
      <c r="E846" s="31" t="s">
        <v>6321</v>
      </c>
      <c r="F846" s="31"/>
      <c r="G846" s="31"/>
      <c r="H846" s="31"/>
      <c r="I846" s="84"/>
      <c r="J846" s="159"/>
      <c r="K846" s="84"/>
      <c r="L846" s="84"/>
      <c r="M846" s="84"/>
      <c r="N846" s="84"/>
      <c r="O846" s="84" t="s">
        <v>6301</v>
      </c>
      <c r="P846" s="84"/>
      <c r="Q846" s="84" t="s">
        <v>166</v>
      </c>
      <c r="R846" s="84"/>
      <c r="S846" s="84"/>
      <c r="T846" s="84"/>
      <c r="U846" s="84"/>
      <c r="V846" s="84"/>
      <c r="W846" s="84"/>
      <c r="X846" s="84"/>
      <c r="Y846" s="84"/>
      <c r="Z846" s="84"/>
      <c r="AA846" s="84"/>
      <c r="AB846" s="84"/>
      <c r="AC846" s="84"/>
      <c r="AD846" s="76"/>
      <c r="AE846" s="76"/>
      <c r="AF846" s="76"/>
      <c r="AG846" s="76"/>
      <c r="AH846" s="76"/>
      <c r="AI846" s="76"/>
      <c r="AJ846" s="76"/>
      <c r="AK846" s="76"/>
      <c r="AL846" s="76"/>
      <c r="AM846" s="76"/>
      <c r="AN846" s="76"/>
      <c r="AO846" s="76"/>
      <c r="AP846" s="76"/>
      <c r="AQ846" s="76"/>
      <c r="AR846" s="76"/>
      <c r="AS846" s="76"/>
      <c r="AT846" s="76"/>
      <c r="AU846" s="76"/>
      <c r="AV846" s="76"/>
      <c r="AW846" s="76"/>
      <c r="AX846" s="76"/>
    </row>
    <row r="847" ht="15.75" customHeight="1">
      <c r="A847" s="154" t="s">
        <v>42</v>
      </c>
      <c r="B847" s="274" t="s">
        <v>5342</v>
      </c>
      <c r="C847" s="31" t="s">
        <v>6322</v>
      </c>
      <c r="D847" s="31" t="s">
        <v>6323</v>
      </c>
      <c r="E847" s="31" t="s">
        <v>6324</v>
      </c>
      <c r="F847" s="31"/>
      <c r="G847" s="31"/>
      <c r="H847" s="31"/>
      <c r="I847" s="154"/>
      <c r="J847" s="154"/>
      <c r="K847" s="154"/>
      <c r="L847" s="154"/>
      <c r="M847" s="154"/>
      <c r="N847" s="154"/>
      <c r="O847" s="154" t="s">
        <v>6325</v>
      </c>
      <c r="P847" s="154"/>
      <c r="Q847" s="154" t="s">
        <v>166</v>
      </c>
      <c r="R847" s="154"/>
      <c r="S847" s="154"/>
      <c r="T847" s="154"/>
      <c r="U847" s="154"/>
      <c r="V847" s="154"/>
      <c r="W847" s="154"/>
      <c r="X847" s="154"/>
      <c r="Y847" s="154"/>
      <c r="Z847" s="154"/>
      <c r="AA847" s="154"/>
      <c r="AB847" s="154"/>
      <c r="AC847" s="154"/>
      <c r="AD847" s="76"/>
      <c r="AE847" s="76"/>
      <c r="AF847" s="76"/>
      <c r="AG847" s="76"/>
      <c r="AH847" s="76"/>
      <c r="AI847" s="76"/>
      <c r="AJ847" s="76"/>
      <c r="AK847" s="76"/>
      <c r="AL847" s="76"/>
      <c r="AM847" s="76"/>
      <c r="AN847" s="76"/>
      <c r="AO847" s="76"/>
      <c r="AP847" s="76"/>
      <c r="AQ847" s="76"/>
      <c r="AR847" s="76"/>
      <c r="AS847" s="76"/>
      <c r="AT847" s="76"/>
      <c r="AU847" s="76"/>
      <c r="AV847" s="76"/>
      <c r="AW847" s="76"/>
      <c r="AX847" s="76"/>
    </row>
    <row r="848" ht="15.75" customHeight="1">
      <c r="A848" s="84" t="s">
        <v>338</v>
      </c>
      <c r="B848" s="159" t="s">
        <v>5347</v>
      </c>
      <c r="C848" s="31" t="s">
        <v>6326</v>
      </c>
      <c r="D848" s="31" t="s">
        <v>6327</v>
      </c>
      <c r="E848" s="31" t="s">
        <v>6328</v>
      </c>
      <c r="F848" s="31"/>
      <c r="G848" s="31"/>
      <c r="H848" s="31"/>
      <c r="I848" s="84"/>
      <c r="J848" s="159"/>
      <c r="K848" s="84"/>
      <c r="L848" s="84"/>
      <c r="M848" s="84"/>
      <c r="N848" s="84"/>
      <c r="O848" s="84" t="s">
        <v>6301</v>
      </c>
      <c r="P848" s="84"/>
      <c r="Q848" s="84" t="s">
        <v>166</v>
      </c>
      <c r="R848" s="84"/>
      <c r="S848" s="84"/>
      <c r="T848" s="84"/>
      <c r="U848" s="84"/>
      <c r="V848" s="84"/>
      <c r="W848" s="84"/>
      <c r="X848" s="84"/>
      <c r="Y848" s="84"/>
      <c r="Z848" s="84"/>
      <c r="AA848" s="84"/>
      <c r="AB848" s="84"/>
      <c r="AC848" s="84"/>
      <c r="AD848" s="76"/>
      <c r="AE848" s="76"/>
      <c r="AF848" s="76"/>
      <c r="AG848" s="76"/>
      <c r="AH848" s="76"/>
      <c r="AI848" s="76"/>
      <c r="AJ848" s="76"/>
      <c r="AK848" s="76"/>
      <c r="AL848" s="76"/>
      <c r="AM848" s="76"/>
      <c r="AN848" s="76"/>
      <c r="AO848" s="76"/>
      <c r="AP848" s="76"/>
      <c r="AQ848" s="76"/>
      <c r="AR848" s="76"/>
      <c r="AS848" s="76"/>
      <c r="AT848" s="76"/>
      <c r="AU848" s="76"/>
      <c r="AV848" s="76"/>
      <c r="AW848" s="76"/>
      <c r="AX848" s="76"/>
    </row>
    <row r="849" ht="15.75" customHeight="1">
      <c r="A849" s="70" t="s">
        <v>150</v>
      </c>
      <c r="B849" s="71" t="s">
        <v>5354</v>
      </c>
      <c r="C849" s="31" t="s">
        <v>5355</v>
      </c>
      <c r="D849" s="31"/>
      <c r="E849" s="31"/>
      <c r="F849" s="70"/>
      <c r="G849" s="70"/>
      <c r="H849" s="71"/>
      <c r="I849" s="70"/>
      <c r="J849" s="71" t="s">
        <v>1736</v>
      </c>
      <c r="K849" s="70"/>
      <c r="L849" s="70"/>
      <c r="M849" s="71"/>
      <c r="N849" s="71"/>
      <c r="O849" s="71"/>
      <c r="P849" s="70"/>
      <c r="Q849" s="70"/>
      <c r="R849" s="70"/>
      <c r="S849" s="70"/>
      <c r="T849" s="70"/>
      <c r="U849" s="70"/>
      <c r="V849" s="70"/>
      <c r="W849" s="70"/>
      <c r="X849" s="70"/>
      <c r="Y849" s="70"/>
      <c r="Z849" s="70"/>
      <c r="AA849" s="70"/>
      <c r="AB849" s="70"/>
      <c r="AC849" s="70"/>
      <c r="AD849" s="76"/>
      <c r="AE849" s="76"/>
      <c r="AF849" s="76"/>
      <c r="AG849" s="76"/>
      <c r="AH849" s="76"/>
      <c r="AI849" s="76"/>
      <c r="AJ849" s="76"/>
      <c r="AK849" s="76"/>
      <c r="AL849" s="76"/>
      <c r="AM849" s="76"/>
      <c r="AN849" s="76"/>
      <c r="AO849" s="76"/>
      <c r="AP849" s="76"/>
      <c r="AQ849" s="76"/>
      <c r="AR849" s="76"/>
      <c r="AS849" s="76"/>
      <c r="AT849" s="76"/>
      <c r="AU849" s="76"/>
      <c r="AV849" s="76"/>
      <c r="AW849" s="76"/>
      <c r="AX849" s="76"/>
    </row>
    <row r="850" ht="15.75" customHeight="1">
      <c r="A850" s="162" t="s">
        <v>214</v>
      </c>
      <c r="B850" s="163" t="s">
        <v>5356</v>
      </c>
      <c r="C850" s="31" t="s">
        <v>6329</v>
      </c>
      <c r="D850" s="31" t="s">
        <v>6330</v>
      </c>
      <c r="E850" s="31" t="s">
        <v>6331</v>
      </c>
      <c r="F850" s="31"/>
      <c r="G850" s="31"/>
      <c r="H850" s="31"/>
      <c r="I850" s="162"/>
      <c r="J850" s="163"/>
      <c r="K850" s="162"/>
      <c r="L850" s="162"/>
      <c r="M850" s="162"/>
      <c r="N850" s="162"/>
      <c r="O850" s="162" t="s">
        <v>6332</v>
      </c>
      <c r="P850" s="162"/>
      <c r="Q850" s="162" t="s">
        <v>166</v>
      </c>
      <c r="R850" s="162"/>
      <c r="S850" s="162"/>
      <c r="T850" s="162"/>
      <c r="U850" s="162"/>
      <c r="V850" s="162"/>
      <c r="W850" s="162"/>
      <c r="X850" s="162"/>
      <c r="Y850" s="162"/>
      <c r="Z850" s="162"/>
      <c r="AA850" s="162"/>
      <c r="AB850" s="162"/>
      <c r="AC850" s="162"/>
      <c r="AD850" s="76"/>
      <c r="AE850" s="76"/>
      <c r="AF850" s="76"/>
      <c r="AG850" s="76"/>
      <c r="AH850" s="76"/>
      <c r="AI850" s="76"/>
      <c r="AJ850" s="76"/>
      <c r="AK850" s="76"/>
      <c r="AL850" s="76"/>
      <c r="AM850" s="76"/>
      <c r="AN850" s="76"/>
      <c r="AO850" s="76"/>
      <c r="AP850" s="76"/>
      <c r="AQ850" s="76"/>
      <c r="AR850" s="76"/>
      <c r="AS850" s="76"/>
      <c r="AT850" s="76"/>
      <c r="AU850" s="76"/>
      <c r="AV850" s="76"/>
      <c r="AW850" s="76"/>
      <c r="AX850" s="76"/>
    </row>
    <row r="851" ht="15.75" customHeight="1">
      <c r="A851" s="162" t="s">
        <v>214</v>
      </c>
      <c r="B851" s="163" t="s">
        <v>5365</v>
      </c>
      <c r="C851" s="31" t="s">
        <v>6333</v>
      </c>
      <c r="D851" s="31" t="s">
        <v>6334</v>
      </c>
      <c r="E851" s="31" t="s">
        <v>6335</v>
      </c>
      <c r="F851" s="31"/>
      <c r="G851" s="31"/>
      <c r="H851" s="31"/>
      <c r="I851" s="162"/>
      <c r="J851" s="163"/>
      <c r="K851" s="162"/>
      <c r="L851" s="162"/>
      <c r="M851" s="162"/>
      <c r="N851" s="162"/>
      <c r="O851" s="162" t="s">
        <v>6332</v>
      </c>
      <c r="P851" s="162"/>
      <c r="Q851" s="162" t="s">
        <v>166</v>
      </c>
      <c r="R851" s="162"/>
      <c r="S851" s="162"/>
      <c r="T851" s="162"/>
      <c r="U851" s="162"/>
      <c r="V851" s="162"/>
      <c r="W851" s="162"/>
      <c r="X851" s="162"/>
      <c r="Y851" s="162"/>
      <c r="Z851" s="162"/>
      <c r="AA851" s="162"/>
      <c r="AB851" s="162"/>
      <c r="AC851" s="162"/>
      <c r="AD851" s="76"/>
      <c r="AE851" s="76"/>
      <c r="AF851" s="76"/>
      <c r="AG851" s="76"/>
      <c r="AH851" s="76"/>
      <c r="AI851" s="76"/>
      <c r="AJ851" s="76"/>
      <c r="AK851" s="76"/>
      <c r="AL851" s="76"/>
      <c r="AM851" s="76"/>
      <c r="AN851" s="76"/>
      <c r="AO851" s="76"/>
      <c r="AP851" s="76"/>
      <c r="AQ851" s="76"/>
      <c r="AR851" s="76"/>
      <c r="AS851" s="76"/>
      <c r="AT851" s="76"/>
      <c r="AU851" s="76"/>
      <c r="AV851" s="76"/>
      <c r="AW851" s="76"/>
      <c r="AX851" s="76"/>
    </row>
    <row r="852" ht="15.75" customHeight="1">
      <c r="A852" s="70" t="s">
        <v>236</v>
      </c>
      <c r="B852" s="70" t="s">
        <v>5354</v>
      </c>
      <c r="C852" s="31" t="s">
        <v>5355</v>
      </c>
      <c r="D852" s="31"/>
      <c r="E852" s="31"/>
      <c r="F852" s="70"/>
      <c r="G852" s="70"/>
      <c r="H852" s="70"/>
      <c r="I852" s="70"/>
      <c r="J852" s="70"/>
      <c r="K852" s="70"/>
      <c r="L852" s="70"/>
      <c r="M852" s="70"/>
      <c r="N852" s="70"/>
      <c r="O852" s="70"/>
      <c r="P852" s="70"/>
      <c r="Q852" s="70"/>
      <c r="R852" s="70"/>
      <c r="S852" s="70"/>
      <c r="T852" s="70"/>
      <c r="U852" s="70"/>
      <c r="V852" s="70"/>
      <c r="W852" s="70"/>
      <c r="X852" s="70"/>
      <c r="Y852" s="70"/>
      <c r="Z852" s="70"/>
      <c r="AA852" s="70"/>
      <c r="AB852" s="70"/>
      <c r="AC852" s="70"/>
      <c r="AD852" s="76"/>
      <c r="AE852" s="76"/>
      <c r="AF852" s="76"/>
      <c r="AG852" s="76"/>
      <c r="AH852" s="76"/>
      <c r="AI852" s="76"/>
      <c r="AJ852" s="76"/>
      <c r="AK852" s="76"/>
      <c r="AL852" s="76"/>
      <c r="AM852" s="76"/>
      <c r="AN852" s="76"/>
      <c r="AO852" s="76"/>
      <c r="AP852" s="76"/>
      <c r="AQ852" s="76"/>
      <c r="AR852" s="76"/>
      <c r="AS852" s="76"/>
      <c r="AT852" s="76"/>
      <c r="AU852" s="76"/>
      <c r="AV852" s="76"/>
      <c r="AW852" s="76"/>
      <c r="AX852" s="76"/>
    </row>
    <row r="853" ht="15.75" customHeight="1">
      <c r="A853" s="108" t="s">
        <v>108</v>
      </c>
      <c r="B853" s="121" t="s">
        <v>5369</v>
      </c>
      <c r="C853" s="31"/>
      <c r="D853" s="31"/>
      <c r="E853" s="31"/>
      <c r="F853" s="108"/>
      <c r="G853" s="108"/>
      <c r="H853" s="108"/>
      <c r="I853" s="108"/>
      <c r="J853" s="108"/>
      <c r="K853" s="108"/>
      <c r="L853" s="108"/>
      <c r="M853" s="108"/>
      <c r="N853" s="108"/>
      <c r="O853" s="108"/>
      <c r="P853" s="108"/>
      <c r="Q853" s="108"/>
      <c r="R853" s="108"/>
      <c r="S853" s="108"/>
      <c r="T853" s="121" t="s">
        <v>6336</v>
      </c>
      <c r="U853" s="108"/>
      <c r="V853" s="108"/>
      <c r="W853" s="108"/>
      <c r="X853" s="108"/>
      <c r="Y853" s="108"/>
      <c r="Z853" s="108"/>
      <c r="AA853" s="108"/>
      <c r="AB853" s="108"/>
      <c r="AC853" s="108"/>
      <c r="AD853" s="76"/>
      <c r="AE853" s="76"/>
      <c r="AF853" s="76"/>
      <c r="AG853" s="76"/>
      <c r="AH853" s="76"/>
      <c r="AI853" s="76"/>
      <c r="AJ853" s="76"/>
      <c r="AK853" s="76"/>
      <c r="AL853" s="76"/>
      <c r="AM853" s="76"/>
      <c r="AN853" s="76"/>
      <c r="AO853" s="76"/>
      <c r="AP853" s="76"/>
      <c r="AQ853" s="76"/>
      <c r="AR853" s="76"/>
      <c r="AS853" s="76"/>
      <c r="AT853" s="76"/>
      <c r="AU853" s="76"/>
      <c r="AV853" s="76"/>
      <c r="AW853" s="76"/>
      <c r="AX853" s="76"/>
    </row>
    <row r="854" ht="15.75" customHeight="1">
      <c r="A854" s="162" t="s">
        <v>214</v>
      </c>
      <c r="B854" s="163" t="s">
        <v>5370</v>
      </c>
      <c r="C854" s="31" t="s">
        <v>6337</v>
      </c>
      <c r="D854" s="31" t="s">
        <v>6338</v>
      </c>
      <c r="E854" s="31" t="s">
        <v>6339</v>
      </c>
      <c r="F854" s="31" t="s">
        <v>6244</v>
      </c>
      <c r="G854" s="31" t="s">
        <v>6340</v>
      </c>
      <c r="H854" s="31" t="s">
        <v>6246</v>
      </c>
      <c r="I854" s="162"/>
      <c r="J854" s="163" t="s">
        <v>6247</v>
      </c>
      <c r="K854" s="162" t="s">
        <v>6248</v>
      </c>
      <c r="L854" s="162"/>
      <c r="M854" s="162"/>
      <c r="N854" s="162"/>
      <c r="O854" s="162" t="s">
        <v>6332</v>
      </c>
      <c r="P854" s="162"/>
      <c r="Q854" s="162" t="s">
        <v>166</v>
      </c>
      <c r="R854" s="162"/>
      <c r="S854" s="162"/>
      <c r="T854" s="162"/>
      <c r="U854" s="162"/>
      <c r="V854" s="162"/>
      <c r="W854" s="162"/>
      <c r="X854" s="162"/>
      <c r="Y854" s="162"/>
      <c r="Z854" s="162"/>
      <c r="AA854" s="162"/>
      <c r="AB854" s="162"/>
      <c r="AC854" s="162"/>
      <c r="AD854" s="76"/>
      <c r="AE854" s="76"/>
      <c r="AF854" s="76"/>
      <c r="AG854" s="76"/>
      <c r="AH854" s="76"/>
      <c r="AI854" s="76"/>
      <c r="AJ854" s="76"/>
      <c r="AK854" s="76"/>
      <c r="AL854" s="76"/>
      <c r="AM854" s="76"/>
      <c r="AN854" s="76"/>
      <c r="AO854" s="76"/>
      <c r="AP854" s="76"/>
      <c r="AQ854" s="76"/>
      <c r="AR854" s="76"/>
      <c r="AS854" s="76"/>
      <c r="AT854" s="76"/>
      <c r="AU854" s="76"/>
      <c r="AV854" s="76"/>
      <c r="AW854" s="76"/>
      <c r="AX854" s="76"/>
    </row>
    <row r="855" ht="15.75" customHeight="1">
      <c r="A855" s="84" t="s">
        <v>1909</v>
      </c>
      <c r="B855" s="159" t="s">
        <v>5374</v>
      </c>
      <c r="C855" s="31" t="s">
        <v>6341</v>
      </c>
      <c r="D855" s="31" t="s">
        <v>6342</v>
      </c>
      <c r="E855" s="31" t="s">
        <v>6343</v>
      </c>
      <c r="F855" s="31"/>
      <c r="G855" s="31"/>
      <c r="H855" s="31"/>
      <c r="I855" s="84"/>
      <c r="J855" s="159"/>
      <c r="K855" s="84"/>
      <c r="L855" s="84"/>
      <c r="M855" s="84"/>
      <c r="N855" s="84"/>
      <c r="O855" s="84" t="s">
        <v>6332</v>
      </c>
      <c r="P855" s="84"/>
      <c r="Q855" s="84" t="s">
        <v>166</v>
      </c>
      <c r="R855" s="84"/>
      <c r="S855" s="84"/>
      <c r="T855" s="84"/>
      <c r="U855" s="84"/>
      <c r="V855" s="84"/>
      <c r="W855" s="84"/>
      <c r="X855" s="84"/>
      <c r="Y855" s="84"/>
      <c r="Z855" s="84"/>
      <c r="AA855" s="84"/>
      <c r="AB855" s="84"/>
      <c r="AC855" s="84"/>
      <c r="AD855" s="76"/>
      <c r="AE855" s="76"/>
      <c r="AF855" s="76"/>
      <c r="AG855" s="76"/>
      <c r="AH855" s="76"/>
      <c r="AI855" s="76"/>
      <c r="AJ855" s="76"/>
      <c r="AK855" s="76"/>
      <c r="AL855" s="76"/>
      <c r="AM855" s="76"/>
      <c r="AN855" s="76"/>
      <c r="AO855" s="76"/>
      <c r="AP855" s="76"/>
      <c r="AQ855" s="76"/>
      <c r="AR855" s="76"/>
      <c r="AS855" s="76"/>
      <c r="AT855" s="76"/>
      <c r="AU855" s="76"/>
      <c r="AV855" s="76"/>
      <c r="AW855" s="76"/>
      <c r="AX855" s="76"/>
    </row>
    <row r="856" ht="15.75" customHeight="1">
      <c r="A856" s="84" t="s">
        <v>338</v>
      </c>
      <c r="B856" s="159" t="s">
        <v>5378</v>
      </c>
      <c r="C856" s="31" t="s">
        <v>6344</v>
      </c>
      <c r="D856" s="31" t="s">
        <v>6345</v>
      </c>
      <c r="E856" s="31" t="s">
        <v>6346</v>
      </c>
      <c r="F856" s="31"/>
      <c r="G856" s="31"/>
      <c r="H856" s="31"/>
      <c r="I856" s="84"/>
      <c r="J856" s="159"/>
      <c r="K856" s="84"/>
      <c r="L856" s="84"/>
      <c r="M856" s="84"/>
      <c r="N856" s="84"/>
      <c r="O856" s="84" t="s">
        <v>6332</v>
      </c>
      <c r="P856" s="84"/>
      <c r="Q856" s="84" t="s">
        <v>166</v>
      </c>
      <c r="R856" s="84"/>
      <c r="S856" s="84"/>
      <c r="T856" s="84"/>
      <c r="U856" s="84"/>
      <c r="V856" s="84"/>
      <c r="W856" s="84"/>
      <c r="X856" s="84"/>
      <c r="Y856" s="84"/>
      <c r="Z856" s="84"/>
      <c r="AA856" s="84"/>
      <c r="AB856" s="84"/>
      <c r="AC856" s="84"/>
      <c r="AD856" s="76"/>
      <c r="AE856" s="76"/>
      <c r="AF856" s="76"/>
      <c r="AG856" s="76"/>
      <c r="AH856" s="76"/>
      <c r="AI856" s="76"/>
      <c r="AJ856" s="76"/>
      <c r="AK856" s="76"/>
      <c r="AL856" s="76"/>
      <c r="AM856" s="76"/>
      <c r="AN856" s="76"/>
      <c r="AO856" s="76"/>
      <c r="AP856" s="76"/>
      <c r="AQ856" s="76"/>
      <c r="AR856" s="76"/>
      <c r="AS856" s="76"/>
      <c r="AT856" s="76"/>
      <c r="AU856" s="76"/>
      <c r="AV856" s="76"/>
      <c r="AW856" s="76"/>
      <c r="AX856" s="76"/>
    </row>
    <row r="857" ht="15.75" customHeight="1">
      <c r="A857" s="154" t="s">
        <v>42</v>
      </c>
      <c r="B857" s="274" t="s">
        <v>5382</v>
      </c>
      <c r="C857" s="31" t="s">
        <v>6347</v>
      </c>
      <c r="D857" s="31" t="s">
        <v>6348</v>
      </c>
      <c r="E857" s="31" t="s">
        <v>6349</v>
      </c>
      <c r="F857" s="31"/>
      <c r="G857" s="31"/>
      <c r="H857" s="31"/>
      <c r="I857" s="154"/>
      <c r="J857" s="154"/>
      <c r="K857" s="154"/>
      <c r="L857" s="154"/>
      <c r="M857" s="154"/>
      <c r="N857" s="154"/>
      <c r="O857" s="154" t="s">
        <v>6350</v>
      </c>
      <c r="P857" s="154"/>
      <c r="Q857" s="154" t="s">
        <v>166</v>
      </c>
      <c r="R857" s="154"/>
      <c r="S857" s="154"/>
      <c r="T857" s="154"/>
      <c r="U857" s="154"/>
      <c r="V857" s="154"/>
      <c r="W857" s="154"/>
      <c r="X857" s="154"/>
      <c r="Y857" s="154"/>
      <c r="Z857" s="154"/>
      <c r="AA857" s="154"/>
      <c r="AB857" s="154"/>
      <c r="AC857" s="154"/>
      <c r="AD857" s="76"/>
      <c r="AE857" s="76"/>
      <c r="AF857" s="76"/>
      <c r="AG857" s="76"/>
      <c r="AH857" s="76"/>
      <c r="AI857" s="76"/>
      <c r="AJ857" s="76"/>
      <c r="AK857" s="76"/>
      <c r="AL857" s="76"/>
      <c r="AM857" s="76"/>
      <c r="AN857" s="76"/>
      <c r="AO857" s="76"/>
      <c r="AP857" s="76"/>
      <c r="AQ857" s="76"/>
      <c r="AR857" s="76"/>
      <c r="AS857" s="76"/>
      <c r="AT857" s="76"/>
      <c r="AU857" s="76"/>
      <c r="AV857" s="76"/>
      <c r="AW857" s="76"/>
      <c r="AX857" s="76"/>
    </row>
    <row r="858" ht="15.75" customHeight="1">
      <c r="A858" s="84" t="s">
        <v>5202</v>
      </c>
      <c r="B858" s="159" t="s">
        <v>5386</v>
      </c>
      <c r="C858" s="31" t="s">
        <v>6351</v>
      </c>
      <c r="D858" s="31" t="s">
        <v>6352</v>
      </c>
      <c r="E858" s="31" t="s">
        <v>6353</v>
      </c>
      <c r="F858" s="31"/>
      <c r="G858" s="31"/>
      <c r="H858" s="31"/>
      <c r="I858" s="84"/>
      <c r="J858" s="159"/>
      <c r="K858" s="84"/>
      <c r="L858" s="84"/>
      <c r="M858" s="84"/>
      <c r="N858" s="84"/>
      <c r="O858" s="84" t="s">
        <v>6332</v>
      </c>
      <c r="P858" s="84"/>
      <c r="Q858" s="84" t="s">
        <v>166</v>
      </c>
      <c r="R858" s="84"/>
      <c r="S858" s="84"/>
      <c r="T858" s="84"/>
      <c r="U858" s="84"/>
      <c r="V858" s="84"/>
      <c r="W858" s="84"/>
      <c r="X858" s="84"/>
      <c r="Y858" s="84"/>
      <c r="Z858" s="84"/>
      <c r="AA858" s="84"/>
      <c r="AB858" s="84"/>
      <c r="AC858" s="84"/>
      <c r="AD858" s="76"/>
      <c r="AE858" s="76"/>
      <c r="AF858" s="76"/>
      <c r="AG858" s="76"/>
      <c r="AH858" s="76"/>
      <c r="AI858" s="76"/>
      <c r="AJ858" s="76"/>
      <c r="AK858" s="76"/>
      <c r="AL858" s="76"/>
      <c r="AM858" s="76"/>
      <c r="AN858" s="76"/>
      <c r="AO858" s="76"/>
      <c r="AP858" s="76"/>
      <c r="AQ858" s="76"/>
      <c r="AR858" s="76"/>
      <c r="AS858" s="76"/>
      <c r="AT858" s="76"/>
      <c r="AU858" s="76"/>
      <c r="AV858" s="76"/>
      <c r="AW858" s="76"/>
      <c r="AX858" s="76"/>
    </row>
    <row r="859" ht="15.75" customHeight="1">
      <c r="A859" s="154" t="s">
        <v>42</v>
      </c>
      <c r="B859" s="274" t="s">
        <v>5391</v>
      </c>
      <c r="C859" s="31" t="s">
        <v>6354</v>
      </c>
      <c r="D859" s="31" t="s">
        <v>6355</v>
      </c>
      <c r="E859" s="31" t="s">
        <v>6356</v>
      </c>
      <c r="F859" s="31"/>
      <c r="G859" s="31"/>
      <c r="H859" s="31"/>
      <c r="I859" s="154"/>
      <c r="J859" s="154"/>
      <c r="K859" s="154"/>
      <c r="L859" s="154"/>
      <c r="M859" s="154"/>
      <c r="N859" s="154"/>
      <c r="O859" s="154" t="s">
        <v>6357</v>
      </c>
      <c r="P859" s="154"/>
      <c r="Q859" s="154" t="s">
        <v>166</v>
      </c>
      <c r="R859" s="154"/>
      <c r="S859" s="154"/>
      <c r="T859" s="154"/>
      <c r="U859" s="154"/>
      <c r="V859" s="154"/>
      <c r="W859" s="154"/>
      <c r="X859" s="154"/>
      <c r="Y859" s="154"/>
      <c r="Z859" s="154"/>
      <c r="AA859" s="154"/>
      <c r="AB859" s="154"/>
      <c r="AC859" s="154"/>
      <c r="AD859" s="76"/>
      <c r="AE859" s="76"/>
      <c r="AF859" s="76"/>
      <c r="AG859" s="76"/>
      <c r="AH859" s="76"/>
      <c r="AI859" s="76"/>
      <c r="AJ859" s="76"/>
      <c r="AK859" s="76"/>
      <c r="AL859" s="76"/>
      <c r="AM859" s="76"/>
      <c r="AN859" s="76"/>
      <c r="AO859" s="76"/>
      <c r="AP859" s="76"/>
      <c r="AQ859" s="76"/>
      <c r="AR859" s="76"/>
      <c r="AS859" s="76"/>
      <c r="AT859" s="76"/>
      <c r="AU859" s="76"/>
      <c r="AV859" s="76"/>
      <c r="AW859" s="76"/>
      <c r="AX859" s="76"/>
    </row>
    <row r="860" ht="15.75" customHeight="1">
      <c r="A860" s="70" t="s">
        <v>236</v>
      </c>
      <c r="B860" s="70" t="s">
        <v>5159</v>
      </c>
      <c r="C860" s="31" t="s">
        <v>5160</v>
      </c>
      <c r="D860" s="31" t="s">
        <v>5161</v>
      </c>
      <c r="E860" s="31" t="s">
        <v>5162</v>
      </c>
      <c r="F860" s="70"/>
      <c r="G860" s="70"/>
      <c r="H860" s="70"/>
      <c r="I860" s="70"/>
      <c r="J860" s="70"/>
      <c r="K860" s="70"/>
      <c r="L860" s="70"/>
      <c r="M860" s="70"/>
      <c r="N860" s="70"/>
      <c r="O860" s="70"/>
      <c r="P860" s="70"/>
      <c r="Q860" s="70"/>
      <c r="R860" s="70"/>
      <c r="S860" s="70"/>
      <c r="T860" s="70"/>
      <c r="U860" s="70"/>
      <c r="V860" s="70"/>
      <c r="W860" s="70"/>
      <c r="X860" s="70"/>
      <c r="Y860" s="70"/>
      <c r="Z860" s="70"/>
      <c r="AA860" s="70"/>
      <c r="AB860" s="70"/>
      <c r="AC860" s="70"/>
      <c r="AD860" s="76"/>
      <c r="AE860" s="76"/>
      <c r="AF860" s="76"/>
      <c r="AG860" s="76"/>
      <c r="AH860" s="76"/>
      <c r="AI860" s="76"/>
      <c r="AJ860" s="76"/>
      <c r="AK860" s="76"/>
      <c r="AL860" s="76"/>
      <c r="AM860" s="76"/>
      <c r="AN860" s="76"/>
      <c r="AO860" s="76"/>
      <c r="AP860" s="76"/>
      <c r="AQ860" s="76"/>
      <c r="AR860" s="76"/>
      <c r="AS860" s="76"/>
      <c r="AT860" s="76"/>
      <c r="AU860" s="76"/>
      <c r="AV860" s="76"/>
      <c r="AW860" s="76"/>
      <c r="AX860" s="76"/>
    </row>
    <row r="861" ht="15.75" customHeight="1">
      <c r="A861" s="76"/>
      <c r="B861" s="76"/>
      <c r="C861" s="31"/>
      <c r="D861" s="31"/>
      <c r="E861" s="31"/>
      <c r="F861" s="76"/>
      <c r="G861" s="76"/>
      <c r="H861" s="76"/>
      <c r="I861" s="76"/>
      <c r="J861" s="76"/>
      <c r="K861" s="76"/>
      <c r="L861" s="76"/>
      <c r="M861" s="76"/>
      <c r="N861" s="76"/>
      <c r="O861" s="76"/>
      <c r="P861" s="76"/>
      <c r="Q861" s="76"/>
      <c r="R861" s="76"/>
      <c r="S861" s="76"/>
      <c r="T861" s="76"/>
      <c r="U861" s="76"/>
      <c r="V861" s="76"/>
      <c r="W861" s="76"/>
      <c r="X861" s="76"/>
      <c r="Y861" s="76"/>
      <c r="Z861" s="76"/>
      <c r="AA861" s="76"/>
      <c r="AB861" s="76"/>
      <c r="AC861" s="76"/>
      <c r="AD861" s="76"/>
      <c r="AE861" s="76"/>
      <c r="AF861" s="76"/>
      <c r="AG861" s="76"/>
      <c r="AH861" s="76"/>
      <c r="AI861" s="76"/>
      <c r="AJ861" s="76"/>
      <c r="AK861" s="76"/>
      <c r="AL861" s="76"/>
      <c r="AM861" s="76"/>
      <c r="AN861" s="76"/>
      <c r="AO861" s="76"/>
      <c r="AP861" s="76"/>
      <c r="AQ861" s="76"/>
      <c r="AR861" s="76"/>
      <c r="AS861" s="76"/>
      <c r="AT861" s="76"/>
      <c r="AU861" s="76"/>
      <c r="AV861" s="76"/>
      <c r="AW861" s="76"/>
      <c r="AX861" s="76"/>
    </row>
    <row r="862" ht="15.75" customHeight="1">
      <c r="A862" s="70" t="s">
        <v>150</v>
      </c>
      <c r="B862" s="71" t="s">
        <v>5398</v>
      </c>
      <c r="C862" s="31" t="s">
        <v>5399</v>
      </c>
      <c r="D862" s="31" t="s">
        <v>5400</v>
      </c>
      <c r="E862" s="31" t="s">
        <v>5401</v>
      </c>
      <c r="F862" s="70"/>
      <c r="G862" s="70"/>
      <c r="H862" s="70"/>
      <c r="I862" s="70"/>
      <c r="J862" s="71"/>
      <c r="K862" s="70"/>
      <c r="L862" s="70"/>
      <c r="M862" s="71"/>
      <c r="N862" s="71"/>
      <c r="O862" s="71"/>
      <c r="P862" s="70"/>
      <c r="Q862" s="70"/>
      <c r="R862" s="70"/>
      <c r="S862" s="70"/>
      <c r="T862" s="70"/>
      <c r="U862" s="70"/>
      <c r="V862" s="70"/>
      <c r="W862" s="70"/>
      <c r="X862" s="70"/>
      <c r="Y862" s="70"/>
      <c r="Z862" s="70"/>
      <c r="AA862" s="70"/>
      <c r="AB862" s="70"/>
      <c r="AC862" s="70"/>
      <c r="AD862" s="76"/>
      <c r="AE862" s="76"/>
      <c r="AF862" s="76"/>
      <c r="AG862" s="76"/>
      <c r="AH862" s="76"/>
      <c r="AI862" s="76"/>
      <c r="AJ862" s="76"/>
      <c r="AK862" s="76"/>
      <c r="AL862" s="76"/>
      <c r="AM862" s="76"/>
      <c r="AN862" s="76"/>
      <c r="AO862" s="76"/>
      <c r="AP862" s="76"/>
      <c r="AQ862" s="76"/>
      <c r="AR862" s="76"/>
      <c r="AS862" s="76"/>
      <c r="AT862" s="76"/>
      <c r="AU862" s="76"/>
      <c r="AV862" s="76"/>
      <c r="AW862" s="76"/>
      <c r="AX862" s="76"/>
    </row>
    <row r="863" ht="15.75" customHeight="1">
      <c r="A863" s="84" t="s">
        <v>5402</v>
      </c>
      <c r="B863" s="159" t="s">
        <v>5403</v>
      </c>
      <c r="C863" s="31" t="s">
        <v>6358</v>
      </c>
      <c r="D863" s="31" t="s">
        <v>6359</v>
      </c>
      <c r="E863" s="31" t="s">
        <v>6360</v>
      </c>
      <c r="F863" s="31"/>
      <c r="G863" s="31"/>
      <c r="H863" s="31"/>
      <c r="I863" s="84"/>
      <c r="J863" s="159"/>
      <c r="K863" s="84"/>
      <c r="L863" s="84"/>
      <c r="M863" s="84"/>
      <c r="N863" s="84"/>
      <c r="O863" s="84"/>
      <c r="P863" s="84"/>
      <c r="Q863" s="84" t="s">
        <v>166</v>
      </c>
      <c r="R863" s="84"/>
      <c r="S863" s="84"/>
      <c r="T863" s="84"/>
      <c r="U863" s="84"/>
      <c r="V863" s="84"/>
      <c r="W863" s="84"/>
      <c r="X863" s="84"/>
      <c r="Y863" s="84"/>
      <c r="Z863" s="84"/>
      <c r="AA863" s="84"/>
      <c r="AB863" s="84"/>
      <c r="AC863" s="84"/>
      <c r="AD863" s="76"/>
      <c r="AE863" s="76"/>
      <c r="AF863" s="76"/>
      <c r="AG863" s="76"/>
      <c r="AH863" s="76"/>
      <c r="AI863" s="76"/>
      <c r="AJ863" s="76"/>
      <c r="AK863" s="76"/>
      <c r="AL863" s="76"/>
      <c r="AM863" s="76"/>
      <c r="AN863" s="76"/>
      <c r="AO863" s="76"/>
      <c r="AP863" s="76"/>
      <c r="AQ863" s="76"/>
      <c r="AR863" s="76"/>
      <c r="AS863" s="76"/>
      <c r="AT863" s="76"/>
      <c r="AU863" s="76"/>
      <c r="AV863" s="76"/>
      <c r="AW863" s="76"/>
      <c r="AX863" s="76"/>
    </row>
    <row r="864" ht="15.75" customHeight="1">
      <c r="A864" s="84" t="s">
        <v>5407</v>
      </c>
      <c r="B864" s="159" t="s">
        <v>5408</v>
      </c>
      <c r="C864" s="31" t="s">
        <v>6361</v>
      </c>
      <c r="D864" s="31" t="s">
        <v>6362</v>
      </c>
      <c r="E864" s="31" t="s">
        <v>6363</v>
      </c>
      <c r="F864" s="31"/>
      <c r="G864" s="31"/>
      <c r="H864" s="31"/>
      <c r="I864" s="84"/>
      <c r="J864" s="159"/>
      <c r="K864" s="84"/>
      <c r="L864" s="84"/>
      <c r="M864" s="84"/>
      <c r="N864" s="84"/>
      <c r="O864" s="84"/>
      <c r="P864" s="84"/>
      <c r="Q864" s="84" t="s">
        <v>166</v>
      </c>
      <c r="R864" s="84"/>
      <c r="S864" s="84"/>
      <c r="T864" s="84"/>
      <c r="U864" s="84"/>
      <c r="V864" s="84"/>
      <c r="W864" s="84"/>
      <c r="X864" s="84"/>
      <c r="Y864" s="84"/>
      <c r="Z864" s="84"/>
      <c r="AA864" s="84"/>
      <c r="AB864" s="84"/>
      <c r="AC864" s="84"/>
      <c r="AD864" s="76"/>
      <c r="AE864" s="76"/>
      <c r="AF864" s="76"/>
      <c r="AG864" s="76"/>
      <c r="AH864" s="76"/>
      <c r="AI864" s="76"/>
      <c r="AJ864" s="76"/>
      <c r="AK864" s="76"/>
      <c r="AL864" s="76"/>
      <c r="AM864" s="76"/>
      <c r="AN864" s="76"/>
      <c r="AO864" s="76"/>
      <c r="AP864" s="76"/>
      <c r="AQ864" s="76"/>
      <c r="AR864" s="76"/>
      <c r="AS864" s="76"/>
      <c r="AT864" s="76"/>
      <c r="AU864" s="76"/>
      <c r="AV864" s="76"/>
      <c r="AW864" s="76"/>
      <c r="AX864" s="76"/>
    </row>
    <row r="865" ht="15.75" customHeight="1">
      <c r="A865" s="84" t="s">
        <v>5415</v>
      </c>
      <c r="B865" s="159" t="s">
        <v>5416</v>
      </c>
      <c r="C865" s="31" t="s">
        <v>6364</v>
      </c>
      <c r="D865" s="31" t="s">
        <v>6365</v>
      </c>
      <c r="E865" s="31" t="s">
        <v>6366</v>
      </c>
      <c r="F865" s="31"/>
      <c r="G865" s="31"/>
      <c r="H865" s="31"/>
      <c r="I865" s="84"/>
      <c r="J865" s="159"/>
      <c r="K865" s="84"/>
      <c r="L865" s="84"/>
      <c r="M865" s="84"/>
      <c r="N865" s="84"/>
      <c r="O865" s="84"/>
      <c r="P865" s="84"/>
      <c r="Q865" s="84" t="s">
        <v>166</v>
      </c>
      <c r="R865" s="84"/>
      <c r="S865" s="84"/>
      <c r="T865" s="84"/>
      <c r="U865" s="84"/>
      <c r="V865" s="84"/>
      <c r="W865" s="84"/>
      <c r="X865" s="84"/>
      <c r="Y865" s="84"/>
      <c r="Z865" s="84"/>
      <c r="AA865" s="84"/>
      <c r="AB865" s="84"/>
      <c r="AC865" s="84"/>
      <c r="AD865" s="76"/>
      <c r="AE865" s="76"/>
      <c r="AF865" s="76"/>
      <c r="AG865" s="76"/>
      <c r="AH865" s="76"/>
      <c r="AI865" s="76"/>
      <c r="AJ865" s="76"/>
      <c r="AK865" s="76"/>
      <c r="AL865" s="76"/>
      <c r="AM865" s="76"/>
      <c r="AN865" s="76"/>
      <c r="AO865" s="76"/>
      <c r="AP865" s="76"/>
      <c r="AQ865" s="76"/>
      <c r="AR865" s="76"/>
      <c r="AS865" s="76"/>
      <c r="AT865" s="76"/>
      <c r="AU865" s="76"/>
      <c r="AV865" s="76"/>
      <c r="AW865" s="76"/>
      <c r="AX865" s="76"/>
    </row>
    <row r="866" ht="15.75" customHeight="1">
      <c r="A866" s="84" t="s">
        <v>5420</v>
      </c>
      <c r="B866" s="159" t="s">
        <v>5421</v>
      </c>
      <c r="C866" s="31" t="s">
        <v>6367</v>
      </c>
      <c r="D866" s="31" t="s">
        <v>6368</v>
      </c>
      <c r="E866" s="31" t="s">
        <v>6369</v>
      </c>
      <c r="F866" s="31"/>
      <c r="G866" s="31"/>
      <c r="H866" s="31"/>
      <c r="I866" s="84"/>
      <c r="J866" s="159"/>
      <c r="K866" s="84"/>
      <c r="L866" s="84"/>
      <c r="M866" s="84"/>
      <c r="N866" s="84"/>
      <c r="O866" s="84"/>
      <c r="P866" s="84"/>
      <c r="Q866" s="84" t="s">
        <v>166</v>
      </c>
      <c r="R866" s="84"/>
      <c r="S866" s="84"/>
      <c r="T866" s="84"/>
      <c r="U866" s="84"/>
      <c r="V866" s="84"/>
      <c r="W866" s="84"/>
      <c r="X866" s="84"/>
      <c r="Y866" s="84"/>
      <c r="Z866" s="84"/>
      <c r="AA866" s="84"/>
      <c r="AB866" s="84"/>
      <c r="AC866" s="84"/>
      <c r="AD866" s="76"/>
      <c r="AE866" s="76"/>
      <c r="AF866" s="76"/>
      <c r="AG866" s="76"/>
      <c r="AH866" s="76"/>
      <c r="AI866" s="76"/>
      <c r="AJ866" s="76"/>
      <c r="AK866" s="76"/>
      <c r="AL866" s="76"/>
      <c r="AM866" s="76"/>
      <c r="AN866" s="76"/>
      <c r="AO866" s="76"/>
      <c r="AP866" s="76"/>
      <c r="AQ866" s="76"/>
      <c r="AR866" s="76"/>
      <c r="AS866" s="76"/>
      <c r="AT866" s="76"/>
      <c r="AU866" s="76"/>
      <c r="AV866" s="76"/>
      <c r="AW866" s="76"/>
      <c r="AX866" s="76"/>
    </row>
    <row r="867" ht="15.75" customHeight="1">
      <c r="A867" s="162" t="s">
        <v>214</v>
      </c>
      <c r="B867" s="163" t="s">
        <v>5428</v>
      </c>
      <c r="C867" s="31" t="s">
        <v>6370</v>
      </c>
      <c r="D867" s="31" t="s">
        <v>6371</v>
      </c>
      <c r="E867" s="31" t="s">
        <v>6372</v>
      </c>
      <c r="F867" s="31"/>
      <c r="G867" s="31" t="s">
        <v>6373</v>
      </c>
      <c r="H867" s="31"/>
      <c r="I867" s="162"/>
      <c r="J867" s="163"/>
      <c r="K867" s="162"/>
      <c r="L867" s="162"/>
      <c r="M867" s="162"/>
      <c r="N867" s="162"/>
      <c r="O867" s="162"/>
      <c r="P867" s="162"/>
      <c r="Q867" s="162"/>
      <c r="R867" s="162"/>
      <c r="S867" s="162"/>
      <c r="T867" s="162"/>
      <c r="U867" s="162"/>
      <c r="V867" s="162"/>
      <c r="W867" s="162"/>
      <c r="X867" s="162"/>
      <c r="Y867" s="162"/>
      <c r="Z867" s="162"/>
      <c r="AA867" s="162"/>
      <c r="AB867" s="162"/>
      <c r="AC867" s="162"/>
      <c r="AD867" s="76"/>
      <c r="AE867" s="76"/>
      <c r="AF867" s="76"/>
      <c r="AG867" s="76"/>
      <c r="AH867" s="76"/>
      <c r="AI867" s="76"/>
      <c r="AJ867" s="76"/>
      <c r="AK867" s="76"/>
      <c r="AL867" s="76"/>
      <c r="AM867" s="76"/>
      <c r="AN867" s="76"/>
      <c r="AO867" s="76"/>
      <c r="AP867" s="76"/>
      <c r="AQ867" s="76"/>
      <c r="AR867" s="76"/>
      <c r="AS867" s="76"/>
      <c r="AT867" s="76"/>
      <c r="AU867" s="76"/>
      <c r="AV867" s="76"/>
      <c r="AW867" s="76"/>
      <c r="AX867" s="76"/>
    </row>
    <row r="868" ht="15.75" customHeight="1">
      <c r="A868" s="279" t="s">
        <v>636</v>
      </c>
      <c r="B868" s="280" t="s">
        <v>5435</v>
      </c>
      <c r="C868" s="31" t="s">
        <v>5436</v>
      </c>
      <c r="D868" s="31" t="s">
        <v>5437</v>
      </c>
      <c r="E868" s="31" t="s">
        <v>5438</v>
      </c>
      <c r="F868" s="295" t="s">
        <v>6374</v>
      </c>
      <c r="G868" s="279" t="s">
        <v>6375</v>
      </c>
      <c r="H868" s="279"/>
      <c r="I868" s="279"/>
      <c r="J868" s="279"/>
      <c r="K868" s="279"/>
      <c r="L868" s="279"/>
      <c r="M868" s="279"/>
      <c r="N868" s="279"/>
      <c r="O868" s="279"/>
      <c r="P868" s="279"/>
      <c r="Q868" s="279"/>
      <c r="R868" s="279"/>
      <c r="S868" s="279"/>
      <c r="T868" s="279"/>
      <c r="U868" s="279"/>
      <c r="V868" s="279"/>
      <c r="W868" s="279"/>
      <c r="X868" s="279"/>
      <c r="Y868" s="279"/>
      <c r="Z868" s="279"/>
      <c r="AA868" s="279"/>
      <c r="AB868" s="279"/>
      <c r="AC868" s="279"/>
      <c r="AD868" s="76"/>
      <c r="AE868" s="76"/>
      <c r="AF868" s="76"/>
      <c r="AG868" s="76"/>
      <c r="AH868" s="76"/>
      <c r="AI868" s="76"/>
      <c r="AJ868" s="76"/>
      <c r="AK868" s="76"/>
      <c r="AL868" s="76"/>
      <c r="AM868" s="76"/>
      <c r="AN868" s="76"/>
      <c r="AO868" s="76"/>
      <c r="AP868" s="76"/>
      <c r="AQ868" s="76"/>
      <c r="AR868" s="76"/>
      <c r="AS868" s="76"/>
      <c r="AT868" s="76"/>
      <c r="AU868" s="76"/>
      <c r="AV868" s="76"/>
      <c r="AW868" s="76"/>
      <c r="AX868" s="76"/>
    </row>
    <row r="869" ht="15.75" customHeight="1">
      <c r="A869" s="67" t="s">
        <v>139</v>
      </c>
      <c r="B869" s="69" t="s">
        <v>5441</v>
      </c>
      <c r="C869" s="31"/>
      <c r="D869" s="31"/>
      <c r="E869" s="31"/>
      <c r="F869" s="70"/>
      <c r="G869" s="70"/>
      <c r="H869" s="70"/>
      <c r="I869" s="70"/>
      <c r="J869" s="71"/>
      <c r="K869" s="70"/>
      <c r="L869" s="70"/>
      <c r="M869" s="71"/>
      <c r="N869" s="71"/>
      <c r="O869" s="72"/>
      <c r="P869" s="70"/>
      <c r="Q869" s="70"/>
      <c r="R869" s="70"/>
      <c r="S869" s="70"/>
      <c r="T869" s="73" t="s">
        <v>145</v>
      </c>
      <c r="U869" s="70"/>
      <c r="V869" s="70"/>
      <c r="W869" s="70"/>
      <c r="X869" s="70"/>
      <c r="Y869" s="70"/>
      <c r="Z869" s="70"/>
      <c r="AA869" s="70"/>
      <c r="AB869" s="70"/>
      <c r="AC869" s="70"/>
      <c r="AD869" s="76"/>
      <c r="AE869" s="76"/>
      <c r="AF869" s="76"/>
      <c r="AG869" s="76"/>
      <c r="AH869" s="76"/>
      <c r="AI869" s="76"/>
      <c r="AJ869" s="76"/>
      <c r="AK869" s="76"/>
      <c r="AL869" s="76"/>
      <c r="AM869" s="76"/>
      <c r="AN869" s="76"/>
      <c r="AO869" s="76"/>
      <c r="AP869" s="76"/>
      <c r="AQ869" s="76"/>
      <c r="AR869" s="76"/>
      <c r="AS869" s="76"/>
      <c r="AT869" s="76"/>
      <c r="AU869" s="76"/>
      <c r="AV869" s="76"/>
      <c r="AW869" s="76"/>
      <c r="AX869" s="76"/>
    </row>
    <row r="870" ht="15.75" customHeight="1">
      <c r="A870" s="65" t="s">
        <v>108</v>
      </c>
      <c r="B870" s="65" t="s">
        <v>5443</v>
      </c>
      <c r="C870" s="31"/>
      <c r="D870" s="31"/>
      <c r="E870" s="31"/>
      <c r="F870" s="30"/>
      <c r="G870" s="30"/>
      <c r="H870" s="30"/>
      <c r="I870" s="30"/>
      <c r="J870" s="30"/>
      <c r="K870" s="30"/>
      <c r="L870" s="30"/>
      <c r="M870" s="30"/>
      <c r="N870" s="30"/>
      <c r="O870" s="65"/>
      <c r="P870" s="30"/>
      <c r="Q870" s="30"/>
      <c r="R870" s="30"/>
      <c r="S870" s="30"/>
      <c r="T870" s="65" t="s">
        <v>6376</v>
      </c>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row>
    <row r="871" ht="15.75" customHeight="1">
      <c r="A871" s="70" t="s">
        <v>236</v>
      </c>
      <c r="B871" s="70" t="s">
        <v>5398</v>
      </c>
      <c r="C871" s="31" t="s">
        <v>5399</v>
      </c>
      <c r="D871" s="31" t="s">
        <v>5400</v>
      </c>
      <c r="E871" s="31" t="s">
        <v>5445</v>
      </c>
      <c r="F871" s="70"/>
      <c r="G871" s="70"/>
      <c r="H871" s="70"/>
      <c r="I871" s="70"/>
      <c r="J871" s="70"/>
      <c r="K871" s="70"/>
      <c r="L871" s="70"/>
      <c r="M871" s="70"/>
      <c r="N871" s="70"/>
      <c r="O871" s="70"/>
      <c r="P871" s="70"/>
      <c r="Q871" s="70"/>
      <c r="R871" s="70"/>
      <c r="S871" s="70"/>
      <c r="T871" s="70"/>
      <c r="U871" s="70"/>
      <c r="V871" s="70"/>
      <c r="W871" s="70"/>
      <c r="X871" s="70"/>
      <c r="Y871" s="70"/>
      <c r="Z871" s="70"/>
      <c r="AA871" s="70"/>
      <c r="AB871" s="70"/>
      <c r="AC871" s="70"/>
      <c r="AD871" s="76"/>
      <c r="AE871" s="76"/>
      <c r="AF871" s="76"/>
      <c r="AG871" s="76"/>
      <c r="AH871" s="76"/>
      <c r="AI871" s="76"/>
      <c r="AJ871" s="76"/>
      <c r="AK871" s="76"/>
      <c r="AL871" s="76"/>
      <c r="AM871" s="76"/>
      <c r="AN871" s="76"/>
      <c r="AO871" s="76"/>
      <c r="AP871" s="76"/>
      <c r="AQ871" s="76"/>
      <c r="AR871" s="76"/>
      <c r="AS871" s="76"/>
      <c r="AT871" s="76"/>
      <c r="AU871" s="76"/>
      <c r="AV871" s="76"/>
      <c r="AW871" s="76"/>
      <c r="AX871" s="76"/>
    </row>
    <row r="872" ht="15.75" customHeight="1">
      <c r="A872" s="76"/>
      <c r="B872" s="76"/>
      <c r="C872" s="31"/>
      <c r="D872" s="31"/>
      <c r="E872" s="31"/>
      <c r="F872" s="76"/>
      <c r="G872" s="76"/>
      <c r="H872" s="76"/>
      <c r="I872" s="76"/>
      <c r="J872" s="76"/>
      <c r="K872" s="76"/>
      <c r="L872" s="76"/>
      <c r="M872" s="76"/>
      <c r="N872" s="76"/>
      <c r="O872" s="76"/>
      <c r="P872" s="76"/>
      <c r="Q872" s="76"/>
      <c r="R872" s="76"/>
      <c r="S872" s="76"/>
      <c r="T872" s="76"/>
      <c r="U872" s="76"/>
      <c r="V872" s="76"/>
      <c r="W872" s="76"/>
      <c r="X872" s="76"/>
      <c r="Y872" s="76"/>
      <c r="Z872" s="76"/>
      <c r="AA872" s="76"/>
      <c r="AB872" s="76"/>
      <c r="AC872" s="76"/>
      <c r="AD872" s="76"/>
      <c r="AE872" s="76"/>
      <c r="AF872" s="76"/>
      <c r="AG872" s="76"/>
      <c r="AH872" s="76"/>
      <c r="AI872" s="76"/>
      <c r="AJ872" s="76"/>
      <c r="AK872" s="76"/>
      <c r="AL872" s="76"/>
      <c r="AM872" s="76"/>
      <c r="AN872" s="76"/>
      <c r="AO872" s="76"/>
      <c r="AP872" s="76"/>
      <c r="AQ872" s="76"/>
      <c r="AR872" s="76"/>
      <c r="AS872" s="76"/>
      <c r="AT872" s="76"/>
      <c r="AU872" s="76"/>
      <c r="AV872" s="76"/>
      <c r="AW872" s="76"/>
      <c r="AX872" s="76"/>
    </row>
    <row r="873" ht="15.75" customHeight="1">
      <c r="A873" s="70" t="s">
        <v>236</v>
      </c>
      <c r="B873" s="70" t="s">
        <v>418</v>
      </c>
      <c r="C873" s="31"/>
      <c r="D873" s="31"/>
      <c r="E873" s="31"/>
      <c r="F873" s="70"/>
      <c r="G873" s="70"/>
      <c r="H873" s="70"/>
      <c r="I873" s="70"/>
      <c r="J873" s="70"/>
      <c r="K873" s="70"/>
      <c r="L873" s="70"/>
      <c r="M873" s="70"/>
      <c r="N873" s="70"/>
      <c r="O873" s="70"/>
      <c r="P873" s="70"/>
      <c r="Q873" s="70"/>
      <c r="R873" s="70"/>
      <c r="S873" s="70"/>
      <c r="T873" s="70"/>
      <c r="U873" s="70"/>
      <c r="V873" s="70"/>
      <c r="W873" s="70"/>
      <c r="X873" s="70"/>
      <c r="Y873" s="70"/>
      <c r="Z873" s="70"/>
      <c r="AA873" s="70"/>
      <c r="AB873" s="70"/>
      <c r="AC873" s="70"/>
      <c r="AD873" s="76"/>
      <c r="AE873" s="76"/>
      <c r="AF873" s="76"/>
      <c r="AG873" s="76"/>
      <c r="AH873" s="76"/>
      <c r="AI873" s="76"/>
      <c r="AJ873" s="76"/>
      <c r="AK873" s="76"/>
      <c r="AL873" s="76"/>
      <c r="AM873" s="76"/>
      <c r="AN873" s="76"/>
      <c r="AO873" s="76"/>
      <c r="AP873" s="76"/>
      <c r="AQ873" s="76"/>
      <c r="AR873" s="76"/>
      <c r="AS873" s="76"/>
      <c r="AT873" s="76"/>
      <c r="AU873" s="76"/>
      <c r="AV873" s="76"/>
      <c r="AW873" s="76"/>
      <c r="AX873" s="76"/>
    </row>
    <row r="874" ht="15.75" customHeight="1">
      <c r="A874" s="154" t="s">
        <v>42</v>
      </c>
      <c r="B874" s="274" t="s">
        <v>5446</v>
      </c>
      <c r="C874" s="31" t="s">
        <v>6377</v>
      </c>
      <c r="D874" s="31" t="s">
        <v>6378</v>
      </c>
      <c r="E874" s="31" t="s">
        <v>6379</v>
      </c>
      <c r="F874" s="31"/>
      <c r="G874" s="31"/>
      <c r="H874" s="31"/>
      <c r="I874" s="154"/>
      <c r="J874" s="154"/>
      <c r="K874" s="154"/>
      <c r="L874" s="154"/>
      <c r="M874" s="154"/>
      <c r="N874" s="154"/>
      <c r="O874" s="154"/>
      <c r="P874" s="154"/>
      <c r="Q874" s="154"/>
      <c r="R874" s="154"/>
      <c r="S874" s="154"/>
      <c r="T874" s="154"/>
      <c r="U874" s="154"/>
      <c r="V874" s="154"/>
      <c r="W874" s="154"/>
      <c r="X874" s="154"/>
      <c r="Y874" s="154"/>
      <c r="Z874" s="154"/>
      <c r="AA874" s="154"/>
      <c r="AB874" s="154"/>
      <c r="AC874" s="154"/>
      <c r="AD874" s="76"/>
      <c r="AE874" s="76"/>
      <c r="AF874" s="76"/>
      <c r="AG874" s="76"/>
      <c r="AH874" s="76"/>
      <c r="AI874" s="76"/>
      <c r="AJ874" s="76"/>
      <c r="AK874" s="76"/>
      <c r="AL874" s="76"/>
      <c r="AM874" s="76"/>
      <c r="AN874" s="76"/>
      <c r="AO874" s="76"/>
      <c r="AP874" s="76"/>
      <c r="AQ874" s="76"/>
      <c r="AR874" s="76"/>
      <c r="AS874" s="76"/>
      <c r="AT874" s="76"/>
      <c r="AU874" s="76"/>
      <c r="AV874" s="76"/>
      <c r="AW874" s="76"/>
      <c r="AX874" s="76"/>
    </row>
    <row r="875" ht="15.75" customHeight="1">
      <c r="A875" s="65" t="s">
        <v>236</v>
      </c>
      <c r="B875" s="65" t="s">
        <v>328</v>
      </c>
      <c r="C875" s="31"/>
      <c r="D875" s="31"/>
      <c r="E875" s="31"/>
      <c r="F875" s="76"/>
      <c r="G875" s="76"/>
      <c r="H875" s="76"/>
      <c r="I875" s="76"/>
      <c r="J875" s="76"/>
      <c r="K875" s="76"/>
      <c r="L875" s="76"/>
      <c r="M875" s="76"/>
      <c r="N875" s="76"/>
      <c r="O875" s="76"/>
      <c r="P875" s="76"/>
      <c r="Q875" s="76"/>
      <c r="R875" s="76"/>
      <c r="S875" s="76"/>
      <c r="T875" s="76"/>
      <c r="U875" s="76"/>
      <c r="V875" s="76"/>
      <c r="W875" s="76"/>
      <c r="X875" s="76"/>
      <c r="Y875" s="76"/>
      <c r="Z875" s="76"/>
      <c r="AA875" s="76"/>
      <c r="AB875" s="76"/>
      <c r="AC875" s="76"/>
      <c r="AD875" s="76"/>
      <c r="AE875" s="76"/>
      <c r="AF875" s="76"/>
      <c r="AG875" s="76"/>
      <c r="AH875" s="76"/>
      <c r="AI875" s="76"/>
      <c r="AJ875" s="76"/>
      <c r="AK875" s="76"/>
      <c r="AL875" s="76"/>
      <c r="AM875" s="76"/>
      <c r="AN875" s="76"/>
      <c r="AO875" s="76"/>
      <c r="AP875" s="76"/>
      <c r="AQ875" s="76"/>
      <c r="AR875" s="76"/>
      <c r="AS875" s="76"/>
      <c r="AT875" s="76"/>
      <c r="AU875" s="76"/>
      <c r="AV875" s="76"/>
      <c r="AW875" s="76"/>
      <c r="AX875" s="76"/>
    </row>
    <row r="876">
      <c r="A876" s="130"/>
      <c r="B876" s="130"/>
      <c r="C876" s="31"/>
      <c r="D876" s="31"/>
      <c r="E876" s="31"/>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c r="AC876" s="130"/>
      <c r="AD876" s="130"/>
      <c r="AE876" s="130"/>
      <c r="AF876" s="130"/>
      <c r="AG876" s="130"/>
      <c r="AH876" s="130"/>
      <c r="AI876" s="130"/>
      <c r="AJ876" s="130"/>
      <c r="AK876" s="130"/>
      <c r="AL876" s="130"/>
      <c r="AM876" s="130"/>
      <c r="AN876" s="130"/>
      <c r="AO876" s="130"/>
      <c r="AP876" s="130"/>
      <c r="AQ876" s="130"/>
      <c r="AR876" s="130"/>
      <c r="AS876" s="130"/>
      <c r="AT876" s="130"/>
      <c r="AU876" s="130"/>
      <c r="AV876" s="130"/>
      <c r="AW876" s="130"/>
      <c r="AX876" s="130"/>
    </row>
    <row r="877">
      <c r="A877" s="130"/>
      <c r="B877" s="130"/>
      <c r="C877" s="31"/>
      <c r="D877" s="31"/>
      <c r="E877" s="31"/>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c r="AC877" s="130"/>
      <c r="AD877" s="130"/>
      <c r="AE877" s="130"/>
      <c r="AF877" s="130"/>
      <c r="AG877" s="130"/>
      <c r="AH877" s="130"/>
      <c r="AI877" s="130"/>
      <c r="AJ877" s="130"/>
      <c r="AK877" s="130"/>
      <c r="AL877" s="130"/>
      <c r="AM877" s="130"/>
      <c r="AN877" s="130"/>
      <c r="AO877" s="130"/>
      <c r="AP877" s="130"/>
      <c r="AQ877" s="130"/>
      <c r="AR877" s="130"/>
      <c r="AS877" s="130"/>
      <c r="AT877" s="130"/>
      <c r="AU877" s="130"/>
      <c r="AV877" s="130"/>
      <c r="AW877" s="130"/>
      <c r="AX877" s="130"/>
    </row>
    <row r="878">
      <c r="A878" s="130"/>
      <c r="B878" s="130"/>
      <c r="C878" s="31"/>
      <c r="D878" s="31"/>
      <c r="E878" s="31"/>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c r="AC878" s="130"/>
      <c r="AD878" s="130"/>
      <c r="AE878" s="130"/>
      <c r="AF878" s="130"/>
      <c r="AG878" s="130"/>
      <c r="AH878" s="130"/>
      <c r="AI878" s="130"/>
      <c r="AJ878" s="130"/>
      <c r="AK878" s="130"/>
      <c r="AL878" s="130"/>
      <c r="AM878" s="130"/>
      <c r="AN878" s="130"/>
      <c r="AO878" s="130"/>
      <c r="AP878" s="130"/>
      <c r="AQ878" s="130"/>
      <c r="AR878" s="130"/>
      <c r="AS878" s="130"/>
      <c r="AT878" s="130"/>
      <c r="AU878" s="130"/>
      <c r="AV878" s="130"/>
      <c r="AW878" s="130"/>
      <c r="AX878" s="130"/>
    </row>
    <row r="879">
      <c r="A879" s="130"/>
      <c r="B879" s="130"/>
      <c r="C879" s="31"/>
      <c r="D879" s="31"/>
      <c r="E879" s="31"/>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c r="AC879" s="130"/>
      <c r="AD879" s="130"/>
      <c r="AE879" s="130"/>
      <c r="AF879" s="130"/>
      <c r="AG879" s="130"/>
      <c r="AH879" s="130"/>
      <c r="AI879" s="130"/>
      <c r="AJ879" s="130"/>
      <c r="AK879" s="130"/>
      <c r="AL879" s="130"/>
      <c r="AM879" s="130"/>
      <c r="AN879" s="130"/>
      <c r="AO879" s="130"/>
      <c r="AP879" s="130"/>
      <c r="AQ879" s="130"/>
      <c r="AR879" s="130"/>
      <c r="AS879" s="130"/>
      <c r="AT879" s="130"/>
      <c r="AU879" s="130"/>
      <c r="AV879" s="130"/>
      <c r="AW879" s="130"/>
      <c r="AX879" s="130"/>
    </row>
    <row r="880">
      <c r="A880" s="130"/>
      <c r="B880" s="130"/>
      <c r="C880" s="31"/>
      <c r="D880" s="31"/>
      <c r="E880" s="31"/>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c r="AC880" s="130"/>
      <c r="AD880" s="130"/>
      <c r="AE880" s="130"/>
      <c r="AF880" s="130"/>
      <c r="AG880" s="130"/>
      <c r="AH880" s="130"/>
      <c r="AI880" s="130"/>
      <c r="AJ880" s="130"/>
      <c r="AK880" s="130"/>
      <c r="AL880" s="130"/>
      <c r="AM880" s="130"/>
      <c r="AN880" s="130"/>
      <c r="AO880" s="130"/>
      <c r="AP880" s="130"/>
      <c r="AQ880" s="130"/>
      <c r="AR880" s="130"/>
      <c r="AS880" s="130"/>
      <c r="AT880" s="130"/>
      <c r="AU880" s="130"/>
      <c r="AV880" s="130"/>
      <c r="AW880" s="130"/>
      <c r="AX880" s="130"/>
    </row>
    <row r="881">
      <c r="A881" s="130"/>
      <c r="B881" s="130"/>
      <c r="C881" s="31"/>
      <c r="D881" s="31"/>
      <c r="E881" s="31"/>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c r="AC881" s="130"/>
      <c r="AD881" s="130"/>
      <c r="AE881" s="130"/>
      <c r="AF881" s="130"/>
      <c r="AG881" s="130"/>
      <c r="AH881" s="130"/>
      <c r="AI881" s="130"/>
      <c r="AJ881" s="130"/>
      <c r="AK881" s="130"/>
      <c r="AL881" s="130"/>
      <c r="AM881" s="130"/>
      <c r="AN881" s="130"/>
      <c r="AO881" s="130"/>
      <c r="AP881" s="130"/>
      <c r="AQ881" s="130"/>
      <c r="AR881" s="130"/>
      <c r="AS881" s="130"/>
      <c r="AT881" s="130"/>
      <c r="AU881" s="130"/>
      <c r="AV881" s="130"/>
      <c r="AW881" s="130"/>
      <c r="AX881" s="130"/>
    </row>
    <row r="882">
      <c r="A882" s="130"/>
      <c r="B882" s="130"/>
      <c r="C882" s="31"/>
      <c r="D882" s="31"/>
      <c r="E882" s="31"/>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c r="AC882" s="130"/>
      <c r="AD882" s="130"/>
      <c r="AE882" s="130"/>
      <c r="AF882" s="130"/>
      <c r="AG882" s="130"/>
      <c r="AH882" s="130"/>
      <c r="AI882" s="130"/>
      <c r="AJ882" s="130"/>
      <c r="AK882" s="130"/>
      <c r="AL882" s="130"/>
      <c r="AM882" s="130"/>
      <c r="AN882" s="130"/>
      <c r="AO882" s="130"/>
      <c r="AP882" s="130"/>
      <c r="AQ882" s="130"/>
      <c r="AR882" s="130"/>
      <c r="AS882" s="130"/>
      <c r="AT882" s="130"/>
      <c r="AU882" s="130"/>
      <c r="AV882" s="130"/>
      <c r="AW882" s="130"/>
      <c r="AX882" s="130"/>
    </row>
    <row r="883">
      <c r="A883" s="130"/>
      <c r="B883" s="130"/>
      <c r="C883" s="31"/>
      <c r="D883" s="31"/>
      <c r="E883" s="31"/>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c r="AC883" s="130"/>
      <c r="AD883" s="130"/>
      <c r="AE883" s="130"/>
      <c r="AF883" s="130"/>
      <c r="AG883" s="130"/>
      <c r="AH883" s="130"/>
      <c r="AI883" s="130"/>
      <c r="AJ883" s="130"/>
      <c r="AK883" s="130"/>
      <c r="AL883" s="130"/>
      <c r="AM883" s="130"/>
      <c r="AN883" s="130"/>
      <c r="AO883" s="130"/>
      <c r="AP883" s="130"/>
      <c r="AQ883" s="130"/>
      <c r="AR883" s="130"/>
      <c r="AS883" s="130"/>
      <c r="AT883" s="130"/>
      <c r="AU883" s="130"/>
      <c r="AV883" s="130"/>
      <c r="AW883" s="130"/>
      <c r="AX883" s="130"/>
    </row>
    <row r="884" ht="15.75" customHeight="1">
      <c r="A884" s="30"/>
      <c r="B884" s="30"/>
      <c r="C884" s="31"/>
      <c r="D884" s="31"/>
      <c r="E884" s="31"/>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row>
    <row r="885" ht="15.75" customHeight="1">
      <c r="A885" s="30"/>
      <c r="B885" s="30"/>
      <c r="C885" s="31"/>
      <c r="D885" s="31"/>
      <c r="E885" s="31"/>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row>
    <row r="886" ht="15.75" customHeight="1">
      <c r="A886" s="30"/>
      <c r="B886" s="30"/>
      <c r="C886" s="31"/>
      <c r="D886" s="31"/>
      <c r="E886" s="31"/>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row>
    <row r="887" ht="15.75" customHeight="1">
      <c r="A887" s="30"/>
      <c r="B887" s="30"/>
      <c r="C887" s="31"/>
      <c r="D887" s="31"/>
      <c r="E887" s="31"/>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row>
    <row r="888" ht="15.75" customHeight="1">
      <c r="A888" s="30"/>
      <c r="B888" s="30"/>
      <c r="C888" s="31"/>
      <c r="D888" s="31"/>
      <c r="E888" s="31"/>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row>
    <row r="889" ht="15.75" customHeight="1">
      <c r="A889" s="30"/>
      <c r="B889" s="30"/>
      <c r="C889" s="31"/>
      <c r="D889" s="31"/>
      <c r="E889" s="31"/>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row>
    <row r="890" ht="15.75" customHeight="1">
      <c r="A890" s="30"/>
      <c r="B890" s="30"/>
      <c r="C890" s="31"/>
      <c r="D890" s="31"/>
      <c r="E890" s="31"/>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row>
    <row r="891" ht="15.75" customHeight="1">
      <c r="A891" s="30"/>
      <c r="B891" s="30"/>
      <c r="C891" s="31"/>
      <c r="D891" s="31"/>
      <c r="E891" s="31"/>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row>
    <row r="892" ht="15.75" customHeight="1">
      <c r="A892" s="30"/>
      <c r="B892" s="30"/>
      <c r="C892" s="31"/>
      <c r="D892" s="31"/>
      <c r="E892" s="31"/>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row>
    <row r="893" ht="15.75" customHeight="1">
      <c r="A893" s="30"/>
      <c r="B893" s="30"/>
      <c r="C893" s="31"/>
      <c r="D893" s="31"/>
      <c r="E893" s="31"/>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row>
    <row r="894" ht="15.75" customHeight="1">
      <c r="A894" s="30"/>
      <c r="B894" s="30"/>
      <c r="C894" s="31"/>
      <c r="D894" s="31"/>
      <c r="E894" s="31"/>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row>
    <row r="895" ht="15.75" customHeight="1">
      <c r="A895" s="30"/>
      <c r="B895" s="30"/>
      <c r="C895" s="31"/>
      <c r="D895" s="31"/>
      <c r="E895" s="31"/>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row>
    <row r="896" ht="15.75" customHeight="1">
      <c r="A896" s="30"/>
      <c r="B896" s="30"/>
      <c r="C896" s="31"/>
      <c r="D896" s="31"/>
      <c r="E896" s="31"/>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row>
    <row r="897" ht="15.75" customHeight="1">
      <c r="A897" s="30"/>
      <c r="B897" s="30"/>
      <c r="C897" s="31"/>
      <c r="D897" s="31"/>
      <c r="E897" s="31"/>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row>
    <row r="898" ht="15.75" customHeight="1">
      <c r="A898" s="30"/>
      <c r="B898" s="30"/>
      <c r="C898" s="31"/>
      <c r="D898" s="31"/>
      <c r="E898" s="31"/>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row>
    <row r="899" ht="15.75" customHeight="1">
      <c r="A899" s="30"/>
      <c r="B899" s="30"/>
      <c r="C899" s="31"/>
      <c r="D899" s="31"/>
      <c r="E899" s="31"/>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row>
    <row r="900" ht="15.75" customHeight="1">
      <c r="A900" s="30"/>
      <c r="B900" s="30"/>
      <c r="C900" s="31"/>
      <c r="D900" s="31"/>
      <c r="E900" s="31"/>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row>
    <row r="901" ht="15.75" customHeight="1">
      <c r="A901" s="30"/>
      <c r="B901" s="30"/>
      <c r="C901" s="31"/>
      <c r="D901" s="31"/>
      <c r="E901" s="31"/>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row>
    <row r="902" ht="15.75" customHeight="1">
      <c r="A902" s="30"/>
      <c r="B902" s="30"/>
      <c r="C902" s="31"/>
      <c r="D902" s="31"/>
      <c r="E902" s="31"/>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row>
    <row r="903" ht="15.75" customHeight="1">
      <c r="A903" s="30"/>
      <c r="B903" s="30"/>
      <c r="C903" s="31"/>
      <c r="D903" s="31"/>
      <c r="E903" s="31"/>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row>
    <row r="904" ht="15.75" customHeight="1">
      <c r="A904" s="30"/>
      <c r="B904" s="30"/>
      <c r="C904" s="31"/>
      <c r="D904" s="31"/>
      <c r="E904" s="31"/>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row>
    <row r="905" ht="15.75" customHeight="1">
      <c r="A905" s="30"/>
      <c r="B905" s="30"/>
      <c r="C905" s="31"/>
      <c r="D905" s="31"/>
      <c r="E905" s="31"/>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row>
    <row r="906" ht="15.75" customHeight="1">
      <c r="A906" s="30"/>
      <c r="B906" s="30"/>
      <c r="C906" s="31"/>
      <c r="D906" s="31"/>
      <c r="E906" s="31"/>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row>
    <row r="907" ht="15.75" customHeight="1">
      <c r="A907" s="30"/>
      <c r="B907" s="30"/>
      <c r="C907" s="31"/>
      <c r="D907" s="31"/>
      <c r="E907" s="31"/>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row>
    <row r="908" ht="15.75" customHeight="1">
      <c r="A908" s="30"/>
      <c r="B908" s="30"/>
      <c r="C908" s="31"/>
      <c r="D908" s="31"/>
      <c r="E908" s="31"/>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row>
    <row r="909" ht="15.75" customHeight="1">
      <c r="A909" s="30"/>
      <c r="B909" s="30"/>
      <c r="C909" s="31"/>
      <c r="D909" s="31"/>
      <c r="E909" s="31"/>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row>
    <row r="910" ht="15.75" customHeight="1">
      <c r="A910" s="30"/>
      <c r="B910" s="30"/>
      <c r="C910" s="31"/>
      <c r="D910" s="31"/>
      <c r="E910" s="31"/>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row>
    <row r="911" ht="15.75" customHeight="1">
      <c r="A911" s="30"/>
      <c r="B911" s="30"/>
      <c r="C911" s="31"/>
      <c r="D911" s="31"/>
      <c r="E911" s="31"/>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row>
    <row r="912" ht="15.75" customHeight="1">
      <c r="A912" s="30"/>
      <c r="B912" s="30"/>
      <c r="C912" s="31"/>
      <c r="D912" s="31"/>
      <c r="E912" s="31"/>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row>
    <row r="913" ht="15.75" customHeight="1">
      <c r="A913" s="30"/>
      <c r="B913" s="30"/>
      <c r="C913" s="31"/>
      <c r="D913" s="31"/>
      <c r="E913" s="31"/>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row>
    <row r="914" ht="15.75" customHeight="1">
      <c r="A914" s="30"/>
      <c r="B914" s="30"/>
      <c r="C914" s="31"/>
      <c r="D914" s="31"/>
      <c r="E914" s="31"/>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row>
    <row r="915" ht="15.75" customHeight="1">
      <c r="A915" s="30"/>
      <c r="B915" s="30"/>
      <c r="C915" s="31"/>
      <c r="D915" s="31"/>
      <c r="E915" s="31"/>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row>
    <row r="916" ht="15.75" customHeight="1">
      <c r="A916" s="30"/>
      <c r="B916" s="30"/>
      <c r="C916" s="31"/>
      <c r="D916" s="31"/>
      <c r="E916" s="31"/>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row>
    <row r="917" ht="15.75" customHeight="1">
      <c r="A917" s="30"/>
      <c r="B917" s="30"/>
      <c r="C917" s="31"/>
      <c r="D917" s="31"/>
      <c r="E917" s="31"/>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row>
    <row r="918" ht="15.75" customHeight="1">
      <c r="A918" s="30"/>
      <c r="B918" s="30"/>
      <c r="C918" s="31"/>
      <c r="D918" s="31"/>
      <c r="E918" s="31"/>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row>
    <row r="919" ht="15.75" customHeight="1">
      <c r="A919" s="30"/>
      <c r="B919" s="30"/>
      <c r="C919" s="31"/>
      <c r="D919" s="31"/>
      <c r="E919" s="31"/>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row>
    <row r="920" ht="15.75" customHeight="1">
      <c r="A920" s="30"/>
      <c r="B920" s="30"/>
      <c r="C920" s="31"/>
      <c r="D920" s="31"/>
      <c r="E920" s="31"/>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row>
    <row r="921" ht="15.75" customHeight="1">
      <c r="A921" s="30"/>
      <c r="B921" s="30"/>
      <c r="C921" s="31"/>
      <c r="D921" s="31"/>
      <c r="E921" s="31"/>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row>
    <row r="922" ht="15.75" customHeight="1">
      <c r="A922" s="30"/>
      <c r="B922" s="30"/>
      <c r="C922" s="31"/>
      <c r="D922" s="31"/>
      <c r="E922" s="31"/>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row>
    <row r="923" ht="15.75" customHeight="1">
      <c r="A923" s="30"/>
      <c r="B923" s="30"/>
      <c r="C923" s="31"/>
      <c r="D923" s="31"/>
      <c r="E923" s="31"/>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row>
    <row r="924" ht="15.75" customHeight="1">
      <c r="A924" s="30"/>
      <c r="B924" s="30"/>
      <c r="C924" s="31"/>
      <c r="D924" s="31"/>
      <c r="E924" s="31"/>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row>
    <row r="925" ht="15.75" customHeight="1">
      <c r="A925" s="30"/>
      <c r="B925" s="30"/>
      <c r="C925" s="31"/>
      <c r="D925" s="31"/>
      <c r="E925" s="31"/>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row>
    <row r="926" ht="15.75" customHeight="1">
      <c r="A926" s="30"/>
      <c r="B926" s="30"/>
      <c r="C926" s="31"/>
      <c r="D926" s="31"/>
      <c r="E926" s="31"/>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row>
    <row r="927" ht="15.75" customHeight="1">
      <c r="A927" s="30"/>
      <c r="B927" s="30"/>
      <c r="C927" s="31"/>
      <c r="D927" s="31"/>
      <c r="E927" s="31"/>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row>
    <row r="928" ht="15.75" customHeight="1">
      <c r="A928" s="30"/>
      <c r="B928" s="30"/>
      <c r="C928" s="31"/>
      <c r="D928" s="31"/>
      <c r="E928" s="31"/>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row>
    <row r="929" ht="15.75" customHeight="1">
      <c r="A929" s="30"/>
      <c r="B929" s="30"/>
      <c r="C929" s="31"/>
      <c r="D929" s="31"/>
      <c r="E929" s="31"/>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row>
    <row r="930" ht="15.75" customHeight="1">
      <c r="A930" s="30"/>
      <c r="B930" s="30"/>
      <c r="C930" s="31"/>
      <c r="D930" s="31"/>
      <c r="E930" s="31"/>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row>
    <row r="931" ht="15.75" customHeight="1">
      <c r="A931" s="30"/>
      <c r="B931" s="30"/>
      <c r="C931" s="31"/>
      <c r="D931" s="31"/>
      <c r="E931" s="31"/>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row>
    <row r="932" ht="15.75" customHeight="1">
      <c r="A932" s="30"/>
      <c r="B932" s="30"/>
      <c r="C932" s="31"/>
      <c r="D932" s="31"/>
      <c r="E932" s="31"/>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row>
    <row r="933" ht="15.75" customHeight="1">
      <c r="A933" s="30"/>
      <c r="B933" s="30"/>
      <c r="C933" s="31"/>
      <c r="D933" s="31"/>
      <c r="E933" s="31"/>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row>
    <row r="934" ht="15.75" customHeight="1">
      <c r="A934" s="30"/>
      <c r="B934" s="30"/>
      <c r="C934" s="31"/>
      <c r="D934" s="31"/>
      <c r="E934" s="31"/>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row>
    <row r="935" ht="15.75" customHeight="1">
      <c r="A935" s="30"/>
      <c r="B935" s="30"/>
      <c r="C935" s="31"/>
      <c r="D935" s="31"/>
      <c r="E935" s="31"/>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row>
    <row r="936" ht="15.75" customHeight="1">
      <c r="A936" s="30"/>
      <c r="B936" s="30"/>
      <c r="C936" s="31"/>
      <c r="D936" s="31"/>
      <c r="E936" s="31"/>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row>
    <row r="937" ht="15.75" customHeight="1">
      <c r="A937" s="30"/>
      <c r="B937" s="30"/>
      <c r="C937" s="31"/>
      <c r="D937" s="31"/>
      <c r="E937" s="31"/>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row>
    <row r="938" ht="15.75" customHeight="1">
      <c r="A938" s="30"/>
      <c r="B938" s="30"/>
      <c r="C938" s="31"/>
      <c r="D938" s="31"/>
      <c r="E938" s="31"/>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row>
    <row r="939" ht="15.75" customHeight="1">
      <c r="A939" s="30"/>
      <c r="B939" s="30"/>
      <c r="C939" s="31"/>
      <c r="D939" s="31"/>
      <c r="E939" s="31"/>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row>
    <row r="940" ht="15.75" customHeight="1">
      <c r="A940" s="30"/>
      <c r="B940" s="30"/>
      <c r="C940" s="31"/>
      <c r="D940" s="31"/>
      <c r="E940" s="31"/>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row>
    <row r="941" ht="15.75" customHeight="1">
      <c r="A941" s="30"/>
      <c r="B941" s="30"/>
      <c r="C941" s="31"/>
      <c r="D941" s="31"/>
      <c r="E941" s="31"/>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row>
    <row r="942" ht="15.75" customHeight="1">
      <c r="A942" s="30"/>
      <c r="B942" s="30"/>
      <c r="C942" s="31"/>
      <c r="D942" s="31"/>
      <c r="E942" s="31"/>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row>
    <row r="943" ht="15.75" customHeight="1">
      <c r="A943" s="30"/>
      <c r="B943" s="30"/>
      <c r="C943" s="31"/>
      <c r="D943" s="31"/>
      <c r="E943" s="31"/>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row>
    <row r="944" ht="15.75" customHeight="1">
      <c r="A944" s="30"/>
      <c r="B944" s="30"/>
      <c r="C944" s="31"/>
      <c r="D944" s="31"/>
      <c r="E944" s="31"/>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row>
    <row r="945" ht="15.75" customHeight="1">
      <c r="A945" s="30"/>
      <c r="B945" s="30"/>
      <c r="C945" s="31"/>
      <c r="D945" s="31"/>
      <c r="E945" s="31"/>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row>
    <row r="946" ht="15.75" customHeight="1">
      <c r="A946" s="30"/>
      <c r="B946" s="30"/>
      <c r="C946" s="31"/>
      <c r="D946" s="31"/>
      <c r="E946" s="31"/>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row>
    <row r="947" ht="15.75" customHeight="1">
      <c r="A947" s="30"/>
      <c r="B947" s="30"/>
      <c r="C947" s="31"/>
      <c r="D947" s="31"/>
      <c r="E947" s="31"/>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row>
    <row r="948" ht="15.75" customHeight="1">
      <c r="A948" s="30"/>
      <c r="B948" s="30"/>
      <c r="C948" s="31"/>
      <c r="D948" s="31"/>
      <c r="E948" s="31"/>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row>
    <row r="949" ht="15.75" customHeight="1">
      <c r="A949" s="30"/>
      <c r="B949" s="30"/>
      <c r="C949" s="31"/>
      <c r="D949" s="31"/>
      <c r="E949" s="31"/>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row>
    <row r="950" ht="15.75" customHeight="1">
      <c r="A950" s="30"/>
      <c r="B950" s="30"/>
      <c r="C950" s="31"/>
      <c r="D950" s="31"/>
      <c r="E950" s="31"/>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row>
    <row r="951" ht="15.75" customHeight="1">
      <c r="A951" s="30"/>
      <c r="B951" s="30"/>
      <c r="C951" s="31"/>
      <c r="D951" s="31"/>
      <c r="E951" s="31"/>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row>
    <row r="952" ht="15.75" customHeight="1">
      <c r="A952" s="30"/>
      <c r="B952" s="30"/>
      <c r="C952" s="31"/>
      <c r="D952" s="31"/>
      <c r="E952" s="31"/>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row>
    <row r="953" ht="15.75" customHeight="1">
      <c r="A953" s="30"/>
      <c r="B953" s="30"/>
      <c r="C953" s="31"/>
      <c r="D953" s="31"/>
      <c r="E953" s="31"/>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row>
    <row r="954" ht="15.75" customHeight="1">
      <c r="A954" s="30"/>
      <c r="B954" s="30"/>
      <c r="C954" s="31"/>
      <c r="D954" s="31"/>
      <c r="E954" s="31"/>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row>
    <row r="955" ht="15.75" customHeight="1">
      <c r="A955" s="30"/>
      <c r="B955" s="30"/>
      <c r="C955" s="31"/>
      <c r="D955" s="31"/>
      <c r="E955" s="31"/>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row>
    <row r="956" ht="15.75" customHeight="1">
      <c r="A956" s="30"/>
      <c r="B956" s="30"/>
      <c r="C956" s="31"/>
      <c r="D956" s="31"/>
      <c r="E956" s="31"/>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row>
    <row r="957" ht="15.75" customHeight="1">
      <c r="A957" s="30"/>
      <c r="B957" s="30"/>
      <c r="C957" s="31"/>
      <c r="D957" s="31"/>
      <c r="E957" s="31"/>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row>
    <row r="958" ht="15.75" customHeight="1">
      <c r="A958" s="30"/>
      <c r="B958" s="30"/>
      <c r="C958" s="31"/>
      <c r="D958" s="31"/>
      <c r="E958" s="31"/>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row>
    <row r="959" ht="15.75" customHeight="1">
      <c r="A959" s="30"/>
      <c r="B959" s="30"/>
      <c r="C959" s="31"/>
      <c r="D959" s="31"/>
      <c r="E959" s="31"/>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row>
    <row r="960" ht="15.75" customHeight="1">
      <c r="A960" s="30"/>
      <c r="B960" s="30"/>
      <c r="C960" s="31"/>
      <c r="D960" s="31"/>
      <c r="E960" s="31"/>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row>
    <row r="961" ht="15.75" customHeight="1">
      <c r="A961" s="30"/>
      <c r="B961" s="30"/>
      <c r="C961" s="31"/>
      <c r="D961" s="31"/>
      <c r="E961" s="31"/>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row>
    <row r="962" ht="15.75" customHeight="1">
      <c r="A962" s="30"/>
      <c r="B962" s="30"/>
      <c r="C962" s="31"/>
      <c r="D962" s="31"/>
      <c r="E962" s="31"/>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row>
    <row r="963" ht="15.75" customHeight="1">
      <c r="A963" s="30"/>
      <c r="B963" s="30"/>
      <c r="C963" s="31"/>
      <c r="D963" s="31"/>
      <c r="E963" s="31"/>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row>
    <row r="964" ht="15.75" customHeight="1">
      <c r="A964" s="30"/>
      <c r="B964" s="30"/>
      <c r="C964" s="31"/>
      <c r="D964" s="31"/>
      <c r="E964" s="31"/>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row>
    <row r="965" ht="15.75" customHeight="1">
      <c r="A965" s="30"/>
      <c r="B965" s="30"/>
      <c r="C965" s="31"/>
      <c r="D965" s="31"/>
      <c r="E965" s="31"/>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row>
    <row r="966" ht="15.75" customHeight="1">
      <c r="A966" s="30"/>
      <c r="B966" s="30"/>
      <c r="C966" s="31"/>
      <c r="D966" s="31"/>
      <c r="E966" s="31"/>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row>
    <row r="967" ht="15.75" customHeight="1">
      <c r="A967" s="30"/>
      <c r="B967" s="30"/>
      <c r="C967" s="31"/>
      <c r="D967" s="31"/>
      <c r="E967" s="31"/>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row>
    <row r="968" ht="15.75" customHeight="1">
      <c r="A968" s="30"/>
      <c r="B968" s="30"/>
      <c r="C968" s="31"/>
      <c r="D968" s="31"/>
      <c r="E968" s="31"/>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row>
    <row r="969" ht="15.75" customHeight="1">
      <c r="A969" s="30"/>
      <c r="B969" s="30"/>
      <c r="C969" s="31"/>
      <c r="D969" s="31"/>
      <c r="E969" s="31"/>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row>
    <row r="970" ht="15.75" customHeight="1">
      <c r="A970" s="30"/>
      <c r="B970" s="30"/>
      <c r="C970" s="31"/>
      <c r="D970" s="31"/>
      <c r="E970" s="31"/>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row>
    <row r="971" ht="15.75" customHeight="1">
      <c r="A971" s="30"/>
      <c r="B971" s="30"/>
      <c r="C971" s="31"/>
      <c r="D971" s="31"/>
      <c r="E971" s="31"/>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row>
    <row r="972" ht="15.75" customHeight="1">
      <c r="A972" s="30"/>
      <c r="B972" s="30"/>
      <c r="C972" s="31"/>
      <c r="D972" s="31"/>
      <c r="E972" s="31"/>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row>
    <row r="973" ht="15.75" customHeight="1">
      <c r="A973" s="30"/>
      <c r="B973" s="30"/>
      <c r="C973" s="31"/>
      <c r="D973" s="31"/>
      <c r="E973" s="31"/>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row>
    <row r="974" ht="15.75" customHeight="1">
      <c r="A974" s="30"/>
      <c r="B974" s="30"/>
      <c r="C974" s="31"/>
      <c r="D974" s="31"/>
      <c r="E974" s="31"/>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row>
    <row r="975" ht="15.75" customHeight="1">
      <c r="A975" s="30"/>
      <c r="B975" s="30"/>
      <c r="C975" s="31"/>
      <c r="D975" s="31"/>
      <c r="E975" s="31"/>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row>
    <row r="976" ht="15.75" customHeight="1">
      <c r="A976" s="30"/>
      <c r="B976" s="30"/>
      <c r="C976" s="31"/>
      <c r="D976" s="31"/>
      <c r="E976" s="31"/>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row>
    <row r="977" ht="15.75" customHeight="1">
      <c r="A977" s="30"/>
      <c r="B977" s="30"/>
      <c r="C977" s="31"/>
      <c r="D977" s="31"/>
      <c r="E977" s="31"/>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row>
    <row r="978" ht="15.75" customHeight="1">
      <c r="A978" s="30"/>
      <c r="B978" s="30"/>
      <c r="C978" s="31"/>
      <c r="D978" s="31"/>
      <c r="E978" s="31"/>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row>
    <row r="979" ht="15.75" customHeight="1">
      <c r="A979" s="30"/>
      <c r="B979" s="30"/>
      <c r="C979" s="31"/>
      <c r="D979" s="31"/>
      <c r="E979" s="31"/>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row>
    <row r="980" ht="15.75" customHeight="1">
      <c r="A980" s="30"/>
      <c r="B980" s="30"/>
      <c r="C980" s="31"/>
      <c r="D980" s="31"/>
      <c r="E980" s="31"/>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row>
    <row r="981" ht="15.75" customHeight="1">
      <c r="A981" s="30"/>
      <c r="B981" s="30"/>
      <c r="C981" s="31"/>
      <c r="D981" s="31"/>
      <c r="E981" s="31"/>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row>
    <row r="982" ht="15.75" customHeight="1">
      <c r="A982" s="30"/>
      <c r="B982" s="30"/>
      <c r="C982" s="31"/>
      <c r="D982" s="31"/>
      <c r="E982" s="31"/>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row>
    <row r="983" ht="15.75" customHeight="1">
      <c r="A983" s="30"/>
      <c r="B983" s="30"/>
      <c r="C983" s="31"/>
      <c r="D983" s="31"/>
      <c r="E983" s="31"/>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row>
    <row r="984" ht="15.75" customHeight="1">
      <c r="A984" s="30"/>
      <c r="B984" s="30"/>
      <c r="C984" s="31"/>
      <c r="D984" s="31"/>
      <c r="E984" s="31"/>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row>
    <row r="985" ht="15.75" customHeight="1">
      <c r="A985" s="30"/>
      <c r="B985" s="30"/>
      <c r="C985" s="31"/>
      <c r="D985" s="31"/>
      <c r="E985" s="31"/>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row>
    <row r="986" ht="15.75" customHeight="1">
      <c r="A986" s="30"/>
      <c r="B986" s="30"/>
      <c r="C986" s="31"/>
      <c r="D986" s="31"/>
      <c r="E986" s="31"/>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row>
    <row r="987" ht="15.75" customHeight="1">
      <c r="A987" s="30"/>
      <c r="B987" s="30"/>
      <c r="C987" s="31"/>
      <c r="D987" s="31"/>
      <c r="E987" s="31"/>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row>
    <row r="988" ht="15.75" customHeight="1">
      <c r="A988" s="30"/>
      <c r="B988" s="30"/>
      <c r="C988" s="31"/>
      <c r="D988" s="31"/>
      <c r="E988" s="31"/>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row>
    <row r="989" ht="15.75" customHeight="1">
      <c r="A989" s="30"/>
      <c r="B989" s="30"/>
      <c r="C989" s="31"/>
      <c r="D989" s="31"/>
      <c r="E989" s="31"/>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row>
    <row r="990" ht="15.75" customHeight="1">
      <c r="A990" s="30"/>
      <c r="B990" s="30"/>
      <c r="C990" s="31"/>
      <c r="D990" s="31"/>
      <c r="E990" s="31"/>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row>
    <row r="991" ht="15.75" customHeight="1">
      <c r="A991" s="30"/>
      <c r="B991" s="30"/>
      <c r="C991" s="31"/>
      <c r="D991" s="31"/>
      <c r="E991" s="31"/>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row>
    <row r="992" ht="15.75" customHeight="1">
      <c r="A992" s="30"/>
      <c r="B992" s="30"/>
      <c r="C992" s="31"/>
      <c r="D992" s="31"/>
      <c r="E992" s="31"/>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row>
    <row r="993" ht="15.75" customHeight="1">
      <c r="A993" s="30"/>
      <c r="B993" s="30"/>
      <c r="C993" s="31"/>
      <c r="D993" s="31"/>
      <c r="E993" s="31"/>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row>
    <row r="994" ht="15.75" customHeight="1">
      <c r="A994" s="30"/>
      <c r="B994" s="30"/>
      <c r="C994" s="31"/>
      <c r="D994" s="31"/>
      <c r="E994" s="31"/>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row>
    <row r="995" ht="15.75" customHeight="1">
      <c r="A995" s="30"/>
      <c r="B995" s="30"/>
      <c r="C995" s="31"/>
      <c r="D995" s="31"/>
      <c r="E995" s="31"/>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row>
    <row r="996" ht="15.75" customHeight="1">
      <c r="A996" s="30"/>
      <c r="B996" s="30"/>
      <c r="C996" s="31"/>
      <c r="D996" s="31"/>
      <c r="E996" s="31"/>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row>
    <row r="997" ht="15.75" customHeight="1">
      <c r="A997" s="30"/>
      <c r="B997" s="30"/>
      <c r="C997" s="31"/>
      <c r="D997" s="31"/>
      <c r="E997" s="31"/>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row>
    <row r="998" ht="15.75" customHeight="1">
      <c r="A998" s="30"/>
      <c r="B998" s="30"/>
      <c r="C998" s="31"/>
      <c r="D998" s="31"/>
      <c r="E998" s="31"/>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row>
    <row r="999" ht="15.75" customHeight="1">
      <c r="A999" s="30"/>
      <c r="B999" s="30"/>
      <c r="C999" s="31"/>
      <c r="D999" s="31"/>
      <c r="E999" s="31"/>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row>
    <row r="1000" ht="15.75" customHeight="1">
      <c r="A1000" s="30"/>
      <c r="B1000" s="30"/>
      <c r="C1000" s="31"/>
      <c r="D1000" s="31"/>
      <c r="E1000" s="31"/>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row>
    <row r="1001" ht="15.75" customHeight="1">
      <c r="A1001" s="30"/>
      <c r="B1001" s="30"/>
      <c r="C1001" s="31"/>
      <c r="D1001" s="31"/>
      <c r="E1001" s="31"/>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row>
    <row r="1002" ht="15.75" customHeight="1">
      <c r="A1002" s="30"/>
      <c r="B1002" s="30"/>
      <c r="C1002" s="31"/>
      <c r="D1002" s="31"/>
      <c r="E1002" s="31"/>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row>
    <row r="1003" ht="15.75" customHeight="1">
      <c r="A1003" s="30"/>
      <c r="B1003" s="30"/>
      <c r="C1003" s="31"/>
      <c r="D1003" s="31"/>
      <c r="E1003" s="31"/>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row>
    <row r="1004" ht="15.75" customHeight="1">
      <c r="A1004" s="30"/>
      <c r="B1004" s="30"/>
      <c r="C1004" s="31"/>
      <c r="D1004" s="31"/>
      <c r="E1004" s="31"/>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row>
    <row r="1005" ht="15.75" customHeight="1">
      <c r="A1005" s="30"/>
      <c r="B1005" s="30"/>
      <c r="C1005" s="31"/>
      <c r="D1005" s="31"/>
      <c r="E1005" s="31"/>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row>
    <row r="1006" ht="15.75" customHeight="1">
      <c r="A1006" s="30"/>
      <c r="B1006" s="30"/>
      <c r="C1006" s="31"/>
      <c r="D1006" s="31"/>
      <c r="E1006" s="31"/>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row>
    <row r="1007" ht="15.75" customHeight="1">
      <c r="A1007" s="30"/>
      <c r="B1007" s="30"/>
      <c r="C1007" s="31"/>
      <c r="D1007" s="31"/>
      <c r="E1007" s="31"/>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c r="AG1007" s="30"/>
      <c r="AH1007" s="30"/>
      <c r="AI1007" s="30"/>
      <c r="AJ1007" s="30"/>
      <c r="AK1007" s="30"/>
      <c r="AL1007" s="30"/>
      <c r="AM1007" s="30"/>
      <c r="AN1007" s="30"/>
      <c r="AO1007" s="30"/>
      <c r="AP1007" s="30"/>
      <c r="AQ1007" s="30"/>
      <c r="AR1007" s="30"/>
      <c r="AS1007" s="30"/>
      <c r="AT1007" s="30"/>
      <c r="AU1007" s="30"/>
      <c r="AV1007" s="30"/>
      <c r="AW1007" s="30"/>
      <c r="AX1007" s="30"/>
    </row>
    <row r="1008" ht="15.75" customHeight="1">
      <c r="A1008" s="30"/>
      <c r="B1008" s="30"/>
      <c r="C1008" s="31"/>
      <c r="D1008" s="31"/>
      <c r="E1008" s="31"/>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row>
    <row r="1009" ht="15.75" customHeight="1">
      <c r="A1009" s="30"/>
      <c r="B1009" s="30"/>
      <c r="C1009" s="31"/>
      <c r="D1009" s="31"/>
      <c r="E1009" s="31"/>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c r="AG1009" s="30"/>
      <c r="AH1009" s="30"/>
      <c r="AI1009" s="30"/>
      <c r="AJ1009" s="30"/>
      <c r="AK1009" s="30"/>
      <c r="AL1009" s="30"/>
      <c r="AM1009" s="30"/>
      <c r="AN1009" s="30"/>
      <c r="AO1009" s="30"/>
      <c r="AP1009" s="30"/>
      <c r="AQ1009" s="30"/>
      <c r="AR1009" s="30"/>
      <c r="AS1009" s="30"/>
      <c r="AT1009" s="30"/>
      <c r="AU1009" s="30"/>
      <c r="AV1009" s="30"/>
      <c r="AW1009" s="30"/>
      <c r="AX1009" s="30"/>
    </row>
    <row r="1010" ht="15.75" customHeight="1">
      <c r="A1010" s="30"/>
      <c r="B1010" s="30"/>
      <c r="C1010" s="31"/>
      <c r="D1010" s="31"/>
      <c r="E1010" s="31"/>
      <c r="F1010" s="30"/>
      <c r="G1010" s="30"/>
      <c r="H1010" s="30"/>
      <c r="I1010" s="30"/>
      <c r="J1010" s="30"/>
      <c r="K1010" s="30"/>
      <c r="L1010" s="30"/>
      <c r="M1010" s="30"/>
      <c r="N1010" s="30"/>
      <c r="O1010" s="30"/>
      <c r="P1010" s="30"/>
      <c r="Q1010" s="30"/>
      <c r="R1010" s="30"/>
      <c r="S1010" s="30"/>
      <c r="T1010" s="30"/>
      <c r="U1010" s="30"/>
      <c r="V1010" s="30"/>
      <c r="W1010" s="30"/>
      <c r="X1010" s="30"/>
      <c r="Y1010" s="30"/>
      <c r="Z1010" s="30"/>
      <c r="AA1010" s="30"/>
      <c r="AB1010" s="30"/>
      <c r="AC1010" s="30"/>
      <c r="AD1010" s="30"/>
      <c r="AE1010" s="30"/>
      <c r="AF1010" s="30"/>
      <c r="AG1010" s="30"/>
      <c r="AH1010" s="30"/>
      <c r="AI1010" s="30"/>
      <c r="AJ1010" s="30"/>
      <c r="AK1010" s="30"/>
      <c r="AL1010" s="30"/>
      <c r="AM1010" s="30"/>
      <c r="AN1010" s="30"/>
      <c r="AO1010" s="30"/>
      <c r="AP1010" s="30"/>
      <c r="AQ1010" s="30"/>
      <c r="AR1010" s="30"/>
      <c r="AS1010" s="30"/>
      <c r="AT1010" s="30"/>
      <c r="AU1010" s="30"/>
      <c r="AV1010" s="30"/>
      <c r="AW1010" s="30"/>
      <c r="AX1010" s="30"/>
    </row>
    <row r="1011" ht="15.75" customHeight="1">
      <c r="A1011" s="30"/>
      <c r="B1011" s="30"/>
      <c r="C1011" s="31"/>
      <c r="D1011" s="31"/>
      <c r="E1011" s="31"/>
      <c r="F1011" s="30"/>
      <c r="G1011" s="30"/>
      <c r="H1011" s="30"/>
      <c r="I1011" s="30"/>
      <c r="J1011" s="30"/>
      <c r="K1011" s="30"/>
      <c r="L1011" s="30"/>
      <c r="M1011" s="30"/>
      <c r="N1011" s="30"/>
      <c r="O1011" s="30"/>
      <c r="P1011" s="30"/>
      <c r="Q1011" s="30"/>
      <c r="R1011" s="30"/>
      <c r="S1011" s="30"/>
      <c r="T1011" s="30"/>
      <c r="U1011" s="30"/>
      <c r="V1011" s="30"/>
      <c r="W1011" s="30"/>
      <c r="X1011" s="30"/>
      <c r="Y1011" s="30"/>
      <c r="Z1011" s="30"/>
      <c r="AA1011" s="30"/>
      <c r="AB1011" s="30"/>
      <c r="AC1011" s="30"/>
      <c r="AD1011" s="30"/>
      <c r="AE1011" s="30"/>
      <c r="AF1011" s="30"/>
      <c r="AG1011" s="30"/>
      <c r="AH1011" s="30"/>
      <c r="AI1011" s="30"/>
      <c r="AJ1011" s="30"/>
      <c r="AK1011" s="30"/>
      <c r="AL1011" s="30"/>
      <c r="AM1011" s="30"/>
      <c r="AN1011" s="30"/>
      <c r="AO1011" s="30"/>
      <c r="AP1011" s="30"/>
      <c r="AQ1011" s="30"/>
      <c r="AR1011" s="30"/>
      <c r="AS1011" s="30"/>
      <c r="AT1011" s="30"/>
      <c r="AU1011" s="30"/>
      <c r="AV1011" s="30"/>
      <c r="AW1011" s="30"/>
      <c r="AX1011" s="30"/>
    </row>
    <row r="1012" ht="15.75" customHeight="1">
      <c r="A1012" s="30"/>
      <c r="B1012" s="30"/>
      <c r="C1012" s="31"/>
      <c r="D1012" s="31"/>
      <c r="E1012" s="31"/>
      <c r="F1012" s="30"/>
      <c r="G1012" s="30"/>
      <c r="H1012" s="30"/>
      <c r="I1012" s="30"/>
      <c r="J1012" s="30"/>
      <c r="K1012" s="30"/>
      <c r="L1012" s="30"/>
      <c r="M1012" s="30"/>
      <c r="N1012" s="30"/>
      <c r="O1012" s="30"/>
      <c r="P1012" s="30"/>
      <c r="Q1012" s="30"/>
      <c r="R1012" s="30"/>
      <c r="S1012" s="30"/>
      <c r="T1012" s="30"/>
      <c r="U1012" s="30"/>
      <c r="V1012" s="30"/>
      <c r="W1012" s="30"/>
      <c r="X1012" s="30"/>
      <c r="Y1012" s="30"/>
      <c r="Z1012" s="30"/>
      <c r="AA1012" s="30"/>
      <c r="AB1012" s="30"/>
      <c r="AC1012" s="30"/>
      <c r="AD1012" s="30"/>
      <c r="AE1012" s="30"/>
      <c r="AF1012" s="30"/>
      <c r="AG1012" s="30"/>
      <c r="AH1012" s="30"/>
      <c r="AI1012" s="30"/>
      <c r="AJ1012" s="30"/>
      <c r="AK1012" s="30"/>
      <c r="AL1012" s="30"/>
      <c r="AM1012" s="30"/>
      <c r="AN1012" s="30"/>
      <c r="AO1012" s="30"/>
      <c r="AP1012" s="30"/>
      <c r="AQ1012" s="30"/>
      <c r="AR1012" s="30"/>
      <c r="AS1012" s="30"/>
      <c r="AT1012" s="30"/>
      <c r="AU1012" s="30"/>
      <c r="AV1012" s="30"/>
      <c r="AW1012" s="30"/>
      <c r="AX1012" s="30"/>
    </row>
    <row r="1013" ht="15.75" customHeight="1">
      <c r="A1013" s="30"/>
      <c r="B1013" s="30"/>
      <c r="C1013" s="31"/>
      <c r="D1013" s="31"/>
      <c r="E1013" s="31"/>
      <c r="F1013" s="30"/>
      <c r="G1013" s="30"/>
      <c r="H1013" s="30"/>
      <c r="I1013" s="30"/>
      <c r="J1013" s="30"/>
      <c r="K1013" s="30"/>
      <c r="L1013" s="30"/>
      <c r="M1013" s="30"/>
      <c r="N1013" s="30"/>
      <c r="O1013" s="30"/>
      <c r="P1013" s="30"/>
      <c r="Q1013" s="30"/>
      <c r="R1013" s="30"/>
      <c r="S1013" s="30"/>
      <c r="T1013" s="30"/>
      <c r="U1013" s="30"/>
      <c r="V1013" s="30"/>
      <c r="W1013" s="30"/>
      <c r="X1013" s="30"/>
      <c r="Y1013" s="30"/>
      <c r="Z1013" s="30"/>
      <c r="AA1013" s="30"/>
      <c r="AB1013" s="30"/>
      <c r="AC1013" s="30"/>
      <c r="AD1013" s="30"/>
      <c r="AE1013" s="30"/>
      <c r="AF1013" s="30"/>
      <c r="AG1013" s="30"/>
      <c r="AH1013" s="30"/>
      <c r="AI1013" s="30"/>
      <c r="AJ1013" s="30"/>
      <c r="AK1013" s="30"/>
      <c r="AL1013" s="30"/>
      <c r="AM1013" s="30"/>
      <c r="AN1013" s="30"/>
      <c r="AO1013" s="30"/>
      <c r="AP1013" s="30"/>
      <c r="AQ1013" s="30"/>
      <c r="AR1013" s="30"/>
      <c r="AS1013" s="30"/>
      <c r="AT1013" s="30"/>
      <c r="AU1013" s="30"/>
      <c r="AV1013" s="30"/>
      <c r="AW1013" s="30"/>
      <c r="AX1013" s="30"/>
    </row>
    <row r="1014" ht="15.75" customHeight="1">
      <c r="A1014" s="30"/>
      <c r="B1014" s="30"/>
      <c r="C1014" s="31"/>
      <c r="D1014" s="31"/>
      <c r="E1014" s="31"/>
      <c r="F1014" s="30"/>
      <c r="G1014" s="30"/>
      <c r="H1014" s="30"/>
      <c r="I1014" s="30"/>
      <c r="J1014" s="30"/>
      <c r="K1014" s="30"/>
      <c r="L1014" s="30"/>
      <c r="M1014" s="30"/>
      <c r="N1014" s="30"/>
      <c r="O1014" s="30"/>
      <c r="P1014" s="30"/>
      <c r="Q1014" s="30"/>
      <c r="R1014" s="30"/>
      <c r="S1014" s="30"/>
      <c r="T1014" s="30"/>
      <c r="U1014" s="30"/>
      <c r="V1014" s="30"/>
      <c r="W1014" s="30"/>
      <c r="X1014" s="30"/>
      <c r="Y1014" s="30"/>
      <c r="Z1014" s="30"/>
      <c r="AA1014" s="30"/>
      <c r="AB1014" s="30"/>
      <c r="AC1014" s="30"/>
      <c r="AD1014" s="30"/>
      <c r="AE1014" s="30"/>
      <c r="AF1014" s="30"/>
      <c r="AG1014" s="30"/>
      <c r="AH1014" s="30"/>
      <c r="AI1014" s="30"/>
      <c r="AJ1014" s="30"/>
      <c r="AK1014" s="30"/>
      <c r="AL1014" s="30"/>
      <c r="AM1014" s="30"/>
      <c r="AN1014" s="30"/>
      <c r="AO1014" s="30"/>
      <c r="AP1014" s="30"/>
      <c r="AQ1014" s="30"/>
      <c r="AR1014" s="30"/>
      <c r="AS1014" s="30"/>
      <c r="AT1014" s="30"/>
      <c r="AU1014" s="30"/>
      <c r="AV1014" s="30"/>
      <c r="AW1014" s="30"/>
      <c r="AX1014" s="30"/>
    </row>
    <row r="1015" ht="15.75" customHeight="1">
      <c r="A1015" s="30"/>
      <c r="B1015" s="30"/>
      <c r="C1015" s="31"/>
      <c r="D1015" s="31"/>
      <c r="E1015" s="31"/>
      <c r="F1015" s="30"/>
      <c r="G1015" s="30"/>
      <c r="H1015" s="30"/>
      <c r="I1015" s="30"/>
      <c r="J1015" s="30"/>
      <c r="K1015" s="30"/>
      <c r="L1015" s="30"/>
      <c r="M1015" s="30"/>
      <c r="N1015" s="30"/>
      <c r="O1015" s="30"/>
      <c r="P1015" s="30"/>
      <c r="Q1015" s="30"/>
      <c r="R1015" s="30"/>
      <c r="S1015" s="30"/>
      <c r="T1015" s="30"/>
      <c r="U1015" s="30"/>
      <c r="V1015" s="30"/>
      <c r="W1015" s="30"/>
      <c r="X1015" s="30"/>
      <c r="Y1015" s="30"/>
      <c r="Z1015" s="30"/>
      <c r="AA1015" s="30"/>
      <c r="AB1015" s="30"/>
      <c r="AC1015" s="30"/>
      <c r="AD1015" s="30"/>
      <c r="AE1015" s="30"/>
      <c r="AF1015" s="30"/>
      <c r="AG1015" s="30"/>
      <c r="AH1015" s="30"/>
      <c r="AI1015" s="30"/>
      <c r="AJ1015" s="30"/>
      <c r="AK1015" s="30"/>
      <c r="AL1015" s="30"/>
      <c r="AM1015" s="30"/>
      <c r="AN1015" s="30"/>
      <c r="AO1015" s="30"/>
      <c r="AP1015" s="30"/>
      <c r="AQ1015" s="30"/>
      <c r="AR1015" s="30"/>
      <c r="AS1015" s="30"/>
      <c r="AT1015" s="30"/>
      <c r="AU1015" s="30"/>
      <c r="AV1015" s="30"/>
      <c r="AW1015" s="30"/>
      <c r="AX1015" s="30"/>
    </row>
    <row r="1016" ht="15.75" customHeight="1">
      <c r="A1016" s="30"/>
      <c r="B1016" s="30"/>
      <c r="C1016" s="31"/>
      <c r="D1016" s="31"/>
      <c r="E1016" s="31"/>
      <c r="F1016" s="30"/>
      <c r="G1016" s="30"/>
      <c r="H1016" s="30"/>
      <c r="I1016" s="30"/>
      <c r="J1016" s="30"/>
      <c r="K1016" s="30"/>
      <c r="L1016" s="30"/>
      <c r="M1016" s="30"/>
      <c r="N1016" s="30"/>
      <c r="O1016" s="30"/>
      <c r="P1016" s="30"/>
      <c r="Q1016" s="30"/>
      <c r="R1016" s="30"/>
      <c r="S1016" s="30"/>
      <c r="T1016" s="30"/>
      <c r="U1016" s="30"/>
      <c r="V1016" s="30"/>
      <c r="W1016" s="30"/>
      <c r="X1016" s="30"/>
      <c r="Y1016" s="30"/>
      <c r="Z1016" s="30"/>
      <c r="AA1016" s="30"/>
      <c r="AB1016" s="30"/>
      <c r="AC1016" s="30"/>
      <c r="AD1016" s="30"/>
      <c r="AE1016" s="30"/>
      <c r="AF1016" s="30"/>
      <c r="AG1016" s="30"/>
      <c r="AH1016" s="30"/>
      <c r="AI1016" s="30"/>
      <c r="AJ1016" s="30"/>
      <c r="AK1016" s="30"/>
      <c r="AL1016" s="30"/>
      <c r="AM1016" s="30"/>
      <c r="AN1016" s="30"/>
      <c r="AO1016" s="30"/>
      <c r="AP1016" s="30"/>
      <c r="AQ1016" s="30"/>
      <c r="AR1016" s="30"/>
      <c r="AS1016" s="30"/>
      <c r="AT1016" s="30"/>
      <c r="AU1016" s="30"/>
      <c r="AV1016" s="30"/>
      <c r="AW1016" s="30"/>
      <c r="AX1016" s="30"/>
    </row>
    <row r="1017" ht="15.75" customHeight="1">
      <c r="A1017" s="30"/>
      <c r="B1017" s="30"/>
      <c r="C1017" s="31"/>
      <c r="D1017" s="31"/>
      <c r="E1017" s="31"/>
      <c r="F1017" s="30"/>
      <c r="G1017" s="30"/>
      <c r="H1017" s="30"/>
      <c r="I1017" s="30"/>
      <c r="J1017" s="30"/>
      <c r="K1017" s="30"/>
      <c r="L1017" s="30"/>
      <c r="M1017" s="30"/>
      <c r="N1017" s="30"/>
      <c r="O1017" s="30"/>
      <c r="P1017" s="30"/>
      <c r="Q1017" s="30"/>
      <c r="R1017" s="30"/>
      <c r="S1017" s="30"/>
      <c r="T1017" s="30"/>
      <c r="U1017" s="30"/>
      <c r="V1017" s="30"/>
      <c r="W1017" s="30"/>
      <c r="X1017" s="30"/>
      <c r="Y1017" s="30"/>
      <c r="Z1017" s="30"/>
      <c r="AA1017" s="30"/>
      <c r="AB1017" s="30"/>
      <c r="AC1017" s="30"/>
      <c r="AD1017" s="30"/>
      <c r="AE1017" s="30"/>
      <c r="AF1017" s="30"/>
      <c r="AG1017" s="30"/>
      <c r="AH1017" s="30"/>
      <c r="AI1017" s="30"/>
      <c r="AJ1017" s="30"/>
      <c r="AK1017" s="30"/>
      <c r="AL1017" s="30"/>
      <c r="AM1017" s="30"/>
      <c r="AN1017" s="30"/>
      <c r="AO1017" s="30"/>
      <c r="AP1017" s="30"/>
      <c r="AQ1017" s="30"/>
      <c r="AR1017" s="30"/>
      <c r="AS1017" s="30"/>
      <c r="AT1017" s="30"/>
      <c r="AU1017" s="30"/>
      <c r="AV1017" s="30"/>
      <c r="AW1017" s="30"/>
      <c r="AX1017" s="30"/>
    </row>
    <row r="1018" ht="15.75" customHeight="1">
      <c r="A1018" s="30"/>
      <c r="B1018" s="30"/>
      <c r="C1018" s="31"/>
      <c r="D1018" s="31"/>
      <c r="E1018" s="31"/>
      <c r="F1018" s="30"/>
      <c r="G1018" s="30"/>
      <c r="H1018" s="30"/>
      <c r="I1018" s="30"/>
      <c r="J1018" s="30"/>
      <c r="K1018" s="30"/>
      <c r="L1018" s="30"/>
      <c r="M1018" s="30"/>
      <c r="N1018" s="30"/>
      <c r="O1018" s="30"/>
      <c r="P1018" s="30"/>
      <c r="Q1018" s="30"/>
      <c r="R1018" s="30"/>
      <c r="S1018" s="30"/>
      <c r="T1018" s="30"/>
      <c r="U1018" s="30"/>
      <c r="V1018" s="30"/>
      <c r="W1018" s="30"/>
      <c r="X1018" s="30"/>
      <c r="Y1018" s="30"/>
      <c r="Z1018" s="30"/>
      <c r="AA1018" s="30"/>
      <c r="AB1018" s="30"/>
      <c r="AC1018" s="30"/>
      <c r="AD1018" s="30"/>
      <c r="AE1018" s="30"/>
      <c r="AF1018" s="30"/>
      <c r="AG1018" s="30"/>
      <c r="AH1018" s="30"/>
      <c r="AI1018" s="30"/>
      <c r="AJ1018" s="30"/>
      <c r="AK1018" s="30"/>
      <c r="AL1018" s="30"/>
      <c r="AM1018" s="30"/>
      <c r="AN1018" s="30"/>
      <c r="AO1018" s="30"/>
      <c r="AP1018" s="30"/>
      <c r="AQ1018" s="30"/>
      <c r="AR1018" s="30"/>
      <c r="AS1018" s="30"/>
      <c r="AT1018" s="30"/>
      <c r="AU1018" s="30"/>
      <c r="AV1018" s="30"/>
      <c r="AW1018" s="30"/>
      <c r="AX1018" s="30"/>
    </row>
    <row r="1019" ht="15.75" customHeight="1">
      <c r="A1019" s="30"/>
      <c r="B1019" s="30"/>
      <c r="C1019" s="31"/>
      <c r="D1019" s="31"/>
      <c r="E1019" s="31"/>
      <c r="F1019" s="30"/>
      <c r="G1019" s="30"/>
      <c r="H1019" s="30"/>
      <c r="I1019" s="30"/>
      <c r="J1019" s="30"/>
      <c r="K1019" s="30"/>
      <c r="L1019" s="30"/>
      <c r="M1019" s="30"/>
      <c r="N1019" s="30"/>
      <c r="O1019" s="30"/>
      <c r="P1019" s="30"/>
      <c r="Q1019" s="30"/>
      <c r="R1019" s="30"/>
      <c r="S1019" s="30"/>
      <c r="T1019" s="30"/>
      <c r="U1019" s="30"/>
      <c r="V1019" s="30"/>
      <c r="W1019" s="30"/>
      <c r="X1019" s="30"/>
      <c r="Y1019" s="30"/>
      <c r="Z1019" s="30"/>
      <c r="AA1019" s="30"/>
      <c r="AB1019" s="30"/>
      <c r="AC1019" s="30"/>
      <c r="AD1019" s="30"/>
      <c r="AE1019" s="30"/>
      <c r="AF1019" s="30"/>
      <c r="AG1019" s="30"/>
      <c r="AH1019" s="30"/>
      <c r="AI1019" s="30"/>
      <c r="AJ1019" s="30"/>
      <c r="AK1019" s="30"/>
      <c r="AL1019" s="30"/>
      <c r="AM1019" s="30"/>
      <c r="AN1019" s="30"/>
      <c r="AO1019" s="30"/>
      <c r="AP1019" s="30"/>
      <c r="AQ1019" s="30"/>
      <c r="AR1019" s="30"/>
      <c r="AS1019" s="30"/>
      <c r="AT1019" s="30"/>
      <c r="AU1019" s="30"/>
      <c r="AV1019" s="30"/>
      <c r="AW1019" s="30"/>
      <c r="AX1019" s="30"/>
    </row>
    <row r="1020" ht="15.75" customHeight="1">
      <c r="A1020" s="30"/>
      <c r="B1020" s="30"/>
      <c r="C1020" s="31"/>
      <c r="D1020" s="31"/>
      <c r="E1020" s="31"/>
      <c r="F1020" s="30"/>
      <c r="G1020" s="30"/>
      <c r="H1020" s="30"/>
      <c r="I1020" s="30"/>
      <c r="J1020" s="30"/>
      <c r="K1020" s="30"/>
      <c r="L1020" s="30"/>
      <c r="M1020" s="30"/>
      <c r="N1020" s="30"/>
      <c r="O1020" s="30"/>
      <c r="P1020" s="30"/>
      <c r="Q1020" s="30"/>
      <c r="R1020" s="30"/>
      <c r="S1020" s="30"/>
      <c r="T1020" s="30"/>
      <c r="U1020" s="30"/>
      <c r="V1020" s="30"/>
      <c r="W1020" s="30"/>
      <c r="X1020" s="30"/>
      <c r="Y1020" s="30"/>
      <c r="Z1020" s="30"/>
      <c r="AA1020" s="30"/>
      <c r="AB1020" s="30"/>
      <c r="AC1020" s="30"/>
      <c r="AD1020" s="30"/>
      <c r="AE1020" s="30"/>
      <c r="AF1020" s="30"/>
      <c r="AG1020" s="30"/>
      <c r="AH1020" s="30"/>
      <c r="AI1020" s="30"/>
      <c r="AJ1020" s="30"/>
      <c r="AK1020" s="30"/>
      <c r="AL1020" s="30"/>
      <c r="AM1020" s="30"/>
      <c r="AN1020" s="30"/>
      <c r="AO1020" s="30"/>
      <c r="AP1020" s="30"/>
      <c r="AQ1020" s="30"/>
      <c r="AR1020" s="30"/>
      <c r="AS1020" s="30"/>
      <c r="AT1020" s="30"/>
      <c r="AU1020" s="30"/>
      <c r="AV1020" s="30"/>
      <c r="AW1020" s="30"/>
      <c r="AX1020" s="30"/>
    </row>
    <row r="1021" ht="15.75" customHeight="1">
      <c r="A1021" s="30"/>
      <c r="B1021" s="30"/>
      <c r="C1021" s="31"/>
      <c r="D1021" s="31"/>
      <c r="E1021" s="31"/>
      <c r="F1021" s="30"/>
      <c r="G1021" s="30"/>
      <c r="H1021" s="30"/>
      <c r="I1021" s="30"/>
      <c r="J1021" s="30"/>
      <c r="K1021" s="30"/>
      <c r="L1021" s="30"/>
      <c r="M1021" s="30"/>
      <c r="N1021" s="30"/>
      <c r="O1021" s="30"/>
      <c r="P1021" s="30"/>
      <c r="Q1021" s="30"/>
      <c r="R1021" s="30"/>
      <c r="S1021" s="30"/>
      <c r="T1021" s="30"/>
      <c r="U1021" s="30"/>
      <c r="V1021" s="30"/>
      <c r="W1021" s="30"/>
      <c r="X1021" s="30"/>
      <c r="Y1021" s="30"/>
      <c r="Z1021" s="30"/>
      <c r="AA1021" s="30"/>
      <c r="AB1021" s="30"/>
      <c r="AC1021" s="30"/>
      <c r="AD1021" s="30"/>
      <c r="AE1021" s="30"/>
      <c r="AF1021" s="30"/>
      <c r="AG1021" s="30"/>
      <c r="AH1021" s="30"/>
      <c r="AI1021" s="30"/>
      <c r="AJ1021" s="30"/>
      <c r="AK1021" s="30"/>
      <c r="AL1021" s="30"/>
      <c r="AM1021" s="30"/>
      <c r="AN1021" s="30"/>
      <c r="AO1021" s="30"/>
      <c r="AP1021" s="30"/>
      <c r="AQ1021" s="30"/>
      <c r="AR1021" s="30"/>
      <c r="AS1021" s="30"/>
      <c r="AT1021" s="30"/>
      <c r="AU1021" s="30"/>
      <c r="AV1021" s="30"/>
      <c r="AW1021" s="30"/>
      <c r="AX1021" s="30"/>
    </row>
    <row r="1022" ht="15.75" customHeight="1">
      <c r="A1022" s="30"/>
      <c r="B1022" s="30"/>
      <c r="C1022" s="31"/>
      <c r="D1022" s="31"/>
      <c r="E1022" s="31"/>
      <c r="F1022" s="30"/>
      <c r="G1022" s="30"/>
      <c r="H1022" s="30"/>
      <c r="I1022" s="30"/>
      <c r="J1022" s="30"/>
      <c r="K1022" s="30"/>
      <c r="L1022" s="30"/>
      <c r="M1022" s="30"/>
      <c r="N1022" s="30"/>
      <c r="O1022" s="30"/>
      <c r="P1022" s="30"/>
      <c r="Q1022" s="30"/>
      <c r="R1022" s="30"/>
      <c r="S1022" s="30"/>
      <c r="T1022" s="30"/>
      <c r="U1022" s="30"/>
      <c r="V1022" s="30"/>
      <c r="W1022" s="30"/>
      <c r="X1022" s="30"/>
      <c r="Y1022" s="30"/>
      <c r="Z1022" s="30"/>
      <c r="AA1022" s="30"/>
      <c r="AB1022" s="30"/>
      <c r="AC1022" s="30"/>
      <c r="AD1022" s="30"/>
      <c r="AE1022" s="30"/>
      <c r="AF1022" s="30"/>
      <c r="AG1022" s="30"/>
      <c r="AH1022" s="30"/>
      <c r="AI1022" s="30"/>
      <c r="AJ1022" s="30"/>
      <c r="AK1022" s="30"/>
      <c r="AL1022" s="30"/>
      <c r="AM1022" s="30"/>
      <c r="AN1022" s="30"/>
      <c r="AO1022" s="30"/>
      <c r="AP1022" s="30"/>
      <c r="AQ1022" s="30"/>
      <c r="AR1022" s="30"/>
      <c r="AS1022" s="30"/>
      <c r="AT1022" s="30"/>
      <c r="AU1022" s="30"/>
      <c r="AV1022" s="30"/>
      <c r="AW1022" s="30"/>
      <c r="AX1022" s="30"/>
    </row>
    <row r="1023" ht="15.75" customHeight="1">
      <c r="A1023" s="30"/>
      <c r="B1023" s="30"/>
      <c r="C1023" s="31"/>
      <c r="D1023" s="31"/>
      <c r="E1023" s="31"/>
      <c r="F1023" s="30"/>
      <c r="G1023" s="30"/>
      <c r="H1023" s="30"/>
      <c r="I1023" s="30"/>
      <c r="J1023" s="30"/>
      <c r="K1023" s="30"/>
      <c r="L1023" s="30"/>
      <c r="M1023" s="30"/>
      <c r="N1023" s="30"/>
      <c r="O1023" s="30"/>
      <c r="P1023" s="30"/>
      <c r="Q1023" s="30"/>
      <c r="R1023" s="30"/>
      <c r="S1023" s="30"/>
      <c r="T1023" s="30"/>
      <c r="U1023" s="30"/>
      <c r="V1023" s="30"/>
      <c r="W1023" s="30"/>
      <c r="X1023" s="30"/>
      <c r="Y1023" s="30"/>
      <c r="Z1023" s="30"/>
      <c r="AA1023" s="30"/>
      <c r="AB1023" s="30"/>
      <c r="AC1023" s="30"/>
      <c r="AD1023" s="30"/>
      <c r="AE1023" s="30"/>
      <c r="AF1023" s="30"/>
      <c r="AG1023" s="30"/>
      <c r="AH1023" s="30"/>
      <c r="AI1023" s="30"/>
      <c r="AJ1023" s="30"/>
      <c r="AK1023" s="30"/>
      <c r="AL1023" s="30"/>
      <c r="AM1023" s="30"/>
      <c r="AN1023" s="30"/>
      <c r="AO1023" s="30"/>
      <c r="AP1023" s="30"/>
      <c r="AQ1023" s="30"/>
      <c r="AR1023" s="30"/>
      <c r="AS1023" s="30"/>
      <c r="AT1023" s="30"/>
      <c r="AU1023" s="30"/>
      <c r="AV1023" s="30"/>
      <c r="AW1023" s="30"/>
      <c r="AX1023" s="30"/>
    </row>
    <row r="1024" ht="15.75" customHeight="1">
      <c r="A1024" s="30"/>
      <c r="B1024" s="30"/>
      <c r="C1024" s="31"/>
      <c r="D1024" s="31"/>
      <c r="E1024" s="31"/>
      <c r="F1024" s="30"/>
      <c r="G1024" s="30"/>
      <c r="H1024" s="30"/>
      <c r="I1024" s="30"/>
      <c r="J1024" s="30"/>
      <c r="K1024" s="30"/>
      <c r="L1024" s="30"/>
      <c r="M1024" s="30"/>
      <c r="N1024" s="30"/>
      <c r="O1024" s="30"/>
      <c r="P1024" s="30"/>
      <c r="Q1024" s="30"/>
      <c r="R1024" s="30"/>
      <c r="S1024" s="30"/>
      <c r="T1024" s="30"/>
      <c r="U1024" s="30"/>
      <c r="V1024" s="30"/>
      <c r="W1024" s="30"/>
      <c r="X1024" s="30"/>
      <c r="Y1024" s="30"/>
      <c r="Z1024" s="30"/>
      <c r="AA1024" s="30"/>
      <c r="AB1024" s="30"/>
      <c r="AC1024" s="30"/>
      <c r="AD1024" s="30"/>
      <c r="AE1024" s="30"/>
      <c r="AF1024" s="30"/>
      <c r="AG1024" s="30"/>
      <c r="AH1024" s="30"/>
      <c r="AI1024" s="30"/>
      <c r="AJ1024" s="30"/>
      <c r="AK1024" s="30"/>
      <c r="AL1024" s="30"/>
      <c r="AM1024" s="30"/>
      <c r="AN1024" s="30"/>
      <c r="AO1024" s="30"/>
      <c r="AP1024" s="30"/>
      <c r="AQ1024" s="30"/>
      <c r="AR1024" s="30"/>
      <c r="AS1024" s="30"/>
      <c r="AT1024" s="30"/>
      <c r="AU1024" s="30"/>
      <c r="AV1024" s="30"/>
      <c r="AW1024" s="30"/>
      <c r="AX1024" s="30"/>
    </row>
    <row r="1025" ht="15.75" customHeight="1">
      <c r="A1025" s="30"/>
      <c r="B1025" s="30"/>
      <c r="C1025" s="31"/>
      <c r="D1025" s="31"/>
      <c r="E1025" s="31"/>
      <c r="F1025" s="30"/>
      <c r="G1025" s="30"/>
      <c r="H1025" s="30"/>
      <c r="I1025" s="30"/>
      <c r="J1025" s="30"/>
      <c r="K1025" s="30"/>
      <c r="L1025" s="30"/>
      <c r="M1025" s="30"/>
      <c r="N1025" s="30"/>
      <c r="O1025" s="30"/>
      <c r="P1025" s="30"/>
      <c r="Q1025" s="30"/>
      <c r="R1025" s="30"/>
      <c r="S1025" s="30"/>
      <c r="T1025" s="30"/>
      <c r="U1025" s="30"/>
      <c r="V1025" s="30"/>
      <c r="W1025" s="30"/>
      <c r="X1025" s="30"/>
      <c r="Y1025" s="30"/>
      <c r="Z1025" s="30"/>
      <c r="AA1025" s="30"/>
      <c r="AB1025" s="30"/>
      <c r="AC1025" s="30"/>
      <c r="AD1025" s="30"/>
      <c r="AE1025" s="30"/>
      <c r="AF1025" s="30"/>
      <c r="AG1025" s="30"/>
      <c r="AH1025" s="30"/>
      <c r="AI1025" s="30"/>
      <c r="AJ1025" s="30"/>
      <c r="AK1025" s="30"/>
      <c r="AL1025" s="30"/>
      <c r="AM1025" s="30"/>
      <c r="AN1025" s="30"/>
      <c r="AO1025" s="30"/>
      <c r="AP1025" s="30"/>
      <c r="AQ1025" s="30"/>
      <c r="AR1025" s="30"/>
      <c r="AS1025" s="30"/>
      <c r="AT1025" s="30"/>
      <c r="AU1025" s="30"/>
      <c r="AV1025" s="30"/>
      <c r="AW1025" s="30"/>
      <c r="AX1025" s="30"/>
    </row>
    <row r="1026" ht="15.75" customHeight="1">
      <c r="A1026" s="30"/>
      <c r="B1026" s="30"/>
      <c r="C1026" s="31"/>
      <c r="D1026" s="31"/>
      <c r="E1026" s="31"/>
      <c r="F1026" s="30"/>
      <c r="G1026" s="30"/>
      <c r="H1026" s="30"/>
      <c r="I1026" s="30"/>
      <c r="J1026" s="30"/>
      <c r="K1026" s="30"/>
      <c r="L1026" s="30"/>
      <c r="M1026" s="30"/>
      <c r="N1026" s="30"/>
      <c r="O1026" s="30"/>
      <c r="P1026" s="30"/>
      <c r="Q1026" s="30"/>
      <c r="R1026" s="30"/>
      <c r="S1026" s="30"/>
      <c r="T1026" s="30"/>
      <c r="U1026" s="30"/>
      <c r="V1026" s="30"/>
      <c r="W1026" s="30"/>
      <c r="X1026" s="30"/>
      <c r="Y1026" s="30"/>
      <c r="Z1026" s="30"/>
      <c r="AA1026" s="30"/>
      <c r="AB1026" s="30"/>
      <c r="AC1026" s="30"/>
      <c r="AD1026" s="30"/>
      <c r="AE1026" s="30"/>
      <c r="AF1026" s="30"/>
      <c r="AG1026" s="30"/>
      <c r="AH1026" s="30"/>
      <c r="AI1026" s="30"/>
      <c r="AJ1026" s="30"/>
      <c r="AK1026" s="30"/>
      <c r="AL1026" s="30"/>
      <c r="AM1026" s="30"/>
      <c r="AN1026" s="30"/>
      <c r="AO1026" s="30"/>
      <c r="AP1026" s="30"/>
      <c r="AQ1026" s="30"/>
      <c r="AR1026" s="30"/>
      <c r="AS1026" s="30"/>
      <c r="AT1026" s="30"/>
      <c r="AU1026" s="30"/>
      <c r="AV1026" s="30"/>
      <c r="AW1026" s="30"/>
      <c r="AX1026" s="30"/>
    </row>
    <row r="1027" ht="15.75" customHeight="1">
      <c r="A1027" s="30"/>
      <c r="B1027" s="30"/>
      <c r="C1027" s="31"/>
      <c r="D1027" s="31"/>
      <c r="E1027" s="31"/>
      <c r="F1027" s="30"/>
      <c r="G1027" s="30"/>
      <c r="H1027" s="30"/>
      <c r="I1027" s="30"/>
      <c r="J1027" s="30"/>
      <c r="K1027" s="30"/>
      <c r="L1027" s="30"/>
      <c r="M1027" s="30"/>
      <c r="N1027" s="30"/>
      <c r="O1027" s="30"/>
      <c r="P1027" s="30"/>
      <c r="Q1027" s="30"/>
      <c r="R1027" s="30"/>
      <c r="S1027" s="30"/>
      <c r="T1027" s="30"/>
      <c r="U1027" s="30"/>
      <c r="V1027" s="30"/>
      <c r="W1027" s="30"/>
      <c r="X1027" s="30"/>
      <c r="Y1027" s="30"/>
      <c r="Z1027" s="30"/>
      <c r="AA1027" s="30"/>
      <c r="AB1027" s="30"/>
      <c r="AC1027" s="30"/>
      <c r="AD1027" s="30"/>
      <c r="AE1027" s="30"/>
      <c r="AF1027" s="30"/>
      <c r="AG1027" s="30"/>
      <c r="AH1027" s="30"/>
      <c r="AI1027" s="30"/>
      <c r="AJ1027" s="30"/>
      <c r="AK1027" s="30"/>
      <c r="AL1027" s="30"/>
      <c r="AM1027" s="30"/>
      <c r="AN1027" s="30"/>
      <c r="AO1027" s="30"/>
      <c r="AP1027" s="30"/>
      <c r="AQ1027" s="30"/>
      <c r="AR1027" s="30"/>
      <c r="AS1027" s="30"/>
      <c r="AT1027" s="30"/>
      <c r="AU1027" s="30"/>
      <c r="AV1027" s="30"/>
      <c r="AW1027" s="30"/>
      <c r="AX1027" s="30"/>
    </row>
    <row r="1028" ht="15.75" customHeight="1">
      <c r="A1028" s="30"/>
      <c r="B1028" s="30"/>
      <c r="C1028" s="31"/>
      <c r="D1028" s="31"/>
      <c r="E1028" s="31"/>
      <c r="F1028" s="30"/>
      <c r="G1028" s="30"/>
      <c r="H1028" s="30"/>
      <c r="I1028" s="30"/>
      <c r="J1028" s="30"/>
      <c r="K1028" s="30"/>
      <c r="L1028" s="30"/>
      <c r="M1028" s="30"/>
      <c r="N1028" s="30"/>
      <c r="O1028" s="30"/>
      <c r="P1028" s="30"/>
      <c r="Q1028" s="30"/>
      <c r="R1028" s="30"/>
      <c r="S1028" s="30"/>
      <c r="T1028" s="30"/>
      <c r="U1028" s="30"/>
      <c r="V1028" s="30"/>
      <c r="W1028" s="30"/>
      <c r="X1028" s="30"/>
      <c r="Y1028" s="30"/>
      <c r="Z1028" s="30"/>
      <c r="AA1028" s="30"/>
      <c r="AB1028" s="30"/>
      <c r="AC1028" s="30"/>
      <c r="AD1028" s="30"/>
      <c r="AE1028" s="30"/>
      <c r="AF1028" s="30"/>
      <c r="AG1028" s="30"/>
      <c r="AH1028" s="30"/>
      <c r="AI1028" s="30"/>
      <c r="AJ1028" s="30"/>
      <c r="AK1028" s="30"/>
      <c r="AL1028" s="30"/>
      <c r="AM1028" s="30"/>
      <c r="AN1028" s="30"/>
      <c r="AO1028" s="30"/>
      <c r="AP1028" s="30"/>
      <c r="AQ1028" s="30"/>
      <c r="AR1028" s="30"/>
      <c r="AS1028" s="30"/>
      <c r="AT1028" s="30"/>
      <c r="AU1028" s="30"/>
      <c r="AV1028" s="30"/>
      <c r="AW1028" s="30"/>
      <c r="AX1028" s="30"/>
    </row>
    <row r="1029" ht="15.75" customHeight="1">
      <c r="A1029" s="30"/>
      <c r="B1029" s="30"/>
      <c r="C1029" s="31"/>
      <c r="D1029" s="31"/>
      <c r="E1029" s="31"/>
      <c r="F1029" s="30"/>
      <c r="G1029" s="30"/>
      <c r="H1029" s="30"/>
      <c r="I1029" s="30"/>
      <c r="J1029" s="30"/>
      <c r="K1029" s="30"/>
      <c r="L1029" s="30"/>
      <c r="M1029" s="30"/>
      <c r="N1029" s="30"/>
      <c r="O1029" s="30"/>
      <c r="P1029" s="30"/>
      <c r="Q1029" s="30"/>
      <c r="R1029" s="30"/>
      <c r="S1029" s="30"/>
      <c r="T1029" s="30"/>
      <c r="U1029" s="30"/>
      <c r="V1029" s="30"/>
      <c r="W1029" s="30"/>
      <c r="X1029" s="30"/>
      <c r="Y1029" s="30"/>
      <c r="Z1029" s="30"/>
      <c r="AA1029" s="30"/>
      <c r="AB1029" s="30"/>
      <c r="AC1029" s="30"/>
      <c r="AD1029" s="30"/>
      <c r="AE1029" s="30"/>
      <c r="AF1029" s="30"/>
      <c r="AG1029" s="30"/>
      <c r="AH1029" s="30"/>
      <c r="AI1029" s="30"/>
      <c r="AJ1029" s="30"/>
      <c r="AK1029" s="30"/>
      <c r="AL1029" s="30"/>
      <c r="AM1029" s="30"/>
      <c r="AN1029" s="30"/>
      <c r="AO1029" s="30"/>
      <c r="AP1029" s="30"/>
      <c r="AQ1029" s="30"/>
      <c r="AR1029" s="30"/>
      <c r="AS1029" s="30"/>
      <c r="AT1029" s="30"/>
      <c r="AU1029" s="30"/>
      <c r="AV1029" s="30"/>
      <c r="AW1029" s="30"/>
      <c r="AX1029" s="30"/>
    </row>
    <row r="1030" ht="15.75" customHeight="1">
      <c r="A1030" s="30"/>
      <c r="B1030" s="30"/>
      <c r="C1030" s="31"/>
      <c r="D1030" s="31"/>
      <c r="E1030" s="31"/>
      <c r="F1030" s="30"/>
      <c r="G1030" s="30"/>
      <c r="H1030" s="30"/>
      <c r="I1030" s="30"/>
      <c r="J1030" s="30"/>
      <c r="K1030" s="30"/>
      <c r="L1030" s="30"/>
      <c r="M1030" s="30"/>
      <c r="N1030" s="30"/>
      <c r="O1030" s="30"/>
      <c r="P1030" s="30"/>
      <c r="Q1030" s="30"/>
      <c r="R1030" s="30"/>
      <c r="S1030" s="30"/>
      <c r="T1030" s="30"/>
      <c r="U1030" s="30"/>
      <c r="V1030" s="30"/>
      <c r="W1030" s="30"/>
      <c r="X1030" s="30"/>
      <c r="Y1030" s="30"/>
      <c r="Z1030" s="30"/>
      <c r="AA1030" s="30"/>
      <c r="AB1030" s="30"/>
      <c r="AC1030" s="30"/>
      <c r="AD1030" s="30"/>
      <c r="AE1030" s="30"/>
      <c r="AF1030" s="30"/>
      <c r="AG1030" s="30"/>
      <c r="AH1030" s="30"/>
      <c r="AI1030" s="30"/>
      <c r="AJ1030" s="30"/>
      <c r="AK1030" s="30"/>
      <c r="AL1030" s="30"/>
      <c r="AM1030" s="30"/>
      <c r="AN1030" s="30"/>
      <c r="AO1030" s="30"/>
      <c r="AP1030" s="30"/>
      <c r="AQ1030" s="30"/>
      <c r="AR1030" s="30"/>
      <c r="AS1030" s="30"/>
      <c r="AT1030" s="30"/>
      <c r="AU1030" s="30"/>
      <c r="AV1030" s="30"/>
      <c r="AW1030" s="30"/>
      <c r="AX1030" s="30"/>
    </row>
    <row r="1031" ht="15.75" customHeight="1">
      <c r="A1031" s="30"/>
      <c r="B1031" s="30"/>
      <c r="C1031" s="31"/>
      <c r="D1031" s="31"/>
      <c r="E1031" s="31"/>
      <c r="F1031" s="30"/>
      <c r="G1031" s="30"/>
      <c r="H1031" s="30"/>
      <c r="I1031" s="30"/>
      <c r="J1031" s="30"/>
      <c r="K1031" s="30"/>
      <c r="L1031" s="30"/>
      <c r="M1031" s="30"/>
      <c r="N1031" s="30"/>
      <c r="O1031" s="30"/>
      <c r="P1031" s="30"/>
      <c r="Q1031" s="30"/>
      <c r="R1031" s="30"/>
      <c r="S1031" s="30"/>
      <c r="T1031" s="30"/>
      <c r="U1031" s="30"/>
      <c r="V1031" s="30"/>
      <c r="W1031" s="30"/>
      <c r="X1031" s="30"/>
      <c r="Y1031" s="30"/>
      <c r="Z1031" s="30"/>
      <c r="AA1031" s="30"/>
      <c r="AB1031" s="30"/>
      <c r="AC1031" s="30"/>
      <c r="AD1031" s="30"/>
      <c r="AE1031" s="30"/>
      <c r="AF1031" s="30"/>
      <c r="AG1031" s="30"/>
      <c r="AH1031" s="30"/>
      <c r="AI1031" s="30"/>
      <c r="AJ1031" s="30"/>
      <c r="AK1031" s="30"/>
      <c r="AL1031" s="30"/>
      <c r="AM1031" s="30"/>
      <c r="AN1031" s="30"/>
      <c r="AO1031" s="30"/>
      <c r="AP1031" s="30"/>
      <c r="AQ1031" s="30"/>
      <c r="AR1031" s="30"/>
      <c r="AS1031" s="30"/>
      <c r="AT1031" s="30"/>
      <c r="AU1031" s="30"/>
      <c r="AV1031" s="30"/>
      <c r="AW1031" s="30"/>
      <c r="AX1031" s="30"/>
    </row>
    <row r="1032" ht="15.75" customHeight="1">
      <c r="A1032" s="30"/>
      <c r="B1032" s="30"/>
      <c r="C1032" s="31"/>
      <c r="D1032" s="31"/>
      <c r="E1032" s="31"/>
      <c r="F1032" s="30"/>
      <c r="G1032" s="30"/>
      <c r="H1032" s="30"/>
      <c r="I1032" s="30"/>
      <c r="J1032" s="30"/>
      <c r="K1032" s="30"/>
      <c r="L1032" s="30"/>
      <c r="M1032" s="30"/>
      <c r="N1032" s="30"/>
      <c r="O1032" s="30"/>
      <c r="P1032" s="30"/>
      <c r="Q1032" s="30"/>
      <c r="R1032" s="30"/>
      <c r="S1032" s="30"/>
      <c r="T1032" s="30"/>
      <c r="U1032" s="30"/>
      <c r="V1032" s="30"/>
      <c r="W1032" s="30"/>
      <c r="X1032" s="30"/>
      <c r="Y1032" s="30"/>
      <c r="Z1032" s="30"/>
      <c r="AA1032" s="30"/>
      <c r="AB1032" s="30"/>
      <c r="AC1032" s="30"/>
      <c r="AD1032" s="30"/>
      <c r="AE1032" s="30"/>
      <c r="AF1032" s="30"/>
      <c r="AG1032" s="30"/>
      <c r="AH1032" s="30"/>
      <c r="AI1032" s="30"/>
      <c r="AJ1032" s="30"/>
      <c r="AK1032" s="30"/>
      <c r="AL1032" s="30"/>
      <c r="AM1032" s="30"/>
      <c r="AN1032" s="30"/>
      <c r="AO1032" s="30"/>
      <c r="AP1032" s="30"/>
      <c r="AQ1032" s="30"/>
      <c r="AR1032" s="30"/>
      <c r="AS1032" s="30"/>
      <c r="AT1032" s="30"/>
      <c r="AU1032" s="30"/>
      <c r="AV1032" s="30"/>
      <c r="AW1032" s="30"/>
      <c r="AX1032" s="30"/>
    </row>
    <row r="1033" ht="15.75" customHeight="1">
      <c r="A1033" s="30"/>
      <c r="B1033" s="30"/>
      <c r="C1033" s="31"/>
      <c r="D1033" s="31"/>
      <c r="E1033" s="31"/>
      <c r="F1033" s="30"/>
      <c r="G1033" s="30"/>
      <c r="H1033" s="30"/>
      <c r="I1033" s="30"/>
      <c r="J1033" s="30"/>
      <c r="K1033" s="30"/>
      <c r="L1033" s="30"/>
      <c r="M1033" s="30"/>
      <c r="N1033" s="30"/>
      <c r="O1033" s="30"/>
      <c r="P1033" s="30"/>
      <c r="Q1033" s="30"/>
      <c r="R1033" s="30"/>
      <c r="S1033" s="30"/>
      <c r="T1033" s="30"/>
      <c r="U1033" s="30"/>
      <c r="V1033" s="30"/>
      <c r="W1033" s="30"/>
      <c r="X1033" s="30"/>
      <c r="Y1033" s="30"/>
      <c r="Z1033" s="30"/>
      <c r="AA1033" s="30"/>
      <c r="AB1033" s="30"/>
      <c r="AC1033" s="30"/>
      <c r="AD1033" s="30"/>
      <c r="AE1033" s="30"/>
      <c r="AF1033" s="30"/>
      <c r="AG1033" s="30"/>
      <c r="AH1033" s="30"/>
      <c r="AI1033" s="30"/>
      <c r="AJ1033" s="30"/>
      <c r="AK1033" s="30"/>
      <c r="AL1033" s="30"/>
      <c r="AM1033" s="30"/>
      <c r="AN1033" s="30"/>
      <c r="AO1033" s="30"/>
      <c r="AP1033" s="30"/>
      <c r="AQ1033" s="30"/>
      <c r="AR1033" s="30"/>
      <c r="AS1033" s="30"/>
      <c r="AT1033" s="30"/>
      <c r="AU1033" s="30"/>
      <c r="AV1033" s="30"/>
      <c r="AW1033" s="30"/>
      <c r="AX1033" s="30"/>
    </row>
    <row r="1034" ht="15.75" customHeight="1">
      <c r="A1034" s="30"/>
      <c r="B1034" s="30"/>
      <c r="C1034" s="31"/>
      <c r="D1034" s="31"/>
      <c r="E1034" s="31"/>
      <c r="F1034" s="30"/>
      <c r="G1034" s="30"/>
      <c r="H1034" s="30"/>
      <c r="I1034" s="30"/>
      <c r="J1034" s="30"/>
      <c r="K1034" s="30"/>
      <c r="L1034" s="30"/>
      <c r="M1034" s="30"/>
      <c r="N1034" s="30"/>
      <c r="O1034" s="30"/>
      <c r="P1034" s="30"/>
      <c r="Q1034" s="30"/>
      <c r="R1034" s="30"/>
      <c r="S1034" s="30"/>
      <c r="T1034" s="30"/>
      <c r="U1034" s="30"/>
      <c r="V1034" s="30"/>
      <c r="W1034" s="30"/>
      <c r="X1034" s="30"/>
      <c r="Y1034" s="30"/>
      <c r="Z1034" s="30"/>
      <c r="AA1034" s="30"/>
      <c r="AB1034" s="30"/>
      <c r="AC1034" s="30"/>
      <c r="AD1034" s="30"/>
      <c r="AE1034" s="30"/>
      <c r="AF1034" s="30"/>
      <c r="AG1034" s="30"/>
      <c r="AH1034" s="30"/>
      <c r="AI1034" s="30"/>
      <c r="AJ1034" s="30"/>
      <c r="AK1034" s="30"/>
      <c r="AL1034" s="30"/>
      <c r="AM1034" s="30"/>
      <c r="AN1034" s="30"/>
      <c r="AO1034" s="30"/>
      <c r="AP1034" s="30"/>
      <c r="AQ1034" s="30"/>
      <c r="AR1034" s="30"/>
      <c r="AS1034" s="30"/>
      <c r="AT1034" s="30"/>
      <c r="AU1034" s="30"/>
      <c r="AV1034" s="30"/>
      <c r="AW1034" s="30"/>
      <c r="AX1034" s="30"/>
    </row>
    <row r="1035" ht="15.75" customHeight="1">
      <c r="A1035" s="30"/>
      <c r="B1035" s="30"/>
      <c r="C1035" s="31"/>
      <c r="D1035" s="31"/>
      <c r="E1035" s="31"/>
      <c r="F1035" s="30"/>
      <c r="G1035" s="30"/>
      <c r="H1035" s="30"/>
      <c r="I1035" s="30"/>
      <c r="J1035" s="30"/>
      <c r="K1035" s="30"/>
      <c r="L1035" s="30"/>
      <c r="M1035" s="30"/>
      <c r="N1035" s="30"/>
      <c r="O1035" s="30"/>
      <c r="P1035" s="30"/>
      <c r="Q1035" s="30"/>
      <c r="R1035" s="30"/>
      <c r="S1035" s="30"/>
      <c r="T1035" s="30"/>
      <c r="U1035" s="30"/>
      <c r="V1035" s="30"/>
      <c r="W1035" s="30"/>
      <c r="X1035" s="30"/>
      <c r="Y1035" s="30"/>
      <c r="Z1035" s="30"/>
      <c r="AA1035" s="30"/>
      <c r="AB1035" s="30"/>
      <c r="AC1035" s="30"/>
      <c r="AD1035" s="30"/>
      <c r="AE1035" s="30"/>
      <c r="AF1035" s="30"/>
      <c r="AG1035" s="30"/>
      <c r="AH1035" s="30"/>
      <c r="AI1035" s="30"/>
      <c r="AJ1035" s="30"/>
      <c r="AK1035" s="30"/>
      <c r="AL1035" s="30"/>
      <c r="AM1035" s="30"/>
      <c r="AN1035" s="30"/>
      <c r="AO1035" s="30"/>
      <c r="AP1035" s="30"/>
      <c r="AQ1035" s="30"/>
      <c r="AR1035" s="30"/>
      <c r="AS1035" s="30"/>
      <c r="AT1035" s="30"/>
      <c r="AU1035" s="30"/>
      <c r="AV1035" s="30"/>
      <c r="AW1035" s="30"/>
      <c r="AX1035" s="30"/>
    </row>
    <row r="1036" ht="15.75" customHeight="1">
      <c r="A1036" s="30"/>
      <c r="B1036" s="30"/>
      <c r="C1036" s="31"/>
      <c r="D1036" s="31"/>
      <c r="E1036" s="31"/>
      <c r="F1036" s="30"/>
      <c r="G1036" s="30"/>
      <c r="H1036" s="30"/>
      <c r="I1036" s="30"/>
      <c r="J1036" s="30"/>
      <c r="K1036" s="30"/>
      <c r="L1036" s="30"/>
      <c r="M1036" s="30"/>
      <c r="N1036" s="30"/>
      <c r="O1036" s="30"/>
      <c r="P1036" s="30"/>
      <c r="Q1036" s="30"/>
      <c r="R1036" s="30"/>
      <c r="S1036" s="30"/>
      <c r="T1036" s="30"/>
      <c r="U1036" s="30"/>
      <c r="V1036" s="30"/>
      <c r="W1036" s="30"/>
      <c r="X1036" s="30"/>
      <c r="Y1036" s="30"/>
      <c r="Z1036" s="30"/>
      <c r="AA1036" s="30"/>
      <c r="AB1036" s="30"/>
      <c r="AC1036" s="30"/>
      <c r="AD1036" s="30"/>
      <c r="AE1036" s="30"/>
      <c r="AF1036" s="30"/>
      <c r="AG1036" s="30"/>
      <c r="AH1036" s="30"/>
      <c r="AI1036" s="30"/>
      <c r="AJ1036" s="30"/>
      <c r="AK1036" s="30"/>
      <c r="AL1036" s="30"/>
      <c r="AM1036" s="30"/>
      <c r="AN1036" s="30"/>
      <c r="AO1036" s="30"/>
      <c r="AP1036" s="30"/>
      <c r="AQ1036" s="30"/>
      <c r="AR1036" s="30"/>
      <c r="AS1036" s="30"/>
      <c r="AT1036" s="30"/>
      <c r="AU1036" s="30"/>
      <c r="AV1036" s="30"/>
      <c r="AW1036" s="30"/>
      <c r="AX1036" s="30"/>
    </row>
    <row r="1037" ht="15.75" customHeight="1">
      <c r="A1037" s="30"/>
      <c r="B1037" s="30"/>
      <c r="C1037" s="31"/>
      <c r="D1037" s="31"/>
      <c r="E1037" s="31"/>
      <c r="F1037" s="30"/>
      <c r="G1037" s="30"/>
      <c r="H1037" s="30"/>
      <c r="I1037" s="30"/>
      <c r="J1037" s="30"/>
      <c r="K1037" s="30"/>
      <c r="L1037" s="30"/>
      <c r="M1037" s="30"/>
      <c r="N1037" s="30"/>
      <c r="O1037" s="30"/>
      <c r="P1037" s="30"/>
      <c r="Q1037" s="30"/>
      <c r="R1037" s="30"/>
      <c r="S1037" s="30"/>
      <c r="T1037" s="30"/>
      <c r="U1037" s="30"/>
      <c r="V1037" s="30"/>
      <c r="W1037" s="30"/>
      <c r="X1037" s="30"/>
      <c r="Y1037" s="30"/>
      <c r="Z1037" s="30"/>
      <c r="AA1037" s="30"/>
      <c r="AB1037" s="30"/>
      <c r="AC1037" s="30"/>
      <c r="AD1037" s="30"/>
      <c r="AE1037" s="30"/>
      <c r="AF1037" s="30"/>
      <c r="AG1037" s="30"/>
      <c r="AH1037" s="30"/>
      <c r="AI1037" s="30"/>
      <c r="AJ1037" s="30"/>
      <c r="AK1037" s="30"/>
      <c r="AL1037" s="30"/>
      <c r="AM1037" s="30"/>
      <c r="AN1037" s="30"/>
      <c r="AO1037" s="30"/>
      <c r="AP1037" s="30"/>
      <c r="AQ1037" s="30"/>
      <c r="AR1037" s="30"/>
      <c r="AS1037" s="30"/>
      <c r="AT1037" s="30"/>
      <c r="AU1037" s="30"/>
      <c r="AV1037" s="30"/>
      <c r="AW1037" s="30"/>
      <c r="AX1037" s="30"/>
    </row>
    <row r="1038" ht="15.75" customHeight="1">
      <c r="A1038" s="30"/>
      <c r="B1038" s="30"/>
      <c r="C1038" s="31"/>
      <c r="D1038" s="31"/>
      <c r="E1038" s="31"/>
      <c r="F1038" s="30"/>
      <c r="G1038" s="30"/>
      <c r="H1038" s="30"/>
      <c r="I1038" s="30"/>
      <c r="J1038" s="30"/>
      <c r="K1038" s="30"/>
      <c r="L1038" s="30"/>
      <c r="M1038" s="30"/>
      <c r="N1038" s="30"/>
      <c r="O1038" s="30"/>
      <c r="P1038" s="30"/>
      <c r="Q1038" s="30"/>
      <c r="R1038" s="30"/>
      <c r="S1038" s="30"/>
      <c r="T1038" s="30"/>
      <c r="U1038" s="30"/>
      <c r="V1038" s="30"/>
      <c r="W1038" s="30"/>
      <c r="X1038" s="30"/>
      <c r="Y1038" s="30"/>
      <c r="Z1038" s="30"/>
      <c r="AA1038" s="30"/>
      <c r="AB1038" s="30"/>
      <c r="AC1038" s="30"/>
      <c r="AD1038" s="30"/>
      <c r="AE1038" s="30"/>
      <c r="AF1038" s="30"/>
      <c r="AG1038" s="30"/>
      <c r="AH1038" s="30"/>
      <c r="AI1038" s="30"/>
      <c r="AJ1038" s="30"/>
      <c r="AK1038" s="30"/>
      <c r="AL1038" s="30"/>
      <c r="AM1038" s="30"/>
      <c r="AN1038" s="30"/>
      <c r="AO1038" s="30"/>
      <c r="AP1038" s="30"/>
      <c r="AQ1038" s="30"/>
      <c r="AR1038" s="30"/>
      <c r="AS1038" s="30"/>
      <c r="AT1038" s="30"/>
      <c r="AU1038" s="30"/>
      <c r="AV1038" s="30"/>
      <c r="AW1038" s="30"/>
      <c r="AX1038" s="30"/>
    </row>
    <row r="1039" ht="15.75" customHeight="1">
      <c r="A1039" s="30"/>
      <c r="B1039" s="30"/>
      <c r="C1039" s="31"/>
      <c r="D1039" s="31"/>
      <c r="E1039" s="31"/>
      <c r="F1039" s="30"/>
      <c r="G1039" s="30"/>
      <c r="H1039" s="30"/>
      <c r="I1039" s="30"/>
      <c r="J1039" s="30"/>
      <c r="K1039" s="30"/>
      <c r="L1039" s="30"/>
      <c r="M1039" s="30"/>
      <c r="N1039" s="30"/>
      <c r="O1039" s="30"/>
      <c r="P1039" s="30"/>
      <c r="Q1039" s="30"/>
      <c r="R1039" s="30"/>
      <c r="S1039" s="30"/>
      <c r="T1039" s="30"/>
      <c r="U1039" s="30"/>
      <c r="V1039" s="30"/>
      <c r="W1039" s="30"/>
      <c r="X1039" s="30"/>
      <c r="Y1039" s="30"/>
      <c r="Z1039" s="30"/>
      <c r="AA1039" s="30"/>
      <c r="AB1039" s="30"/>
      <c r="AC1039" s="30"/>
      <c r="AD1039" s="30"/>
      <c r="AE1039" s="30"/>
      <c r="AF1039" s="30"/>
      <c r="AG1039" s="30"/>
      <c r="AH1039" s="30"/>
      <c r="AI1039" s="30"/>
      <c r="AJ1039" s="30"/>
      <c r="AK1039" s="30"/>
      <c r="AL1039" s="30"/>
      <c r="AM1039" s="30"/>
      <c r="AN1039" s="30"/>
      <c r="AO1039" s="30"/>
      <c r="AP1039" s="30"/>
      <c r="AQ1039" s="30"/>
      <c r="AR1039" s="30"/>
      <c r="AS1039" s="30"/>
      <c r="AT1039" s="30"/>
      <c r="AU1039" s="30"/>
      <c r="AV1039" s="30"/>
      <c r="AW1039" s="30"/>
      <c r="AX1039" s="30"/>
    </row>
    <row r="1040" ht="15.75" customHeight="1">
      <c r="A1040" s="30"/>
      <c r="B1040" s="30"/>
      <c r="C1040" s="31"/>
      <c r="D1040" s="31"/>
      <c r="E1040" s="31"/>
      <c r="F1040" s="30"/>
      <c r="G1040" s="30"/>
      <c r="H1040" s="30"/>
      <c r="I1040" s="30"/>
      <c r="J1040" s="30"/>
      <c r="K1040" s="30"/>
      <c r="L1040" s="30"/>
      <c r="M1040" s="30"/>
      <c r="N1040" s="30"/>
      <c r="O1040" s="30"/>
      <c r="P1040" s="30"/>
      <c r="Q1040" s="30"/>
      <c r="R1040" s="30"/>
      <c r="S1040" s="30"/>
      <c r="T1040" s="30"/>
      <c r="U1040" s="30"/>
      <c r="V1040" s="30"/>
      <c r="W1040" s="30"/>
      <c r="X1040" s="30"/>
      <c r="Y1040" s="30"/>
      <c r="Z1040" s="30"/>
      <c r="AA1040" s="30"/>
      <c r="AB1040" s="30"/>
      <c r="AC1040" s="30"/>
      <c r="AD1040" s="30"/>
      <c r="AE1040" s="30"/>
      <c r="AF1040" s="30"/>
      <c r="AG1040" s="30"/>
      <c r="AH1040" s="30"/>
      <c r="AI1040" s="30"/>
      <c r="AJ1040" s="30"/>
      <c r="AK1040" s="30"/>
      <c r="AL1040" s="30"/>
      <c r="AM1040" s="30"/>
      <c r="AN1040" s="30"/>
      <c r="AO1040" s="30"/>
      <c r="AP1040" s="30"/>
      <c r="AQ1040" s="30"/>
      <c r="AR1040" s="30"/>
      <c r="AS1040" s="30"/>
      <c r="AT1040" s="30"/>
      <c r="AU1040" s="30"/>
      <c r="AV1040" s="30"/>
      <c r="AW1040" s="30"/>
      <c r="AX1040" s="30"/>
    </row>
    <row r="1041" ht="15.75" customHeight="1">
      <c r="A1041" s="30"/>
      <c r="B1041" s="30"/>
      <c r="C1041" s="31"/>
      <c r="D1041" s="31"/>
      <c r="E1041" s="31"/>
      <c r="F1041" s="30"/>
      <c r="G1041" s="30"/>
      <c r="H1041" s="30"/>
      <c r="I1041" s="30"/>
      <c r="J1041" s="30"/>
      <c r="K1041" s="30"/>
      <c r="L1041" s="30"/>
      <c r="M1041" s="30"/>
      <c r="N1041" s="30"/>
      <c r="O1041" s="30"/>
      <c r="P1041" s="30"/>
      <c r="Q1041" s="30"/>
      <c r="R1041" s="30"/>
      <c r="S1041" s="30"/>
      <c r="T1041" s="30"/>
      <c r="U1041" s="30"/>
      <c r="V1041" s="30"/>
      <c r="W1041" s="30"/>
      <c r="X1041" s="30"/>
      <c r="Y1041" s="30"/>
      <c r="Z1041" s="30"/>
      <c r="AA1041" s="30"/>
      <c r="AB1041" s="30"/>
      <c r="AC1041" s="30"/>
      <c r="AD1041" s="30"/>
      <c r="AE1041" s="30"/>
      <c r="AF1041" s="30"/>
      <c r="AG1041" s="30"/>
      <c r="AH1041" s="30"/>
      <c r="AI1041" s="30"/>
      <c r="AJ1041" s="30"/>
      <c r="AK1041" s="30"/>
      <c r="AL1041" s="30"/>
      <c r="AM1041" s="30"/>
      <c r="AN1041" s="30"/>
      <c r="AO1041" s="30"/>
      <c r="AP1041" s="30"/>
      <c r="AQ1041" s="30"/>
      <c r="AR1041" s="30"/>
      <c r="AS1041" s="30"/>
      <c r="AT1041" s="30"/>
      <c r="AU1041" s="30"/>
      <c r="AV1041" s="30"/>
      <c r="AW1041" s="30"/>
      <c r="AX1041" s="30"/>
    </row>
    <row r="1042" ht="15.75" customHeight="1">
      <c r="A1042" s="30"/>
      <c r="B1042" s="30"/>
      <c r="C1042" s="31"/>
      <c r="D1042" s="31"/>
      <c r="E1042" s="31"/>
      <c r="F1042" s="30"/>
      <c r="G1042" s="30"/>
      <c r="H1042" s="30"/>
      <c r="I1042" s="30"/>
      <c r="J1042" s="30"/>
      <c r="K1042" s="30"/>
      <c r="L1042" s="30"/>
      <c r="M1042" s="30"/>
      <c r="N1042" s="30"/>
      <c r="O1042" s="30"/>
      <c r="P1042" s="30"/>
      <c r="Q1042" s="30"/>
      <c r="R1042" s="30"/>
      <c r="S1042" s="30"/>
      <c r="T1042" s="30"/>
      <c r="U1042" s="30"/>
      <c r="V1042" s="30"/>
      <c r="W1042" s="30"/>
      <c r="X1042" s="30"/>
      <c r="Y1042" s="30"/>
      <c r="Z1042" s="30"/>
      <c r="AA1042" s="30"/>
      <c r="AB1042" s="30"/>
      <c r="AC1042" s="30"/>
      <c r="AD1042" s="30"/>
      <c r="AE1042" s="30"/>
      <c r="AF1042" s="30"/>
      <c r="AG1042" s="30"/>
      <c r="AH1042" s="30"/>
      <c r="AI1042" s="30"/>
      <c r="AJ1042" s="30"/>
      <c r="AK1042" s="30"/>
      <c r="AL1042" s="30"/>
      <c r="AM1042" s="30"/>
      <c r="AN1042" s="30"/>
      <c r="AO1042" s="30"/>
      <c r="AP1042" s="30"/>
      <c r="AQ1042" s="30"/>
      <c r="AR1042" s="30"/>
      <c r="AS1042" s="30"/>
      <c r="AT1042" s="30"/>
      <c r="AU1042" s="30"/>
      <c r="AV1042" s="30"/>
      <c r="AW1042" s="30"/>
      <c r="AX1042" s="30"/>
    </row>
    <row r="1043" ht="15.75" customHeight="1">
      <c r="A1043" s="30"/>
      <c r="B1043" s="30"/>
      <c r="C1043" s="31"/>
      <c r="D1043" s="31"/>
      <c r="E1043" s="31"/>
      <c r="F1043" s="30"/>
      <c r="G1043" s="30"/>
      <c r="H1043" s="30"/>
      <c r="I1043" s="30"/>
      <c r="J1043" s="30"/>
      <c r="K1043" s="30"/>
      <c r="L1043" s="30"/>
      <c r="M1043" s="30"/>
      <c r="N1043" s="30"/>
      <c r="O1043" s="30"/>
      <c r="P1043" s="30"/>
      <c r="Q1043" s="30"/>
      <c r="R1043" s="30"/>
      <c r="S1043" s="30"/>
      <c r="T1043" s="30"/>
      <c r="U1043" s="30"/>
      <c r="V1043" s="30"/>
      <c r="W1043" s="30"/>
      <c r="X1043" s="30"/>
      <c r="Y1043" s="30"/>
      <c r="Z1043" s="30"/>
      <c r="AA1043" s="30"/>
      <c r="AB1043" s="30"/>
      <c r="AC1043" s="30"/>
      <c r="AD1043" s="30"/>
      <c r="AE1043" s="30"/>
      <c r="AF1043" s="30"/>
      <c r="AG1043" s="30"/>
      <c r="AH1043" s="30"/>
      <c r="AI1043" s="30"/>
      <c r="AJ1043" s="30"/>
      <c r="AK1043" s="30"/>
      <c r="AL1043" s="30"/>
      <c r="AM1043" s="30"/>
      <c r="AN1043" s="30"/>
      <c r="AO1043" s="30"/>
      <c r="AP1043" s="30"/>
      <c r="AQ1043" s="30"/>
      <c r="AR1043" s="30"/>
      <c r="AS1043" s="30"/>
      <c r="AT1043" s="30"/>
      <c r="AU1043" s="30"/>
      <c r="AV1043" s="30"/>
      <c r="AW1043" s="30"/>
      <c r="AX1043" s="30"/>
    </row>
    <row r="1044" ht="15.75" customHeight="1">
      <c r="A1044" s="30"/>
      <c r="B1044" s="30"/>
      <c r="C1044" s="31"/>
      <c r="D1044" s="31"/>
      <c r="E1044" s="31"/>
      <c r="F1044" s="30"/>
      <c r="G1044" s="30"/>
      <c r="H1044" s="30"/>
      <c r="I1044" s="30"/>
      <c r="J1044" s="30"/>
      <c r="K1044" s="30"/>
      <c r="L1044" s="30"/>
      <c r="M1044" s="30"/>
      <c r="N1044" s="30"/>
      <c r="O1044" s="30"/>
      <c r="P1044" s="30"/>
      <c r="Q1044" s="30"/>
      <c r="R1044" s="30"/>
      <c r="S1044" s="30"/>
      <c r="T1044" s="30"/>
      <c r="U1044" s="30"/>
      <c r="V1044" s="30"/>
      <c r="W1044" s="30"/>
      <c r="X1044" s="30"/>
      <c r="Y1044" s="30"/>
      <c r="Z1044" s="30"/>
      <c r="AA1044" s="30"/>
      <c r="AB1044" s="30"/>
      <c r="AC1044" s="30"/>
      <c r="AD1044" s="30"/>
      <c r="AE1044" s="30"/>
      <c r="AF1044" s="30"/>
      <c r="AG1044" s="30"/>
      <c r="AH1044" s="30"/>
      <c r="AI1044" s="30"/>
      <c r="AJ1044" s="30"/>
      <c r="AK1044" s="30"/>
      <c r="AL1044" s="30"/>
      <c r="AM1044" s="30"/>
      <c r="AN1044" s="30"/>
      <c r="AO1044" s="30"/>
      <c r="AP1044" s="30"/>
      <c r="AQ1044" s="30"/>
      <c r="AR1044" s="30"/>
      <c r="AS1044" s="30"/>
      <c r="AT1044" s="30"/>
      <c r="AU1044" s="30"/>
      <c r="AV1044" s="30"/>
      <c r="AW1044" s="30"/>
      <c r="AX1044" s="30"/>
    </row>
    <row r="1045" ht="15.75" customHeight="1">
      <c r="A1045" s="30"/>
      <c r="B1045" s="30"/>
      <c r="C1045" s="31"/>
      <c r="D1045" s="31"/>
      <c r="E1045" s="31"/>
      <c r="F1045" s="30"/>
      <c r="G1045" s="30"/>
      <c r="H1045" s="30"/>
      <c r="I1045" s="30"/>
      <c r="J1045" s="30"/>
      <c r="K1045" s="30"/>
      <c r="L1045" s="30"/>
      <c r="M1045" s="30"/>
      <c r="N1045" s="30"/>
      <c r="O1045" s="30"/>
      <c r="P1045" s="30"/>
      <c r="Q1045" s="30"/>
      <c r="R1045" s="30"/>
      <c r="S1045" s="30"/>
      <c r="T1045" s="30"/>
      <c r="U1045" s="30"/>
      <c r="V1045" s="30"/>
      <c r="W1045" s="30"/>
      <c r="X1045" s="30"/>
      <c r="Y1045" s="30"/>
      <c r="Z1045" s="30"/>
      <c r="AA1045" s="30"/>
      <c r="AB1045" s="30"/>
      <c r="AC1045" s="30"/>
      <c r="AD1045" s="30"/>
      <c r="AE1045" s="30"/>
      <c r="AF1045" s="30"/>
      <c r="AG1045" s="30"/>
      <c r="AH1045" s="30"/>
      <c r="AI1045" s="30"/>
      <c r="AJ1045" s="30"/>
      <c r="AK1045" s="30"/>
      <c r="AL1045" s="30"/>
      <c r="AM1045" s="30"/>
      <c r="AN1045" s="30"/>
      <c r="AO1045" s="30"/>
      <c r="AP1045" s="30"/>
      <c r="AQ1045" s="30"/>
      <c r="AR1045" s="30"/>
      <c r="AS1045" s="30"/>
      <c r="AT1045" s="30"/>
      <c r="AU1045" s="30"/>
      <c r="AV1045" s="30"/>
      <c r="AW1045" s="30"/>
      <c r="AX1045" s="30"/>
    </row>
    <row r="1046" ht="15.75" customHeight="1">
      <c r="A1046" s="30"/>
      <c r="B1046" s="30"/>
      <c r="C1046" s="31"/>
      <c r="D1046" s="31"/>
      <c r="E1046" s="31"/>
      <c r="F1046" s="30"/>
      <c r="G1046" s="30"/>
      <c r="H1046" s="30"/>
      <c r="I1046" s="30"/>
      <c r="J1046" s="30"/>
      <c r="K1046" s="30"/>
      <c r="L1046" s="30"/>
      <c r="M1046" s="30"/>
      <c r="N1046" s="30"/>
      <c r="O1046" s="30"/>
      <c r="P1046" s="30"/>
      <c r="Q1046" s="30"/>
      <c r="R1046" s="30"/>
      <c r="S1046" s="30"/>
      <c r="T1046" s="30"/>
      <c r="U1046" s="30"/>
      <c r="V1046" s="30"/>
      <c r="W1046" s="30"/>
      <c r="X1046" s="30"/>
      <c r="Y1046" s="30"/>
      <c r="Z1046" s="30"/>
      <c r="AA1046" s="30"/>
      <c r="AB1046" s="30"/>
      <c r="AC1046" s="30"/>
      <c r="AD1046" s="30"/>
      <c r="AE1046" s="30"/>
      <c r="AF1046" s="30"/>
      <c r="AG1046" s="30"/>
      <c r="AH1046" s="30"/>
      <c r="AI1046" s="30"/>
      <c r="AJ1046" s="30"/>
      <c r="AK1046" s="30"/>
      <c r="AL1046" s="30"/>
      <c r="AM1046" s="30"/>
      <c r="AN1046" s="30"/>
      <c r="AO1046" s="30"/>
      <c r="AP1046" s="30"/>
      <c r="AQ1046" s="30"/>
      <c r="AR1046" s="30"/>
      <c r="AS1046" s="30"/>
      <c r="AT1046" s="30"/>
      <c r="AU1046" s="30"/>
      <c r="AV1046" s="30"/>
      <c r="AW1046" s="30"/>
      <c r="AX1046" s="30"/>
    </row>
    <row r="1047" ht="15.75" customHeight="1">
      <c r="A1047" s="30"/>
      <c r="B1047" s="30"/>
      <c r="C1047" s="31"/>
      <c r="D1047" s="31"/>
      <c r="E1047" s="31"/>
      <c r="F1047" s="30"/>
      <c r="G1047" s="30"/>
      <c r="H1047" s="30"/>
      <c r="I1047" s="30"/>
      <c r="J1047" s="30"/>
      <c r="K1047" s="30"/>
      <c r="L1047" s="30"/>
      <c r="M1047" s="30"/>
      <c r="N1047" s="30"/>
      <c r="O1047" s="30"/>
      <c r="P1047" s="30"/>
      <c r="Q1047" s="30"/>
      <c r="R1047" s="30"/>
      <c r="S1047" s="30"/>
      <c r="T1047" s="30"/>
      <c r="U1047" s="30"/>
      <c r="V1047" s="30"/>
      <c r="W1047" s="30"/>
      <c r="X1047" s="30"/>
      <c r="Y1047" s="30"/>
      <c r="Z1047" s="30"/>
      <c r="AA1047" s="30"/>
      <c r="AB1047" s="30"/>
      <c r="AC1047" s="30"/>
      <c r="AD1047" s="30"/>
      <c r="AE1047" s="30"/>
      <c r="AF1047" s="30"/>
      <c r="AG1047" s="30"/>
      <c r="AH1047" s="30"/>
      <c r="AI1047" s="30"/>
      <c r="AJ1047" s="30"/>
      <c r="AK1047" s="30"/>
      <c r="AL1047" s="30"/>
      <c r="AM1047" s="30"/>
      <c r="AN1047" s="30"/>
      <c r="AO1047" s="30"/>
      <c r="AP1047" s="30"/>
      <c r="AQ1047" s="30"/>
      <c r="AR1047" s="30"/>
      <c r="AS1047" s="30"/>
      <c r="AT1047" s="30"/>
      <c r="AU1047" s="30"/>
      <c r="AV1047" s="30"/>
      <c r="AW1047" s="30"/>
      <c r="AX1047" s="30"/>
    </row>
    <row r="1048" ht="15.75" customHeight="1">
      <c r="A1048" s="30"/>
      <c r="B1048" s="30"/>
      <c r="C1048" s="31"/>
      <c r="D1048" s="31"/>
      <c r="E1048" s="31"/>
      <c r="F1048" s="30"/>
      <c r="G1048" s="30"/>
      <c r="H1048" s="30"/>
      <c r="I1048" s="30"/>
      <c r="J1048" s="30"/>
      <c r="K1048" s="30"/>
      <c r="L1048" s="30"/>
      <c r="M1048" s="30"/>
      <c r="N1048" s="30"/>
      <c r="O1048" s="30"/>
      <c r="P1048" s="30"/>
      <c r="Q1048" s="30"/>
      <c r="R1048" s="30"/>
      <c r="S1048" s="30"/>
      <c r="T1048" s="30"/>
      <c r="U1048" s="30"/>
      <c r="V1048" s="30"/>
      <c r="W1048" s="30"/>
      <c r="X1048" s="30"/>
      <c r="Y1048" s="30"/>
      <c r="Z1048" s="30"/>
      <c r="AA1048" s="30"/>
      <c r="AB1048" s="30"/>
      <c r="AC1048" s="30"/>
      <c r="AD1048" s="30"/>
      <c r="AE1048" s="30"/>
      <c r="AF1048" s="30"/>
      <c r="AG1048" s="30"/>
      <c r="AH1048" s="30"/>
      <c r="AI1048" s="30"/>
      <c r="AJ1048" s="30"/>
      <c r="AK1048" s="30"/>
      <c r="AL1048" s="30"/>
      <c r="AM1048" s="30"/>
      <c r="AN1048" s="30"/>
      <c r="AO1048" s="30"/>
      <c r="AP1048" s="30"/>
      <c r="AQ1048" s="30"/>
      <c r="AR1048" s="30"/>
      <c r="AS1048" s="30"/>
      <c r="AT1048" s="30"/>
      <c r="AU1048" s="30"/>
      <c r="AV1048" s="30"/>
      <c r="AW1048" s="30"/>
      <c r="AX1048" s="30"/>
    </row>
    <row r="1049" ht="15.75" customHeight="1">
      <c r="A1049" s="30"/>
      <c r="B1049" s="30"/>
      <c r="C1049" s="31"/>
      <c r="D1049" s="31"/>
      <c r="E1049" s="31"/>
      <c r="F1049" s="30"/>
      <c r="G1049" s="30"/>
      <c r="H1049" s="30"/>
      <c r="I1049" s="30"/>
      <c r="J1049" s="30"/>
      <c r="K1049" s="30"/>
      <c r="L1049" s="30"/>
      <c r="M1049" s="30"/>
      <c r="N1049" s="30"/>
      <c r="O1049" s="30"/>
      <c r="P1049" s="30"/>
      <c r="Q1049" s="30"/>
      <c r="R1049" s="30"/>
      <c r="S1049" s="30"/>
      <c r="T1049" s="30"/>
      <c r="U1049" s="30"/>
      <c r="V1049" s="30"/>
      <c r="W1049" s="30"/>
      <c r="X1049" s="30"/>
      <c r="Y1049" s="30"/>
      <c r="Z1049" s="30"/>
      <c r="AA1049" s="30"/>
      <c r="AB1049" s="30"/>
      <c r="AC1049" s="30"/>
      <c r="AD1049" s="30"/>
      <c r="AE1049" s="30"/>
      <c r="AF1049" s="30"/>
      <c r="AG1049" s="30"/>
      <c r="AH1049" s="30"/>
      <c r="AI1049" s="30"/>
      <c r="AJ1049" s="30"/>
      <c r="AK1049" s="30"/>
      <c r="AL1049" s="30"/>
      <c r="AM1049" s="30"/>
      <c r="AN1049" s="30"/>
      <c r="AO1049" s="30"/>
      <c r="AP1049" s="30"/>
      <c r="AQ1049" s="30"/>
      <c r="AR1049" s="30"/>
      <c r="AS1049" s="30"/>
      <c r="AT1049" s="30"/>
      <c r="AU1049" s="30"/>
      <c r="AV1049" s="30"/>
      <c r="AW1049" s="30"/>
      <c r="AX1049" s="30"/>
    </row>
    <row r="1050" ht="15.75" customHeight="1">
      <c r="A1050" s="30"/>
      <c r="B1050" s="30"/>
      <c r="C1050" s="31"/>
      <c r="D1050" s="31"/>
      <c r="E1050" s="31"/>
      <c r="F1050" s="30"/>
      <c r="G1050" s="30"/>
      <c r="H1050" s="30"/>
      <c r="I1050" s="30"/>
      <c r="J1050" s="30"/>
      <c r="K1050" s="30"/>
      <c r="L1050" s="30"/>
      <c r="M1050" s="30"/>
      <c r="N1050" s="30"/>
      <c r="O1050" s="30"/>
      <c r="P1050" s="30"/>
      <c r="Q1050" s="30"/>
      <c r="R1050" s="30"/>
      <c r="S1050" s="30"/>
      <c r="T1050" s="30"/>
      <c r="U1050" s="30"/>
      <c r="V1050" s="30"/>
      <c r="W1050" s="30"/>
      <c r="X1050" s="30"/>
      <c r="Y1050" s="30"/>
      <c r="Z1050" s="30"/>
      <c r="AA1050" s="30"/>
      <c r="AB1050" s="30"/>
      <c r="AC1050" s="30"/>
      <c r="AD1050" s="30"/>
      <c r="AE1050" s="30"/>
      <c r="AF1050" s="30"/>
      <c r="AG1050" s="30"/>
      <c r="AH1050" s="30"/>
      <c r="AI1050" s="30"/>
      <c r="AJ1050" s="30"/>
      <c r="AK1050" s="30"/>
      <c r="AL1050" s="30"/>
      <c r="AM1050" s="30"/>
      <c r="AN1050" s="30"/>
      <c r="AO1050" s="30"/>
      <c r="AP1050" s="30"/>
      <c r="AQ1050" s="30"/>
      <c r="AR1050" s="30"/>
      <c r="AS1050" s="30"/>
      <c r="AT1050" s="30"/>
      <c r="AU1050" s="30"/>
      <c r="AV1050" s="30"/>
      <c r="AW1050" s="30"/>
      <c r="AX1050" s="30"/>
    </row>
    <row r="1051" ht="15.75" customHeight="1">
      <c r="A1051" s="30"/>
      <c r="B1051" s="30"/>
      <c r="C1051" s="31"/>
      <c r="D1051" s="31"/>
      <c r="E1051" s="31"/>
      <c r="F1051" s="30"/>
      <c r="G1051" s="30"/>
      <c r="H1051" s="30"/>
      <c r="I1051" s="30"/>
      <c r="J1051" s="30"/>
      <c r="K1051" s="30"/>
      <c r="L1051" s="30"/>
      <c r="M1051" s="30"/>
      <c r="N1051" s="30"/>
      <c r="O1051" s="30"/>
      <c r="P1051" s="30"/>
      <c r="Q1051" s="30"/>
      <c r="R1051" s="30"/>
      <c r="S1051" s="30"/>
      <c r="T1051" s="30"/>
      <c r="U1051" s="30"/>
      <c r="V1051" s="30"/>
      <c r="W1051" s="30"/>
      <c r="X1051" s="30"/>
      <c r="Y1051" s="30"/>
      <c r="Z1051" s="30"/>
      <c r="AA1051" s="30"/>
      <c r="AB1051" s="30"/>
      <c r="AC1051" s="30"/>
      <c r="AD1051" s="30"/>
      <c r="AE1051" s="30"/>
      <c r="AF1051" s="30"/>
      <c r="AG1051" s="30"/>
      <c r="AH1051" s="30"/>
      <c r="AI1051" s="30"/>
      <c r="AJ1051" s="30"/>
      <c r="AK1051" s="30"/>
      <c r="AL1051" s="30"/>
      <c r="AM1051" s="30"/>
      <c r="AN1051" s="30"/>
      <c r="AO1051" s="30"/>
      <c r="AP1051" s="30"/>
      <c r="AQ1051" s="30"/>
      <c r="AR1051" s="30"/>
      <c r="AS1051" s="30"/>
      <c r="AT1051" s="30"/>
      <c r="AU1051" s="30"/>
      <c r="AV1051" s="30"/>
      <c r="AW1051" s="30"/>
      <c r="AX1051" s="30"/>
    </row>
    <row r="1052" ht="15.75" customHeight="1">
      <c r="A1052" s="30"/>
      <c r="B1052" s="30"/>
      <c r="C1052" s="31"/>
      <c r="D1052" s="31"/>
      <c r="E1052" s="31"/>
      <c r="F1052" s="30"/>
      <c r="G1052" s="30"/>
      <c r="H1052" s="30"/>
      <c r="I1052" s="30"/>
      <c r="J1052" s="30"/>
      <c r="K1052" s="30"/>
      <c r="L1052" s="30"/>
      <c r="M1052" s="30"/>
      <c r="N1052" s="30"/>
      <c r="O1052" s="30"/>
      <c r="P1052" s="30"/>
      <c r="Q1052" s="30"/>
      <c r="R1052" s="30"/>
      <c r="S1052" s="30"/>
      <c r="T1052" s="30"/>
      <c r="U1052" s="30"/>
      <c r="V1052" s="30"/>
      <c r="W1052" s="30"/>
      <c r="X1052" s="30"/>
      <c r="Y1052" s="30"/>
      <c r="Z1052" s="30"/>
      <c r="AA1052" s="30"/>
      <c r="AB1052" s="30"/>
      <c r="AC1052" s="30"/>
      <c r="AD1052" s="30"/>
      <c r="AE1052" s="30"/>
      <c r="AF1052" s="30"/>
      <c r="AG1052" s="30"/>
      <c r="AH1052" s="30"/>
      <c r="AI1052" s="30"/>
      <c r="AJ1052" s="30"/>
      <c r="AK1052" s="30"/>
      <c r="AL1052" s="30"/>
      <c r="AM1052" s="30"/>
      <c r="AN1052" s="30"/>
      <c r="AO1052" s="30"/>
      <c r="AP1052" s="30"/>
      <c r="AQ1052" s="30"/>
      <c r="AR1052" s="30"/>
      <c r="AS1052" s="30"/>
      <c r="AT1052" s="30"/>
      <c r="AU1052" s="30"/>
      <c r="AV1052" s="30"/>
      <c r="AW1052" s="30"/>
      <c r="AX1052" s="30"/>
    </row>
    <row r="1053" ht="15.75" customHeight="1">
      <c r="A1053" s="30"/>
      <c r="B1053" s="30"/>
      <c r="C1053" s="31"/>
      <c r="D1053" s="31"/>
      <c r="E1053" s="31"/>
      <c r="F1053" s="30"/>
      <c r="G1053" s="30"/>
      <c r="H1053" s="30"/>
      <c r="I1053" s="30"/>
      <c r="J1053" s="30"/>
      <c r="K1053" s="30"/>
      <c r="L1053" s="30"/>
      <c r="M1053" s="30"/>
      <c r="N1053" s="30"/>
      <c r="O1053" s="30"/>
      <c r="P1053" s="30"/>
      <c r="Q1053" s="30"/>
      <c r="R1053" s="30"/>
      <c r="S1053" s="30"/>
      <c r="T1053" s="30"/>
      <c r="U1053" s="30"/>
      <c r="V1053" s="30"/>
      <c r="W1053" s="30"/>
      <c r="X1053" s="30"/>
      <c r="Y1053" s="30"/>
      <c r="Z1053" s="30"/>
      <c r="AA1053" s="30"/>
      <c r="AB1053" s="30"/>
      <c r="AC1053" s="30"/>
      <c r="AD1053" s="30"/>
      <c r="AE1053" s="30"/>
      <c r="AF1053" s="30"/>
      <c r="AG1053" s="30"/>
      <c r="AH1053" s="30"/>
      <c r="AI1053" s="30"/>
      <c r="AJ1053" s="30"/>
      <c r="AK1053" s="30"/>
      <c r="AL1053" s="30"/>
      <c r="AM1053" s="30"/>
      <c r="AN1053" s="30"/>
      <c r="AO1053" s="30"/>
      <c r="AP1053" s="30"/>
      <c r="AQ1053" s="30"/>
      <c r="AR1053" s="30"/>
      <c r="AS1053" s="30"/>
      <c r="AT1053" s="30"/>
      <c r="AU1053" s="30"/>
      <c r="AV1053" s="30"/>
      <c r="AW1053" s="30"/>
      <c r="AX1053" s="30"/>
    </row>
    <row r="1054" ht="15.75" customHeight="1">
      <c r="A1054" s="30"/>
      <c r="B1054" s="30"/>
      <c r="C1054" s="31"/>
      <c r="D1054" s="31"/>
      <c r="E1054" s="31"/>
      <c r="F1054" s="30"/>
      <c r="G1054" s="30"/>
      <c r="H1054" s="30"/>
      <c r="I1054" s="30"/>
      <c r="J1054" s="30"/>
      <c r="K1054" s="30"/>
      <c r="L1054" s="30"/>
      <c r="M1054" s="30"/>
      <c r="N1054" s="30"/>
      <c r="O1054" s="30"/>
      <c r="P1054" s="30"/>
      <c r="Q1054" s="30"/>
      <c r="R1054" s="30"/>
      <c r="S1054" s="30"/>
      <c r="T1054" s="30"/>
      <c r="U1054" s="30"/>
      <c r="V1054" s="30"/>
      <c r="W1054" s="30"/>
      <c r="X1054" s="30"/>
      <c r="Y1054" s="30"/>
      <c r="Z1054" s="30"/>
      <c r="AA1054" s="30"/>
      <c r="AB1054" s="30"/>
      <c r="AC1054" s="30"/>
      <c r="AD1054" s="30"/>
      <c r="AE1054" s="30"/>
      <c r="AF1054" s="30"/>
      <c r="AG1054" s="30"/>
      <c r="AH1054" s="30"/>
      <c r="AI1054" s="30"/>
      <c r="AJ1054" s="30"/>
      <c r="AK1054" s="30"/>
      <c r="AL1054" s="30"/>
      <c r="AM1054" s="30"/>
      <c r="AN1054" s="30"/>
      <c r="AO1054" s="30"/>
      <c r="AP1054" s="30"/>
      <c r="AQ1054" s="30"/>
      <c r="AR1054" s="30"/>
      <c r="AS1054" s="30"/>
      <c r="AT1054" s="30"/>
      <c r="AU1054" s="30"/>
      <c r="AV1054" s="30"/>
      <c r="AW1054" s="30"/>
      <c r="AX1054" s="30"/>
    </row>
    <row r="1055" ht="15.75" customHeight="1">
      <c r="A1055" s="30"/>
      <c r="B1055" s="30"/>
      <c r="C1055" s="31"/>
      <c r="D1055" s="31"/>
      <c r="E1055" s="31"/>
      <c r="F1055" s="30"/>
      <c r="G1055" s="30"/>
      <c r="H1055" s="30"/>
      <c r="I1055" s="30"/>
      <c r="J1055" s="30"/>
      <c r="K1055" s="30"/>
      <c r="L1055" s="30"/>
      <c r="M1055" s="30"/>
      <c r="N1055" s="30"/>
      <c r="O1055" s="30"/>
      <c r="P1055" s="30"/>
      <c r="Q1055" s="30"/>
      <c r="R1055" s="30"/>
      <c r="S1055" s="30"/>
      <c r="T1055" s="30"/>
      <c r="U1055" s="30"/>
      <c r="V1055" s="30"/>
      <c r="W1055" s="30"/>
      <c r="X1055" s="30"/>
      <c r="Y1055" s="30"/>
      <c r="Z1055" s="30"/>
      <c r="AA1055" s="30"/>
      <c r="AB1055" s="30"/>
      <c r="AC1055" s="30"/>
      <c r="AD1055" s="30"/>
      <c r="AE1055" s="30"/>
      <c r="AF1055" s="30"/>
      <c r="AG1055" s="30"/>
      <c r="AH1055" s="30"/>
      <c r="AI1055" s="30"/>
      <c r="AJ1055" s="30"/>
      <c r="AK1055" s="30"/>
      <c r="AL1055" s="30"/>
      <c r="AM1055" s="30"/>
      <c r="AN1055" s="30"/>
      <c r="AO1055" s="30"/>
      <c r="AP1055" s="30"/>
      <c r="AQ1055" s="30"/>
      <c r="AR1055" s="30"/>
      <c r="AS1055" s="30"/>
      <c r="AT1055" s="30"/>
      <c r="AU1055" s="30"/>
      <c r="AV1055" s="30"/>
      <c r="AW1055" s="30"/>
      <c r="AX1055" s="30"/>
    </row>
    <row r="1056" ht="15.75" customHeight="1">
      <c r="A1056" s="30"/>
      <c r="B1056" s="30"/>
      <c r="C1056" s="31"/>
      <c r="D1056" s="31"/>
      <c r="E1056" s="31"/>
      <c r="F1056" s="30"/>
      <c r="G1056" s="30"/>
      <c r="H1056" s="30"/>
      <c r="I1056" s="30"/>
      <c r="J1056" s="30"/>
      <c r="K1056" s="30"/>
      <c r="L1056" s="30"/>
      <c r="M1056" s="30"/>
      <c r="N1056" s="30"/>
      <c r="O1056" s="30"/>
      <c r="P1056" s="30"/>
      <c r="Q1056" s="30"/>
      <c r="R1056" s="30"/>
      <c r="S1056" s="30"/>
      <c r="T1056" s="30"/>
      <c r="U1056" s="30"/>
      <c r="V1056" s="30"/>
      <c r="W1056" s="30"/>
      <c r="X1056" s="30"/>
      <c r="Y1056" s="30"/>
      <c r="Z1056" s="30"/>
      <c r="AA1056" s="30"/>
      <c r="AB1056" s="30"/>
      <c r="AC1056" s="30"/>
      <c r="AD1056" s="30"/>
      <c r="AE1056" s="30"/>
      <c r="AF1056" s="30"/>
      <c r="AG1056" s="30"/>
      <c r="AH1056" s="30"/>
      <c r="AI1056" s="30"/>
      <c r="AJ1056" s="30"/>
      <c r="AK1056" s="30"/>
      <c r="AL1056" s="30"/>
      <c r="AM1056" s="30"/>
      <c r="AN1056" s="30"/>
      <c r="AO1056" s="30"/>
      <c r="AP1056" s="30"/>
      <c r="AQ1056" s="30"/>
      <c r="AR1056" s="30"/>
      <c r="AS1056" s="30"/>
      <c r="AT1056" s="30"/>
      <c r="AU1056" s="30"/>
      <c r="AV1056" s="30"/>
      <c r="AW1056" s="30"/>
      <c r="AX1056" s="30"/>
    </row>
    <row r="1057" ht="15.75" customHeight="1">
      <c r="A1057" s="30"/>
      <c r="B1057" s="30"/>
      <c r="C1057" s="31"/>
      <c r="D1057" s="31"/>
      <c r="E1057" s="31"/>
      <c r="F1057" s="30"/>
      <c r="G1057" s="30"/>
      <c r="H1057" s="30"/>
      <c r="I1057" s="30"/>
      <c r="J1057" s="30"/>
      <c r="K1057" s="30"/>
      <c r="L1057" s="30"/>
      <c r="M1057" s="30"/>
      <c r="N1057" s="30"/>
      <c r="O1057" s="30"/>
      <c r="P1057" s="30"/>
      <c r="Q1057" s="30"/>
      <c r="R1057" s="30"/>
      <c r="S1057" s="30"/>
      <c r="T1057" s="30"/>
      <c r="U1057" s="30"/>
      <c r="V1057" s="30"/>
      <c r="W1057" s="30"/>
      <c r="X1057" s="30"/>
      <c r="Y1057" s="30"/>
      <c r="Z1057" s="30"/>
      <c r="AA1057" s="30"/>
      <c r="AB1057" s="30"/>
      <c r="AC1057" s="30"/>
      <c r="AD1057" s="30"/>
      <c r="AE1057" s="30"/>
      <c r="AF1057" s="30"/>
      <c r="AG1057" s="30"/>
      <c r="AH1057" s="30"/>
      <c r="AI1057" s="30"/>
      <c r="AJ1057" s="30"/>
      <c r="AK1057" s="30"/>
      <c r="AL1057" s="30"/>
      <c r="AM1057" s="30"/>
      <c r="AN1057" s="30"/>
      <c r="AO1057" s="30"/>
      <c r="AP1057" s="30"/>
      <c r="AQ1057" s="30"/>
      <c r="AR1057" s="30"/>
      <c r="AS1057" s="30"/>
      <c r="AT1057" s="30"/>
      <c r="AU1057" s="30"/>
      <c r="AV1057" s="30"/>
      <c r="AW1057" s="30"/>
      <c r="AX1057" s="30"/>
    </row>
    <row r="1058" ht="15.75" customHeight="1">
      <c r="A1058" s="30"/>
      <c r="B1058" s="30"/>
      <c r="C1058" s="31"/>
      <c r="D1058" s="31"/>
      <c r="E1058" s="31"/>
      <c r="F1058" s="30"/>
      <c r="G1058" s="30"/>
      <c r="H1058" s="30"/>
      <c r="I1058" s="30"/>
      <c r="J1058" s="30"/>
      <c r="K1058" s="30"/>
      <c r="L1058" s="30"/>
      <c r="M1058" s="30"/>
      <c r="N1058" s="30"/>
      <c r="O1058" s="30"/>
      <c r="P1058" s="30"/>
      <c r="Q1058" s="30"/>
      <c r="R1058" s="30"/>
      <c r="S1058" s="30"/>
      <c r="T1058" s="30"/>
      <c r="U1058" s="30"/>
      <c r="V1058" s="30"/>
      <c r="W1058" s="30"/>
      <c r="X1058" s="30"/>
      <c r="Y1058" s="30"/>
      <c r="Z1058" s="30"/>
      <c r="AA1058" s="30"/>
      <c r="AB1058" s="30"/>
      <c r="AC1058" s="30"/>
      <c r="AD1058" s="30"/>
      <c r="AE1058" s="30"/>
      <c r="AF1058" s="30"/>
      <c r="AG1058" s="30"/>
      <c r="AH1058" s="30"/>
      <c r="AI1058" s="30"/>
      <c r="AJ1058" s="30"/>
      <c r="AK1058" s="30"/>
      <c r="AL1058" s="30"/>
      <c r="AM1058" s="30"/>
      <c r="AN1058" s="30"/>
      <c r="AO1058" s="30"/>
      <c r="AP1058" s="30"/>
      <c r="AQ1058" s="30"/>
      <c r="AR1058" s="30"/>
      <c r="AS1058" s="30"/>
      <c r="AT1058" s="30"/>
      <c r="AU1058" s="30"/>
      <c r="AV1058" s="30"/>
      <c r="AW1058" s="30"/>
      <c r="AX1058" s="30"/>
    </row>
    <row r="1059" ht="15.75" customHeight="1">
      <c r="A1059" s="30"/>
      <c r="B1059" s="30"/>
      <c r="C1059" s="31"/>
      <c r="D1059" s="31"/>
      <c r="E1059" s="31"/>
      <c r="F1059" s="30"/>
      <c r="G1059" s="30"/>
      <c r="H1059" s="30"/>
      <c r="I1059" s="30"/>
      <c r="J1059" s="30"/>
      <c r="K1059" s="30"/>
      <c r="L1059" s="30"/>
      <c r="M1059" s="30"/>
      <c r="N1059" s="30"/>
      <c r="O1059" s="30"/>
      <c r="P1059" s="30"/>
      <c r="Q1059" s="30"/>
      <c r="R1059" s="30"/>
      <c r="S1059" s="30"/>
      <c r="T1059" s="30"/>
      <c r="U1059" s="30"/>
      <c r="V1059" s="30"/>
      <c r="W1059" s="30"/>
      <c r="X1059" s="30"/>
      <c r="Y1059" s="30"/>
      <c r="Z1059" s="30"/>
      <c r="AA1059" s="30"/>
      <c r="AB1059" s="30"/>
      <c r="AC1059" s="30"/>
      <c r="AD1059" s="30"/>
      <c r="AE1059" s="30"/>
      <c r="AF1059" s="30"/>
      <c r="AG1059" s="30"/>
      <c r="AH1059" s="30"/>
      <c r="AI1059" s="30"/>
      <c r="AJ1059" s="30"/>
      <c r="AK1059" s="30"/>
      <c r="AL1059" s="30"/>
      <c r="AM1059" s="30"/>
      <c r="AN1059" s="30"/>
      <c r="AO1059" s="30"/>
      <c r="AP1059" s="30"/>
      <c r="AQ1059" s="30"/>
      <c r="AR1059" s="30"/>
      <c r="AS1059" s="30"/>
      <c r="AT1059" s="30"/>
      <c r="AU1059" s="30"/>
      <c r="AV1059" s="30"/>
      <c r="AW1059" s="30"/>
      <c r="AX1059" s="30"/>
    </row>
    <row r="1060" ht="15.75" customHeight="1">
      <c r="A1060" s="30"/>
      <c r="B1060" s="30"/>
      <c r="C1060" s="31"/>
      <c r="D1060" s="31"/>
      <c r="E1060" s="31"/>
      <c r="F1060" s="30"/>
      <c r="G1060" s="30"/>
      <c r="H1060" s="30"/>
      <c r="I1060" s="30"/>
      <c r="J1060" s="30"/>
      <c r="K1060" s="30"/>
      <c r="L1060" s="30"/>
      <c r="M1060" s="30"/>
      <c r="N1060" s="30"/>
      <c r="O1060" s="30"/>
      <c r="P1060" s="30"/>
      <c r="Q1060" s="30"/>
      <c r="R1060" s="30"/>
      <c r="S1060" s="30"/>
      <c r="T1060" s="30"/>
      <c r="U1060" s="30"/>
      <c r="V1060" s="30"/>
      <c r="W1060" s="30"/>
      <c r="X1060" s="30"/>
      <c r="Y1060" s="30"/>
      <c r="Z1060" s="30"/>
      <c r="AA1060" s="30"/>
      <c r="AB1060" s="30"/>
      <c r="AC1060" s="30"/>
      <c r="AD1060" s="30"/>
      <c r="AE1060" s="30"/>
      <c r="AF1060" s="30"/>
      <c r="AG1060" s="30"/>
      <c r="AH1060" s="30"/>
      <c r="AI1060" s="30"/>
      <c r="AJ1060" s="30"/>
      <c r="AK1060" s="30"/>
      <c r="AL1060" s="30"/>
      <c r="AM1060" s="30"/>
      <c r="AN1060" s="30"/>
      <c r="AO1060" s="30"/>
      <c r="AP1060" s="30"/>
      <c r="AQ1060" s="30"/>
      <c r="AR1060" s="30"/>
      <c r="AS1060" s="30"/>
      <c r="AT1060" s="30"/>
      <c r="AU1060" s="30"/>
      <c r="AV1060" s="30"/>
      <c r="AW1060" s="30"/>
      <c r="AX1060" s="30"/>
    </row>
    <row r="1061" ht="15.75" customHeight="1">
      <c r="A1061" s="30"/>
      <c r="B1061" s="30"/>
      <c r="C1061" s="31"/>
      <c r="D1061" s="31"/>
      <c r="E1061" s="31"/>
      <c r="F1061" s="30"/>
      <c r="G1061" s="30"/>
      <c r="H1061" s="30"/>
      <c r="I1061" s="30"/>
      <c r="J1061" s="30"/>
      <c r="K1061" s="30"/>
      <c r="L1061" s="30"/>
      <c r="M1061" s="30"/>
      <c r="N1061" s="30"/>
      <c r="O1061" s="30"/>
      <c r="P1061" s="30"/>
      <c r="Q1061" s="30"/>
      <c r="R1061" s="30"/>
      <c r="S1061" s="30"/>
      <c r="T1061" s="30"/>
      <c r="U1061" s="30"/>
      <c r="V1061" s="30"/>
      <c r="W1061" s="30"/>
      <c r="X1061" s="30"/>
      <c r="Y1061" s="30"/>
      <c r="Z1061" s="30"/>
      <c r="AA1061" s="30"/>
      <c r="AB1061" s="30"/>
      <c r="AC1061" s="30"/>
      <c r="AD1061" s="30"/>
      <c r="AE1061" s="30"/>
      <c r="AF1061" s="30"/>
      <c r="AG1061" s="30"/>
      <c r="AH1061" s="30"/>
      <c r="AI1061" s="30"/>
      <c r="AJ1061" s="30"/>
      <c r="AK1061" s="30"/>
      <c r="AL1061" s="30"/>
      <c r="AM1061" s="30"/>
      <c r="AN1061" s="30"/>
      <c r="AO1061" s="30"/>
      <c r="AP1061" s="30"/>
      <c r="AQ1061" s="30"/>
      <c r="AR1061" s="30"/>
      <c r="AS1061" s="30"/>
      <c r="AT1061" s="30"/>
      <c r="AU1061" s="30"/>
      <c r="AV1061" s="30"/>
      <c r="AW1061" s="30"/>
      <c r="AX1061" s="30"/>
    </row>
    <row r="1062" ht="15.75" customHeight="1">
      <c r="A1062" s="30"/>
      <c r="B1062" s="30"/>
      <c r="C1062" s="31"/>
      <c r="D1062" s="31"/>
      <c r="E1062" s="31"/>
      <c r="F1062" s="30"/>
      <c r="G1062" s="30"/>
      <c r="H1062" s="30"/>
      <c r="I1062" s="30"/>
      <c r="J1062" s="30"/>
      <c r="K1062" s="30"/>
      <c r="L1062" s="30"/>
      <c r="M1062" s="30"/>
      <c r="N1062" s="30"/>
      <c r="O1062" s="30"/>
      <c r="P1062" s="30"/>
      <c r="Q1062" s="30"/>
      <c r="R1062" s="30"/>
      <c r="S1062" s="30"/>
      <c r="T1062" s="30"/>
      <c r="U1062" s="30"/>
      <c r="V1062" s="30"/>
      <c r="W1062" s="30"/>
      <c r="X1062" s="30"/>
      <c r="Y1062" s="30"/>
      <c r="Z1062" s="30"/>
      <c r="AA1062" s="30"/>
      <c r="AB1062" s="30"/>
      <c r="AC1062" s="30"/>
      <c r="AD1062" s="30"/>
      <c r="AE1062" s="30"/>
      <c r="AF1062" s="30"/>
      <c r="AG1062" s="30"/>
      <c r="AH1062" s="30"/>
      <c r="AI1062" s="30"/>
      <c r="AJ1062" s="30"/>
      <c r="AK1062" s="30"/>
      <c r="AL1062" s="30"/>
      <c r="AM1062" s="30"/>
      <c r="AN1062" s="30"/>
      <c r="AO1062" s="30"/>
      <c r="AP1062" s="30"/>
      <c r="AQ1062" s="30"/>
      <c r="AR1062" s="30"/>
      <c r="AS1062" s="30"/>
      <c r="AT1062" s="30"/>
      <c r="AU1062" s="30"/>
      <c r="AV1062" s="30"/>
      <c r="AW1062" s="30"/>
      <c r="AX1062" s="30"/>
    </row>
    <row r="1063" ht="15.75" customHeight="1">
      <c r="A1063" s="30"/>
      <c r="B1063" s="30"/>
      <c r="C1063" s="31"/>
      <c r="D1063" s="31"/>
      <c r="E1063" s="31"/>
      <c r="F1063" s="30"/>
      <c r="G1063" s="30"/>
      <c r="H1063" s="30"/>
      <c r="I1063" s="30"/>
      <c r="J1063" s="30"/>
      <c r="K1063" s="30"/>
      <c r="L1063" s="30"/>
      <c r="M1063" s="30"/>
      <c r="N1063" s="30"/>
      <c r="O1063" s="30"/>
      <c r="P1063" s="30"/>
      <c r="Q1063" s="30"/>
      <c r="R1063" s="30"/>
      <c r="S1063" s="30"/>
      <c r="T1063" s="30"/>
      <c r="U1063" s="30"/>
      <c r="V1063" s="30"/>
      <c r="W1063" s="30"/>
      <c r="X1063" s="30"/>
      <c r="Y1063" s="30"/>
      <c r="Z1063" s="30"/>
      <c r="AA1063" s="30"/>
      <c r="AB1063" s="30"/>
      <c r="AC1063" s="30"/>
      <c r="AD1063" s="30"/>
      <c r="AE1063" s="30"/>
      <c r="AF1063" s="30"/>
      <c r="AG1063" s="30"/>
      <c r="AH1063" s="30"/>
      <c r="AI1063" s="30"/>
      <c r="AJ1063" s="30"/>
      <c r="AK1063" s="30"/>
      <c r="AL1063" s="30"/>
      <c r="AM1063" s="30"/>
      <c r="AN1063" s="30"/>
      <c r="AO1063" s="30"/>
      <c r="AP1063" s="30"/>
      <c r="AQ1063" s="30"/>
      <c r="AR1063" s="30"/>
      <c r="AS1063" s="30"/>
      <c r="AT1063" s="30"/>
      <c r="AU1063" s="30"/>
      <c r="AV1063" s="30"/>
      <c r="AW1063" s="30"/>
      <c r="AX1063" s="30"/>
    </row>
    <row r="1064" ht="15.75" customHeight="1">
      <c r="A1064" s="30"/>
      <c r="B1064" s="30"/>
      <c r="C1064" s="31"/>
      <c r="D1064" s="31"/>
      <c r="E1064" s="31"/>
      <c r="F1064" s="30"/>
      <c r="G1064" s="30"/>
      <c r="H1064" s="30"/>
      <c r="I1064" s="30"/>
      <c r="J1064" s="30"/>
      <c r="K1064" s="30"/>
      <c r="L1064" s="30"/>
      <c r="M1064" s="30"/>
      <c r="N1064" s="30"/>
      <c r="O1064" s="30"/>
      <c r="P1064" s="30"/>
      <c r="Q1064" s="30"/>
      <c r="R1064" s="30"/>
      <c r="S1064" s="30"/>
      <c r="T1064" s="30"/>
      <c r="U1064" s="30"/>
      <c r="V1064" s="30"/>
      <c r="W1064" s="30"/>
      <c r="X1064" s="30"/>
      <c r="Y1064" s="30"/>
      <c r="Z1064" s="30"/>
      <c r="AA1064" s="30"/>
      <c r="AB1064" s="30"/>
      <c r="AC1064" s="30"/>
      <c r="AD1064" s="30"/>
      <c r="AE1064" s="30"/>
      <c r="AF1064" s="30"/>
      <c r="AG1064" s="30"/>
      <c r="AH1064" s="30"/>
      <c r="AI1064" s="30"/>
      <c r="AJ1064" s="30"/>
      <c r="AK1064" s="30"/>
      <c r="AL1064" s="30"/>
      <c r="AM1064" s="30"/>
      <c r="AN1064" s="30"/>
      <c r="AO1064" s="30"/>
      <c r="AP1064" s="30"/>
      <c r="AQ1064" s="30"/>
      <c r="AR1064" s="30"/>
      <c r="AS1064" s="30"/>
      <c r="AT1064" s="30"/>
      <c r="AU1064" s="30"/>
      <c r="AV1064" s="30"/>
      <c r="AW1064" s="30"/>
      <c r="AX1064" s="30"/>
    </row>
    <row r="1065" ht="15.75" customHeight="1">
      <c r="A1065" s="30"/>
      <c r="B1065" s="30"/>
      <c r="C1065" s="31"/>
      <c r="D1065" s="31"/>
      <c r="E1065" s="31"/>
      <c r="F1065" s="30"/>
      <c r="G1065" s="30"/>
      <c r="H1065" s="30"/>
      <c r="I1065" s="30"/>
      <c r="J1065" s="30"/>
      <c r="K1065" s="30"/>
      <c r="L1065" s="30"/>
      <c r="M1065" s="30"/>
      <c r="N1065" s="30"/>
      <c r="O1065" s="30"/>
      <c r="P1065" s="30"/>
      <c r="Q1065" s="30"/>
      <c r="R1065" s="30"/>
      <c r="S1065" s="30"/>
      <c r="T1065" s="30"/>
      <c r="U1065" s="30"/>
      <c r="V1065" s="30"/>
      <c r="W1065" s="30"/>
      <c r="X1065" s="30"/>
      <c r="Y1065" s="30"/>
      <c r="Z1065" s="30"/>
      <c r="AA1065" s="30"/>
      <c r="AB1065" s="30"/>
      <c r="AC1065" s="30"/>
      <c r="AD1065" s="30"/>
      <c r="AE1065" s="30"/>
      <c r="AF1065" s="30"/>
      <c r="AG1065" s="30"/>
      <c r="AH1065" s="30"/>
      <c r="AI1065" s="30"/>
      <c r="AJ1065" s="30"/>
      <c r="AK1065" s="30"/>
      <c r="AL1065" s="30"/>
      <c r="AM1065" s="30"/>
      <c r="AN1065" s="30"/>
      <c r="AO1065" s="30"/>
      <c r="AP1065" s="30"/>
      <c r="AQ1065" s="30"/>
      <c r="AR1065" s="30"/>
      <c r="AS1065" s="30"/>
      <c r="AT1065" s="30"/>
      <c r="AU1065" s="30"/>
      <c r="AV1065" s="30"/>
      <c r="AW1065" s="30"/>
      <c r="AX1065" s="30"/>
    </row>
    <row r="1066" ht="15.75" customHeight="1">
      <c r="A1066" s="30"/>
      <c r="B1066" s="30"/>
      <c r="C1066" s="31"/>
      <c r="D1066" s="31"/>
      <c r="E1066" s="31"/>
      <c r="F1066" s="30"/>
      <c r="G1066" s="30"/>
      <c r="H1066" s="30"/>
      <c r="I1066" s="30"/>
      <c r="J1066" s="30"/>
      <c r="K1066" s="30"/>
      <c r="L1066" s="30"/>
      <c r="M1066" s="30"/>
      <c r="N1066" s="30"/>
      <c r="O1066" s="30"/>
      <c r="P1066" s="30"/>
      <c r="Q1066" s="30"/>
      <c r="R1066" s="30"/>
      <c r="S1066" s="30"/>
      <c r="T1066" s="30"/>
      <c r="U1066" s="30"/>
      <c r="V1066" s="30"/>
      <c r="W1066" s="30"/>
      <c r="X1066" s="30"/>
      <c r="Y1066" s="30"/>
      <c r="Z1066" s="30"/>
      <c r="AA1066" s="30"/>
      <c r="AB1066" s="30"/>
      <c r="AC1066" s="30"/>
      <c r="AD1066" s="30"/>
      <c r="AE1066" s="30"/>
      <c r="AF1066" s="30"/>
      <c r="AG1066" s="30"/>
      <c r="AH1066" s="30"/>
      <c r="AI1066" s="30"/>
      <c r="AJ1066" s="30"/>
      <c r="AK1066" s="30"/>
      <c r="AL1066" s="30"/>
      <c r="AM1066" s="30"/>
      <c r="AN1066" s="30"/>
      <c r="AO1066" s="30"/>
      <c r="AP1066" s="30"/>
      <c r="AQ1066" s="30"/>
      <c r="AR1066" s="30"/>
      <c r="AS1066" s="30"/>
      <c r="AT1066" s="30"/>
      <c r="AU1066" s="30"/>
      <c r="AV1066" s="30"/>
      <c r="AW1066" s="30"/>
      <c r="AX1066" s="30"/>
    </row>
    <row r="1067" ht="15.75" customHeight="1">
      <c r="A1067" s="30"/>
      <c r="B1067" s="30"/>
      <c r="C1067" s="31"/>
      <c r="D1067" s="31"/>
      <c r="E1067" s="31"/>
      <c r="F1067" s="30"/>
      <c r="G1067" s="30"/>
      <c r="H1067" s="30"/>
      <c r="I1067" s="30"/>
      <c r="J1067" s="30"/>
      <c r="K1067" s="30"/>
      <c r="L1067" s="30"/>
      <c r="M1067" s="30"/>
      <c r="N1067" s="30"/>
      <c r="O1067" s="30"/>
      <c r="P1067" s="30"/>
      <c r="Q1067" s="30"/>
      <c r="R1067" s="30"/>
      <c r="S1067" s="30"/>
      <c r="T1067" s="30"/>
      <c r="U1067" s="30"/>
      <c r="V1067" s="30"/>
      <c r="W1067" s="30"/>
      <c r="X1067" s="30"/>
      <c r="Y1067" s="30"/>
      <c r="Z1067" s="30"/>
      <c r="AA1067" s="30"/>
      <c r="AB1067" s="30"/>
      <c r="AC1067" s="30"/>
      <c r="AD1067" s="30"/>
      <c r="AE1067" s="30"/>
      <c r="AF1067" s="30"/>
      <c r="AG1067" s="30"/>
      <c r="AH1067" s="30"/>
      <c r="AI1067" s="30"/>
      <c r="AJ1067" s="30"/>
      <c r="AK1067" s="30"/>
      <c r="AL1067" s="30"/>
      <c r="AM1067" s="30"/>
      <c r="AN1067" s="30"/>
      <c r="AO1067" s="30"/>
      <c r="AP1067" s="30"/>
      <c r="AQ1067" s="30"/>
      <c r="AR1067" s="30"/>
      <c r="AS1067" s="30"/>
      <c r="AT1067" s="30"/>
      <c r="AU1067" s="30"/>
      <c r="AV1067" s="30"/>
      <c r="AW1067" s="30"/>
      <c r="AX1067" s="30"/>
    </row>
    <row r="1068" ht="15.75" customHeight="1">
      <c r="A1068" s="30"/>
      <c r="B1068" s="30"/>
      <c r="C1068" s="31"/>
      <c r="D1068" s="31"/>
      <c r="E1068" s="31"/>
      <c r="F1068" s="30"/>
      <c r="G1068" s="30"/>
      <c r="H1068" s="30"/>
      <c r="I1068" s="30"/>
      <c r="J1068" s="30"/>
      <c r="K1068" s="30"/>
      <c r="L1068" s="30"/>
      <c r="M1068" s="30"/>
      <c r="N1068" s="30"/>
      <c r="O1068" s="30"/>
      <c r="P1068" s="30"/>
      <c r="Q1068" s="30"/>
      <c r="R1068" s="30"/>
      <c r="S1068" s="30"/>
      <c r="T1068" s="30"/>
      <c r="U1068" s="30"/>
      <c r="V1068" s="30"/>
      <c r="W1068" s="30"/>
      <c r="X1068" s="30"/>
      <c r="Y1068" s="30"/>
      <c r="Z1068" s="30"/>
      <c r="AA1068" s="30"/>
      <c r="AB1068" s="30"/>
      <c r="AC1068" s="30"/>
      <c r="AD1068" s="30"/>
      <c r="AE1068" s="30"/>
      <c r="AF1068" s="30"/>
      <c r="AG1068" s="30"/>
      <c r="AH1068" s="30"/>
      <c r="AI1068" s="30"/>
      <c r="AJ1068" s="30"/>
      <c r="AK1068" s="30"/>
      <c r="AL1068" s="30"/>
      <c r="AM1068" s="30"/>
      <c r="AN1068" s="30"/>
      <c r="AO1068" s="30"/>
      <c r="AP1068" s="30"/>
      <c r="AQ1068" s="30"/>
      <c r="AR1068" s="30"/>
      <c r="AS1068" s="30"/>
      <c r="AT1068" s="30"/>
      <c r="AU1068" s="30"/>
      <c r="AV1068" s="30"/>
      <c r="AW1068" s="30"/>
      <c r="AX1068" s="30"/>
    </row>
    <row r="1069" ht="15.75" customHeight="1">
      <c r="A1069" s="30"/>
      <c r="B1069" s="30"/>
      <c r="C1069" s="31"/>
      <c r="D1069" s="31"/>
      <c r="E1069" s="31"/>
      <c r="F1069" s="30"/>
      <c r="G1069" s="30"/>
      <c r="H1069" s="30"/>
      <c r="I1069" s="30"/>
      <c r="J1069" s="30"/>
      <c r="K1069" s="30"/>
      <c r="L1069" s="30"/>
      <c r="M1069" s="30"/>
      <c r="N1069" s="30"/>
      <c r="O1069" s="30"/>
      <c r="P1069" s="30"/>
      <c r="Q1069" s="30"/>
      <c r="R1069" s="30"/>
      <c r="S1069" s="30"/>
      <c r="T1069" s="30"/>
      <c r="U1069" s="30"/>
      <c r="V1069" s="30"/>
      <c r="W1069" s="30"/>
      <c r="X1069" s="30"/>
      <c r="Y1069" s="30"/>
      <c r="Z1069" s="30"/>
      <c r="AA1069" s="30"/>
      <c r="AB1069" s="30"/>
      <c r="AC1069" s="30"/>
      <c r="AD1069" s="30"/>
      <c r="AE1069" s="30"/>
      <c r="AF1069" s="30"/>
      <c r="AG1069" s="30"/>
      <c r="AH1069" s="30"/>
      <c r="AI1069" s="30"/>
      <c r="AJ1069" s="30"/>
      <c r="AK1069" s="30"/>
      <c r="AL1069" s="30"/>
      <c r="AM1069" s="30"/>
      <c r="AN1069" s="30"/>
      <c r="AO1069" s="30"/>
      <c r="AP1069" s="30"/>
      <c r="AQ1069" s="30"/>
      <c r="AR1069" s="30"/>
      <c r="AS1069" s="30"/>
      <c r="AT1069" s="30"/>
      <c r="AU1069" s="30"/>
      <c r="AV1069" s="30"/>
      <c r="AW1069" s="30"/>
      <c r="AX1069" s="30"/>
    </row>
    <row r="1070" ht="15.75" customHeight="1">
      <c r="A1070" s="30"/>
      <c r="B1070" s="30"/>
      <c r="C1070" s="31"/>
      <c r="D1070" s="31"/>
      <c r="E1070" s="31"/>
      <c r="F1070" s="30"/>
      <c r="G1070" s="30"/>
      <c r="H1070" s="30"/>
      <c r="I1070" s="30"/>
      <c r="J1070" s="30"/>
      <c r="K1070" s="30"/>
      <c r="L1070" s="30"/>
      <c r="M1070" s="30"/>
      <c r="N1070" s="30"/>
      <c r="O1070" s="30"/>
      <c r="P1070" s="30"/>
      <c r="Q1070" s="30"/>
      <c r="R1070" s="30"/>
      <c r="S1070" s="30"/>
      <c r="T1070" s="30"/>
      <c r="U1070" s="30"/>
      <c r="V1070" s="30"/>
      <c r="W1070" s="30"/>
      <c r="X1070" s="30"/>
      <c r="Y1070" s="30"/>
      <c r="Z1070" s="30"/>
      <c r="AA1070" s="30"/>
      <c r="AB1070" s="30"/>
      <c r="AC1070" s="30"/>
      <c r="AD1070" s="30"/>
      <c r="AE1070" s="30"/>
      <c r="AF1070" s="30"/>
      <c r="AG1070" s="30"/>
      <c r="AH1070" s="30"/>
      <c r="AI1070" s="30"/>
      <c r="AJ1070" s="30"/>
      <c r="AK1070" s="30"/>
      <c r="AL1070" s="30"/>
      <c r="AM1070" s="30"/>
      <c r="AN1070" s="30"/>
      <c r="AO1070" s="30"/>
      <c r="AP1070" s="30"/>
      <c r="AQ1070" s="30"/>
      <c r="AR1070" s="30"/>
      <c r="AS1070" s="30"/>
      <c r="AT1070" s="30"/>
      <c r="AU1070" s="30"/>
      <c r="AV1070" s="30"/>
      <c r="AW1070" s="30"/>
      <c r="AX1070" s="30"/>
    </row>
    <row r="1071" ht="15.75" customHeight="1">
      <c r="A1071" s="30"/>
      <c r="B1071" s="30"/>
      <c r="C1071" s="31"/>
      <c r="D1071" s="31"/>
      <c r="E1071" s="31"/>
      <c r="F1071" s="30"/>
      <c r="G1071" s="30"/>
      <c r="H1071" s="30"/>
      <c r="I1071" s="30"/>
      <c r="J1071" s="30"/>
      <c r="K1071" s="30"/>
      <c r="L1071" s="30"/>
      <c r="M1071" s="30"/>
      <c r="N1071" s="30"/>
      <c r="O1071" s="30"/>
      <c r="P1071" s="30"/>
      <c r="Q1071" s="30"/>
      <c r="R1071" s="30"/>
      <c r="S1071" s="30"/>
      <c r="T1071" s="30"/>
      <c r="U1071" s="30"/>
      <c r="V1071" s="30"/>
      <c r="W1071" s="30"/>
      <c r="X1071" s="30"/>
      <c r="Y1071" s="30"/>
      <c r="Z1071" s="30"/>
      <c r="AA1071" s="30"/>
      <c r="AB1071" s="30"/>
      <c r="AC1071" s="30"/>
      <c r="AD1071" s="30"/>
      <c r="AE1071" s="30"/>
      <c r="AF1071" s="30"/>
      <c r="AG1071" s="30"/>
      <c r="AH1071" s="30"/>
      <c r="AI1071" s="30"/>
      <c r="AJ1071" s="30"/>
      <c r="AK1071" s="30"/>
      <c r="AL1071" s="30"/>
      <c r="AM1071" s="30"/>
      <c r="AN1071" s="30"/>
      <c r="AO1071" s="30"/>
      <c r="AP1071" s="30"/>
      <c r="AQ1071" s="30"/>
      <c r="AR1071" s="30"/>
      <c r="AS1071" s="30"/>
      <c r="AT1071" s="30"/>
      <c r="AU1071" s="30"/>
      <c r="AV1071" s="30"/>
      <c r="AW1071" s="30"/>
      <c r="AX1071" s="30"/>
    </row>
    <row r="1072" ht="15.75" customHeight="1">
      <c r="A1072" s="30"/>
      <c r="B1072" s="30"/>
      <c r="C1072" s="31"/>
      <c r="D1072" s="31"/>
      <c r="E1072" s="31"/>
      <c r="F1072" s="30"/>
      <c r="G1072" s="30"/>
      <c r="H1072" s="30"/>
      <c r="I1072" s="30"/>
      <c r="J1072" s="30"/>
      <c r="K1072" s="30"/>
      <c r="L1072" s="30"/>
      <c r="M1072" s="30"/>
      <c r="N1072" s="30"/>
      <c r="O1072" s="30"/>
      <c r="P1072" s="30"/>
      <c r="Q1072" s="30"/>
      <c r="R1072" s="30"/>
      <c r="S1072" s="30"/>
      <c r="T1072" s="30"/>
      <c r="U1072" s="30"/>
      <c r="V1072" s="30"/>
      <c r="W1072" s="30"/>
      <c r="X1072" s="30"/>
      <c r="Y1072" s="30"/>
      <c r="Z1072" s="30"/>
      <c r="AA1072" s="30"/>
      <c r="AB1072" s="30"/>
      <c r="AC1072" s="30"/>
      <c r="AD1072" s="30"/>
      <c r="AE1072" s="30"/>
      <c r="AF1072" s="30"/>
      <c r="AG1072" s="30"/>
      <c r="AH1072" s="30"/>
      <c r="AI1072" s="30"/>
      <c r="AJ1072" s="30"/>
      <c r="AK1072" s="30"/>
      <c r="AL1072" s="30"/>
      <c r="AM1072" s="30"/>
      <c r="AN1072" s="30"/>
      <c r="AO1072" s="30"/>
      <c r="AP1072" s="30"/>
      <c r="AQ1072" s="30"/>
      <c r="AR1072" s="30"/>
      <c r="AS1072" s="30"/>
      <c r="AT1072" s="30"/>
      <c r="AU1072" s="30"/>
      <c r="AV1072" s="30"/>
      <c r="AW1072" s="30"/>
      <c r="AX1072" s="30"/>
    </row>
    <row r="1073" ht="15.75" customHeight="1">
      <c r="A1073" s="30"/>
      <c r="B1073" s="30"/>
      <c r="C1073" s="31"/>
      <c r="D1073" s="31"/>
      <c r="E1073" s="31"/>
      <c r="F1073" s="30"/>
      <c r="G1073" s="30"/>
      <c r="H1073" s="30"/>
      <c r="I1073" s="30"/>
      <c r="J1073" s="30"/>
      <c r="K1073" s="30"/>
      <c r="L1073" s="30"/>
      <c r="M1073" s="30"/>
      <c r="N1073" s="30"/>
      <c r="O1073" s="30"/>
      <c r="P1073" s="30"/>
      <c r="Q1073" s="30"/>
      <c r="R1073" s="30"/>
      <c r="S1073" s="30"/>
      <c r="T1073" s="30"/>
      <c r="U1073" s="30"/>
      <c r="V1073" s="30"/>
      <c r="W1073" s="30"/>
      <c r="X1073" s="30"/>
      <c r="Y1073" s="30"/>
      <c r="Z1073" s="30"/>
      <c r="AA1073" s="30"/>
      <c r="AB1073" s="30"/>
      <c r="AC1073" s="30"/>
      <c r="AD1073" s="30"/>
      <c r="AE1073" s="30"/>
      <c r="AF1073" s="30"/>
      <c r="AG1073" s="30"/>
      <c r="AH1073" s="30"/>
      <c r="AI1073" s="30"/>
      <c r="AJ1073" s="30"/>
      <c r="AK1073" s="30"/>
      <c r="AL1073" s="30"/>
      <c r="AM1073" s="30"/>
      <c r="AN1073" s="30"/>
      <c r="AO1073" s="30"/>
      <c r="AP1073" s="30"/>
      <c r="AQ1073" s="30"/>
      <c r="AR1073" s="30"/>
      <c r="AS1073" s="30"/>
      <c r="AT1073" s="30"/>
      <c r="AU1073" s="30"/>
      <c r="AV1073" s="30"/>
      <c r="AW1073" s="30"/>
      <c r="AX1073" s="30"/>
    </row>
    <row r="1074" ht="15.75" customHeight="1">
      <c r="A1074" s="30"/>
      <c r="B1074" s="30"/>
      <c r="C1074" s="31"/>
      <c r="D1074" s="31"/>
      <c r="E1074" s="31"/>
      <c r="F1074" s="30"/>
      <c r="G1074" s="30"/>
      <c r="H1074" s="30"/>
      <c r="I1074" s="30"/>
      <c r="J1074" s="30"/>
      <c r="K1074" s="30"/>
      <c r="L1074" s="30"/>
      <c r="M1074" s="30"/>
      <c r="N1074" s="30"/>
      <c r="O1074" s="30"/>
      <c r="P1074" s="30"/>
      <c r="Q1074" s="30"/>
      <c r="R1074" s="30"/>
      <c r="S1074" s="30"/>
      <c r="T1074" s="30"/>
      <c r="U1074" s="30"/>
      <c r="V1074" s="30"/>
      <c r="W1074" s="30"/>
      <c r="X1074" s="30"/>
      <c r="Y1074" s="30"/>
      <c r="Z1074" s="30"/>
      <c r="AA1074" s="30"/>
      <c r="AB1074" s="30"/>
      <c r="AC1074" s="30"/>
      <c r="AD1074" s="30"/>
      <c r="AE1074" s="30"/>
      <c r="AF1074" s="30"/>
      <c r="AG1074" s="30"/>
      <c r="AH1074" s="30"/>
      <c r="AI1074" s="30"/>
      <c r="AJ1074" s="30"/>
      <c r="AK1074" s="30"/>
      <c r="AL1074" s="30"/>
      <c r="AM1074" s="30"/>
      <c r="AN1074" s="30"/>
      <c r="AO1074" s="30"/>
      <c r="AP1074" s="30"/>
      <c r="AQ1074" s="30"/>
      <c r="AR1074" s="30"/>
      <c r="AS1074" s="30"/>
      <c r="AT1074" s="30"/>
      <c r="AU1074" s="30"/>
      <c r="AV1074" s="30"/>
      <c r="AW1074" s="30"/>
      <c r="AX1074" s="30"/>
    </row>
    <row r="1075" ht="15.75" customHeight="1">
      <c r="A1075" s="30"/>
      <c r="B1075" s="30"/>
      <c r="C1075" s="31"/>
      <c r="D1075" s="31"/>
      <c r="E1075" s="31"/>
      <c r="F1075" s="30"/>
      <c r="G1075" s="30"/>
      <c r="H1075" s="30"/>
      <c r="I1075" s="30"/>
      <c r="J1075" s="30"/>
      <c r="K1075" s="30"/>
      <c r="L1075" s="30"/>
      <c r="M1075" s="30"/>
      <c r="N1075" s="30"/>
      <c r="O1075" s="30"/>
      <c r="P1075" s="30"/>
      <c r="Q1075" s="30"/>
      <c r="R1075" s="30"/>
      <c r="S1075" s="30"/>
      <c r="T1075" s="30"/>
      <c r="U1075" s="30"/>
      <c r="V1075" s="30"/>
      <c r="W1075" s="30"/>
      <c r="X1075" s="30"/>
      <c r="Y1075" s="30"/>
      <c r="Z1075" s="30"/>
      <c r="AA1075" s="30"/>
      <c r="AB1075" s="30"/>
      <c r="AC1075" s="30"/>
      <c r="AD1075" s="30"/>
      <c r="AE1075" s="30"/>
      <c r="AF1075" s="30"/>
      <c r="AG1075" s="30"/>
      <c r="AH1075" s="30"/>
      <c r="AI1075" s="30"/>
      <c r="AJ1075" s="30"/>
      <c r="AK1075" s="30"/>
      <c r="AL1075" s="30"/>
      <c r="AM1075" s="30"/>
      <c r="AN1075" s="30"/>
      <c r="AO1075" s="30"/>
      <c r="AP1075" s="30"/>
      <c r="AQ1075" s="30"/>
      <c r="AR1075" s="30"/>
      <c r="AS1075" s="30"/>
      <c r="AT1075" s="30"/>
      <c r="AU1075" s="30"/>
      <c r="AV1075" s="30"/>
      <c r="AW1075" s="30"/>
      <c r="AX1075" s="30"/>
    </row>
    <row r="1076" ht="15.75" customHeight="1">
      <c r="A1076" s="30"/>
      <c r="B1076" s="30"/>
      <c r="C1076" s="31"/>
      <c r="D1076" s="31"/>
      <c r="E1076" s="31"/>
      <c r="F1076" s="30"/>
      <c r="G1076" s="30"/>
      <c r="H1076" s="30"/>
      <c r="I1076" s="30"/>
      <c r="J1076" s="30"/>
      <c r="K1076" s="30"/>
      <c r="L1076" s="30"/>
      <c r="M1076" s="30"/>
      <c r="N1076" s="30"/>
      <c r="O1076" s="30"/>
      <c r="P1076" s="30"/>
      <c r="Q1076" s="30"/>
      <c r="R1076" s="30"/>
      <c r="S1076" s="30"/>
      <c r="T1076" s="30"/>
      <c r="U1076" s="30"/>
      <c r="V1076" s="30"/>
      <c r="W1076" s="30"/>
      <c r="X1076" s="30"/>
      <c r="Y1076" s="30"/>
      <c r="Z1076" s="30"/>
      <c r="AA1076" s="30"/>
      <c r="AB1076" s="30"/>
      <c r="AC1076" s="30"/>
      <c r="AD1076" s="30"/>
      <c r="AE1076" s="30"/>
      <c r="AF1076" s="30"/>
      <c r="AG1076" s="30"/>
      <c r="AH1076" s="30"/>
      <c r="AI1076" s="30"/>
      <c r="AJ1076" s="30"/>
      <c r="AK1076" s="30"/>
      <c r="AL1076" s="30"/>
      <c r="AM1076" s="30"/>
      <c r="AN1076" s="30"/>
      <c r="AO1076" s="30"/>
      <c r="AP1076" s="30"/>
      <c r="AQ1076" s="30"/>
      <c r="AR1076" s="30"/>
      <c r="AS1076" s="30"/>
      <c r="AT1076" s="30"/>
      <c r="AU1076" s="30"/>
      <c r="AV1076" s="30"/>
      <c r="AW1076" s="30"/>
      <c r="AX1076" s="30"/>
    </row>
    <row r="1077" ht="15.75" customHeight="1">
      <c r="A1077" s="30"/>
      <c r="B1077" s="30"/>
      <c r="C1077" s="31"/>
      <c r="D1077" s="31"/>
      <c r="E1077" s="31"/>
      <c r="F1077" s="30"/>
      <c r="G1077" s="30"/>
      <c r="H1077" s="30"/>
      <c r="I1077" s="30"/>
      <c r="J1077" s="30"/>
      <c r="K1077" s="30"/>
      <c r="L1077" s="30"/>
      <c r="M1077" s="30"/>
      <c r="N1077" s="30"/>
      <c r="O1077" s="30"/>
      <c r="P1077" s="30"/>
      <c r="Q1077" s="30"/>
      <c r="R1077" s="30"/>
      <c r="S1077" s="30"/>
      <c r="T1077" s="30"/>
      <c r="U1077" s="30"/>
      <c r="V1077" s="30"/>
      <c r="W1077" s="30"/>
      <c r="X1077" s="30"/>
      <c r="Y1077" s="30"/>
      <c r="Z1077" s="30"/>
      <c r="AA1077" s="30"/>
      <c r="AB1077" s="30"/>
      <c r="AC1077" s="30"/>
      <c r="AD1077" s="30"/>
      <c r="AE1077" s="30"/>
      <c r="AF1077" s="30"/>
      <c r="AG1077" s="30"/>
      <c r="AH1077" s="30"/>
      <c r="AI1077" s="30"/>
      <c r="AJ1077" s="30"/>
      <c r="AK1077" s="30"/>
      <c r="AL1077" s="30"/>
      <c r="AM1077" s="30"/>
      <c r="AN1077" s="30"/>
      <c r="AO1077" s="30"/>
      <c r="AP1077" s="30"/>
      <c r="AQ1077" s="30"/>
      <c r="AR1077" s="30"/>
      <c r="AS1077" s="30"/>
      <c r="AT1077" s="30"/>
      <c r="AU1077" s="30"/>
      <c r="AV1077" s="30"/>
      <c r="AW1077" s="30"/>
      <c r="AX1077" s="30"/>
    </row>
    <row r="1078" ht="15.75" customHeight="1">
      <c r="A1078" s="30"/>
      <c r="B1078" s="30"/>
      <c r="C1078" s="31"/>
      <c r="D1078" s="31"/>
      <c r="E1078" s="31"/>
      <c r="F1078" s="30"/>
      <c r="G1078" s="30"/>
      <c r="H1078" s="30"/>
      <c r="I1078" s="30"/>
      <c r="J1078" s="30"/>
      <c r="K1078" s="30"/>
      <c r="L1078" s="30"/>
      <c r="M1078" s="30"/>
      <c r="N1078" s="30"/>
      <c r="O1078" s="30"/>
      <c r="P1078" s="30"/>
      <c r="Q1078" s="30"/>
      <c r="R1078" s="30"/>
      <c r="S1078" s="30"/>
      <c r="T1078" s="30"/>
      <c r="U1078" s="30"/>
      <c r="V1078" s="30"/>
      <c r="W1078" s="30"/>
      <c r="X1078" s="30"/>
      <c r="Y1078" s="30"/>
      <c r="Z1078" s="30"/>
      <c r="AA1078" s="30"/>
      <c r="AB1078" s="30"/>
      <c r="AC1078" s="30"/>
      <c r="AD1078" s="30"/>
      <c r="AE1078" s="30"/>
      <c r="AF1078" s="30"/>
      <c r="AG1078" s="30"/>
      <c r="AH1078" s="30"/>
      <c r="AI1078" s="30"/>
      <c r="AJ1078" s="30"/>
      <c r="AK1078" s="30"/>
      <c r="AL1078" s="30"/>
      <c r="AM1078" s="30"/>
      <c r="AN1078" s="30"/>
      <c r="AO1078" s="30"/>
      <c r="AP1078" s="30"/>
      <c r="AQ1078" s="30"/>
      <c r="AR1078" s="30"/>
      <c r="AS1078" s="30"/>
      <c r="AT1078" s="30"/>
      <c r="AU1078" s="30"/>
      <c r="AV1078" s="30"/>
      <c r="AW1078" s="30"/>
      <c r="AX1078" s="30"/>
    </row>
    <row r="1079" ht="15.75" customHeight="1">
      <c r="A1079" s="30"/>
      <c r="B1079" s="30"/>
      <c r="C1079" s="31"/>
      <c r="D1079" s="31"/>
      <c r="E1079" s="31"/>
      <c r="F1079" s="30"/>
      <c r="G1079" s="30"/>
      <c r="H1079" s="30"/>
      <c r="I1079" s="30"/>
      <c r="J1079" s="30"/>
      <c r="K1079" s="30"/>
      <c r="L1079" s="30"/>
      <c r="M1079" s="30"/>
      <c r="N1079" s="30"/>
      <c r="O1079" s="30"/>
      <c r="P1079" s="30"/>
      <c r="Q1079" s="30"/>
      <c r="R1079" s="30"/>
      <c r="S1079" s="30"/>
      <c r="T1079" s="30"/>
      <c r="U1079" s="30"/>
      <c r="V1079" s="30"/>
      <c r="W1079" s="30"/>
      <c r="X1079" s="30"/>
      <c r="Y1079" s="30"/>
      <c r="Z1079" s="30"/>
      <c r="AA1079" s="30"/>
      <c r="AB1079" s="30"/>
      <c r="AC1079" s="30"/>
      <c r="AD1079" s="30"/>
      <c r="AE1079" s="30"/>
      <c r="AF1079" s="30"/>
      <c r="AG1079" s="30"/>
      <c r="AH1079" s="30"/>
      <c r="AI1079" s="30"/>
      <c r="AJ1079" s="30"/>
      <c r="AK1079" s="30"/>
      <c r="AL1079" s="30"/>
      <c r="AM1079" s="30"/>
      <c r="AN1079" s="30"/>
      <c r="AO1079" s="30"/>
      <c r="AP1079" s="30"/>
      <c r="AQ1079" s="30"/>
      <c r="AR1079" s="30"/>
      <c r="AS1079" s="30"/>
      <c r="AT1079" s="30"/>
      <c r="AU1079" s="30"/>
      <c r="AV1079" s="30"/>
      <c r="AW1079" s="30"/>
      <c r="AX1079" s="30"/>
    </row>
    <row r="1080" ht="15.75" customHeight="1">
      <c r="A1080" s="30"/>
      <c r="B1080" s="30"/>
      <c r="C1080" s="31"/>
      <c r="D1080" s="31"/>
      <c r="E1080" s="31"/>
      <c r="F1080" s="30"/>
      <c r="G1080" s="30"/>
      <c r="H1080" s="30"/>
      <c r="I1080" s="30"/>
      <c r="J1080" s="30"/>
      <c r="K1080" s="30"/>
      <c r="L1080" s="30"/>
      <c r="M1080" s="30"/>
      <c r="N1080" s="30"/>
      <c r="O1080" s="30"/>
      <c r="P1080" s="30"/>
      <c r="Q1080" s="30"/>
      <c r="R1080" s="30"/>
      <c r="S1080" s="30"/>
      <c r="T1080" s="30"/>
      <c r="U1080" s="30"/>
      <c r="V1080" s="30"/>
      <c r="W1080" s="30"/>
      <c r="X1080" s="30"/>
      <c r="Y1080" s="30"/>
      <c r="Z1080" s="30"/>
      <c r="AA1080" s="30"/>
      <c r="AB1080" s="30"/>
      <c r="AC1080" s="30"/>
      <c r="AD1080" s="30"/>
      <c r="AE1080" s="30"/>
      <c r="AF1080" s="30"/>
      <c r="AG1080" s="30"/>
      <c r="AH1080" s="30"/>
      <c r="AI1080" s="30"/>
      <c r="AJ1080" s="30"/>
      <c r="AK1080" s="30"/>
      <c r="AL1080" s="30"/>
      <c r="AM1080" s="30"/>
      <c r="AN1080" s="30"/>
      <c r="AO1080" s="30"/>
      <c r="AP1080" s="30"/>
      <c r="AQ1080" s="30"/>
      <c r="AR1080" s="30"/>
      <c r="AS1080" s="30"/>
      <c r="AT1080" s="30"/>
      <c r="AU1080" s="30"/>
      <c r="AV1080" s="30"/>
      <c r="AW1080" s="30"/>
      <c r="AX1080" s="30"/>
    </row>
    <row r="1081" ht="15.75" customHeight="1">
      <c r="A1081" s="30"/>
      <c r="B1081" s="30"/>
      <c r="C1081" s="31"/>
      <c r="D1081" s="31"/>
      <c r="E1081" s="31"/>
      <c r="F1081" s="30"/>
      <c r="G1081" s="30"/>
      <c r="H1081" s="30"/>
      <c r="I1081" s="30"/>
      <c r="J1081" s="30"/>
      <c r="K1081" s="30"/>
      <c r="L1081" s="30"/>
      <c r="M1081" s="30"/>
      <c r="N1081" s="30"/>
      <c r="O1081" s="30"/>
      <c r="P1081" s="30"/>
      <c r="Q1081" s="30"/>
      <c r="R1081" s="30"/>
      <c r="S1081" s="30"/>
      <c r="T1081" s="30"/>
      <c r="U1081" s="30"/>
      <c r="V1081" s="30"/>
      <c r="W1081" s="30"/>
      <c r="X1081" s="30"/>
      <c r="Y1081" s="30"/>
      <c r="Z1081" s="30"/>
      <c r="AA1081" s="30"/>
      <c r="AB1081" s="30"/>
      <c r="AC1081" s="30"/>
      <c r="AD1081" s="30"/>
      <c r="AE1081" s="30"/>
      <c r="AF1081" s="30"/>
      <c r="AG1081" s="30"/>
      <c r="AH1081" s="30"/>
      <c r="AI1081" s="30"/>
      <c r="AJ1081" s="30"/>
      <c r="AK1081" s="30"/>
      <c r="AL1081" s="30"/>
      <c r="AM1081" s="30"/>
      <c r="AN1081" s="30"/>
      <c r="AO1081" s="30"/>
      <c r="AP1081" s="30"/>
      <c r="AQ1081" s="30"/>
      <c r="AR1081" s="30"/>
      <c r="AS1081" s="30"/>
      <c r="AT1081" s="30"/>
      <c r="AU1081" s="30"/>
      <c r="AV1081" s="30"/>
      <c r="AW1081" s="30"/>
      <c r="AX1081" s="30"/>
    </row>
    <row r="1082" ht="15.75" customHeight="1">
      <c r="A1082" s="30"/>
      <c r="B1082" s="30"/>
      <c r="C1082" s="31"/>
      <c r="D1082" s="31"/>
      <c r="E1082" s="31"/>
      <c r="F1082" s="30"/>
      <c r="G1082" s="30"/>
      <c r="H1082" s="30"/>
      <c r="I1082" s="30"/>
      <c r="J1082" s="30"/>
      <c r="K1082" s="30"/>
      <c r="L1082" s="30"/>
      <c r="M1082" s="30"/>
      <c r="N1082" s="30"/>
      <c r="O1082" s="30"/>
      <c r="P1082" s="30"/>
      <c r="Q1082" s="30"/>
      <c r="R1082" s="30"/>
      <c r="S1082" s="30"/>
      <c r="T1082" s="30"/>
      <c r="U1082" s="30"/>
      <c r="V1082" s="30"/>
      <c r="W1082" s="30"/>
      <c r="X1082" s="30"/>
      <c r="Y1082" s="30"/>
      <c r="Z1082" s="30"/>
      <c r="AA1082" s="30"/>
      <c r="AB1082" s="30"/>
      <c r="AC1082" s="30"/>
      <c r="AD1082" s="30"/>
      <c r="AE1082" s="30"/>
      <c r="AF1082" s="30"/>
      <c r="AG1082" s="30"/>
      <c r="AH1082" s="30"/>
      <c r="AI1082" s="30"/>
      <c r="AJ1082" s="30"/>
      <c r="AK1082" s="30"/>
      <c r="AL1082" s="30"/>
      <c r="AM1082" s="30"/>
      <c r="AN1082" s="30"/>
      <c r="AO1082" s="30"/>
      <c r="AP1082" s="30"/>
      <c r="AQ1082" s="30"/>
      <c r="AR1082" s="30"/>
      <c r="AS1082" s="30"/>
      <c r="AT1082" s="30"/>
      <c r="AU1082" s="30"/>
      <c r="AV1082" s="30"/>
      <c r="AW1082" s="30"/>
      <c r="AX1082" s="30"/>
    </row>
    <row r="1083" ht="15.75" customHeight="1">
      <c r="A1083" s="30"/>
      <c r="B1083" s="30"/>
      <c r="C1083" s="31"/>
      <c r="D1083" s="31"/>
      <c r="E1083" s="31"/>
      <c r="F1083" s="30"/>
      <c r="G1083" s="30"/>
      <c r="H1083" s="30"/>
      <c r="I1083" s="30"/>
      <c r="J1083" s="30"/>
      <c r="K1083" s="30"/>
      <c r="L1083" s="30"/>
      <c r="M1083" s="30"/>
      <c r="N1083" s="30"/>
      <c r="O1083" s="30"/>
      <c r="P1083" s="30"/>
      <c r="Q1083" s="30"/>
      <c r="R1083" s="30"/>
      <c r="S1083" s="30"/>
      <c r="T1083" s="30"/>
      <c r="U1083" s="30"/>
      <c r="V1083" s="30"/>
      <c r="W1083" s="30"/>
      <c r="X1083" s="30"/>
      <c r="Y1083" s="30"/>
      <c r="Z1083" s="30"/>
      <c r="AA1083" s="30"/>
      <c r="AB1083" s="30"/>
      <c r="AC1083" s="30"/>
      <c r="AD1083" s="30"/>
      <c r="AE1083" s="30"/>
      <c r="AF1083" s="30"/>
      <c r="AG1083" s="30"/>
      <c r="AH1083" s="30"/>
      <c r="AI1083" s="30"/>
      <c r="AJ1083" s="30"/>
      <c r="AK1083" s="30"/>
      <c r="AL1083" s="30"/>
      <c r="AM1083" s="30"/>
      <c r="AN1083" s="30"/>
      <c r="AO1083" s="30"/>
      <c r="AP1083" s="30"/>
      <c r="AQ1083" s="30"/>
      <c r="AR1083" s="30"/>
      <c r="AS1083" s="30"/>
      <c r="AT1083" s="30"/>
      <c r="AU1083" s="30"/>
      <c r="AV1083" s="30"/>
      <c r="AW1083" s="30"/>
      <c r="AX1083" s="30"/>
    </row>
    <row r="1084" ht="15.75" customHeight="1">
      <c r="A1084" s="30"/>
      <c r="B1084" s="30"/>
      <c r="C1084" s="31"/>
      <c r="D1084" s="31"/>
      <c r="E1084" s="31"/>
      <c r="F1084" s="30"/>
      <c r="G1084" s="30"/>
      <c r="H1084" s="30"/>
      <c r="I1084" s="30"/>
      <c r="J1084" s="30"/>
      <c r="K1084" s="30"/>
      <c r="L1084" s="30"/>
      <c r="M1084" s="30"/>
      <c r="N1084" s="30"/>
      <c r="O1084" s="30"/>
      <c r="P1084" s="30"/>
      <c r="Q1084" s="30"/>
      <c r="R1084" s="30"/>
      <c r="S1084" s="30"/>
      <c r="T1084" s="30"/>
      <c r="U1084" s="30"/>
      <c r="V1084" s="30"/>
      <c r="W1084" s="30"/>
      <c r="X1084" s="30"/>
      <c r="Y1084" s="30"/>
      <c r="Z1084" s="30"/>
      <c r="AA1084" s="30"/>
      <c r="AB1084" s="30"/>
      <c r="AC1084" s="30"/>
      <c r="AD1084" s="30"/>
      <c r="AE1084" s="30"/>
      <c r="AF1084" s="30"/>
      <c r="AG1084" s="30"/>
      <c r="AH1084" s="30"/>
      <c r="AI1084" s="30"/>
      <c r="AJ1084" s="30"/>
      <c r="AK1084" s="30"/>
      <c r="AL1084" s="30"/>
      <c r="AM1084" s="30"/>
      <c r="AN1084" s="30"/>
      <c r="AO1084" s="30"/>
      <c r="AP1084" s="30"/>
      <c r="AQ1084" s="30"/>
      <c r="AR1084" s="30"/>
      <c r="AS1084" s="30"/>
      <c r="AT1084" s="30"/>
      <c r="AU1084" s="30"/>
      <c r="AV1084" s="30"/>
      <c r="AW1084" s="30"/>
      <c r="AX1084" s="30"/>
    </row>
    <row r="1085" ht="15.75" customHeight="1">
      <c r="A1085" s="30"/>
      <c r="B1085" s="30"/>
      <c r="C1085" s="31"/>
      <c r="D1085" s="31"/>
      <c r="E1085" s="31"/>
      <c r="F1085" s="30"/>
      <c r="G1085" s="30"/>
      <c r="H1085" s="30"/>
      <c r="I1085" s="30"/>
      <c r="J1085" s="30"/>
      <c r="K1085" s="30"/>
      <c r="L1085" s="30"/>
      <c r="M1085" s="30"/>
      <c r="N1085" s="30"/>
      <c r="O1085" s="30"/>
      <c r="P1085" s="30"/>
      <c r="Q1085" s="30"/>
      <c r="R1085" s="30"/>
      <c r="S1085" s="30"/>
      <c r="T1085" s="30"/>
      <c r="U1085" s="30"/>
      <c r="V1085" s="30"/>
      <c r="W1085" s="30"/>
      <c r="X1085" s="30"/>
      <c r="Y1085" s="30"/>
      <c r="Z1085" s="30"/>
      <c r="AA1085" s="30"/>
      <c r="AB1085" s="30"/>
      <c r="AC1085" s="30"/>
      <c r="AD1085" s="30"/>
      <c r="AE1085" s="30"/>
      <c r="AF1085" s="30"/>
      <c r="AG1085" s="30"/>
      <c r="AH1085" s="30"/>
      <c r="AI1085" s="30"/>
      <c r="AJ1085" s="30"/>
      <c r="AK1085" s="30"/>
      <c r="AL1085" s="30"/>
      <c r="AM1085" s="30"/>
      <c r="AN1085" s="30"/>
      <c r="AO1085" s="30"/>
      <c r="AP1085" s="30"/>
      <c r="AQ1085" s="30"/>
      <c r="AR1085" s="30"/>
      <c r="AS1085" s="30"/>
      <c r="AT1085" s="30"/>
      <c r="AU1085" s="30"/>
      <c r="AV1085" s="30"/>
      <c r="AW1085" s="30"/>
      <c r="AX1085" s="30"/>
    </row>
    <row r="1086" ht="15.75" customHeight="1">
      <c r="A1086" s="30"/>
      <c r="B1086" s="30"/>
      <c r="C1086" s="31"/>
      <c r="D1086" s="31"/>
      <c r="E1086" s="31"/>
      <c r="F1086" s="30"/>
      <c r="G1086" s="30"/>
      <c r="H1086" s="30"/>
      <c r="I1086" s="30"/>
      <c r="J1086" s="30"/>
      <c r="K1086" s="30"/>
      <c r="L1086" s="30"/>
      <c r="M1086" s="30"/>
      <c r="N1086" s="30"/>
      <c r="O1086" s="30"/>
      <c r="P1086" s="30"/>
      <c r="Q1086" s="30"/>
      <c r="R1086" s="30"/>
      <c r="S1086" s="30"/>
      <c r="T1086" s="30"/>
      <c r="U1086" s="30"/>
      <c r="V1086" s="30"/>
      <c r="W1086" s="30"/>
      <c r="X1086" s="30"/>
      <c r="Y1086" s="30"/>
      <c r="Z1086" s="30"/>
      <c r="AA1086" s="30"/>
      <c r="AB1086" s="30"/>
      <c r="AC1086" s="30"/>
      <c r="AD1086" s="30"/>
      <c r="AE1086" s="30"/>
      <c r="AF1086" s="30"/>
      <c r="AG1086" s="30"/>
      <c r="AH1086" s="30"/>
      <c r="AI1086" s="30"/>
      <c r="AJ1086" s="30"/>
      <c r="AK1086" s="30"/>
      <c r="AL1086" s="30"/>
      <c r="AM1086" s="30"/>
      <c r="AN1086" s="30"/>
      <c r="AO1086" s="30"/>
      <c r="AP1086" s="30"/>
      <c r="AQ1086" s="30"/>
      <c r="AR1086" s="30"/>
      <c r="AS1086" s="30"/>
      <c r="AT1086" s="30"/>
      <c r="AU1086" s="30"/>
      <c r="AV1086" s="30"/>
      <c r="AW1086" s="30"/>
      <c r="AX1086" s="30"/>
    </row>
    <row r="1087" ht="15.75" customHeight="1">
      <c r="A1087" s="30"/>
      <c r="B1087" s="30"/>
      <c r="C1087" s="31"/>
      <c r="D1087" s="31"/>
      <c r="E1087" s="31"/>
      <c r="F1087" s="30"/>
      <c r="G1087" s="30"/>
      <c r="H1087" s="30"/>
      <c r="I1087" s="30"/>
      <c r="J1087" s="30"/>
      <c r="K1087" s="30"/>
      <c r="L1087" s="30"/>
      <c r="M1087" s="30"/>
      <c r="N1087" s="30"/>
      <c r="O1087" s="30"/>
      <c r="P1087" s="30"/>
      <c r="Q1087" s="30"/>
      <c r="R1087" s="30"/>
      <c r="S1087" s="30"/>
      <c r="T1087" s="30"/>
      <c r="U1087" s="30"/>
      <c r="V1087" s="30"/>
      <c r="W1087" s="30"/>
      <c r="X1087" s="30"/>
      <c r="Y1087" s="30"/>
      <c r="Z1087" s="30"/>
      <c r="AA1087" s="30"/>
      <c r="AB1087" s="30"/>
      <c r="AC1087" s="30"/>
      <c r="AD1087" s="30"/>
      <c r="AE1087" s="30"/>
      <c r="AF1087" s="30"/>
      <c r="AG1087" s="30"/>
      <c r="AH1087" s="30"/>
      <c r="AI1087" s="30"/>
      <c r="AJ1087" s="30"/>
      <c r="AK1087" s="30"/>
      <c r="AL1087" s="30"/>
      <c r="AM1087" s="30"/>
      <c r="AN1087" s="30"/>
      <c r="AO1087" s="30"/>
      <c r="AP1087" s="30"/>
      <c r="AQ1087" s="30"/>
      <c r="AR1087" s="30"/>
      <c r="AS1087" s="30"/>
      <c r="AT1087" s="30"/>
      <c r="AU1087" s="30"/>
      <c r="AV1087" s="30"/>
      <c r="AW1087" s="30"/>
      <c r="AX1087" s="30"/>
    </row>
    <row r="1088" ht="15.75" customHeight="1">
      <c r="A1088" s="30"/>
      <c r="B1088" s="30"/>
      <c r="C1088" s="31"/>
      <c r="D1088" s="31"/>
      <c r="E1088" s="31"/>
      <c r="F1088" s="30"/>
      <c r="G1088" s="30"/>
      <c r="H1088" s="30"/>
      <c r="I1088" s="30"/>
      <c r="J1088" s="30"/>
      <c r="K1088" s="30"/>
      <c r="L1088" s="30"/>
      <c r="M1088" s="30"/>
      <c r="N1088" s="30"/>
      <c r="O1088" s="30"/>
      <c r="P1088" s="30"/>
      <c r="Q1088" s="30"/>
      <c r="R1088" s="30"/>
      <c r="S1088" s="30"/>
      <c r="T1088" s="30"/>
      <c r="U1088" s="30"/>
      <c r="V1088" s="30"/>
      <c r="W1088" s="30"/>
      <c r="X1088" s="30"/>
      <c r="Y1088" s="30"/>
      <c r="Z1088" s="30"/>
      <c r="AA1088" s="30"/>
      <c r="AB1088" s="30"/>
      <c r="AC1088" s="30"/>
      <c r="AD1088" s="30"/>
      <c r="AE1088" s="30"/>
      <c r="AF1088" s="30"/>
      <c r="AG1088" s="30"/>
      <c r="AH1088" s="30"/>
      <c r="AI1088" s="30"/>
      <c r="AJ1088" s="30"/>
      <c r="AK1088" s="30"/>
      <c r="AL1088" s="30"/>
      <c r="AM1088" s="30"/>
      <c r="AN1088" s="30"/>
      <c r="AO1088" s="30"/>
      <c r="AP1088" s="30"/>
      <c r="AQ1088" s="30"/>
      <c r="AR1088" s="30"/>
      <c r="AS1088" s="30"/>
      <c r="AT1088" s="30"/>
      <c r="AU1088" s="30"/>
      <c r="AV1088" s="30"/>
      <c r="AW1088" s="30"/>
      <c r="AX1088" s="30"/>
    </row>
    <row r="1089" ht="15.75" customHeight="1">
      <c r="A1089" s="30"/>
      <c r="B1089" s="30"/>
      <c r="C1089" s="31"/>
      <c r="D1089" s="31"/>
      <c r="E1089" s="31"/>
      <c r="F1089" s="30"/>
      <c r="G1089" s="30"/>
      <c r="H1089" s="30"/>
      <c r="I1089" s="30"/>
      <c r="J1089" s="30"/>
      <c r="K1089" s="30"/>
      <c r="L1089" s="30"/>
      <c r="M1089" s="30"/>
      <c r="N1089" s="30"/>
      <c r="O1089" s="30"/>
      <c r="P1089" s="30"/>
      <c r="Q1089" s="30"/>
      <c r="R1089" s="30"/>
      <c r="S1089" s="30"/>
      <c r="T1089" s="30"/>
      <c r="U1089" s="30"/>
      <c r="V1089" s="30"/>
      <c r="W1089" s="30"/>
      <c r="X1089" s="30"/>
      <c r="Y1089" s="30"/>
      <c r="Z1089" s="30"/>
      <c r="AA1089" s="30"/>
      <c r="AB1089" s="30"/>
      <c r="AC1089" s="30"/>
      <c r="AD1089" s="30"/>
      <c r="AE1089" s="30"/>
      <c r="AF1089" s="30"/>
      <c r="AG1089" s="30"/>
      <c r="AH1089" s="30"/>
      <c r="AI1089" s="30"/>
      <c r="AJ1089" s="30"/>
      <c r="AK1089" s="30"/>
      <c r="AL1089" s="30"/>
      <c r="AM1089" s="30"/>
      <c r="AN1089" s="30"/>
      <c r="AO1089" s="30"/>
      <c r="AP1089" s="30"/>
      <c r="AQ1089" s="30"/>
      <c r="AR1089" s="30"/>
      <c r="AS1089" s="30"/>
      <c r="AT1089" s="30"/>
      <c r="AU1089" s="30"/>
      <c r="AV1089" s="30"/>
      <c r="AW1089" s="30"/>
      <c r="AX1089" s="30"/>
    </row>
    <row r="1090" ht="15.75" customHeight="1">
      <c r="A1090" s="30"/>
      <c r="B1090" s="30"/>
      <c r="C1090" s="31"/>
      <c r="D1090" s="31"/>
      <c r="E1090" s="31"/>
      <c r="F1090" s="30"/>
      <c r="G1090" s="30"/>
      <c r="H1090" s="30"/>
      <c r="I1090" s="30"/>
      <c r="J1090" s="30"/>
      <c r="K1090" s="30"/>
      <c r="L1090" s="30"/>
      <c r="M1090" s="30"/>
      <c r="N1090" s="30"/>
      <c r="O1090" s="30"/>
      <c r="P1090" s="30"/>
      <c r="Q1090" s="30"/>
      <c r="R1090" s="30"/>
      <c r="S1090" s="30"/>
      <c r="T1090" s="30"/>
      <c r="U1090" s="30"/>
      <c r="V1090" s="30"/>
      <c r="W1090" s="30"/>
      <c r="X1090" s="30"/>
      <c r="Y1090" s="30"/>
      <c r="Z1090" s="30"/>
      <c r="AA1090" s="30"/>
      <c r="AB1090" s="30"/>
      <c r="AC1090" s="30"/>
      <c r="AD1090" s="30"/>
      <c r="AE1090" s="30"/>
      <c r="AF1090" s="30"/>
      <c r="AG1090" s="30"/>
      <c r="AH1090" s="30"/>
      <c r="AI1090" s="30"/>
      <c r="AJ1090" s="30"/>
      <c r="AK1090" s="30"/>
      <c r="AL1090" s="30"/>
      <c r="AM1090" s="30"/>
      <c r="AN1090" s="30"/>
      <c r="AO1090" s="30"/>
      <c r="AP1090" s="30"/>
      <c r="AQ1090" s="30"/>
      <c r="AR1090" s="30"/>
      <c r="AS1090" s="30"/>
      <c r="AT1090" s="30"/>
      <c r="AU1090" s="30"/>
      <c r="AV1090" s="30"/>
      <c r="AW1090" s="30"/>
      <c r="AX1090" s="30"/>
    </row>
    <row r="1091" ht="15.75" customHeight="1">
      <c r="A1091" s="30"/>
      <c r="B1091" s="30"/>
      <c r="C1091" s="31"/>
      <c r="D1091" s="31"/>
      <c r="E1091" s="31"/>
      <c r="F1091" s="30"/>
      <c r="G1091" s="30"/>
      <c r="H1091" s="30"/>
      <c r="I1091" s="30"/>
      <c r="J1091" s="30"/>
      <c r="K1091" s="30"/>
      <c r="L1091" s="30"/>
      <c r="M1091" s="30"/>
      <c r="N1091" s="30"/>
      <c r="O1091" s="30"/>
      <c r="P1091" s="30"/>
      <c r="Q1091" s="30"/>
      <c r="R1091" s="30"/>
      <c r="S1091" s="30"/>
      <c r="T1091" s="30"/>
      <c r="U1091" s="30"/>
      <c r="V1091" s="30"/>
      <c r="W1091" s="30"/>
      <c r="X1091" s="30"/>
      <c r="Y1091" s="30"/>
      <c r="Z1091" s="30"/>
      <c r="AA1091" s="30"/>
      <c r="AB1091" s="30"/>
      <c r="AC1091" s="30"/>
      <c r="AD1091" s="30"/>
      <c r="AE1091" s="30"/>
      <c r="AF1091" s="30"/>
      <c r="AG1091" s="30"/>
      <c r="AH1091" s="30"/>
      <c r="AI1091" s="30"/>
      <c r="AJ1091" s="30"/>
      <c r="AK1091" s="30"/>
      <c r="AL1091" s="30"/>
      <c r="AM1091" s="30"/>
      <c r="AN1091" s="30"/>
      <c r="AO1091" s="30"/>
      <c r="AP1091" s="30"/>
      <c r="AQ1091" s="30"/>
      <c r="AR1091" s="30"/>
      <c r="AS1091" s="30"/>
      <c r="AT1091" s="30"/>
      <c r="AU1091" s="30"/>
      <c r="AV1091" s="30"/>
      <c r="AW1091" s="30"/>
      <c r="AX1091" s="30"/>
    </row>
    <row r="1092" ht="15.75" customHeight="1">
      <c r="A1092" s="30"/>
      <c r="B1092" s="30"/>
      <c r="C1092" s="31"/>
      <c r="D1092" s="31"/>
      <c r="E1092" s="31"/>
      <c r="F1092" s="30"/>
      <c r="G1092" s="30"/>
      <c r="H1092" s="30"/>
      <c r="I1092" s="30"/>
      <c r="J1092" s="30"/>
      <c r="K1092" s="30"/>
      <c r="L1092" s="30"/>
      <c r="M1092" s="30"/>
      <c r="N1092" s="30"/>
      <c r="O1092" s="30"/>
      <c r="P1092" s="30"/>
      <c r="Q1092" s="30"/>
      <c r="R1092" s="30"/>
      <c r="S1092" s="30"/>
      <c r="T1092" s="30"/>
      <c r="U1092" s="30"/>
      <c r="V1092" s="30"/>
      <c r="W1092" s="30"/>
      <c r="X1092" s="30"/>
      <c r="Y1092" s="30"/>
      <c r="Z1092" s="30"/>
      <c r="AA1092" s="30"/>
      <c r="AB1092" s="30"/>
      <c r="AC1092" s="30"/>
      <c r="AD1092" s="30"/>
      <c r="AE1092" s="30"/>
      <c r="AF1092" s="30"/>
      <c r="AG1092" s="30"/>
      <c r="AH1092" s="30"/>
      <c r="AI1092" s="30"/>
      <c r="AJ1092" s="30"/>
      <c r="AK1092" s="30"/>
      <c r="AL1092" s="30"/>
      <c r="AM1092" s="30"/>
      <c r="AN1092" s="30"/>
      <c r="AO1092" s="30"/>
      <c r="AP1092" s="30"/>
      <c r="AQ1092" s="30"/>
      <c r="AR1092" s="30"/>
      <c r="AS1092" s="30"/>
      <c r="AT1092" s="30"/>
      <c r="AU1092" s="30"/>
      <c r="AV1092" s="30"/>
      <c r="AW1092" s="30"/>
      <c r="AX1092" s="30"/>
    </row>
    <row r="1093" ht="15.75" customHeight="1">
      <c r="A1093" s="30"/>
      <c r="B1093" s="30"/>
      <c r="C1093" s="31"/>
      <c r="D1093" s="31"/>
      <c r="E1093" s="31"/>
      <c r="F1093" s="30"/>
      <c r="G1093" s="30"/>
      <c r="H1093" s="30"/>
      <c r="I1093" s="30"/>
      <c r="J1093" s="30"/>
      <c r="K1093" s="30"/>
      <c r="L1093" s="30"/>
      <c r="M1093" s="30"/>
      <c r="N1093" s="30"/>
      <c r="O1093" s="30"/>
      <c r="P1093" s="30"/>
      <c r="Q1093" s="30"/>
      <c r="R1093" s="30"/>
      <c r="S1093" s="30"/>
      <c r="T1093" s="30"/>
      <c r="U1093" s="30"/>
      <c r="V1093" s="30"/>
      <c r="W1093" s="30"/>
      <c r="X1093" s="30"/>
      <c r="Y1093" s="30"/>
      <c r="Z1093" s="30"/>
      <c r="AA1093" s="30"/>
      <c r="AB1093" s="30"/>
      <c r="AC1093" s="30"/>
      <c r="AD1093" s="30"/>
      <c r="AE1093" s="30"/>
      <c r="AF1093" s="30"/>
      <c r="AG1093" s="30"/>
      <c r="AH1093" s="30"/>
      <c r="AI1093" s="30"/>
      <c r="AJ1093" s="30"/>
      <c r="AK1093" s="30"/>
      <c r="AL1093" s="30"/>
      <c r="AM1093" s="30"/>
      <c r="AN1093" s="30"/>
      <c r="AO1093" s="30"/>
      <c r="AP1093" s="30"/>
      <c r="AQ1093" s="30"/>
      <c r="AR1093" s="30"/>
      <c r="AS1093" s="30"/>
      <c r="AT1093" s="30"/>
      <c r="AU1093" s="30"/>
      <c r="AV1093" s="30"/>
      <c r="AW1093" s="30"/>
      <c r="AX1093" s="30"/>
    </row>
    <row r="1094" ht="15.75" customHeight="1">
      <c r="A1094" s="30"/>
      <c r="B1094" s="30"/>
      <c r="C1094" s="31"/>
      <c r="D1094" s="31"/>
      <c r="E1094" s="31"/>
      <c r="F1094" s="30"/>
      <c r="G1094" s="30"/>
      <c r="H1094" s="30"/>
      <c r="I1094" s="30"/>
      <c r="J1094" s="30"/>
      <c r="K1094" s="30"/>
      <c r="L1094" s="30"/>
      <c r="M1094" s="30"/>
      <c r="N1094" s="30"/>
      <c r="O1094" s="30"/>
      <c r="P1094" s="30"/>
      <c r="Q1094" s="30"/>
      <c r="R1094" s="30"/>
      <c r="S1094" s="30"/>
      <c r="T1094" s="30"/>
      <c r="U1094" s="30"/>
      <c r="V1094" s="30"/>
      <c r="W1094" s="30"/>
      <c r="X1094" s="30"/>
      <c r="Y1094" s="30"/>
      <c r="Z1094" s="30"/>
      <c r="AA1094" s="30"/>
      <c r="AB1094" s="30"/>
      <c r="AC1094" s="30"/>
      <c r="AD1094" s="30"/>
      <c r="AE1094" s="30"/>
      <c r="AF1094" s="30"/>
      <c r="AG1094" s="30"/>
      <c r="AH1094" s="30"/>
      <c r="AI1094" s="30"/>
      <c r="AJ1094" s="30"/>
      <c r="AK1094" s="30"/>
      <c r="AL1094" s="30"/>
      <c r="AM1094" s="30"/>
      <c r="AN1094" s="30"/>
      <c r="AO1094" s="30"/>
      <c r="AP1094" s="30"/>
      <c r="AQ1094" s="30"/>
      <c r="AR1094" s="30"/>
      <c r="AS1094" s="30"/>
      <c r="AT1094" s="30"/>
      <c r="AU1094" s="30"/>
      <c r="AV1094" s="30"/>
      <c r="AW1094" s="30"/>
      <c r="AX1094" s="30"/>
    </row>
    <row r="1095" ht="15.75" customHeight="1">
      <c r="A1095" s="30"/>
      <c r="B1095" s="30"/>
      <c r="C1095" s="31"/>
      <c r="D1095" s="31"/>
      <c r="E1095" s="31"/>
      <c r="F1095" s="30"/>
      <c r="G1095" s="30"/>
      <c r="H1095" s="30"/>
      <c r="I1095" s="30"/>
      <c r="J1095" s="30"/>
      <c r="K1095" s="30"/>
      <c r="L1095" s="30"/>
      <c r="M1095" s="30"/>
      <c r="N1095" s="30"/>
      <c r="O1095" s="30"/>
      <c r="P1095" s="30"/>
      <c r="Q1095" s="30"/>
      <c r="R1095" s="30"/>
      <c r="S1095" s="30"/>
      <c r="T1095" s="30"/>
      <c r="U1095" s="30"/>
      <c r="V1095" s="30"/>
      <c r="W1095" s="30"/>
      <c r="X1095" s="30"/>
      <c r="Y1095" s="30"/>
      <c r="Z1095" s="30"/>
      <c r="AA1095" s="30"/>
      <c r="AB1095" s="30"/>
      <c r="AC1095" s="30"/>
      <c r="AD1095" s="30"/>
      <c r="AE1095" s="30"/>
      <c r="AF1095" s="30"/>
      <c r="AG1095" s="30"/>
      <c r="AH1095" s="30"/>
      <c r="AI1095" s="30"/>
      <c r="AJ1095" s="30"/>
      <c r="AK1095" s="30"/>
      <c r="AL1095" s="30"/>
      <c r="AM1095" s="30"/>
      <c r="AN1095" s="30"/>
      <c r="AO1095" s="30"/>
      <c r="AP1095" s="30"/>
      <c r="AQ1095" s="30"/>
      <c r="AR1095" s="30"/>
      <c r="AS1095" s="30"/>
      <c r="AT1095" s="30"/>
      <c r="AU1095" s="30"/>
      <c r="AV1095" s="30"/>
      <c r="AW1095" s="30"/>
      <c r="AX1095" s="30"/>
    </row>
    <row r="1096" ht="15.75" customHeight="1">
      <c r="A1096" s="30"/>
      <c r="B1096" s="30"/>
      <c r="C1096" s="31"/>
      <c r="D1096" s="31"/>
      <c r="E1096" s="31"/>
      <c r="F1096" s="30"/>
      <c r="G1096" s="30"/>
      <c r="H1096" s="30"/>
      <c r="I1096" s="30"/>
      <c r="J1096" s="30"/>
      <c r="K1096" s="30"/>
      <c r="L1096" s="30"/>
      <c r="M1096" s="30"/>
      <c r="N1096" s="30"/>
      <c r="O1096" s="30"/>
      <c r="P1096" s="30"/>
      <c r="Q1096" s="30"/>
      <c r="R1096" s="30"/>
      <c r="S1096" s="30"/>
      <c r="T1096" s="30"/>
      <c r="U1096" s="30"/>
      <c r="V1096" s="30"/>
      <c r="W1096" s="30"/>
      <c r="X1096" s="30"/>
      <c r="Y1096" s="30"/>
      <c r="Z1096" s="30"/>
      <c r="AA1096" s="30"/>
      <c r="AB1096" s="30"/>
      <c r="AC1096" s="30"/>
      <c r="AD1096" s="30"/>
      <c r="AE1096" s="30"/>
      <c r="AF1096" s="30"/>
      <c r="AG1096" s="30"/>
      <c r="AH1096" s="30"/>
      <c r="AI1096" s="30"/>
      <c r="AJ1096" s="30"/>
      <c r="AK1096" s="30"/>
      <c r="AL1096" s="30"/>
      <c r="AM1096" s="30"/>
      <c r="AN1096" s="30"/>
      <c r="AO1096" s="30"/>
      <c r="AP1096" s="30"/>
      <c r="AQ1096" s="30"/>
      <c r="AR1096" s="30"/>
      <c r="AS1096" s="30"/>
      <c r="AT1096" s="30"/>
      <c r="AU1096" s="30"/>
      <c r="AV1096" s="30"/>
      <c r="AW1096" s="30"/>
      <c r="AX1096" s="30"/>
    </row>
    <row r="1097" ht="15.75" customHeight="1">
      <c r="A1097" s="30"/>
      <c r="B1097" s="30"/>
      <c r="C1097" s="31"/>
      <c r="D1097" s="31"/>
      <c r="E1097" s="31"/>
      <c r="F1097" s="30"/>
      <c r="G1097" s="30"/>
      <c r="H1097" s="30"/>
      <c r="I1097" s="30"/>
      <c r="J1097" s="30"/>
      <c r="K1097" s="30"/>
      <c r="L1097" s="30"/>
      <c r="M1097" s="30"/>
      <c r="N1097" s="30"/>
      <c r="O1097" s="30"/>
      <c r="P1097" s="30"/>
      <c r="Q1097" s="30"/>
      <c r="R1097" s="30"/>
      <c r="S1097" s="30"/>
      <c r="T1097" s="30"/>
      <c r="U1097" s="30"/>
      <c r="V1097" s="30"/>
      <c r="W1097" s="30"/>
      <c r="X1097" s="30"/>
      <c r="Y1097" s="30"/>
      <c r="Z1097" s="30"/>
      <c r="AA1097" s="30"/>
      <c r="AB1097" s="30"/>
      <c r="AC1097" s="30"/>
      <c r="AD1097" s="30"/>
      <c r="AE1097" s="30"/>
      <c r="AF1097" s="30"/>
      <c r="AG1097" s="30"/>
      <c r="AH1097" s="30"/>
      <c r="AI1097" s="30"/>
      <c r="AJ1097" s="30"/>
      <c r="AK1097" s="30"/>
      <c r="AL1097" s="30"/>
      <c r="AM1097" s="30"/>
      <c r="AN1097" s="30"/>
      <c r="AO1097" s="30"/>
      <c r="AP1097" s="30"/>
      <c r="AQ1097" s="30"/>
      <c r="AR1097" s="30"/>
      <c r="AS1097" s="30"/>
      <c r="AT1097" s="30"/>
      <c r="AU1097" s="30"/>
      <c r="AV1097" s="30"/>
      <c r="AW1097" s="30"/>
      <c r="AX1097" s="30"/>
    </row>
    <row r="1098" ht="15.75" customHeight="1">
      <c r="A1098" s="30"/>
      <c r="B1098" s="30"/>
      <c r="C1098" s="31"/>
      <c r="D1098" s="31"/>
      <c r="E1098" s="31"/>
      <c r="F1098" s="30"/>
      <c r="G1098" s="30"/>
      <c r="H1098" s="30"/>
      <c r="I1098" s="30"/>
      <c r="J1098" s="30"/>
      <c r="K1098" s="30"/>
      <c r="L1098" s="30"/>
      <c r="M1098" s="30"/>
      <c r="N1098" s="30"/>
      <c r="O1098" s="30"/>
      <c r="P1098" s="30"/>
      <c r="Q1098" s="30"/>
      <c r="R1098" s="30"/>
      <c r="S1098" s="30"/>
      <c r="T1098" s="30"/>
      <c r="U1098" s="30"/>
      <c r="V1098" s="30"/>
      <c r="W1098" s="30"/>
      <c r="X1098" s="30"/>
      <c r="Y1098" s="30"/>
      <c r="Z1098" s="30"/>
      <c r="AA1098" s="30"/>
      <c r="AB1098" s="30"/>
      <c r="AC1098" s="30"/>
      <c r="AD1098" s="30"/>
      <c r="AE1098" s="30"/>
      <c r="AF1098" s="30"/>
      <c r="AG1098" s="30"/>
      <c r="AH1098" s="30"/>
      <c r="AI1098" s="30"/>
      <c r="AJ1098" s="30"/>
      <c r="AK1098" s="30"/>
      <c r="AL1098" s="30"/>
      <c r="AM1098" s="30"/>
      <c r="AN1098" s="30"/>
      <c r="AO1098" s="30"/>
      <c r="AP1098" s="30"/>
      <c r="AQ1098" s="30"/>
      <c r="AR1098" s="30"/>
      <c r="AS1098" s="30"/>
      <c r="AT1098" s="30"/>
      <c r="AU1098" s="30"/>
      <c r="AV1098" s="30"/>
      <c r="AW1098" s="30"/>
      <c r="AX1098" s="30"/>
    </row>
    <row r="1099" ht="15.75" customHeight="1">
      <c r="A1099" s="30"/>
      <c r="B1099" s="30"/>
      <c r="C1099" s="31"/>
      <c r="D1099" s="31"/>
      <c r="E1099" s="31"/>
      <c r="F1099" s="30"/>
      <c r="G1099" s="30"/>
      <c r="H1099" s="30"/>
      <c r="I1099" s="30"/>
      <c r="J1099" s="30"/>
      <c r="K1099" s="30"/>
      <c r="L1099" s="30"/>
      <c r="M1099" s="30"/>
      <c r="N1099" s="30"/>
      <c r="O1099" s="30"/>
      <c r="P1099" s="30"/>
      <c r="Q1099" s="30"/>
      <c r="R1099" s="30"/>
      <c r="S1099" s="30"/>
      <c r="T1099" s="30"/>
      <c r="U1099" s="30"/>
      <c r="V1099" s="30"/>
      <c r="W1099" s="30"/>
      <c r="X1099" s="30"/>
      <c r="Y1099" s="30"/>
      <c r="Z1099" s="30"/>
      <c r="AA1099" s="30"/>
      <c r="AB1099" s="30"/>
      <c r="AC1099" s="30"/>
      <c r="AD1099" s="30"/>
      <c r="AE1099" s="30"/>
      <c r="AF1099" s="30"/>
      <c r="AG1099" s="30"/>
      <c r="AH1099" s="30"/>
      <c r="AI1099" s="30"/>
      <c r="AJ1099" s="30"/>
      <c r="AK1099" s="30"/>
      <c r="AL1099" s="30"/>
      <c r="AM1099" s="30"/>
      <c r="AN1099" s="30"/>
      <c r="AO1099" s="30"/>
      <c r="AP1099" s="30"/>
      <c r="AQ1099" s="30"/>
      <c r="AR1099" s="30"/>
      <c r="AS1099" s="30"/>
      <c r="AT1099" s="30"/>
      <c r="AU1099" s="30"/>
      <c r="AV1099" s="30"/>
      <c r="AW1099" s="30"/>
      <c r="AX1099" s="30"/>
    </row>
    <row r="1100" ht="15.75" customHeight="1">
      <c r="A1100" s="30"/>
      <c r="B1100" s="30"/>
      <c r="C1100" s="31"/>
      <c r="D1100" s="31"/>
      <c r="E1100" s="31"/>
      <c r="F1100" s="30"/>
      <c r="G1100" s="30"/>
      <c r="H1100" s="30"/>
      <c r="I1100" s="30"/>
      <c r="J1100" s="30"/>
      <c r="K1100" s="30"/>
      <c r="L1100" s="30"/>
      <c r="M1100" s="30"/>
      <c r="N1100" s="30"/>
      <c r="O1100" s="30"/>
      <c r="P1100" s="30"/>
      <c r="Q1100" s="30"/>
      <c r="R1100" s="30"/>
      <c r="S1100" s="30"/>
      <c r="T1100" s="30"/>
      <c r="U1100" s="30"/>
      <c r="V1100" s="30"/>
      <c r="W1100" s="30"/>
      <c r="X1100" s="30"/>
      <c r="Y1100" s="30"/>
      <c r="Z1100" s="30"/>
      <c r="AA1100" s="30"/>
      <c r="AB1100" s="30"/>
      <c r="AC1100" s="30"/>
      <c r="AD1100" s="30"/>
      <c r="AE1100" s="30"/>
      <c r="AF1100" s="30"/>
      <c r="AG1100" s="30"/>
      <c r="AH1100" s="30"/>
      <c r="AI1100" s="30"/>
      <c r="AJ1100" s="30"/>
      <c r="AK1100" s="30"/>
      <c r="AL1100" s="30"/>
      <c r="AM1100" s="30"/>
      <c r="AN1100" s="30"/>
      <c r="AO1100" s="30"/>
      <c r="AP1100" s="30"/>
      <c r="AQ1100" s="30"/>
      <c r="AR1100" s="30"/>
      <c r="AS1100" s="30"/>
      <c r="AT1100" s="30"/>
      <c r="AU1100" s="30"/>
      <c r="AV1100" s="30"/>
      <c r="AW1100" s="30"/>
      <c r="AX1100" s="30"/>
    </row>
    <row r="1101" ht="15.75" customHeight="1">
      <c r="A1101" s="30"/>
      <c r="B1101" s="30"/>
      <c r="C1101" s="31"/>
      <c r="D1101" s="31"/>
      <c r="E1101" s="31"/>
      <c r="F1101" s="30"/>
      <c r="G1101" s="30"/>
      <c r="H1101" s="30"/>
      <c r="I1101" s="30"/>
      <c r="J1101" s="30"/>
      <c r="K1101" s="30"/>
      <c r="L1101" s="30"/>
      <c r="M1101" s="30"/>
      <c r="N1101" s="30"/>
      <c r="O1101" s="30"/>
      <c r="P1101" s="30"/>
      <c r="Q1101" s="30"/>
      <c r="R1101" s="30"/>
      <c r="S1101" s="30"/>
      <c r="T1101" s="30"/>
      <c r="U1101" s="30"/>
      <c r="V1101" s="30"/>
      <c r="W1101" s="30"/>
      <c r="X1101" s="30"/>
      <c r="Y1101" s="30"/>
      <c r="Z1101" s="30"/>
      <c r="AA1101" s="30"/>
      <c r="AB1101" s="30"/>
      <c r="AC1101" s="30"/>
      <c r="AD1101" s="30"/>
      <c r="AE1101" s="30"/>
      <c r="AF1101" s="30"/>
      <c r="AG1101" s="30"/>
      <c r="AH1101" s="30"/>
      <c r="AI1101" s="30"/>
      <c r="AJ1101" s="30"/>
      <c r="AK1101" s="30"/>
      <c r="AL1101" s="30"/>
      <c r="AM1101" s="30"/>
      <c r="AN1101" s="30"/>
      <c r="AO1101" s="30"/>
      <c r="AP1101" s="30"/>
      <c r="AQ1101" s="30"/>
      <c r="AR1101" s="30"/>
      <c r="AS1101" s="30"/>
      <c r="AT1101" s="30"/>
      <c r="AU1101" s="30"/>
      <c r="AV1101" s="30"/>
      <c r="AW1101" s="30"/>
      <c r="AX1101" s="30"/>
    </row>
    <row r="1102" ht="15.75" customHeight="1">
      <c r="A1102" s="30"/>
      <c r="B1102" s="30"/>
      <c r="C1102" s="31"/>
      <c r="D1102" s="31"/>
      <c r="E1102" s="31"/>
      <c r="F1102" s="30"/>
      <c r="G1102" s="30"/>
      <c r="H1102" s="30"/>
      <c r="I1102" s="30"/>
      <c r="J1102" s="30"/>
      <c r="K1102" s="30"/>
      <c r="L1102" s="30"/>
      <c r="M1102" s="30"/>
      <c r="N1102" s="30"/>
      <c r="O1102" s="30"/>
      <c r="P1102" s="30"/>
      <c r="Q1102" s="30"/>
      <c r="R1102" s="30"/>
      <c r="S1102" s="30"/>
      <c r="T1102" s="30"/>
      <c r="U1102" s="30"/>
      <c r="V1102" s="30"/>
      <c r="W1102" s="30"/>
      <c r="X1102" s="30"/>
      <c r="Y1102" s="30"/>
      <c r="Z1102" s="30"/>
      <c r="AA1102" s="30"/>
      <c r="AB1102" s="30"/>
      <c r="AC1102" s="30"/>
      <c r="AD1102" s="30"/>
      <c r="AE1102" s="30"/>
      <c r="AF1102" s="30"/>
      <c r="AG1102" s="30"/>
      <c r="AH1102" s="30"/>
      <c r="AI1102" s="30"/>
      <c r="AJ1102" s="30"/>
      <c r="AK1102" s="30"/>
      <c r="AL1102" s="30"/>
      <c r="AM1102" s="30"/>
      <c r="AN1102" s="30"/>
      <c r="AO1102" s="30"/>
      <c r="AP1102" s="30"/>
      <c r="AQ1102" s="30"/>
      <c r="AR1102" s="30"/>
      <c r="AS1102" s="30"/>
      <c r="AT1102" s="30"/>
      <c r="AU1102" s="30"/>
      <c r="AV1102" s="30"/>
      <c r="AW1102" s="30"/>
      <c r="AX1102" s="30"/>
    </row>
    <row r="1103" ht="15.75" customHeight="1">
      <c r="A1103" s="30"/>
      <c r="B1103" s="30"/>
      <c r="C1103" s="31"/>
      <c r="D1103" s="31"/>
      <c r="E1103" s="31"/>
      <c r="F1103" s="30"/>
      <c r="G1103" s="30"/>
      <c r="H1103" s="30"/>
      <c r="I1103" s="30"/>
      <c r="J1103" s="30"/>
      <c r="K1103" s="30"/>
      <c r="L1103" s="30"/>
      <c r="M1103" s="30"/>
      <c r="N1103" s="30"/>
      <c r="O1103" s="30"/>
      <c r="P1103" s="30"/>
      <c r="Q1103" s="30"/>
      <c r="R1103" s="30"/>
      <c r="S1103" s="30"/>
      <c r="T1103" s="30"/>
      <c r="U1103" s="30"/>
      <c r="V1103" s="30"/>
      <c r="W1103" s="30"/>
      <c r="X1103" s="30"/>
      <c r="Y1103" s="30"/>
      <c r="Z1103" s="30"/>
      <c r="AA1103" s="30"/>
      <c r="AB1103" s="30"/>
      <c r="AC1103" s="30"/>
      <c r="AD1103" s="30"/>
      <c r="AE1103" s="30"/>
      <c r="AF1103" s="30"/>
      <c r="AG1103" s="30"/>
      <c r="AH1103" s="30"/>
      <c r="AI1103" s="30"/>
      <c r="AJ1103" s="30"/>
      <c r="AK1103" s="30"/>
      <c r="AL1103" s="30"/>
      <c r="AM1103" s="30"/>
      <c r="AN1103" s="30"/>
      <c r="AO1103" s="30"/>
      <c r="AP1103" s="30"/>
      <c r="AQ1103" s="30"/>
      <c r="AR1103" s="30"/>
      <c r="AS1103" s="30"/>
      <c r="AT1103" s="30"/>
      <c r="AU1103" s="30"/>
      <c r="AV1103" s="30"/>
      <c r="AW1103" s="30"/>
      <c r="AX1103" s="30"/>
    </row>
    <row r="1104" ht="15.75" customHeight="1">
      <c r="A1104" s="30"/>
      <c r="B1104" s="30"/>
      <c r="C1104" s="31"/>
      <c r="D1104" s="31"/>
      <c r="E1104" s="31"/>
      <c r="F1104" s="30"/>
      <c r="G1104" s="30"/>
      <c r="H1104" s="30"/>
      <c r="I1104" s="30"/>
      <c r="J1104" s="30"/>
      <c r="K1104" s="30"/>
      <c r="L1104" s="30"/>
      <c r="M1104" s="30"/>
      <c r="N1104" s="30"/>
      <c r="O1104" s="30"/>
      <c r="P1104" s="30"/>
      <c r="Q1104" s="30"/>
      <c r="R1104" s="30"/>
      <c r="S1104" s="30"/>
      <c r="T1104" s="30"/>
      <c r="U1104" s="30"/>
      <c r="V1104" s="30"/>
      <c r="W1104" s="30"/>
      <c r="X1104" s="30"/>
      <c r="Y1104" s="30"/>
      <c r="Z1104" s="30"/>
      <c r="AA1104" s="30"/>
      <c r="AB1104" s="30"/>
      <c r="AC1104" s="30"/>
      <c r="AD1104" s="30"/>
      <c r="AE1104" s="30"/>
      <c r="AF1104" s="30"/>
      <c r="AG1104" s="30"/>
      <c r="AH1104" s="30"/>
      <c r="AI1104" s="30"/>
      <c r="AJ1104" s="30"/>
      <c r="AK1104" s="30"/>
      <c r="AL1104" s="30"/>
      <c r="AM1104" s="30"/>
      <c r="AN1104" s="30"/>
      <c r="AO1104" s="30"/>
      <c r="AP1104" s="30"/>
      <c r="AQ1104" s="30"/>
      <c r="AR1104" s="30"/>
      <c r="AS1104" s="30"/>
      <c r="AT1104" s="30"/>
      <c r="AU1104" s="30"/>
      <c r="AV1104" s="30"/>
      <c r="AW1104" s="30"/>
      <c r="AX1104" s="30"/>
    </row>
    <row r="1105" ht="15.75" customHeight="1">
      <c r="A1105" s="30"/>
      <c r="B1105" s="30"/>
      <c r="C1105" s="31"/>
      <c r="D1105" s="31"/>
      <c r="E1105" s="31"/>
      <c r="F1105" s="30"/>
      <c r="G1105" s="30"/>
      <c r="H1105" s="30"/>
      <c r="I1105" s="30"/>
      <c r="J1105" s="30"/>
      <c r="K1105" s="30"/>
      <c r="L1105" s="30"/>
      <c r="M1105" s="30"/>
      <c r="N1105" s="30"/>
      <c r="O1105" s="30"/>
      <c r="P1105" s="30"/>
      <c r="Q1105" s="30"/>
      <c r="R1105" s="30"/>
      <c r="S1105" s="30"/>
      <c r="T1105" s="30"/>
      <c r="U1105" s="30"/>
      <c r="V1105" s="30"/>
      <c r="W1105" s="30"/>
      <c r="X1105" s="30"/>
      <c r="Y1105" s="30"/>
      <c r="Z1105" s="30"/>
      <c r="AA1105" s="30"/>
      <c r="AB1105" s="30"/>
      <c r="AC1105" s="30"/>
      <c r="AD1105" s="30"/>
      <c r="AE1105" s="30"/>
      <c r="AF1105" s="30"/>
      <c r="AG1105" s="30"/>
      <c r="AH1105" s="30"/>
      <c r="AI1105" s="30"/>
      <c r="AJ1105" s="30"/>
      <c r="AK1105" s="30"/>
      <c r="AL1105" s="30"/>
      <c r="AM1105" s="30"/>
      <c r="AN1105" s="30"/>
      <c r="AO1105" s="30"/>
      <c r="AP1105" s="30"/>
      <c r="AQ1105" s="30"/>
      <c r="AR1105" s="30"/>
      <c r="AS1105" s="30"/>
      <c r="AT1105" s="30"/>
      <c r="AU1105" s="30"/>
      <c r="AV1105" s="30"/>
      <c r="AW1105" s="30"/>
      <c r="AX1105" s="30"/>
    </row>
    <row r="1106" ht="15.75" customHeight="1">
      <c r="A1106" s="30"/>
      <c r="B1106" s="30"/>
      <c r="C1106" s="31"/>
      <c r="D1106" s="31"/>
      <c r="E1106" s="31"/>
      <c r="F1106" s="30"/>
      <c r="G1106" s="30"/>
      <c r="H1106" s="30"/>
      <c r="I1106" s="30"/>
      <c r="J1106" s="30"/>
      <c r="K1106" s="30"/>
      <c r="L1106" s="30"/>
      <c r="M1106" s="30"/>
      <c r="N1106" s="30"/>
      <c r="O1106" s="30"/>
      <c r="P1106" s="30"/>
      <c r="Q1106" s="30"/>
      <c r="R1106" s="30"/>
      <c r="S1106" s="30"/>
      <c r="T1106" s="30"/>
      <c r="U1106" s="30"/>
      <c r="V1106" s="30"/>
      <c r="W1106" s="30"/>
      <c r="X1106" s="30"/>
      <c r="Y1106" s="30"/>
      <c r="Z1106" s="30"/>
      <c r="AA1106" s="30"/>
      <c r="AB1106" s="30"/>
      <c r="AC1106" s="30"/>
      <c r="AD1106" s="30"/>
      <c r="AE1106" s="30"/>
      <c r="AF1106" s="30"/>
      <c r="AG1106" s="30"/>
      <c r="AH1106" s="30"/>
      <c r="AI1106" s="30"/>
      <c r="AJ1106" s="30"/>
      <c r="AK1106" s="30"/>
      <c r="AL1106" s="30"/>
      <c r="AM1106" s="30"/>
      <c r="AN1106" s="30"/>
      <c r="AO1106" s="30"/>
      <c r="AP1106" s="30"/>
      <c r="AQ1106" s="30"/>
      <c r="AR1106" s="30"/>
      <c r="AS1106" s="30"/>
      <c r="AT1106" s="30"/>
      <c r="AU1106" s="30"/>
      <c r="AV1106" s="30"/>
      <c r="AW1106" s="30"/>
      <c r="AX1106" s="30"/>
    </row>
    <row r="1107" ht="15.75" customHeight="1">
      <c r="A1107" s="30"/>
      <c r="B1107" s="30"/>
      <c r="C1107" s="31"/>
      <c r="D1107" s="31"/>
      <c r="E1107" s="31"/>
      <c r="F1107" s="30"/>
      <c r="G1107" s="30"/>
      <c r="H1107" s="30"/>
      <c r="I1107" s="30"/>
      <c r="J1107" s="30"/>
      <c r="K1107" s="30"/>
      <c r="L1107" s="30"/>
      <c r="M1107" s="30"/>
      <c r="N1107" s="30"/>
      <c r="O1107" s="30"/>
      <c r="P1107" s="30"/>
      <c r="Q1107" s="30"/>
      <c r="R1107" s="30"/>
      <c r="S1107" s="30"/>
      <c r="T1107" s="30"/>
      <c r="U1107" s="30"/>
      <c r="V1107" s="30"/>
      <c r="W1107" s="30"/>
      <c r="X1107" s="30"/>
      <c r="Y1107" s="30"/>
      <c r="Z1107" s="30"/>
      <c r="AA1107" s="30"/>
      <c r="AB1107" s="30"/>
      <c r="AC1107" s="30"/>
      <c r="AD1107" s="30"/>
      <c r="AE1107" s="30"/>
      <c r="AF1107" s="30"/>
      <c r="AG1107" s="30"/>
      <c r="AH1107" s="30"/>
      <c r="AI1107" s="30"/>
      <c r="AJ1107" s="30"/>
      <c r="AK1107" s="30"/>
      <c r="AL1107" s="30"/>
      <c r="AM1107" s="30"/>
      <c r="AN1107" s="30"/>
      <c r="AO1107" s="30"/>
      <c r="AP1107" s="30"/>
      <c r="AQ1107" s="30"/>
      <c r="AR1107" s="30"/>
      <c r="AS1107" s="30"/>
      <c r="AT1107" s="30"/>
      <c r="AU1107" s="30"/>
      <c r="AV1107" s="30"/>
      <c r="AW1107" s="30"/>
      <c r="AX1107" s="30"/>
    </row>
    <row r="1108" ht="15.75" customHeight="1">
      <c r="A1108" s="30"/>
      <c r="B1108" s="30"/>
      <c r="C1108" s="31"/>
      <c r="D1108" s="31"/>
      <c r="E1108" s="31"/>
      <c r="F1108" s="30"/>
      <c r="G1108" s="30"/>
      <c r="H1108" s="30"/>
      <c r="I1108" s="30"/>
      <c r="J1108" s="30"/>
      <c r="K1108" s="30"/>
      <c r="L1108" s="30"/>
      <c r="M1108" s="30"/>
      <c r="N1108" s="30"/>
      <c r="O1108" s="30"/>
      <c r="P1108" s="30"/>
      <c r="Q1108" s="30"/>
      <c r="R1108" s="30"/>
      <c r="S1108" s="30"/>
      <c r="T1108" s="30"/>
      <c r="U1108" s="30"/>
      <c r="V1108" s="30"/>
      <c r="W1108" s="30"/>
      <c r="X1108" s="30"/>
      <c r="Y1108" s="30"/>
      <c r="Z1108" s="30"/>
      <c r="AA1108" s="30"/>
      <c r="AB1108" s="30"/>
      <c r="AC1108" s="30"/>
      <c r="AD1108" s="30"/>
      <c r="AE1108" s="30"/>
      <c r="AF1108" s="30"/>
      <c r="AG1108" s="30"/>
      <c r="AH1108" s="30"/>
      <c r="AI1108" s="30"/>
      <c r="AJ1108" s="30"/>
      <c r="AK1108" s="30"/>
      <c r="AL1108" s="30"/>
      <c r="AM1108" s="30"/>
      <c r="AN1108" s="30"/>
      <c r="AO1108" s="30"/>
      <c r="AP1108" s="30"/>
      <c r="AQ1108" s="30"/>
      <c r="AR1108" s="30"/>
      <c r="AS1108" s="30"/>
      <c r="AT1108" s="30"/>
      <c r="AU1108" s="30"/>
      <c r="AV1108" s="30"/>
      <c r="AW1108" s="30"/>
      <c r="AX1108" s="30"/>
    </row>
    <row r="1109" ht="15.75" customHeight="1">
      <c r="A1109" s="30"/>
      <c r="B1109" s="30"/>
      <c r="C1109" s="31"/>
      <c r="D1109" s="31"/>
      <c r="E1109" s="31"/>
      <c r="F1109" s="30"/>
      <c r="G1109" s="30"/>
      <c r="H1109" s="30"/>
      <c r="I1109" s="30"/>
      <c r="J1109" s="30"/>
      <c r="K1109" s="30"/>
      <c r="L1109" s="30"/>
      <c r="M1109" s="30"/>
      <c r="N1109" s="30"/>
      <c r="O1109" s="30"/>
      <c r="P1109" s="30"/>
      <c r="Q1109" s="30"/>
      <c r="R1109" s="30"/>
      <c r="S1109" s="30"/>
      <c r="T1109" s="30"/>
      <c r="U1109" s="30"/>
      <c r="V1109" s="30"/>
      <c r="W1109" s="30"/>
      <c r="X1109" s="30"/>
      <c r="Y1109" s="30"/>
      <c r="Z1109" s="30"/>
      <c r="AA1109" s="30"/>
      <c r="AB1109" s="30"/>
      <c r="AC1109" s="30"/>
      <c r="AD1109" s="30"/>
      <c r="AE1109" s="30"/>
      <c r="AF1109" s="30"/>
      <c r="AG1109" s="30"/>
      <c r="AH1109" s="30"/>
      <c r="AI1109" s="30"/>
      <c r="AJ1109" s="30"/>
      <c r="AK1109" s="30"/>
      <c r="AL1109" s="30"/>
      <c r="AM1109" s="30"/>
      <c r="AN1109" s="30"/>
      <c r="AO1109" s="30"/>
      <c r="AP1109" s="30"/>
      <c r="AQ1109" s="30"/>
      <c r="AR1109" s="30"/>
      <c r="AS1109" s="30"/>
      <c r="AT1109" s="30"/>
      <c r="AU1109" s="30"/>
      <c r="AV1109" s="30"/>
      <c r="AW1109" s="30"/>
      <c r="AX1109" s="30"/>
    </row>
    <row r="1110" ht="15.75" customHeight="1">
      <c r="A1110" s="30"/>
      <c r="B1110" s="30"/>
      <c r="C1110" s="31"/>
      <c r="D1110" s="31"/>
      <c r="E1110" s="31"/>
      <c r="F1110" s="30"/>
      <c r="G1110" s="30"/>
      <c r="H1110" s="30"/>
      <c r="I1110" s="30"/>
      <c r="J1110" s="30"/>
      <c r="K1110" s="30"/>
      <c r="L1110" s="30"/>
      <c r="M1110" s="30"/>
      <c r="N1110" s="30"/>
      <c r="O1110" s="30"/>
      <c r="P1110" s="30"/>
      <c r="Q1110" s="30"/>
      <c r="R1110" s="30"/>
      <c r="S1110" s="30"/>
      <c r="T1110" s="30"/>
      <c r="U1110" s="30"/>
      <c r="V1110" s="30"/>
      <c r="W1110" s="30"/>
      <c r="X1110" s="30"/>
      <c r="Y1110" s="30"/>
      <c r="Z1110" s="30"/>
      <c r="AA1110" s="30"/>
      <c r="AB1110" s="30"/>
      <c r="AC1110" s="30"/>
      <c r="AD1110" s="30"/>
      <c r="AE1110" s="30"/>
      <c r="AF1110" s="30"/>
      <c r="AG1110" s="30"/>
      <c r="AH1110" s="30"/>
      <c r="AI1110" s="30"/>
      <c r="AJ1110" s="30"/>
      <c r="AK1110" s="30"/>
      <c r="AL1110" s="30"/>
      <c r="AM1110" s="30"/>
      <c r="AN1110" s="30"/>
      <c r="AO1110" s="30"/>
      <c r="AP1110" s="30"/>
      <c r="AQ1110" s="30"/>
      <c r="AR1110" s="30"/>
      <c r="AS1110" s="30"/>
      <c r="AT1110" s="30"/>
      <c r="AU1110" s="30"/>
      <c r="AV1110" s="30"/>
      <c r="AW1110" s="30"/>
      <c r="AX1110" s="30"/>
    </row>
    <row r="1111" ht="15.75" customHeight="1">
      <c r="A1111" s="30"/>
      <c r="B1111" s="30"/>
      <c r="C1111" s="31"/>
      <c r="D1111" s="31"/>
      <c r="E1111" s="31"/>
      <c r="F1111" s="30"/>
      <c r="G1111" s="30"/>
      <c r="H1111" s="30"/>
      <c r="I1111" s="30"/>
      <c r="J1111" s="30"/>
      <c r="K1111" s="30"/>
      <c r="L1111" s="30"/>
      <c r="M1111" s="30"/>
      <c r="N1111" s="30"/>
      <c r="O1111" s="30"/>
      <c r="P1111" s="30"/>
      <c r="Q1111" s="30"/>
      <c r="R1111" s="30"/>
      <c r="S1111" s="30"/>
      <c r="T1111" s="30"/>
      <c r="U1111" s="30"/>
      <c r="V1111" s="30"/>
      <c r="W1111" s="30"/>
      <c r="X1111" s="30"/>
      <c r="Y1111" s="30"/>
      <c r="Z1111" s="30"/>
      <c r="AA1111" s="30"/>
      <c r="AB1111" s="30"/>
      <c r="AC1111" s="30"/>
      <c r="AD1111" s="30"/>
      <c r="AE1111" s="30"/>
      <c r="AF1111" s="30"/>
      <c r="AG1111" s="30"/>
      <c r="AH1111" s="30"/>
      <c r="AI1111" s="30"/>
      <c r="AJ1111" s="30"/>
      <c r="AK1111" s="30"/>
      <c r="AL1111" s="30"/>
      <c r="AM1111" s="30"/>
      <c r="AN1111" s="30"/>
      <c r="AO1111" s="30"/>
      <c r="AP1111" s="30"/>
      <c r="AQ1111" s="30"/>
      <c r="AR1111" s="30"/>
      <c r="AS1111" s="30"/>
      <c r="AT1111" s="30"/>
      <c r="AU1111" s="30"/>
      <c r="AV1111" s="30"/>
      <c r="AW1111" s="30"/>
      <c r="AX1111" s="30"/>
    </row>
    <row r="1112" ht="15.75" customHeight="1">
      <c r="A1112" s="30"/>
      <c r="B1112" s="30"/>
      <c r="C1112" s="31"/>
      <c r="D1112" s="31"/>
      <c r="E1112" s="31"/>
      <c r="F1112" s="30"/>
      <c r="G1112" s="30"/>
      <c r="H1112" s="30"/>
      <c r="I1112" s="30"/>
      <c r="J1112" s="30"/>
      <c r="K1112" s="30"/>
      <c r="L1112" s="30"/>
      <c r="M1112" s="30"/>
      <c r="N1112" s="30"/>
      <c r="O1112" s="30"/>
      <c r="P1112" s="30"/>
      <c r="Q1112" s="30"/>
      <c r="R1112" s="30"/>
      <c r="S1112" s="30"/>
      <c r="T1112" s="30"/>
      <c r="U1112" s="30"/>
      <c r="V1112" s="30"/>
      <c r="W1112" s="30"/>
      <c r="X1112" s="30"/>
      <c r="Y1112" s="30"/>
      <c r="Z1112" s="30"/>
      <c r="AA1112" s="30"/>
      <c r="AB1112" s="30"/>
      <c r="AC1112" s="30"/>
      <c r="AD1112" s="30"/>
      <c r="AE1112" s="30"/>
      <c r="AF1112" s="30"/>
      <c r="AG1112" s="30"/>
      <c r="AH1112" s="30"/>
      <c r="AI1112" s="30"/>
      <c r="AJ1112" s="30"/>
      <c r="AK1112" s="30"/>
      <c r="AL1112" s="30"/>
      <c r="AM1112" s="30"/>
      <c r="AN1112" s="30"/>
      <c r="AO1112" s="30"/>
      <c r="AP1112" s="30"/>
      <c r="AQ1112" s="30"/>
      <c r="AR1112" s="30"/>
      <c r="AS1112" s="30"/>
      <c r="AT1112" s="30"/>
      <c r="AU1112" s="30"/>
      <c r="AV1112" s="30"/>
      <c r="AW1112" s="30"/>
      <c r="AX1112" s="30"/>
    </row>
    <row r="1113" ht="15.75" customHeight="1">
      <c r="A1113" s="30"/>
      <c r="B1113" s="30"/>
      <c r="C1113" s="31"/>
      <c r="D1113" s="31"/>
      <c r="E1113" s="31"/>
      <c r="F1113" s="30"/>
      <c r="G1113" s="30"/>
      <c r="H1113" s="30"/>
      <c r="I1113" s="30"/>
      <c r="J1113" s="30"/>
      <c r="K1113" s="30"/>
      <c r="L1113" s="30"/>
      <c r="M1113" s="30"/>
      <c r="N1113" s="30"/>
      <c r="O1113" s="30"/>
      <c r="P1113" s="30"/>
      <c r="Q1113" s="30"/>
      <c r="R1113" s="30"/>
      <c r="S1113" s="30"/>
      <c r="T1113" s="30"/>
      <c r="U1113" s="30"/>
      <c r="V1113" s="30"/>
      <c r="W1113" s="30"/>
      <c r="X1113" s="30"/>
      <c r="Y1113" s="30"/>
      <c r="Z1113" s="30"/>
      <c r="AA1113" s="30"/>
      <c r="AB1113" s="30"/>
      <c r="AC1113" s="30"/>
      <c r="AD1113" s="30"/>
      <c r="AE1113" s="30"/>
      <c r="AF1113" s="30"/>
      <c r="AG1113" s="30"/>
      <c r="AH1113" s="30"/>
      <c r="AI1113" s="30"/>
      <c r="AJ1113" s="30"/>
      <c r="AK1113" s="30"/>
      <c r="AL1113" s="30"/>
      <c r="AM1113" s="30"/>
      <c r="AN1113" s="30"/>
      <c r="AO1113" s="30"/>
      <c r="AP1113" s="30"/>
      <c r="AQ1113" s="30"/>
      <c r="AR1113" s="30"/>
      <c r="AS1113" s="30"/>
      <c r="AT1113" s="30"/>
      <c r="AU1113" s="30"/>
      <c r="AV1113" s="30"/>
      <c r="AW1113" s="30"/>
      <c r="AX1113" s="30"/>
    </row>
    <row r="1114" ht="15.75" customHeight="1">
      <c r="A1114" s="30"/>
      <c r="B1114" s="30"/>
      <c r="C1114" s="31"/>
      <c r="D1114" s="31"/>
      <c r="E1114" s="31"/>
      <c r="F1114" s="30"/>
      <c r="G1114" s="30"/>
      <c r="H1114" s="30"/>
      <c r="I1114" s="30"/>
      <c r="J1114" s="30"/>
      <c r="K1114" s="30"/>
      <c r="L1114" s="30"/>
      <c r="M1114" s="30"/>
      <c r="N1114" s="30"/>
      <c r="O1114" s="30"/>
      <c r="P1114" s="30"/>
      <c r="Q1114" s="30"/>
      <c r="R1114" s="30"/>
      <c r="S1114" s="30"/>
      <c r="T1114" s="30"/>
      <c r="U1114" s="30"/>
      <c r="V1114" s="30"/>
      <c r="W1114" s="30"/>
      <c r="X1114" s="30"/>
      <c r="Y1114" s="30"/>
      <c r="Z1114" s="30"/>
      <c r="AA1114" s="30"/>
      <c r="AB1114" s="30"/>
      <c r="AC1114" s="30"/>
      <c r="AD1114" s="30"/>
      <c r="AE1114" s="30"/>
      <c r="AF1114" s="30"/>
      <c r="AG1114" s="30"/>
      <c r="AH1114" s="30"/>
      <c r="AI1114" s="30"/>
      <c r="AJ1114" s="30"/>
      <c r="AK1114" s="30"/>
      <c r="AL1114" s="30"/>
      <c r="AM1114" s="30"/>
      <c r="AN1114" s="30"/>
      <c r="AO1114" s="30"/>
      <c r="AP1114" s="30"/>
      <c r="AQ1114" s="30"/>
      <c r="AR1114" s="30"/>
      <c r="AS1114" s="30"/>
      <c r="AT1114" s="30"/>
      <c r="AU1114" s="30"/>
      <c r="AV1114" s="30"/>
      <c r="AW1114" s="30"/>
      <c r="AX1114" s="30"/>
    </row>
    <row r="1115" ht="15.75" customHeight="1">
      <c r="A1115" s="30"/>
      <c r="B1115" s="30"/>
      <c r="C1115" s="31"/>
      <c r="D1115" s="31"/>
      <c r="E1115" s="31"/>
      <c r="F1115" s="30"/>
      <c r="G1115" s="30"/>
      <c r="H1115" s="30"/>
      <c r="I1115" s="30"/>
      <c r="J1115" s="30"/>
      <c r="K1115" s="30"/>
      <c r="L1115" s="30"/>
      <c r="M1115" s="30"/>
      <c r="N1115" s="30"/>
      <c r="O1115" s="30"/>
      <c r="P1115" s="30"/>
      <c r="Q1115" s="30"/>
      <c r="R1115" s="30"/>
      <c r="S1115" s="30"/>
      <c r="T1115" s="30"/>
      <c r="U1115" s="30"/>
      <c r="V1115" s="30"/>
      <c r="W1115" s="30"/>
      <c r="X1115" s="30"/>
      <c r="Y1115" s="30"/>
      <c r="Z1115" s="30"/>
      <c r="AA1115" s="30"/>
      <c r="AB1115" s="30"/>
      <c r="AC1115" s="30"/>
      <c r="AD1115" s="30"/>
      <c r="AE1115" s="30"/>
      <c r="AF1115" s="30"/>
      <c r="AG1115" s="30"/>
      <c r="AH1115" s="30"/>
      <c r="AI1115" s="30"/>
      <c r="AJ1115" s="30"/>
      <c r="AK1115" s="30"/>
      <c r="AL1115" s="30"/>
      <c r="AM1115" s="30"/>
      <c r="AN1115" s="30"/>
      <c r="AO1115" s="30"/>
      <c r="AP1115" s="30"/>
      <c r="AQ1115" s="30"/>
      <c r="AR1115" s="30"/>
      <c r="AS1115" s="30"/>
      <c r="AT1115" s="30"/>
      <c r="AU1115" s="30"/>
      <c r="AV1115" s="30"/>
      <c r="AW1115" s="30"/>
      <c r="AX1115" s="30"/>
    </row>
    <row r="1116" ht="15.75" customHeight="1">
      <c r="A1116" s="30"/>
      <c r="B1116" s="30"/>
      <c r="C1116" s="31"/>
      <c r="D1116" s="31"/>
      <c r="E1116" s="31"/>
      <c r="F1116" s="30"/>
      <c r="G1116" s="30"/>
      <c r="H1116" s="30"/>
      <c r="I1116" s="30"/>
      <c r="J1116" s="30"/>
      <c r="K1116" s="30"/>
      <c r="L1116" s="30"/>
      <c r="M1116" s="30"/>
      <c r="N1116" s="30"/>
      <c r="O1116" s="30"/>
      <c r="P1116" s="30"/>
      <c r="Q1116" s="30"/>
      <c r="R1116" s="30"/>
      <c r="S1116" s="30"/>
      <c r="T1116" s="30"/>
      <c r="U1116" s="30"/>
      <c r="V1116" s="30"/>
      <c r="W1116" s="30"/>
      <c r="X1116" s="30"/>
      <c r="Y1116" s="30"/>
      <c r="Z1116" s="30"/>
      <c r="AA1116" s="30"/>
      <c r="AB1116" s="30"/>
      <c r="AC1116" s="30"/>
      <c r="AD1116" s="30"/>
      <c r="AE1116" s="30"/>
      <c r="AF1116" s="30"/>
      <c r="AG1116" s="30"/>
      <c r="AH1116" s="30"/>
      <c r="AI1116" s="30"/>
      <c r="AJ1116" s="30"/>
      <c r="AK1116" s="30"/>
      <c r="AL1116" s="30"/>
      <c r="AM1116" s="30"/>
      <c r="AN1116" s="30"/>
      <c r="AO1116" s="30"/>
      <c r="AP1116" s="30"/>
      <c r="AQ1116" s="30"/>
      <c r="AR1116" s="30"/>
      <c r="AS1116" s="30"/>
      <c r="AT1116" s="30"/>
      <c r="AU1116" s="30"/>
      <c r="AV1116" s="30"/>
      <c r="AW1116" s="30"/>
      <c r="AX1116" s="30"/>
    </row>
    <row r="1117" ht="15.75" customHeight="1">
      <c r="A1117" s="30"/>
      <c r="B1117" s="30"/>
      <c r="C1117" s="31"/>
      <c r="D1117" s="31"/>
      <c r="E1117" s="31"/>
      <c r="F1117" s="30"/>
      <c r="G1117" s="30"/>
      <c r="H1117" s="30"/>
      <c r="I1117" s="30"/>
      <c r="J1117" s="30"/>
      <c r="K1117" s="30"/>
      <c r="L1117" s="30"/>
      <c r="M1117" s="30"/>
      <c r="N1117" s="30"/>
      <c r="O1117" s="30"/>
      <c r="P1117" s="30"/>
      <c r="Q1117" s="30"/>
      <c r="R1117" s="30"/>
      <c r="S1117" s="30"/>
      <c r="T1117" s="30"/>
      <c r="U1117" s="30"/>
      <c r="V1117" s="30"/>
      <c r="W1117" s="30"/>
      <c r="X1117" s="30"/>
      <c r="Y1117" s="30"/>
      <c r="Z1117" s="30"/>
      <c r="AA1117" s="30"/>
      <c r="AB1117" s="30"/>
      <c r="AC1117" s="30"/>
      <c r="AD1117" s="30"/>
      <c r="AE1117" s="30"/>
      <c r="AF1117" s="30"/>
      <c r="AG1117" s="30"/>
      <c r="AH1117" s="30"/>
      <c r="AI1117" s="30"/>
      <c r="AJ1117" s="30"/>
      <c r="AK1117" s="30"/>
      <c r="AL1117" s="30"/>
      <c r="AM1117" s="30"/>
      <c r="AN1117" s="30"/>
      <c r="AO1117" s="30"/>
      <c r="AP1117" s="30"/>
      <c r="AQ1117" s="30"/>
      <c r="AR1117" s="30"/>
      <c r="AS1117" s="30"/>
      <c r="AT1117" s="30"/>
      <c r="AU1117" s="30"/>
      <c r="AV1117" s="30"/>
      <c r="AW1117" s="30"/>
      <c r="AX1117" s="30"/>
    </row>
    <row r="1118" ht="15.75" customHeight="1">
      <c r="A1118" s="30"/>
      <c r="B1118" s="30"/>
      <c r="C1118" s="31"/>
      <c r="D1118" s="31"/>
      <c r="E1118" s="31"/>
      <c r="F1118" s="30"/>
      <c r="G1118" s="30"/>
      <c r="H1118" s="30"/>
      <c r="I1118" s="30"/>
      <c r="J1118" s="30"/>
      <c r="K1118" s="30"/>
      <c r="L1118" s="30"/>
      <c r="M1118" s="30"/>
      <c r="N1118" s="30"/>
      <c r="O1118" s="30"/>
      <c r="P1118" s="30"/>
      <c r="Q1118" s="30"/>
      <c r="R1118" s="30"/>
      <c r="S1118" s="30"/>
      <c r="T1118" s="30"/>
      <c r="U1118" s="30"/>
      <c r="V1118" s="30"/>
      <c r="W1118" s="30"/>
      <c r="X1118" s="30"/>
      <c r="Y1118" s="30"/>
      <c r="Z1118" s="30"/>
      <c r="AA1118" s="30"/>
      <c r="AB1118" s="30"/>
      <c r="AC1118" s="30"/>
      <c r="AD1118" s="30"/>
      <c r="AE1118" s="30"/>
      <c r="AF1118" s="30"/>
      <c r="AG1118" s="30"/>
      <c r="AH1118" s="30"/>
      <c r="AI1118" s="30"/>
      <c r="AJ1118" s="30"/>
      <c r="AK1118" s="30"/>
      <c r="AL1118" s="30"/>
      <c r="AM1118" s="30"/>
      <c r="AN1118" s="30"/>
      <c r="AO1118" s="30"/>
      <c r="AP1118" s="30"/>
      <c r="AQ1118" s="30"/>
      <c r="AR1118" s="30"/>
      <c r="AS1118" s="30"/>
      <c r="AT1118" s="30"/>
      <c r="AU1118" s="30"/>
      <c r="AV1118" s="30"/>
      <c r="AW1118" s="30"/>
      <c r="AX1118" s="30"/>
    </row>
    <row r="1119" ht="15.75" customHeight="1">
      <c r="A1119" s="30"/>
      <c r="B1119" s="30"/>
      <c r="C1119" s="31"/>
      <c r="D1119" s="31"/>
      <c r="E1119" s="31"/>
      <c r="F1119" s="30"/>
      <c r="G1119" s="30"/>
      <c r="H1119" s="30"/>
      <c r="I1119" s="30"/>
      <c r="J1119" s="30"/>
      <c r="K1119" s="30"/>
      <c r="L1119" s="30"/>
      <c r="M1119" s="30"/>
      <c r="N1119" s="30"/>
      <c r="O1119" s="30"/>
      <c r="P1119" s="30"/>
      <c r="Q1119" s="30"/>
      <c r="R1119" s="30"/>
      <c r="S1119" s="30"/>
      <c r="T1119" s="30"/>
      <c r="U1119" s="30"/>
      <c r="V1119" s="30"/>
      <c r="W1119" s="30"/>
      <c r="X1119" s="30"/>
      <c r="Y1119" s="30"/>
      <c r="Z1119" s="30"/>
      <c r="AA1119" s="30"/>
      <c r="AB1119" s="30"/>
      <c r="AC1119" s="30"/>
      <c r="AD1119" s="30"/>
      <c r="AE1119" s="30"/>
      <c r="AF1119" s="30"/>
      <c r="AG1119" s="30"/>
      <c r="AH1119" s="30"/>
      <c r="AI1119" s="30"/>
      <c r="AJ1119" s="30"/>
      <c r="AK1119" s="30"/>
      <c r="AL1119" s="30"/>
      <c r="AM1119" s="30"/>
      <c r="AN1119" s="30"/>
      <c r="AO1119" s="30"/>
      <c r="AP1119" s="30"/>
      <c r="AQ1119" s="30"/>
      <c r="AR1119" s="30"/>
      <c r="AS1119" s="30"/>
      <c r="AT1119" s="30"/>
      <c r="AU1119" s="30"/>
      <c r="AV1119" s="30"/>
      <c r="AW1119" s="30"/>
      <c r="AX1119" s="30"/>
    </row>
    <row r="1120" ht="15.75" customHeight="1">
      <c r="A1120" s="30"/>
      <c r="B1120" s="30"/>
      <c r="C1120" s="31"/>
      <c r="D1120" s="31"/>
      <c r="E1120" s="31"/>
      <c r="F1120" s="30"/>
      <c r="G1120" s="30"/>
      <c r="H1120" s="30"/>
      <c r="I1120" s="30"/>
      <c r="J1120" s="30"/>
      <c r="K1120" s="30"/>
      <c r="L1120" s="30"/>
      <c r="M1120" s="30"/>
      <c r="N1120" s="30"/>
      <c r="O1120" s="30"/>
      <c r="P1120" s="30"/>
      <c r="Q1120" s="30"/>
      <c r="R1120" s="30"/>
      <c r="S1120" s="30"/>
      <c r="T1120" s="30"/>
      <c r="U1120" s="30"/>
      <c r="V1120" s="30"/>
      <c r="W1120" s="30"/>
      <c r="X1120" s="30"/>
      <c r="Y1120" s="30"/>
      <c r="Z1120" s="30"/>
      <c r="AA1120" s="30"/>
      <c r="AB1120" s="30"/>
      <c r="AC1120" s="30"/>
      <c r="AD1120" s="30"/>
      <c r="AE1120" s="30"/>
      <c r="AF1120" s="30"/>
      <c r="AG1120" s="30"/>
      <c r="AH1120" s="30"/>
      <c r="AI1120" s="30"/>
      <c r="AJ1120" s="30"/>
      <c r="AK1120" s="30"/>
      <c r="AL1120" s="30"/>
      <c r="AM1120" s="30"/>
      <c r="AN1120" s="30"/>
      <c r="AO1120" s="30"/>
      <c r="AP1120" s="30"/>
      <c r="AQ1120" s="30"/>
      <c r="AR1120" s="30"/>
      <c r="AS1120" s="30"/>
      <c r="AT1120" s="30"/>
      <c r="AU1120" s="30"/>
      <c r="AV1120" s="30"/>
      <c r="AW1120" s="30"/>
      <c r="AX1120" s="30"/>
    </row>
    <row r="1121" ht="15.75" customHeight="1">
      <c r="A1121" s="30"/>
      <c r="B1121" s="30"/>
      <c r="C1121" s="31"/>
      <c r="D1121" s="31"/>
      <c r="E1121" s="31"/>
      <c r="F1121" s="30"/>
      <c r="G1121" s="30"/>
      <c r="H1121" s="30"/>
      <c r="I1121" s="30"/>
      <c r="J1121" s="30"/>
      <c r="K1121" s="30"/>
      <c r="L1121" s="30"/>
      <c r="M1121" s="30"/>
      <c r="N1121" s="30"/>
      <c r="O1121" s="30"/>
      <c r="P1121" s="30"/>
      <c r="Q1121" s="30"/>
      <c r="R1121" s="30"/>
      <c r="S1121" s="30"/>
      <c r="T1121" s="30"/>
      <c r="U1121" s="30"/>
      <c r="V1121" s="30"/>
      <c r="W1121" s="30"/>
      <c r="X1121" s="30"/>
      <c r="Y1121" s="30"/>
      <c r="Z1121" s="30"/>
      <c r="AA1121" s="30"/>
      <c r="AB1121" s="30"/>
      <c r="AC1121" s="30"/>
      <c r="AD1121" s="30"/>
      <c r="AE1121" s="30"/>
      <c r="AF1121" s="30"/>
      <c r="AG1121" s="30"/>
      <c r="AH1121" s="30"/>
      <c r="AI1121" s="30"/>
      <c r="AJ1121" s="30"/>
      <c r="AK1121" s="30"/>
      <c r="AL1121" s="30"/>
      <c r="AM1121" s="30"/>
      <c r="AN1121" s="30"/>
      <c r="AO1121" s="30"/>
      <c r="AP1121" s="30"/>
      <c r="AQ1121" s="30"/>
      <c r="AR1121" s="30"/>
      <c r="AS1121" s="30"/>
      <c r="AT1121" s="30"/>
      <c r="AU1121" s="30"/>
      <c r="AV1121" s="30"/>
      <c r="AW1121" s="30"/>
      <c r="AX1121" s="30"/>
    </row>
    <row r="1122" ht="15.75" customHeight="1">
      <c r="A1122" s="30"/>
      <c r="B1122" s="30"/>
      <c r="C1122" s="31"/>
      <c r="D1122" s="31"/>
      <c r="E1122" s="31"/>
      <c r="F1122" s="30"/>
      <c r="G1122" s="30"/>
      <c r="H1122" s="30"/>
      <c r="I1122" s="30"/>
      <c r="J1122" s="30"/>
      <c r="K1122" s="30"/>
      <c r="L1122" s="30"/>
      <c r="M1122" s="30"/>
      <c r="N1122" s="30"/>
      <c r="O1122" s="30"/>
      <c r="P1122" s="30"/>
      <c r="Q1122" s="30"/>
      <c r="R1122" s="30"/>
      <c r="S1122" s="30"/>
      <c r="T1122" s="30"/>
      <c r="U1122" s="30"/>
      <c r="V1122" s="30"/>
      <c r="W1122" s="30"/>
      <c r="X1122" s="30"/>
      <c r="Y1122" s="30"/>
      <c r="Z1122" s="30"/>
      <c r="AA1122" s="30"/>
      <c r="AB1122" s="30"/>
      <c r="AC1122" s="30"/>
      <c r="AD1122" s="30"/>
      <c r="AE1122" s="30"/>
      <c r="AF1122" s="30"/>
      <c r="AG1122" s="30"/>
      <c r="AH1122" s="30"/>
      <c r="AI1122" s="30"/>
      <c r="AJ1122" s="30"/>
      <c r="AK1122" s="30"/>
      <c r="AL1122" s="30"/>
      <c r="AM1122" s="30"/>
      <c r="AN1122" s="30"/>
      <c r="AO1122" s="30"/>
      <c r="AP1122" s="30"/>
      <c r="AQ1122" s="30"/>
      <c r="AR1122" s="30"/>
      <c r="AS1122" s="30"/>
      <c r="AT1122" s="30"/>
      <c r="AU1122" s="30"/>
      <c r="AV1122" s="30"/>
      <c r="AW1122" s="30"/>
      <c r="AX1122" s="30"/>
    </row>
    <row r="1123" ht="15.75" customHeight="1">
      <c r="A1123" s="30"/>
      <c r="B1123" s="30"/>
      <c r="C1123" s="31"/>
      <c r="D1123" s="31"/>
      <c r="E1123" s="31"/>
      <c r="F1123" s="30"/>
      <c r="G1123" s="30"/>
      <c r="H1123" s="30"/>
      <c r="I1123" s="30"/>
      <c r="J1123" s="30"/>
      <c r="K1123" s="30"/>
      <c r="L1123" s="30"/>
      <c r="M1123" s="30"/>
      <c r="N1123" s="30"/>
      <c r="O1123" s="30"/>
      <c r="P1123" s="30"/>
      <c r="Q1123" s="30"/>
      <c r="R1123" s="30"/>
      <c r="S1123" s="30"/>
      <c r="T1123" s="30"/>
      <c r="U1123" s="30"/>
      <c r="V1123" s="30"/>
      <c r="W1123" s="30"/>
      <c r="X1123" s="30"/>
      <c r="Y1123" s="30"/>
      <c r="Z1123" s="30"/>
      <c r="AA1123" s="30"/>
      <c r="AB1123" s="30"/>
      <c r="AC1123" s="30"/>
      <c r="AD1123" s="30"/>
      <c r="AE1123" s="30"/>
      <c r="AF1123" s="30"/>
      <c r="AG1123" s="30"/>
      <c r="AH1123" s="30"/>
      <c r="AI1123" s="30"/>
      <c r="AJ1123" s="30"/>
      <c r="AK1123" s="30"/>
      <c r="AL1123" s="30"/>
      <c r="AM1123" s="30"/>
      <c r="AN1123" s="30"/>
      <c r="AO1123" s="30"/>
      <c r="AP1123" s="30"/>
      <c r="AQ1123" s="30"/>
      <c r="AR1123" s="30"/>
      <c r="AS1123" s="30"/>
      <c r="AT1123" s="30"/>
      <c r="AU1123" s="30"/>
      <c r="AV1123" s="30"/>
      <c r="AW1123" s="30"/>
      <c r="AX1123" s="30"/>
    </row>
    <row r="1124" ht="15.75" customHeight="1">
      <c r="A1124" s="30"/>
      <c r="B1124" s="30"/>
      <c r="C1124" s="31"/>
      <c r="D1124" s="31"/>
      <c r="E1124" s="31"/>
      <c r="F1124" s="30"/>
      <c r="G1124" s="30"/>
      <c r="H1124" s="30"/>
      <c r="I1124" s="30"/>
      <c r="J1124" s="30"/>
      <c r="K1124" s="30"/>
      <c r="L1124" s="30"/>
      <c r="M1124" s="30"/>
      <c r="N1124" s="30"/>
      <c r="O1124" s="30"/>
      <c r="P1124" s="30"/>
      <c r="Q1124" s="30"/>
      <c r="R1124" s="30"/>
      <c r="S1124" s="30"/>
      <c r="T1124" s="30"/>
      <c r="U1124" s="30"/>
      <c r="V1124" s="30"/>
      <c r="W1124" s="30"/>
      <c r="X1124" s="30"/>
      <c r="Y1124" s="30"/>
      <c r="Z1124" s="30"/>
      <c r="AA1124" s="30"/>
      <c r="AB1124" s="30"/>
      <c r="AC1124" s="30"/>
      <c r="AD1124" s="30"/>
      <c r="AE1124" s="30"/>
      <c r="AF1124" s="30"/>
      <c r="AG1124" s="30"/>
      <c r="AH1124" s="30"/>
      <c r="AI1124" s="30"/>
      <c r="AJ1124" s="30"/>
      <c r="AK1124" s="30"/>
      <c r="AL1124" s="30"/>
      <c r="AM1124" s="30"/>
      <c r="AN1124" s="30"/>
      <c r="AO1124" s="30"/>
      <c r="AP1124" s="30"/>
      <c r="AQ1124" s="30"/>
      <c r="AR1124" s="30"/>
      <c r="AS1124" s="30"/>
      <c r="AT1124" s="30"/>
      <c r="AU1124" s="30"/>
      <c r="AV1124" s="30"/>
      <c r="AW1124" s="30"/>
      <c r="AX1124" s="30"/>
    </row>
    <row r="1125" ht="15.75" customHeight="1">
      <c r="A1125" s="30"/>
      <c r="B1125" s="30"/>
      <c r="C1125" s="31"/>
      <c r="D1125" s="31"/>
      <c r="E1125" s="31"/>
      <c r="F1125" s="30"/>
      <c r="G1125" s="30"/>
      <c r="H1125" s="30"/>
      <c r="I1125" s="30"/>
      <c r="J1125" s="30"/>
      <c r="K1125" s="30"/>
      <c r="L1125" s="30"/>
      <c r="M1125" s="30"/>
      <c r="N1125" s="30"/>
      <c r="O1125" s="30"/>
      <c r="P1125" s="30"/>
      <c r="Q1125" s="30"/>
      <c r="R1125" s="30"/>
      <c r="S1125" s="30"/>
      <c r="T1125" s="30"/>
      <c r="U1125" s="30"/>
      <c r="V1125" s="30"/>
      <c r="W1125" s="30"/>
      <c r="X1125" s="30"/>
      <c r="Y1125" s="30"/>
      <c r="Z1125" s="30"/>
      <c r="AA1125" s="30"/>
      <c r="AB1125" s="30"/>
      <c r="AC1125" s="30"/>
      <c r="AD1125" s="30"/>
      <c r="AE1125" s="30"/>
      <c r="AF1125" s="30"/>
      <c r="AG1125" s="30"/>
      <c r="AH1125" s="30"/>
      <c r="AI1125" s="30"/>
      <c r="AJ1125" s="30"/>
      <c r="AK1125" s="30"/>
      <c r="AL1125" s="30"/>
      <c r="AM1125" s="30"/>
      <c r="AN1125" s="30"/>
      <c r="AO1125" s="30"/>
      <c r="AP1125" s="30"/>
      <c r="AQ1125" s="30"/>
      <c r="AR1125" s="30"/>
      <c r="AS1125" s="30"/>
      <c r="AT1125" s="30"/>
      <c r="AU1125" s="30"/>
      <c r="AV1125" s="30"/>
      <c r="AW1125" s="30"/>
      <c r="AX1125" s="30"/>
    </row>
    <row r="1126" ht="15.75" customHeight="1">
      <c r="A1126" s="30"/>
      <c r="B1126" s="30"/>
      <c r="C1126" s="31"/>
      <c r="D1126" s="31"/>
      <c r="E1126" s="31"/>
      <c r="F1126" s="30"/>
      <c r="G1126" s="30"/>
      <c r="H1126" s="30"/>
      <c r="I1126" s="30"/>
      <c r="J1126" s="30"/>
      <c r="K1126" s="30"/>
      <c r="L1126" s="30"/>
      <c r="M1126" s="30"/>
      <c r="N1126" s="30"/>
      <c r="O1126" s="30"/>
      <c r="P1126" s="30"/>
      <c r="Q1126" s="30"/>
      <c r="R1126" s="30"/>
      <c r="S1126" s="30"/>
      <c r="T1126" s="30"/>
      <c r="U1126" s="30"/>
      <c r="V1126" s="30"/>
      <c r="W1126" s="30"/>
      <c r="X1126" s="30"/>
      <c r="Y1126" s="30"/>
      <c r="Z1126" s="30"/>
      <c r="AA1126" s="30"/>
      <c r="AB1126" s="30"/>
      <c r="AC1126" s="30"/>
      <c r="AD1126" s="30"/>
      <c r="AE1126" s="30"/>
      <c r="AF1126" s="30"/>
      <c r="AG1126" s="30"/>
      <c r="AH1126" s="30"/>
      <c r="AI1126" s="30"/>
      <c r="AJ1126" s="30"/>
      <c r="AK1126" s="30"/>
      <c r="AL1126" s="30"/>
      <c r="AM1126" s="30"/>
      <c r="AN1126" s="30"/>
      <c r="AO1126" s="30"/>
      <c r="AP1126" s="30"/>
      <c r="AQ1126" s="30"/>
      <c r="AR1126" s="30"/>
      <c r="AS1126" s="30"/>
      <c r="AT1126" s="30"/>
      <c r="AU1126" s="30"/>
      <c r="AV1126" s="30"/>
      <c r="AW1126" s="30"/>
      <c r="AX1126" s="30"/>
    </row>
    <row r="1127" ht="15.75" customHeight="1">
      <c r="A1127" s="30"/>
      <c r="B1127" s="30"/>
      <c r="C1127" s="31"/>
      <c r="D1127" s="31"/>
      <c r="E1127" s="31"/>
      <c r="F1127" s="30"/>
      <c r="G1127" s="30"/>
      <c r="H1127" s="30"/>
      <c r="I1127" s="30"/>
      <c r="J1127" s="30"/>
      <c r="K1127" s="30"/>
      <c r="L1127" s="30"/>
      <c r="M1127" s="30"/>
      <c r="N1127" s="30"/>
      <c r="O1127" s="30"/>
      <c r="P1127" s="30"/>
      <c r="Q1127" s="30"/>
      <c r="R1127" s="30"/>
      <c r="S1127" s="30"/>
      <c r="T1127" s="30"/>
      <c r="U1127" s="30"/>
      <c r="V1127" s="30"/>
      <c r="W1127" s="30"/>
      <c r="X1127" s="30"/>
      <c r="Y1127" s="30"/>
      <c r="Z1127" s="30"/>
      <c r="AA1127" s="30"/>
      <c r="AB1127" s="30"/>
      <c r="AC1127" s="30"/>
      <c r="AD1127" s="30"/>
      <c r="AE1127" s="30"/>
      <c r="AF1127" s="30"/>
      <c r="AG1127" s="30"/>
      <c r="AH1127" s="30"/>
      <c r="AI1127" s="30"/>
      <c r="AJ1127" s="30"/>
      <c r="AK1127" s="30"/>
      <c r="AL1127" s="30"/>
      <c r="AM1127" s="30"/>
      <c r="AN1127" s="30"/>
      <c r="AO1127" s="30"/>
      <c r="AP1127" s="30"/>
      <c r="AQ1127" s="30"/>
      <c r="AR1127" s="30"/>
      <c r="AS1127" s="30"/>
      <c r="AT1127" s="30"/>
      <c r="AU1127" s="30"/>
      <c r="AV1127" s="30"/>
      <c r="AW1127" s="30"/>
      <c r="AX1127" s="30"/>
    </row>
    <row r="1128" ht="15.75" customHeight="1">
      <c r="A1128" s="30"/>
      <c r="B1128" s="30"/>
      <c r="C1128" s="31"/>
      <c r="D1128" s="31"/>
      <c r="E1128" s="31"/>
      <c r="F1128" s="30"/>
      <c r="G1128" s="30"/>
      <c r="H1128" s="30"/>
      <c r="I1128" s="30"/>
      <c r="J1128" s="30"/>
      <c r="K1128" s="30"/>
      <c r="L1128" s="30"/>
      <c r="M1128" s="30"/>
      <c r="N1128" s="30"/>
      <c r="O1128" s="30"/>
      <c r="P1128" s="30"/>
      <c r="Q1128" s="30"/>
      <c r="R1128" s="30"/>
      <c r="S1128" s="30"/>
      <c r="T1128" s="30"/>
      <c r="U1128" s="30"/>
      <c r="V1128" s="30"/>
      <c r="W1128" s="30"/>
      <c r="X1128" s="30"/>
      <c r="Y1128" s="30"/>
      <c r="Z1128" s="30"/>
      <c r="AA1128" s="30"/>
      <c r="AB1128" s="30"/>
      <c r="AC1128" s="30"/>
      <c r="AD1128" s="30"/>
      <c r="AE1128" s="30"/>
      <c r="AF1128" s="30"/>
      <c r="AG1128" s="30"/>
      <c r="AH1128" s="30"/>
      <c r="AI1128" s="30"/>
      <c r="AJ1128" s="30"/>
      <c r="AK1128" s="30"/>
      <c r="AL1128" s="30"/>
      <c r="AM1128" s="30"/>
      <c r="AN1128" s="30"/>
      <c r="AO1128" s="30"/>
      <c r="AP1128" s="30"/>
      <c r="AQ1128" s="30"/>
      <c r="AR1128" s="30"/>
      <c r="AS1128" s="30"/>
      <c r="AT1128" s="30"/>
      <c r="AU1128" s="30"/>
      <c r="AV1128" s="30"/>
      <c r="AW1128" s="30"/>
      <c r="AX1128" s="30"/>
    </row>
    <row r="1129" ht="15.75" customHeight="1">
      <c r="A1129" s="30"/>
      <c r="B1129" s="30"/>
      <c r="C1129" s="31"/>
      <c r="D1129" s="31"/>
      <c r="E1129" s="31"/>
      <c r="F1129" s="30"/>
      <c r="G1129" s="30"/>
      <c r="H1129" s="30"/>
      <c r="I1129" s="30"/>
      <c r="J1129" s="30"/>
      <c r="K1129" s="30"/>
      <c r="L1129" s="30"/>
      <c r="M1129" s="30"/>
      <c r="N1129" s="30"/>
      <c r="O1129" s="30"/>
      <c r="P1129" s="30"/>
      <c r="Q1129" s="30"/>
      <c r="R1129" s="30"/>
      <c r="S1129" s="30"/>
      <c r="T1129" s="30"/>
      <c r="U1129" s="30"/>
      <c r="V1129" s="30"/>
      <c r="W1129" s="30"/>
      <c r="X1129" s="30"/>
      <c r="Y1129" s="30"/>
      <c r="Z1129" s="30"/>
      <c r="AA1129" s="30"/>
      <c r="AB1129" s="30"/>
      <c r="AC1129" s="30"/>
      <c r="AD1129" s="30"/>
      <c r="AE1129" s="30"/>
      <c r="AF1129" s="30"/>
      <c r="AG1129" s="30"/>
      <c r="AH1129" s="30"/>
      <c r="AI1129" s="30"/>
      <c r="AJ1129" s="30"/>
      <c r="AK1129" s="30"/>
      <c r="AL1129" s="30"/>
      <c r="AM1129" s="30"/>
      <c r="AN1129" s="30"/>
      <c r="AO1129" s="30"/>
      <c r="AP1129" s="30"/>
      <c r="AQ1129" s="30"/>
      <c r="AR1129" s="30"/>
      <c r="AS1129" s="30"/>
      <c r="AT1129" s="30"/>
      <c r="AU1129" s="30"/>
      <c r="AV1129" s="30"/>
      <c r="AW1129" s="30"/>
      <c r="AX1129" s="30"/>
    </row>
    <row r="1130" ht="15.75" customHeight="1">
      <c r="A1130" s="30"/>
      <c r="B1130" s="30"/>
      <c r="C1130" s="31"/>
      <c r="D1130" s="31"/>
      <c r="E1130" s="31"/>
      <c r="F1130" s="30"/>
      <c r="G1130" s="30"/>
      <c r="H1130" s="30"/>
      <c r="I1130" s="30"/>
      <c r="J1130" s="30"/>
      <c r="K1130" s="30"/>
      <c r="L1130" s="30"/>
      <c r="M1130" s="30"/>
      <c r="N1130" s="30"/>
      <c r="O1130" s="30"/>
      <c r="P1130" s="30"/>
      <c r="Q1130" s="30"/>
      <c r="R1130" s="30"/>
      <c r="S1130" s="30"/>
      <c r="T1130" s="30"/>
      <c r="U1130" s="30"/>
      <c r="V1130" s="30"/>
      <c r="W1130" s="30"/>
      <c r="X1130" s="30"/>
      <c r="Y1130" s="30"/>
      <c r="Z1130" s="30"/>
      <c r="AA1130" s="30"/>
      <c r="AB1130" s="30"/>
      <c r="AC1130" s="30"/>
      <c r="AD1130" s="30"/>
      <c r="AE1130" s="30"/>
      <c r="AF1130" s="30"/>
      <c r="AG1130" s="30"/>
      <c r="AH1130" s="30"/>
      <c r="AI1130" s="30"/>
      <c r="AJ1130" s="30"/>
      <c r="AK1130" s="30"/>
      <c r="AL1130" s="30"/>
      <c r="AM1130" s="30"/>
      <c r="AN1130" s="30"/>
      <c r="AO1130" s="30"/>
      <c r="AP1130" s="30"/>
      <c r="AQ1130" s="30"/>
      <c r="AR1130" s="30"/>
      <c r="AS1130" s="30"/>
      <c r="AT1130" s="30"/>
      <c r="AU1130" s="30"/>
      <c r="AV1130" s="30"/>
      <c r="AW1130" s="30"/>
      <c r="AX1130" s="30"/>
    </row>
    <row r="1131" ht="15.75" customHeight="1">
      <c r="A1131" s="30"/>
      <c r="B1131" s="30"/>
      <c r="C1131" s="31"/>
      <c r="D1131" s="31"/>
      <c r="E1131" s="31"/>
      <c r="F1131" s="30"/>
      <c r="G1131" s="30"/>
      <c r="H1131" s="30"/>
      <c r="I1131" s="30"/>
      <c r="J1131" s="30"/>
      <c r="K1131" s="30"/>
      <c r="L1131" s="30"/>
      <c r="M1131" s="30"/>
      <c r="N1131" s="30"/>
      <c r="O1131" s="30"/>
      <c r="P1131" s="30"/>
      <c r="Q1131" s="30"/>
      <c r="R1131" s="30"/>
      <c r="S1131" s="30"/>
      <c r="T1131" s="30"/>
      <c r="U1131" s="30"/>
      <c r="V1131" s="30"/>
      <c r="W1131" s="30"/>
      <c r="X1131" s="30"/>
      <c r="Y1131" s="30"/>
      <c r="Z1131" s="30"/>
      <c r="AA1131" s="30"/>
      <c r="AB1131" s="30"/>
      <c r="AC1131" s="30"/>
      <c r="AD1131" s="30"/>
      <c r="AE1131" s="30"/>
      <c r="AF1131" s="30"/>
      <c r="AG1131" s="30"/>
      <c r="AH1131" s="30"/>
      <c r="AI1131" s="30"/>
      <c r="AJ1131" s="30"/>
      <c r="AK1131" s="30"/>
      <c r="AL1131" s="30"/>
      <c r="AM1131" s="30"/>
      <c r="AN1131" s="30"/>
      <c r="AO1131" s="30"/>
      <c r="AP1131" s="30"/>
      <c r="AQ1131" s="30"/>
      <c r="AR1131" s="30"/>
      <c r="AS1131" s="30"/>
      <c r="AT1131" s="30"/>
      <c r="AU1131" s="30"/>
      <c r="AV1131" s="30"/>
      <c r="AW1131" s="30"/>
      <c r="AX1131" s="30"/>
    </row>
    <row r="1132" ht="15.75" customHeight="1">
      <c r="A1132" s="30"/>
      <c r="B1132" s="30"/>
      <c r="C1132" s="31"/>
      <c r="D1132" s="31"/>
      <c r="E1132" s="31"/>
      <c r="F1132" s="30"/>
      <c r="G1132" s="30"/>
      <c r="H1132" s="30"/>
      <c r="I1132" s="30"/>
      <c r="J1132" s="30"/>
      <c r="K1132" s="30"/>
      <c r="L1132" s="30"/>
      <c r="M1132" s="30"/>
      <c r="N1132" s="30"/>
      <c r="O1132" s="30"/>
      <c r="P1132" s="30"/>
      <c r="Q1132" s="30"/>
      <c r="R1132" s="30"/>
      <c r="S1132" s="30"/>
      <c r="T1132" s="30"/>
      <c r="U1132" s="30"/>
      <c r="V1132" s="30"/>
      <c r="W1132" s="30"/>
      <c r="X1132" s="30"/>
      <c r="Y1132" s="30"/>
      <c r="Z1132" s="30"/>
      <c r="AA1132" s="30"/>
      <c r="AB1132" s="30"/>
      <c r="AC1132" s="30"/>
      <c r="AD1132" s="30"/>
      <c r="AE1132" s="30"/>
      <c r="AF1132" s="30"/>
      <c r="AG1132" s="30"/>
      <c r="AH1132" s="30"/>
      <c r="AI1132" s="30"/>
      <c r="AJ1132" s="30"/>
      <c r="AK1132" s="30"/>
      <c r="AL1132" s="30"/>
      <c r="AM1132" s="30"/>
      <c r="AN1132" s="30"/>
      <c r="AO1132" s="30"/>
      <c r="AP1132" s="30"/>
      <c r="AQ1132" s="30"/>
      <c r="AR1132" s="30"/>
      <c r="AS1132" s="30"/>
      <c r="AT1132" s="30"/>
      <c r="AU1132" s="30"/>
      <c r="AV1132" s="30"/>
      <c r="AW1132" s="30"/>
      <c r="AX1132" s="30"/>
    </row>
    <row r="1133" ht="15.75" customHeight="1">
      <c r="A1133" s="30"/>
      <c r="B1133" s="30"/>
      <c r="C1133" s="31"/>
      <c r="D1133" s="31"/>
      <c r="E1133" s="31"/>
      <c r="F1133" s="30"/>
      <c r="G1133" s="30"/>
      <c r="H1133" s="30"/>
      <c r="I1133" s="30"/>
      <c r="J1133" s="30"/>
      <c r="K1133" s="30"/>
      <c r="L1133" s="30"/>
      <c r="M1133" s="30"/>
      <c r="N1133" s="30"/>
      <c r="O1133" s="30"/>
      <c r="P1133" s="30"/>
      <c r="Q1133" s="30"/>
      <c r="R1133" s="30"/>
      <c r="S1133" s="30"/>
      <c r="T1133" s="30"/>
      <c r="U1133" s="30"/>
      <c r="V1133" s="30"/>
      <c r="W1133" s="30"/>
      <c r="X1133" s="30"/>
      <c r="Y1133" s="30"/>
      <c r="Z1133" s="30"/>
      <c r="AA1133" s="30"/>
      <c r="AB1133" s="30"/>
      <c r="AC1133" s="30"/>
      <c r="AD1133" s="30"/>
      <c r="AE1133" s="30"/>
      <c r="AF1133" s="30"/>
      <c r="AG1133" s="30"/>
      <c r="AH1133" s="30"/>
      <c r="AI1133" s="30"/>
      <c r="AJ1133" s="30"/>
      <c r="AK1133" s="30"/>
      <c r="AL1133" s="30"/>
      <c r="AM1133" s="30"/>
      <c r="AN1133" s="30"/>
      <c r="AO1133" s="30"/>
      <c r="AP1133" s="30"/>
      <c r="AQ1133" s="30"/>
      <c r="AR1133" s="30"/>
      <c r="AS1133" s="30"/>
      <c r="AT1133" s="30"/>
      <c r="AU1133" s="30"/>
      <c r="AV1133" s="30"/>
      <c r="AW1133" s="30"/>
      <c r="AX1133" s="30"/>
    </row>
    <row r="1134" ht="15.75" customHeight="1">
      <c r="A1134" s="30"/>
      <c r="B1134" s="30"/>
      <c r="C1134" s="31"/>
      <c r="D1134" s="31"/>
      <c r="E1134" s="31"/>
      <c r="F1134" s="30"/>
      <c r="G1134" s="30"/>
      <c r="H1134" s="30"/>
      <c r="I1134" s="30"/>
      <c r="J1134" s="30"/>
      <c r="K1134" s="30"/>
      <c r="L1134" s="30"/>
      <c r="M1134" s="30"/>
      <c r="N1134" s="30"/>
      <c r="O1134" s="30"/>
      <c r="P1134" s="30"/>
      <c r="Q1134" s="30"/>
      <c r="R1134" s="30"/>
      <c r="S1134" s="30"/>
      <c r="T1134" s="30"/>
      <c r="U1134" s="30"/>
      <c r="V1134" s="30"/>
      <c r="W1134" s="30"/>
      <c r="X1134" s="30"/>
      <c r="Y1134" s="30"/>
      <c r="Z1134" s="30"/>
      <c r="AA1134" s="30"/>
      <c r="AB1134" s="30"/>
      <c r="AC1134" s="30"/>
      <c r="AD1134" s="30"/>
      <c r="AE1134" s="30"/>
      <c r="AF1134" s="30"/>
      <c r="AG1134" s="30"/>
      <c r="AH1134" s="30"/>
      <c r="AI1134" s="30"/>
      <c r="AJ1134" s="30"/>
      <c r="AK1134" s="30"/>
      <c r="AL1134" s="30"/>
      <c r="AM1134" s="30"/>
      <c r="AN1134" s="30"/>
      <c r="AO1134" s="30"/>
      <c r="AP1134" s="30"/>
      <c r="AQ1134" s="30"/>
      <c r="AR1134" s="30"/>
      <c r="AS1134" s="30"/>
      <c r="AT1134" s="30"/>
      <c r="AU1134" s="30"/>
      <c r="AV1134" s="30"/>
      <c r="AW1134" s="30"/>
      <c r="AX1134" s="30"/>
    </row>
    <row r="1135" ht="15.75" customHeight="1">
      <c r="A1135" s="30"/>
      <c r="B1135" s="30"/>
      <c r="C1135" s="31"/>
      <c r="D1135" s="31"/>
      <c r="E1135" s="31"/>
      <c r="F1135" s="30"/>
      <c r="G1135" s="30"/>
      <c r="H1135" s="30"/>
      <c r="I1135" s="30"/>
      <c r="J1135" s="30"/>
      <c r="K1135" s="30"/>
      <c r="L1135" s="30"/>
      <c r="M1135" s="30"/>
      <c r="N1135" s="30"/>
      <c r="O1135" s="30"/>
      <c r="P1135" s="30"/>
      <c r="Q1135" s="30"/>
      <c r="R1135" s="30"/>
      <c r="S1135" s="30"/>
      <c r="T1135" s="30"/>
      <c r="U1135" s="30"/>
      <c r="V1135" s="30"/>
      <c r="W1135" s="30"/>
      <c r="X1135" s="30"/>
      <c r="Y1135" s="30"/>
      <c r="Z1135" s="30"/>
      <c r="AA1135" s="30"/>
      <c r="AB1135" s="30"/>
      <c r="AC1135" s="30"/>
      <c r="AD1135" s="30"/>
      <c r="AE1135" s="30"/>
      <c r="AF1135" s="30"/>
      <c r="AG1135" s="30"/>
      <c r="AH1135" s="30"/>
      <c r="AI1135" s="30"/>
      <c r="AJ1135" s="30"/>
      <c r="AK1135" s="30"/>
      <c r="AL1135" s="30"/>
      <c r="AM1135" s="30"/>
      <c r="AN1135" s="30"/>
      <c r="AO1135" s="30"/>
      <c r="AP1135" s="30"/>
      <c r="AQ1135" s="30"/>
      <c r="AR1135" s="30"/>
      <c r="AS1135" s="30"/>
      <c r="AT1135" s="30"/>
      <c r="AU1135" s="30"/>
      <c r="AV1135" s="30"/>
      <c r="AW1135" s="30"/>
      <c r="AX1135" s="30"/>
    </row>
    <row r="1136" ht="15.75" customHeight="1">
      <c r="A1136" s="30"/>
      <c r="B1136" s="30"/>
      <c r="C1136" s="31"/>
      <c r="D1136" s="31"/>
      <c r="E1136" s="31"/>
      <c r="F1136" s="30"/>
      <c r="G1136" s="30"/>
      <c r="H1136" s="30"/>
      <c r="I1136" s="30"/>
      <c r="J1136" s="30"/>
      <c r="K1136" s="30"/>
      <c r="L1136" s="30"/>
      <c r="M1136" s="30"/>
      <c r="N1136" s="30"/>
      <c r="O1136" s="30"/>
      <c r="P1136" s="30"/>
      <c r="Q1136" s="30"/>
      <c r="R1136" s="30"/>
      <c r="S1136" s="30"/>
      <c r="T1136" s="30"/>
      <c r="U1136" s="30"/>
      <c r="V1136" s="30"/>
      <c r="W1136" s="30"/>
      <c r="X1136" s="30"/>
      <c r="Y1136" s="30"/>
      <c r="Z1136" s="30"/>
      <c r="AA1136" s="30"/>
      <c r="AB1136" s="30"/>
      <c r="AC1136" s="30"/>
      <c r="AD1136" s="30"/>
      <c r="AE1136" s="30"/>
      <c r="AF1136" s="30"/>
      <c r="AG1136" s="30"/>
      <c r="AH1136" s="30"/>
      <c r="AI1136" s="30"/>
      <c r="AJ1136" s="30"/>
      <c r="AK1136" s="30"/>
      <c r="AL1136" s="30"/>
      <c r="AM1136" s="30"/>
      <c r="AN1136" s="30"/>
      <c r="AO1136" s="30"/>
      <c r="AP1136" s="30"/>
      <c r="AQ1136" s="30"/>
      <c r="AR1136" s="30"/>
      <c r="AS1136" s="30"/>
      <c r="AT1136" s="30"/>
      <c r="AU1136" s="30"/>
      <c r="AV1136" s="30"/>
      <c r="AW1136" s="30"/>
      <c r="AX1136" s="30"/>
    </row>
    <row r="1137" ht="15.75" customHeight="1">
      <c r="A1137" s="30"/>
      <c r="B1137" s="30"/>
      <c r="C1137" s="31"/>
      <c r="D1137" s="31"/>
      <c r="E1137" s="31"/>
      <c r="F1137" s="30"/>
      <c r="G1137" s="30"/>
      <c r="H1137" s="30"/>
      <c r="I1137" s="30"/>
      <c r="J1137" s="30"/>
      <c r="K1137" s="30"/>
      <c r="L1137" s="30"/>
      <c r="M1137" s="30"/>
      <c r="N1137" s="30"/>
      <c r="O1137" s="30"/>
      <c r="P1137" s="30"/>
      <c r="Q1137" s="30"/>
      <c r="R1137" s="30"/>
      <c r="S1137" s="30"/>
      <c r="T1137" s="30"/>
      <c r="U1137" s="30"/>
      <c r="V1137" s="30"/>
      <c r="W1137" s="30"/>
      <c r="X1137" s="30"/>
      <c r="Y1137" s="30"/>
      <c r="Z1137" s="30"/>
      <c r="AA1137" s="30"/>
      <c r="AB1137" s="30"/>
      <c r="AC1137" s="30"/>
      <c r="AD1137" s="30"/>
      <c r="AE1137" s="30"/>
      <c r="AF1137" s="30"/>
      <c r="AG1137" s="30"/>
      <c r="AH1137" s="30"/>
      <c r="AI1137" s="30"/>
      <c r="AJ1137" s="30"/>
      <c r="AK1137" s="30"/>
      <c r="AL1137" s="30"/>
      <c r="AM1137" s="30"/>
      <c r="AN1137" s="30"/>
      <c r="AO1137" s="30"/>
      <c r="AP1137" s="30"/>
      <c r="AQ1137" s="30"/>
      <c r="AR1137" s="30"/>
      <c r="AS1137" s="30"/>
      <c r="AT1137" s="30"/>
      <c r="AU1137" s="30"/>
      <c r="AV1137" s="30"/>
      <c r="AW1137" s="30"/>
      <c r="AX1137" s="30"/>
    </row>
    <row r="1138" ht="15.75" customHeight="1">
      <c r="A1138" s="30"/>
      <c r="B1138" s="30"/>
      <c r="C1138" s="31"/>
      <c r="D1138" s="31"/>
      <c r="E1138" s="31"/>
      <c r="F1138" s="30"/>
      <c r="G1138" s="30"/>
      <c r="H1138" s="30"/>
      <c r="I1138" s="30"/>
      <c r="J1138" s="30"/>
      <c r="K1138" s="30"/>
      <c r="L1138" s="30"/>
      <c r="M1138" s="30"/>
      <c r="N1138" s="30"/>
      <c r="O1138" s="30"/>
      <c r="P1138" s="30"/>
      <c r="Q1138" s="30"/>
      <c r="R1138" s="30"/>
      <c r="S1138" s="30"/>
      <c r="T1138" s="30"/>
      <c r="U1138" s="30"/>
      <c r="V1138" s="30"/>
      <c r="W1138" s="30"/>
      <c r="X1138" s="30"/>
      <c r="Y1138" s="30"/>
      <c r="Z1138" s="30"/>
      <c r="AA1138" s="30"/>
      <c r="AB1138" s="30"/>
      <c r="AC1138" s="30"/>
      <c r="AD1138" s="30"/>
      <c r="AE1138" s="30"/>
      <c r="AF1138" s="30"/>
      <c r="AG1138" s="30"/>
      <c r="AH1138" s="30"/>
      <c r="AI1138" s="30"/>
      <c r="AJ1138" s="30"/>
      <c r="AK1138" s="30"/>
      <c r="AL1138" s="30"/>
      <c r="AM1138" s="30"/>
      <c r="AN1138" s="30"/>
      <c r="AO1138" s="30"/>
      <c r="AP1138" s="30"/>
      <c r="AQ1138" s="30"/>
      <c r="AR1138" s="30"/>
      <c r="AS1138" s="30"/>
      <c r="AT1138" s="30"/>
      <c r="AU1138" s="30"/>
      <c r="AV1138" s="30"/>
      <c r="AW1138" s="30"/>
      <c r="AX1138" s="30"/>
    </row>
    <row r="1139" ht="15.75" customHeight="1">
      <c r="A1139" s="30"/>
      <c r="B1139" s="30"/>
      <c r="C1139" s="31"/>
      <c r="D1139" s="31"/>
      <c r="E1139" s="31"/>
      <c r="F1139" s="30"/>
      <c r="G1139" s="30"/>
      <c r="H1139" s="30"/>
      <c r="I1139" s="30"/>
      <c r="J1139" s="30"/>
      <c r="K1139" s="30"/>
      <c r="L1139" s="30"/>
      <c r="M1139" s="30"/>
      <c r="N1139" s="30"/>
      <c r="O1139" s="30"/>
      <c r="P1139" s="30"/>
      <c r="Q1139" s="30"/>
      <c r="R1139" s="30"/>
      <c r="S1139" s="30"/>
      <c r="T1139" s="30"/>
      <c r="U1139" s="30"/>
      <c r="V1139" s="30"/>
      <c r="W1139" s="30"/>
      <c r="X1139" s="30"/>
      <c r="Y1139" s="30"/>
      <c r="Z1139" s="30"/>
      <c r="AA1139" s="30"/>
      <c r="AB1139" s="30"/>
      <c r="AC1139" s="30"/>
      <c r="AD1139" s="30"/>
      <c r="AE1139" s="30"/>
      <c r="AF1139" s="30"/>
      <c r="AG1139" s="30"/>
      <c r="AH1139" s="30"/>
      <c r="AI1139" s="30"/>
      <c r="AJ1139" s="30"/>
      <c r="AK1139" s="30"/>
      <c r="AL1139" s="30"/>
      <c r="AM1139" s="30"/>
      <c r="AN1139" s="30"/>
      <c r="AO1139" s="30"/>
      <c r="AP1139" s="30"/>
      <c r="AQ1139" s="30"/>
      <c r="AR1139" s="30"/>
      <c r="AS1139" s="30"/>
      <c r="AT1139" s="30"/>
      <c r="AU1139" s="30"/>
      <c r="AV1139" s="30"/>
      <c r="AW1139" s="30"/>
      <c r="AX1139" s="30"/>
    </row>
    <row r="1140" ht="15.75" customHeight="1">
      <c r="A1140" s="30"/>
      <c r="B1140" s="30"/>
      <c r="C1140" s="31"/>
      <c r="D1140" s="31"/>
      <c r="E1140" s="31"/>
      <c r="F1140" s="30"/>
      <c r="G1140" s="30"/>
      <c r="H1140" s="30"/>
      <c r="I1140" s="30"/>
      <c r="J1140" s="30"/>
      <c r="K1140" s="30"/>
      <c r="L1140" s="30"/>
      <c r="M1140" s="30"/>
      <c r="N1140" s="30"/>
      <c r="O1140" s="30"/>
      <c r="P1140" s="30"/>
      <c r="Q1140" s="30"/>
      <c r="R1140" s="30"/>
      <c r="S1140" s="30"/>
      <c r="T1140" s="30"/>
      <c r="U1140" s="30"/>
      <c r="V1140" s="30"/>
      <c r="W1140" s="30"/>
      <c r="X1140" s="30"/>
      <c r="Y1140" s="30"/>
      <c r="Z1140" s="30"/>
      <c r="AA1140" s="30"/>
      <c r="AB1140" s="30"/>
      <c r="AC1140" s="30"/>
      <c r="AD1140" s="30"/>
      <c r="AE1140" s="30"/>
      <c r="AF1140" s="30"/>
      <c r="AG1140" s="30"/>
      <c r="AH1140" s="30"/>
      <c r="AI1140" s="30"/>
      <c r="AJ1140" s="30"/>
      <c r="AK1140" s="30"/>
      <c r="AL1140" s="30"/>
      <c r="AM1140" s="30"/>
      <c r="AN1140" s="30"/>
      <c r="AO1140" s="30"/>
      <c r="AP1140" s="30"/>
      <c r="AQ1140" s="30"/>
      <c r="AR1140" s="30"/>
      <c r="AS1140" s="30"/>
      <c r="AT1140" s="30"/>
      <c r="AU1140" s="30"/>
      <c r="AV1140" s="30"/>
      <c r="AW1140" s="30"/>
      <c r="AX1140" s="30"/>
    </row>
    <row r="1141" ht="15.75" customHeight="1">
      <c r="A1141" s="30"/>
      <c r="B1141" s="30"/>
      <c r="C1141" s="31"/>
      <c r="D1141" s="31"/>
      <c r="E1141" s="31"/>
      <c r="F1141" s="30"/>
      <c r="G1141" s="30"/>
      <c r="H1141" s="30"/>
      <c r="I1141" s="30"/>
      <c r="J1141" s="30"/>
      <c r="K1141" s="30"/>
      <c r="L1141" s="30"/>
      <c r="M1141" s="30"/>
      <c r="N1141" s="30"/>
      <c r="O1141" s="30"/>
      <c r="P1141" s="30"/>
      <c r="Q1141" s="30"/>
      <c r="R1141" s="30"/>
      <c r="S1141" s="30"/>
      <c r="T1141" s="30"/>
      <c r="U1141" s="30"/>
      <c r="V1141" s="30"/>
      <c r="W1141" s="30"/>
      <c r="X1141" s="30"/>
      <c r="Y1141" s="30"/>
      <c r="Z1141" s="30"/>
      <c r="AA1141" s="30"/>
      <c r="AB1141" s="30"/>
      <c r="AC1141" s="30"/>
      <c r="AD1141" s="30"/>
      <c r="AE1141" s="30"/>
      <c r="AF1141" s="30"/>
      <c r="AG1141" s="30"/>
      <c r="AH1141" s="30"/>
      <c r="AI1141" s="30"/>
      <c r="AJ1141" s="30"/>
      <c r="AK1141" s="30"/>
      <c r="AL1141" s="30"/>
      <c r="AM1141" s="30"/>
      <c r="AN1141" s="30"/>
      <c r="AO1141" s="30"/>
      <c r="AP1141" s="30"/>
      <c r="AQ1141" s="30"/>
      <c r="AR1141" s="30"/>
      <c r="AS1141" s="30"/>
      <c r="AT1141" s="30"/>
      <c r="AU1141" s="30"/>
      <c r="AV1141" s="30"/>
      <c r="AW1141" s="30"/>
      <c r="AX1141" s="30"/>
    </row>
    <row r="1142" ht="15.75" customHeight="1">
      <c r="A1142" s="30"/>
      <c r="B1142" s="30"/>
      <c r="C1142" s="31"/>
      <c r="D1142" s="31"/>
      <c r="E1142" s="31"/>
      <c r="F1142" s="30"/>
      <c r="G1142" s="30"/>
      <c r="H1142" s="30"/>
      <c r="I1142" s="30"/>
      <c r="J1142" s="30"/>
      <c r="K1142" s="30"/>
      <c r="L1142" s="30"/>
      <c r="M1142" s="30"/>
      <c r="N1142" s="30"/>
      <c r="O1142" s="30"/>
      <c r="P1142" s="30"/>
      <c r="Q1142" s="30"/>
      <c r="R1142" s="30"/>
      <c r="S1142" s="30"/>
      <c r="T1142" s="30"/>
      <c r="U1142" s="30"/>
      <c r="V1142" s="30"/>
      <c r="W1142" s="30"/>
      <c r="X1142" s="30"/>
      <c r="Y1142" s="30"/>
      <c r="Z1142" s="30"/>
      <c r="AA1142" s="30"/>
      <c r="AB1142" s="30"/>
      <c r="AC1142" s="30"/>
      <c r="AD1142" s="30"/>
      <c r="AE1142" s="30"/>
      <c r="AF1142" s="30"/>
      <c r="AG1142" s="30"/>
      <c r="AH1142" s="30"/>
      <c r="AI1142" s="30"/>
      <c r="AJ1142" s="30"/>
      <c r="AK1142" s="30"/>
      <c r="AL1142" s="30"/>
      <c r="AM1142" s="30"/>
      <c r="AN1142" s="30"/>
      <c r="AO1142" s="30"/>
      <c r="AP1142" s="30"/>
      <c r="AQ1142" s="30"/>
      <c r="AR1142" s="30"/>
      <c r="AS1142" s="30"/>
      <c r="AT1142" s="30"/>
      <c r="AU1142" s="30"/>
      <c r="AV1142" s="30"/>
      <c r="AW1142" s="30"/>
      <c r="AX1142" s="30"/>
    </row>
    <row r="1143" ht="15.75" customHeight="1">
      <c r="A1143" s="30"/>
      <c r="B1143" s="30"/>
      <c r="C1143" s="31"/>
      <c r="D1143" s="31"/>
      <c r="E1143" s="31"/>
      <c r="F1143" s="30"/>
      <c r="G1143" s="30"/>
      <c r="H1143" s="30"/>
      <c r="I1143" s="30"/>
      <c r="J1143" s="30"/>
      <c r="K1143" s="30"/>
      <c r="L1143" s="30"/>
      <c r="M1143" s="30"/>
      <c r="N1143" s="30"/>
      <c r="O1143" s="30"/>
      <c r="P1143" s="30"/>
      <c r="Q1143" s="30"/>
      <c r="R1143" s="30"/>
      <c r="S1143" s="30"/>
      <c r="T1143" s="30"/>
      <c r="U1143" s="30"/>
      <c r="V1143" s="30"/>
      <c r="W1143" s="30"/>
      <c r="X1143" s="30"/>
      <c r="Y1143" s="30"/>
      <c r="Z1143" s="30"/>
      <c r="AA1143" s="30"/>
      <c r="AB1143" s="30"/>
      <c r="AC1143" s="30"/>
      <c r="AD1143" s="30"/>
      <c r="AE1143" s="30"/>
      <c r="AF1143" s="30"/>
      <c r="AG1143" s="30"/>
      <c r="AH1143" s="30"/>
      <c r="AI1143" s="30"/>
      <c r="AJ1143" s="30"/>
      <c r="AK1143" s="30"/>
      <c r="AL1143" s="30"/>
      <c r="AM1143" s="30"/>
      <c r="AN1143" s="30"/>
      <c r="AO1143" s="30"/>
      <c r="AP1143" s="30"/>
      <c r="AQ1143" s="30"/>
      <c r="AR1143" s="30"/>
      <c r="AS1143" s="30"/>
      <c r="AT1143" s="30"/>
      <c r="AU1143" s="30"/>
      <c r="AV1143" s="30"/>
      <c r="AW1143" s="30"/>
      <c r="AX1143" s="30"/>
    </row>
    <row r="1144" ht="15.75" customHeight="1">
      <c r="A1144" s="30"/>
      <c r="B1144" s="30"/>
      <c r="C1144" s="31"/>
      <c r="D1144" s="31"/>
      <c r="E1144" s="31"/>
      <c r="F1144" s="30"/>
      <c r="G1144" s="30"/>
      <c r="H1144" s="30"/>
      <c r="I1144" s="30"/>
      <c r="J1144" s="30"/>
      <c r="K1144" s="30"/>
      <c r="L1144" s="30"/>
      <c r="M1144" s="30"/>
      <c r="N1144" s="30"/>
      <c r="O1144" s="30"/>
      <c r="P1144" s="30"/>
      <c r="Q1144" s="30"/>
      <c r="R1144" s="30"/>
      <c r="S1144" s="30"/>
      <c r="T1144" s="30"/>
      <c r="U1144" s="30"/>
      <c r="V1144" s="30"/>
      <c r="W1144" s="30"/>
      <c r="X1144" s="30"/>
      <c r="Y1144" s="30"/>
      <c r="Z1144" s="30"/>
      <c r="AA1144" s="30"/>
      <c r="AB1144" s="30"/>
      <c r="AC1144" s="30"/>
      <c r="AD1144" s="30"/>
      <c r="AE1144" s="30"/>
      <c r="AF1144" s="30"/>
      <c r="AG1144" s="30"/>
      <c r="AH1144" s="30"/>
      <c r="AI1144" s="30"/>
      <c r="AJ1144" s="30"/>
      <c r="AK1144" s="30"/>
      <c r="AL1144" s="30"/>
      <c r="AM1144" s="30"/>
      <c r="AN1144" s="30"/>
      <c r="AO1144" s="30"/>
      <c r="AP1144" s="30"/>
      <c r="AQ1144" s="30"/>
      <c r="AR1144" s="30"/>
      <c r="AS1144" s="30"/>
      <c r="AT1144" s="30"/>
      <c r="AU1144" s="30"/>
      <c r="AV1144" s="30"/>
      <c r="AW1144" s="30"/>
      <c r="AX1144" s="30"/>
    </row>
    <row r="1145" ht="15.75" customHeight="1">
      <c r="A1145" s="30"/>
      <c r="B1145" s="30"/>
      <c r="C1145" s="31"/>
      <c r="D1145" s="31"/>
      <c r="E1145" s="31"/>
      <c r="F1145" s="30"/>
      <c r="G1145" s="30"/>
      <c r="H1145" s="30"/>
      <c r="I1145" s="30"/>
      <c r="J1145" s="30"/>
      <c r="K1145" s="30"/>
      <c r="L1145" s="30"/>
      <c r="M1145" s="30"/>
      <c r="N1145" s="30"/>
      <c r="O1145" s="30"/>
      <c r="P1145" s="30"/>
      <c r="Q1145" s="30"/>
      <c r="R1145" s="30"/>
      <c r="S1145" s="30"/>
      <c r="T1145" s="30"/>
      <c r="U1145" s="30"/>
      <c r="V1145" s="30"/>
      <c r="W1145" s="30"/>
      <c r="X1145" s="30"/>
      <c r="Y1145" s="30"/>
      <c r="Z1145" s="30"/>
      <c r="AA1145" s="30"/>
      <c r="AB1145" s="30"/>
      <c r="AC1145" s="30"/>
      <c r="AD1145" s="30"/>
      <c r="AE1145" s="30"/>
      <c r="AF1145" s="30"/>
      <c r="AG1145" s="30"/>
      <c r="AH1145" s="30"/>
      <c r="AI1145" s="30"/>
      <c r="AJ1145" s="30"/>
      <c r="AK1145" s="30"/>
      <c r="AL1145" s="30"/>
      <c r="AM1145" s="30"/>
      <c r="AN1145" s="30"/>
      <c r="AO1145" s="30"/>
      <c r="AP1145" s="30"/>
      <c r="AQ1145" s="30"/>
      <c r="AR1145" s="30"/>
      <c r="AS1145" s="30"/>
      <c r="AT1145" s="30"/>
      <c r="AU1145" s="30"/>
      <c r="AV1145" s="30"/>
      <c r="AW1145" s="30"/>
      <c r="AX1145" s="30"/>
    </row>
    <row r="1146" ht="15.75" customHeight="1">
      <c r="A1146" s="30"/>
      <c r="B1146" s="30"/>
      <c r="C1146" s="31"/>
      <c r="D1146" s="31"/>
      <c r="E1146" s="31"/>
      <c r="F1146" s="30"/>
      <c r="G1146" s="30"/>
      <c r="H1146" s="30"/>
      <c r="I1146" s="30"/>
      <c r="J1146" s="30"/>
      <c r="K1146" s="30"/>
      <c r="L1146" s="30"/>
      <c r="M1146" s="30"/>
      <c r="N1146" s="30"/>
      <c r="O1146" s="30"/>
      <c r="P1146" s="30"/>
      <c r="Q1146" s="30"/>
      <c r="R1146" s="30"/>
      <c r="S1146" s="30"/>
      <c r="T1146" s="30"/>
      <c r="U1146" s="30"/>
      <c r="V1146" s="30"/>
      <c r="W1146" s="30"/>
      <c r="X1146" s="30"/>
      <c r="Y1146" s="30"/>
      <c r="Z1146" s="30"/>
      <c r="AA1146" s="30"/>
      <c r="AB1146" s="30"/>
      <c r="AC1146" s="30"/>
      <c r="AD1146" s="30"/>
      <c r="AE1146" s="30"/>
      <c r="AF1146" s="30"/>
      <c r="AG1146" s="30"/>
      <c r="AH1146" s="30"/>
      <c r="AI1146" s="30"/>
      <c r="AJ1146" s="30"/>
      <c r="AK1146" s="30"/>
      <c r="AL1146" s="30"/>
      <c r="AM1146" s="30"/>
      <c r="AN1146" s="30"/>
      <c r="AO1146" s="30"/>
      <c r="AP1146" s="30"/>
      <c r="AQ1146" s="30"/>
      <c r="AR1146" s="30"/>
      <c r="AS1146" s="30"/>
      <c r="AT1146" s="30"/>
      <c r="AU1146" s="30"/>
      <c r="AV1146" s="30"/>
      <c r="AW1146" s="30"/>
      <c r="AX1146" s="30"/>
    </row>
    <row r="1147" ht="15.75" customHeight="1">
      <c r="A1147" s="30"/>
      <c r="B1147" s="30"/>
      <c r="C1147" s="31"/>
      <c r="D1147" s="31"/>
      <c r="E1147" s="31"/>
      <c r="F1147" s="30"/>
      <c r="G1147" s="30"/>
      <c r="H1147" s="30"/>
      <c r="I1147" s="30"/>
      <c r="J1147" s="30"/>
      <c r="K1147" s="30"/>
      <c r="L1147" s="30"/>
      <c r="M1147" s="30"/>
      <c r="N1147" s="30"/>
      <c r="O1147" s="30"/>
      <c r="P1147" s="30"/>
      <c r="Q1147" s="30"/>
      <c r="R1147" s="30"/>
      <c r="S1147" s="30"/>
      <c r="T1147" s="30"/>
      <c r="U1147" s="30"/>
      <c r="V1147" s="30"/>
      <c r="W1147" s="30"/>
      <c r="X1147" s="30"/>
      <c r="Y1147" s="30"/>
      <c r="Z1147" s="30"/>
      <c r="AA1147" s="30"/>
      <c r="AB1147" s="30"/>
      <c r="AC1147" s="30"/>
      <c r="AD1147" s="30"/>
      <c r="AE1147" s="30"/>
      <c r="AF1147" s="30"/>
      <c r="AG1147" s="30"/>
      <c r="AH1147" s="30"/>
      <c r="AI1147" s="30"/>
      <c r="AJ1147" s="30"/>
      <c r="AK1147" s="30"/>
      <c r="AL1147" s="30"/>
      <c r="AM1147" s="30"/>
      <c r="AN1147" s="30"/>
      <c r="AO1147" s="30"/>
      <c r="AP1147" s="30"/>
      <c r="AQ1147" s="30"/>
      <c r="AR1147" s="30"/>
      <c r="AS1147" s="30"/>
      <c r="AT1147" s="30"/>
      <c r="AU1147" s="30"/>
      <c r="AV1147" s="30"/>
      <c r="AW1147" s="30"/>
      <c r="AX1147" s="30"/>
    </row>
    <row r="1148" ht="15.75" customHeight="1">
      <c r="A1148" s="30"/>
      <c r="B1148" s="30"/>
      <c r="C1148" s="31"/>
      <c r="D1148" s="31"/>
      <c r="E1148" s="31"/>
      <c r="F1148" s="30"/>
      <c r="G1148" s="30"/>
      <c r="H1148" s="30"/>
      <c r="I1148" s="30"/>
      <c r="J1148" s="30"/>
      <c r="K1148" s="30"/>
      <c r="L1148" s="30"/>
      <c r="M1148" s="30"/>
      <c r="N1148" s="30"/>
      <c r="O1148" s="30"/>
      <c r="P1148" s="30"/>
      <c r="Q1148" s="30"/>
      <c r="R1148" s="30"/>
      <c r="S1148" s="30"/>
      <c r="T1148" s="30"/>
      <c r="U1148" s="30"/>
      <c r="V1148" s="30"/>
      <c r="W1148" s="30"/>
      <c r="X1148" s="30"/>
      <c r="Y1148" s="30"/>
      <c r="Z1148" s="30"/>
      <c r="AA1148" s="30"/>
      <c r="AB1148" s="30"/>
      <c r="AC1148" s="30"/>
      <c r="AD1148" s="30"/>
      <c r="AE1148" s="30"/>
      <c r="AF1148" s="30"/>
      <c r="AG1148" s="30"/>
      <c r="AH1148" s="30"/>
      <c r="AI1148" s="30"/>
      <c r="AJ1148" s="30"/>
      <c r="AK1148" s="30"/>
      <c r="AL1148" s="30"/>
      <c r="AM1148" s="30"/>
      <c r="AN1148" s="30"/>
      <c r="AO1148" s="30"/>
      <c r="AP1148" s="30"/>
      <c r="AQ1148" s="30"/>
      <c r="AR1148" s="30"/>
      <c r="AS1148" s="30"/>
      <c r="AT1148" s="30"/>
      <c r="AU1148" s="30"/>
      <c r="AV1148" s="30"/>
      <c r="AW1148" s="30"/>
      <c r="AX1148" s="30"/>
    </row>
    <row r="1149" ht="15.75" customHeight="1">
      <c r="A1149" s="30"/>
      <c r="B1149" s="30"/>
      <c r="C1149" s="31"/>
      <c r="D1149" s="31"/>
      <c r="E1149" s="31"/>
      <c r="F1149" s="30"/>
      <c r="G1149" s="30"/>
      <c r="H1149" s="30"/>
      <c r="I1149" s="30"/>
      <c r="J1149" s="30"/>
      <c r="K1149" s="30"/>
      <c r="L1149" s="30"/>
      <c r="M1149" s="30"/>
      <c r="N1149" s="30"/>
      <c r="O1149" s="30"/>
      <c r="P1149" s="30"/>
      <c r="Q1149" s="30"/>
      <c r="R1149" s="30"/>
      <c r="S1149" s="30"/>
      <c r="T1149" s="30"/>
      <c r="U1149" s="30"/>
      <c r="V1149" s="30"/>
      <c r="W1149" s="30"/>
      <c r="X1149" s="30"/>
      <c r="Y1149" s="30"/>
      <c r="Z1149" s="30"/>
      <c r="AA1149" s="30"/>
      <c r="AB1149" s="30"/>
      <c r="AC1149" s="30"/>
      <c r="AD1149" s="30"/>
      <c r="AE1149" s="30"/>
      <c r="AF1149" s="30"/>
      <c r="AG1149" s="30"/>
      <c r="AH1149" s="30"/>
      <c r="AI1149" s="30"/>
      <c r="AJ1149" s="30"/>
      <c r="AK1149" s="30"/>
      <c r="AL1149" s="30"/>
      <c r="AM1149" s="30"/>
      <c r="AN1149" s="30"/>
      <c r="AO1149" s="30"/>
      <c r="AP1149" s="30"/>
      <c r="AQ1149" s="30"/>
      <c r="AR1149" s="30"/>
      <c r="AS1149" s="30"/>
      <c r="AT1149" s="30"/>
      <c r="AU1149" s="30"/>
      <c r="AV1149" s="30"/>
      <c r="AW1149" s="30"/>
      <c r="AX1149" s="30"/>
    </row>
    <row r="1150" ht="15.75" customHeight="1">
      <c r="A1150" s="30"/>
      <c r="B1150" s="30"/>
      <c r="C1150" s="31"/>
      <c r="D1150" s="31"/>
      <c r="E1150" s="31"/>
      <c r="F1150" s="30"/>
      <c r="G1150" s="30"/>
      <c r="H1150" s="30"/>
      <c r="I1150" s="30"/>
      <c r="J1150" s="30"/>
      <c r="K1150" s="30"/>
      <c r="L1150" s="30"/>
      <c r="M1150" s="30"/>
      <c r="N1150" s="30"/>
      <c r="O1150" s="30"/>
      <c r="P1150" s="30"/>
      <c r="Q1150" s="30"/>
      <c r="R1150" s="30"/>
      <c r="S1150" s="30"/>
      <c r="T1150" s="30"/>
      <c r="U1150" s="30"/>
      <c r="V1150" s="30"/>
      <c r="W1150" s="30"/>
      <c r="X1150" s="30"/>
      <c r="Y1150" s="30"/>
      <c r="Z1150" s="30"/>
      <c r="AA1150" s="30"/>
      <c r="AB1150" s="30"/>
      <c r="AC1150" s="30"/>
      <c r="AD1150" s="30"/>
      <c r="AE1150" s="30"/>
      <c r="AF1150" s="30"/>
      <c r="AG1150" s="30"/>
      <c r="AH1150" s="30"/>
      <c r="AI1150" s="30"/>
      <c r="AJ1150" s="30"/>
      <c r="AK1150" s="30"/>
      <c r="AL1150" s="30"/>
      <c r="AM1150" s="30"/>
      <c r="AN1150" s="30"/>
      <c r="AO1150" s="30"/>
      <c r="AP1150" s="30"/>
      <c r="AQ1150" s="30"/>
      <c r="AR1150" s="30"/>
      <c r="AS1150" s="30"/>
      <c r="AT1150" s="30"/>
      <c r="AU1150" s="30"/>
      <c r="AV1150" s="30"/>
      <c r="AW1150" s="30"/>
      <c r="AX1150" s="30"/>
    </row>
    <row r="1151" ht="15.75" customHeight="1">
      <c r="A1151" s="30"/>
      <c r="B1151" s="30"/>
      <c r="C1151" s="31"/>
      <c r="D1151" s="31"/>
      <c r="E1151" s="31"/>
      <c r="F1151" s="30"/>
      <c r="G1151" s="30"/>
      <c r="H1151" s="30"/>
      <c r="I1151" s="30"/>
      <c r="J1151" s="30"/>
      <c r="K1151" s="30"/>
      <c r="L1151" s="30"/>
      <c r="M1151" s="30"/>
      <c r="N1151" s="30"/>
      <c r="O1151" s="30"/>
      <c r="P1151" s="30"/>
      <c r="Q1151" s="30"/>
      <c r="R1151" s="30"/>
      <c r="S1151" s="30"/>
      <c r="T1151" s="30"/>
      <c r="U1151" s="30"/>
      <c r="V1151" s="30"/>
      <c r="W1151" s="30"/>
      <c r="X1151" s="30"/>
      <c r="Y1151" s="30"/>
      <c r="Z1151" s="30"/>
      <c r="AA1151" s="30"/>
      <c r="AB1151" s="30"/>
      <c r="AC1151" s="30"/>
      <c r="AD1151" s="30"/>
      <c r="AE1151" s="30"/>
      <c r="AF1151" s="30"/>
      <c r="AG1151" s="30"/>
      <c r="AH1151" s="30"/>
      <c r="AI1151" s="30"/>
      <c r="AJ1151" s="30"/>
      <c r="AK1151" s="30"/>
      <c r="AL1151" s="30"/>
      <c r="AM1151" s="30"/>
      <c r="AN1151" s="30"/>
      <c r="AO1151" s="30"/>
      <c r="AP1151" s="30"/>
      <c r="AQ1151" s="30"/>
      <c r="AR1151" s="30"/>
      <c r="AS1151" s="30"/>
      <c r="AT1151" s="30"/>
      <c r="AU1151" s="30"/>
      <c r="AV1151" s="30"/>
      <c r="AW1151" s="30"/>
      <c r="AX1151" s="30"/>
    </row>
    <row r="1152" ht="15.75" customHeight="1">
      <c r="A1152" s="30"/>
      <c r="B1152" s="30"/>
      <c r="C1152" s="31"/>
      <c r="D1152" s="31"/>
      <c r="E1152" s="31"/>
      <c r="F1152" s="30"/>
      <c r="G1152" s="30"/>
      <c r="H1152" s="30"/>
      <c r="I1152" s="30"/>
      <c r="J1152" s="30"/>
      <c r="K1152" s="30"/>
      <c r="L1152" s="30"/>
      <c r="M1152" s="30"/>
      <c r="N1152" s="30"/>
      <c r="O1152" s="30"/>
      <c r="P1152" s="30"/>
      <c r="Q1152" s="30"/>
      <c r="R1152" s="30"/>
      <c r="S1152" s="30"/>
      <c r="T1152" s="30"/>
      <c r="U1152" s="30"/>
      <c r="V1152" s="30"/>
      <c r="W1152" s="30"/>
      <c r="X1152" s="30"/>
      <c r="Y1152" s="30"/>
      <c r="Z1152" s="30"/>
      <c r="AA1152" s="30"/>
      <c r="AB1152" s="30"/>
      <c r="AC1152" s="30"/>
      <c r="AD1152" s="30"/>
      <c r="AE1152" s="30"/>
      <c r="AF1152" s="30"/>
      <c r="AG1152" s="30"/>
      <c r="AH1152" s="30"/>
      <c r="AI1152" s="30"/>
      <c r="AJ1152" s="30"/>
      <c r="AK1152" s="30"/>
      <c r="AL1152" s="30"/>
      <c r="AM1152" s="30"/>
      <c r="AN1152" s="30"/>
      <c r="AO1152" s="30"/>
      <c r="AP1152" s="30"/>
      <c r="AQ1152" s="30"/>
      <c r="AR1152" s="30"/>
      <c r="AS1152" s="30"/>
      <c r="AT1152" s="30"/>
      <c r="AU1152" s="30"/>
      <c r="AV1152" s="30"/>
      <c r="AW1152" s="30"/>
      <c r="AX1152" s="30"/>
    </row>
    <row r="1153" ht="15.75" customHeight="1">
      <c r="A1153" s="30"/>
      <c r="B1153" s="30"/>
      <c r="C1153" s="31"/>
      <c r="D1153" s="31"/>
      <c r="E1153" s="31"/>
      <c r="F1153" s="30"/>
      <c r="G1153" s="30"/>
      <c r="H1153" s="30"/>
      <c r="I1153" s="30"/>
      <c r="J1153" s="30"/>
      <c r="K1153" s="30"/>
      <c r="L1153" s="30"/>
      <c r="M1153" s="30"/>
      <c r="N1153" s="30"/>
      <c r="O1153" s="30"/>
      <c r="P1153" s="30"/>
      <c r="Q1153" s="30"/>
      <c r="R1153" s="30"/>
      <c r="S1153" s="30"/>
      <c r="T1153" s="30"/>
      <c r="U1153" s="30"/>
      <c r="V1153" s="30"/>
      <c r="W1153" s="30"/>
      <c r="X1153" s="30"/>
      <c r="Y1153" s="30"/>
      <c r="Z1153" s="30"/>
      <c r="AA1153" s="30"/>
      <c r="AB1153" s="30"/>
      <c r="AC1153" s="30"/>
      <c r="AD1153" s="30"/>
      <c r="AE1153" s="30"/>
      <c r="AF1153" s="30"/>
      <c r="AG1153" s="30"/>
      <c r="AH1153" s="30"/>
      <c r="AI1153" s="30"/>
      <c r="AJ1153" s="30"/>
      <c r="AK1153" s="30"/>
      <c r="AL1153" s="30"/>
      <c r="AM1153" s="30"/>
      <c r="AN1153" s="30"/>
      <c r="AO1153" s="30"/>
      <c r="AP1153" s="30"/>
      <c r="AQ1153" s="30"/>
      <c r="AR1153" s="30"/>
      <c r="AS1153" s="30"/>
      <c r="AT1153" s="30"/>
      <c r="AU1153" s="30"/>
      <c r="AV1153" s="30"/>
      <c r="AW1153" s="30"/>
      <c r="AX1153" s="30"/>
    </row>
    <row r="1154" ht="15.75" customHeight="1">
      <c r="A1154" s="30"/>
      <c r="B1154" s="30"/>
      <c r="C1154" s="31"/>
      <c r="D1154" s="31"/>
      <c r="E1154" s="31"/>
      <c r="F1154" s="30"/>
      <c r="G1154" s="30"/>
      <c r="H1154" s="30"/>
      <c r="I1154" s="30"/>
      <c r="J1154" s="30"/>
      <c r="K1154" s="30"/>
      <c r="L1154" s="30"/>
      <c r="M1154" s="30"/>
      <c r="N1154" s="30"/>
      <c r="O1154" s="30"/>
      <c r="P1154" s="30"/>
      <c r="Q1154" s="30"/>
      <c r="R1154" s="30"/>
      <c r="S1154" s="30"/>
      <c r="T1154" s="30"/>
      <c r="U1154" s="30"/>
      <c r="V1154" s="30"/>
      <c r="W1154" s="30"/>
      <c r="X1154" s="30"/>
      <c r="Y1154" s="30"/>
      <c r="Z1154" s="30"/>
      <c r="AA1154" s="30"/>
      <c r="AB1154" s="30"/>
      <c r="AC1154" s="30"/>
      <c r="AD1154" s="30"/>
      <c r="AE1154" s="30"/>
      <c r="AF1154" s="30"/>
      <c r="AG1154" s="30"/>
      <c r="AH1154" s="30"/>
      <c r="AI1154" s="30"/>
      <c r="AJ1154" s="30"/>
      <c r="AK1154" s="30"/>
      <c r="AL1154" s="30"/>
      <c r="AM1154" s="30"/>
      <c r="AN1154" s="30"/>
      <c r="AO1154" s="30"/>
      <c r="AP1154" s="30"/>
      <c r="AQ1154" s="30"/>
      <c r="AR1154" s="30"/>
      <c r="AS1154" s="30"/>
      <c r="AT1154" s="30"/>
      <c r="AU1154" s="30"/>
      <c r="AV1154" s="30"/>
      <c r="AW1154" s="30"/>
      <c r="AX1154" s="30"/>
    </row>
    <row r="1155" ht="15.75" customHeight="1">
      <c r="A1155" s="30"/>
      <c r="B1155" s="30"/>
      <c r="C1155" s="31"/>
      <c r="D1155" s="31"/>
      <c r="E1155" s="31"/>
      <c r="F1155" s="30"/>
      <c r="G1155" s="30"/>
      <c r="H1155" s="30"/>
      <c r="I1155" s="30"/>
      <c r="J1155" s="30"/>
      <c r="K1155" s="30"/>
      <c r="L1155" s="30"/>
      <c r="M1155" s="30"/>
      <c r="N1155" s="30"/>
      <c r="O1155" s="30"/>
      <c r="P1155" s="30"/>
      <c r="Q1155" s="30"/>
      <c r="R1155" s="30"/>
      <c r="S1155" s="30"/>
      <c r="T1155" s="30"/>
      <c r="U1155" s="30"/>
      <c r="V1155" s="30"/>
      <c r="W1155" s="30"/>
      <c r="X1155" s="30"/>
      <c r="Y1155" s="30"/>
      <c r="Z1155" s="30"/>
      <c r="AA1155" s="30"/>
      <c r="AB1155" s="30"/>
      <c r="AC1155" s="30"/>
      <c r="AD1155" s="30"/>
      <c r="AE1155" s="30"/>
      <c r="AF1155" s="30"/>
      <c r="AG1155" s="30"/>
      <c r="AH1155" s="30"/>
      <c r="AI1155" s="30"/>
      <c r="AJ1155" s="30"/>
      <c r="AK1155" s="30"/>
      <c r="AL1155" s="30"/>
      <c r="AM1155" s="30"/>
      <c r="AN1155" s="30"/>
      <c r="AO1155" s="30"/>
      <c r="AP1155" s="30"/>
      <c r="AQ1155" s="30"/>
      <c r="AR1155" s="30"/>
      <c r="AS1155" s="30"/>
      <c r="AT1155" s="30"/>
      <c r="AU1155" s="30"/>
      <c r="AV1155" s="30"/>
      <c r="AW1155" s="30"/>
      <c r="AX1155" s="30"/>
    </row>
    <row r="1156" ht="15.75" customHeight="1">
      <c r="A1156" s="30"/>
      <c r="B1156" s="30"/>
      <c r="C1156" s="31"/>
      <c r="D1156" s="31"/>
      <c r="E1156" s="31"/>
      <c r="F1156" s="30"/>
      <c r="G1156" s="30"/>
      <c r="H1156" s="30"/>
      <c r="I1156" s="30"/>
      <c r="J1156" s="30"/>
      <c r="K1156" s="30"/>
      <c r="L1156" s="30"/>
      <c r="M1156" s="30"/>
      <c r="N1156" s="30"/>
      <c r="O1156" s="30"/>
      <c r="P1156" s="30"/>
      <c r="Q1156" s="30"/>
      <c r="R1156" s="30"/>
      <c r="S1156" s="30"/>
      <c r="T1156" s="30"/>
      <c r="U1156" s="30"/>
      <c r="V1156" s="30"/>
      <c r="W1156" s="30"/>
      <c r="X1156" s="30"/>
      <c r="Y1156" s="30"/>
      <c r="Z1156" s="30"/>
      <c r="AA1156" s="30"/>
      <c r="AB1156" s="30"/>
      <c r="AC1156" s="30"/>
      <c r="AD1156" s="30"/>
      <c r="AE1156" s="30"/>
      <c r="AF1156" s="30"/>
      <c r="AG1156" s="30"/>
      <c r="AH1156" s="30"/>
      <c r="AI1156" s="30"/>
      <c r="AJ1156" s="30"/>
      <c r="AK1156" s="30"/>
      <c r="AL1156" s="30"/>
      <c r="AM1156" s="30"/>
      <c r="AN1156" s="30"/>
      <c r="AO1156" s="30"/>
      <c r="AP1156" s="30"/>
      <c r="AQ1156" s="30"/>
      <c r="AR1156" s="30"/>
      <c r="AS1156" s="30"/>
      <c r="AT1156" s="30"/>
      <c r="AU1156" s="30"/>
      <c r="AV1156" s="30"/>
      <c r="AW1156" s="30"/>
      <c r="AX1156" s="30"/>
    </row>
    <row r="1157" ht="15.75" customHeight="1">
      <c r="A1157" s="30"/>
      <c r="B1157" s="30"/>
      <c r="C1157" s="31"/>
      <c r="D1157" s="31"/>
      <c r="E1157" s="31"/>
      <c r="F1157" s="30"/>
      <c r="G1157" s="30"/>
      <c r="H1157" s="30"/>
      <c r="I1157" s="30"/>
      <c r="J1157" s="30"/>
      <c r="K1157" s="30"/>
      <c r="L1157" s="30"/>
      <c r="M1157" s="30"/>
      <c r="N1157" s="30"/>
      <c r="O1157" s="30"/>
      <c r="P1157" s="30"/>
      <c r="Q1157" s="30"/>
      <c r="R1157" s="30"/>
      <c r="S1157" s="30"/>
      <c r="T1157" s="30"/>
      <c r="U1157" s="30"/>
      <c r="V1157" s="30"/>
      <c r="W1157" s="30"/>
      <c r="X1157" s="30"/>
      <c r="Y1157" s="30"/>
      <c r="Z1157" s="30"/>
      <c r="AA1157" s="30"/>
      <c r="AB1157" s="30"/>
      <c r="AC1157" s="30"/>
      <c r="AD1157" s="30"/>
      <c r="AE1157" s="30"/>
      <c r="AF1157" s="30"/>
      <c r="AG1157" s="30"/>
      <c r="AH1157" s="30"/>
      <c r="AI1157" s="30"/>
      <c r="AJ1157" s="30"/>
      <c r="AK1157" s="30"/>
      <c r="AL1157" s="30"/>
      <c r="AM1157" s="30"/>
      <c r="AN1157" s="30"/>
      <c r="AO1157" s="30"/>
      <c r="AP1157" s="30"/>
      <c r="AQ1157" s="30"/>
      <c r="AR1157" s="30"/>
      <c r="AS1157" s="30"/>
      <c r="AT1157" s="30"/>
      <c r="AU1157" s="30"/>
      <c r="AV1157" s="30"/>
      <c r="AW1157" s="30"/>
      <c r="AX1157" s="30"/>
    </row>
    <row r="1158" ht="15.75" customHeight="1">
      <c r="A1158" s="30"/>
      <c r="B1158" s="30"/>
      <c r="C1158" s="31"/>
      <c r="D1158" s="31"/>
      <c r="E1158" s="31"/>
      <c r="F1158" s="30"/>
      <c r="G1158" s="30"/>
      <c r="H1158" s="30"/>
      <c r="I1158" s="30"/>
      <c r="J1158" s="30"/>
      <c r="K1158" s="30"/>
      <c r="L1158" s="30"/>
      <c r="M1158" s="30"/>
      <c r="N1158" s="30"/>
      <c r="O1158" s="30"/>
      <c r="P1158" s="30"/>
      <c r="Q1158" s="30"/>
      <c r="R1158" s="30"/>
      <c r="S1158" s="30"/>
      <c r="T1158" s="30"/>
      <c r="U1158" s="30"/>
      <c r="V1158" s="30"/>
      <c r="W1158" s="30"/>
      <c r="X1158" s="30"/>
      <c r="Y1158" s="30"/>
      <c r="Z1158" s="30"/>
      <c r="AA1158" s="30"/>
      <c r="AB1158" s="30"/>
      <c r="AC1158" s="30"/>
      <c r="AD1158" s="30"/>
      <c r="AE1158" s="30"/>
      <c r="AF1158" s="30"/>
      <c r="AG1158" s="30"/>
      <c r="AH1158" s="30"/>
      <c r="AI1158" s="30"/>
      <c r="AJ1158" s="30"/>
      <c r="AK1158" s="30"/>
      <c r="AL1158" s="30"/>
      <c r="AM1158" s="30"/>
      <c r="AN1158" s="30"/>
      <c r="AO1158" s="30"/>
      <c r="AP1158" s="30"/>
      <c r="AQ1158" s="30"/>
      <c r="AR1158" s="30"/>
      <c r="AS1158" s="30"/>
      <c r="AT1158" s="30"/>
      <c r="AU1158" s="30"/>
      <c r="AV1158" s="30"/>
      <c r="AW1158" s="30"/>
      <c r="AX1158" s="30"/>
    </row>
    <row r="1159" ht="15.75" customHeight="1">
      <c r="A1159" s="30"/>
      <c r="B1159" s="30"/>
      <c r="C1159" s="31"/>
      <c r="D1159" s="31"/>
      <c r="E1159" s="31"/>
      <c r="F1159" s="30"/>
      <c r="G1159" s="30"/>
      <c r="H1159" s="30"/>
      <c r="I1159" s="30"/>
      <c r="J1159" s="30"/>
      <c r="K1159" s="30"/>
      <c r="L1159" s="30"/>
      <c r="M1159" s="30"/>
      <c r="N1159" s="30"/>
      <c r="O1159" s="30"/>
      <c r="P1159" s="30"/>
      <c r="Q1159" s="30"/>
      <c r="R1159" s="30"/>
      <c r="S1159" s="30"/>
      <c r="T1159" s="30"/>
      <c r="U1159" s="30"/>
      <c r="V1159" s="30"/>
      <c r="W1159" s="30"/>
      <c r="X1159" s="30"/>
      <c r="Y1159" s="30"/>
      <c r="Z1159" s="30"/>
      <c r="AA1159" s="30"/>
      <c r="AB1159" s="30"/>
      <c r="AC1159" s="30"/>
      <c r="AD1159" s="30"/>
      <c r="AE1159" s="30"/>
      <c r="AF1159" s="30"/>
      <c r="AG1159" s="30"/>
      <c r="AH1159" s="30"/>
      <c r="AI1159" s="30"/>
      <c r="AJ1159" s="30"/>
      <c r="AK1159" s="30"/>
      <c r="AL1159" s="30"/>
      <c r="AM1159" s="30"/>
      <c r="AN1159" s="30"/>
      <c r="AO1159" s="30"/>
      <c r="AP1159" s="30"/>
      <c r="AQ1159" s="30"/>
      <c r="AR1159" s="30"/>
      <c r="AS1159" s="30"/>
      <c r="AT1159" s="30"/>
      <c r="AU1159" s="30"/>
      <c r="AV1159" s="30"/>
      <c r="AW1159" s="30"/>
      <c r="AX1159" s="30"/>
    </row>
    <row r="1160" ht="15.75" customHeight="1">
      <c r="A1160" s="30"/>
      <c r="B1160" s="30"/>
      <c r="C1160" s="31"/>
      <c r="D1160" s="31"/>
      <c r="E1160" s="31"/>
      <c r="F1160" s="30"/>
      <c r="G1160" s="30"/>
      <c r="H1160" s="30"/>
      <c r="I1160" s="30"/>
      <c r="J1160" s="30"/>
      <c r="K1160" s="30"/>
      <c r="L1160" s="30"/>
      <c r="M1160" s="30"/>
      <c r="N1160" s="30"/>
      <c r="O1160" s="30"/>
      <c r="P1160" s="30"/>
      <c r="Q1160" s="30"/>
      <c r="R1160" s="30"/>
      <c r="S1160" s="30"/>
      <c r="T1160" s="30"/>
      <c r="U1160" s="30"/>
      <c r="V1160" s="30"/>
      <c r="W1160" s="30"/>
      <c r="X1160" s="30"/>
      <c r="Y1160" s="30"/>
      <c r="Z1160" s="30"/>
      <c r="AA1160" s="30"/>
      <c r="AB1160" s="30"/>
      <c r="AC1160" s="30"/>
      <c r="AD1160" s="30"/>
      <c r="AE1160" s="30"/>
      <c r="AF1160" s="30"/>
      <c r="AG1160" s="30"/>
      <c r="AH1160" s="30"/>
      <c r="AI1160" s="30"/>
      <c r="AJ1160" s="30"/>
      <c r="AK1160" s="30"/>
      <c r="AL1160" s="30"/>
      <c r="AM1160" s="30"/>
      <c r="AN1160" s="30"/>
      <c r="AO1160" s="30"/>
      <c r="AP1160" s="30"/>
      <c r="AQ1160" s="30"/>
      <c r="AR1160" s="30"/>
      <c r="AS1160" s="30"/>
      <c r="AT1160" s="30"/>
      <c r="AU1160" s="30"/>
      <c r="AV1160" s="30"/>
      <c r="AW1160" s="30"/>
      <c r="AX1160" s="30"/>
    </row>
    <row r="1161" ht="15.75" customHeight="1">
      <c r="A1161" s="30"/>
      <c r="B1161" s="30"/>
      <c r="C1161" s="31"/>
      <c r="D1161" s="31"/>
      <c r="E1161" s="31"/>
      <c r="F1161" s="30"/>
      <c r="G1161" s="30"/>
      <c r="H1161" s="30"/>
      <c r="I1161" s="30"/>
      <c r="J1161" s="30"/>
      <c r="K1161" s="30"/>
      <c r="L1161" s="30"/>
      <c r="M1161" s="30"/>
      <c r="N1161" s="30"/>
      <c r="O1161" s="30"/>
      <c r="P1161" s="30"/>
      <c r="Q1161" s="30"/>
      <c r="R1161" s="30"/>
      <c r="S1161" s="30"/>
      <c r="T1161" s="30"/>
      <c r="U1161" s="30"/>
      <c r="V1161" s="30"/>
      <c r="W1161" s="30"/>
      <c r="X1161" s="30"/>
      <c r="Y1161" s="30"/>
      <c r="Z1161" s="30"/>
      <c r="AA1161" s="30"/>
      <c r="AB1161" s="30"/>
      <c r="AC1161" s="30"/>
      <c r="AD1161" s="30"/>
      <c r="AE1161" s="30"/>
      <c r="AF1161" s="30"/>
      <c r="AG1161" s="30"/>
      <c r="AH1161" s="30"/>
      <c r="AI1161" s="30"/>
      <c r="AJ1161" s="30"/>
      <c r="AK1161" s="30"/>
      <c r="AL1161" s="30"/>
      <c r="AM1161" s="30"/>
      <c r="AN1161" s="30"/>
      <c r="AO1161" s="30"/>
      <c r="AP1161" s="30"/>
      <c r="AQ1161" s="30"/>
      <c r="AR1161" s="30"/>
      <c r="AS1161" s="30"/>
      <c r="AT1161" s="30"/>
      <c r="AU1161" s="30"/>
      <c r="AV1161" s="30"/>
      <c r="AW1161" s="30"/>
      <c r="AX1161" s="30"/>
    </row>
    <row r="1162" ht="15.75" customHeight="1">
      <c r="A1162" s="30"/>
      <c r="B1162" s="30"/>
      <c r="C1162" s="31"/>
      <c r="D1162" s="31"/>
      <c r="E1162" s="31"/>
      <c r="F1162" s="30"/>
      <c r="G1162" s="30"/>
      <c r="H1162" s="30"/>
      <c r="I1162" s="30"/>
      <c r="J1162" s="30"/>
      <c r="K1162" s="30"/>
      <c r="L1162" s="30"/>
      <c r="M1162" s="30"/>
      <c r="N1162" s="30"/>
      <c r="O1162" s="30"/>
      <c r="P1162" s="30"/>
      <c r="Q1162" s="30"/>
      <c r="R1162" s="30"/>
      <c r="S1162" s="30"/>
      <c r="T1162" s="30"/>
      <c r="U1162" s="30"/>
      <c r="V1162" s="30"/>
      <c r="W1162" s="30"/>
      <c r="X1162" s="30"/>
      <c r="Y1162" s="30"/>
      <c r="Z1162" s="30"/>
      <c r="AA1162" s="30"/>
      <c r="AB1162" s="30"/>
      <c r="AC1162" s="30"/>
      <c r="AD1162" s="30"/>
      <c r="AE1162" s="30"/>
      <c r="AF1162" s="30"/>
      <c r="AG1162" s="30"/>
      <c r="AH1162" s="30"/>
      <c r="AI1162" s="30"/>
      <c r="AJ1162" s="30"/>
      <c r="AK1162" s="30"/>
      <c r="AL1162" s="30"/>
      <c r="AM1162" s="30"/>
      <c r="AN1162" s="30"/>
      <c r="AO1162" s="30"/>
      <c r="AP1162" s="30"/>
      <c r="AQ1162" s="30"/>
      <c r="AR1162" s="30"/>
      <c r="AS1162" s="30"/>
      <c r="AT1162" s="30"/>
      <c r="AU1162" s="30"/>
      <c r="AV1162" s="30"/>
      <c r="AW1162" s="30"/>
      <c r="AX1162" s="30"/>
    </row>
    <row r="1163" ht="15.75" customHeight="1">
      <c r="A1163" s="30"/>
      <c r="B1163" s="30"/>
      <c r="C1163" s="31"/>
      <c r="D1163" s="31"/>
      <c r="E1163" s="31"/>
      <c r="F1163" s="30"/>
      <c r="G1163" s="30"/>
      <c r="H1163" s="30"/>
      <c r="I1163" s="30"/>
      <c r="J1163" s="30"/>
      <c r="K1163" s="30"/>
      <c r="L1163" s="30"/>
      <c r="M1163" s="30"/>
      <c r="N1163" s="30"/>
      <c r="O1163" s="30"/>
      <c r="P1163" s="30"/>
      <c r="Q1163" s="30"/>
      <c r="R1163" s="30"/>
      <c r="S1163" s="30"/>
      <c r="T1163" s="30"/>
      <c r="U1163" s="30"/>
      <c r="V1163" s="30"/>
      <c r="W1163" s="30"/>
      <c r="X1163" s="30"/>
      <c r="Y1163" s="30"/>
      <c r="Z1163" s="30"/>
      <c r="AA1163" s="30"/>
      <c r="AB1163" s="30"/>
      <c r="AC1163" s="30"/>
      <c r="AD1163" s="30"/>
      <c r="AE1163" s="30"/>
      <c r="AF1163" s="30"/>
      <c r="AG1163" s="30"/>
      <c r="AH1163" s="30"/>
      <c r="AI1163" s="30"/>
      <c r="AJ1163" s="30"/>
      <c r="AK1163" s="30"/>
      <c r="AL1163" s="30"/>
      <c r="AM1163" s="30"/>
      <c r="AN1163" s="30"/>
      <c r="AO1163" s="30"/>
      <c r="AP1163" s="30"/>
      <c r="AQ1163" s="30"/>
      <c r="AR1163" s="30"/>
      <c r="AS1163" s="30"/>
      <c r="AT1163" s="30"/>
      <c r="AU1163" s="30"/>
      <c r="AV1163" s="30"/>
      <c r="AW1163" s="30"/>
      <c r="AX1163" s="30"/>
    </row>
    <row r="1164" ht="15.75" customHeight="1">
      <c r="A1164" s="30"/>
      <c r="B1164" s="30"/>
      <c r="C1164" s="31"/>
      <c r="D1164" s="31"/>
      <c r="E1164" s="31"/>
      <c r="F1164" s="30"/>
      <c r="G1164" s="30"/>
      <c r="H1164" s="30"/>
      <c r="I1164" s="30"/>
      <c r="J1164" s="30"/>
      <c r="K1164" s="30"/>
      <c r="L1164" s="30"/>
      <c r="M1164" s="30"/>
      <c r="N1164" s="30"/>
      <c r="O1164" s="30"/>
      <c r="P1164" s="30"/>
      <c r="Q1164" s="30"/>
      <c r="R1164" s="30"/>
      <c r="S1164" s="30"/>
      <c r="T1164" s="30"/>
      <c r="U1164" s="30"/>
      <c r="V1164" s="30"/>
      <c r="W1164" s="30"/>
      <c r="X1164" s="30"/>
      <c r="Y1164" s="30"/>
      <c r="Z1164" s="30"/>
      <c r="AA1164" s="30"/>
      <c r="AB1164" s="30"/>
      <c r="AC1164" s="30"/>
      <c r="AD1164" s="30"/>
      <c r="AE1164" s="30"/>
      <c r="AF1164" s="30"/>
      <c r="AG1164" s="30"/>
      <c r="AH1164" s="30"/>
      <c r="AI1164" s="30"/>
      <c r="AJ1164" s="30"/>
      <c r="AK1164" s="30"/>
      <c r="AL1164" s="30"/>
      <c r="AM1164" s="30"/>
      <c r="AN1164" s="30"/>
      <c r="AO1164" s="30"/>
      <c r="AP1164" s="30"/>
      <c r="AQ1164" s="30"/>
      <c r="AR1164" s="30"/>
      <c r="AS1164" s="30"/>
      <c r="AT1164" s="30"/>
      <c r="AU1164" s="30"/>
      <c r="AV1164" s="30"/>
      <c r="AW1164" s="30"/>
      <c r="AX1164" s="30"/>
    </row>
    <row r="1165" ht="15.75" customHeight="1">
      <c r="A1165" s="30"/>
      <c r="B1165" s="30"/>
      <c r="C1165" s="31"/>
      <c r="D1165" s="31"/>
      <c r="E1165" s="31"/>
      <c r="F1165" s="30"/>
      <c r="G1165" s="30"/>
      <c r="H1165" s="30"/>
      <c r="I1165" s="30"/>
      <c r="J1165" s="30"/>
      <c r="K1165" s="30"/>
      <c r="L1165" s="30"/>
      <c r="M1165" s="30"/>
      <c r="N1165" s="30"/>
      <c r="O1165" s="30"/>
      <c r="P1165" s="30"/>
      <c r="Q1165" s="30"/>
      <c r="R1165" s="30"/>
      <c r="S1165" s="30"/>
      <c r="T1165" s="30"/>
      <c r="U1165" s="30"/>
      <c r="V1165" s="30"/>
      <c r="W1165" s="30"/>
      <c r="X1165" s="30"/>
      <c r="Y1165" s="30"/>
      <c r="Z1165" s="30"/>
      <c r="AA1165" s="30"/>
      <c r="AB1165" s="30"/>
      <c r="AC1165" s="30"/>
      <c r="AD1165" s="30"/>
      <c r="AE1165" s="30"/>
      <c r="AF1165" s="30"/>
      <c r="AG1165" s="30"/>
      <c r="AH1165" s="30"/>
      <c r="AI1165" s="30"/>
      <c r="AJ1165" s="30"/>
      <c r="AK1165" s="30"/>
      <c r="AL1165" s="30"/>
      <c r="AM1165" s="30"/>
      <c r="AN1165" s="30"/>
      <c r="AO1165" s="30"/>
      <c r="AP1165" s="30"/>
      <c r="AQ1165" s="30"/>
      <c r="AR1165" s="30"/>
      <c r="AS1165" s="30"/>
      <c r="AT1165" s="30"/>
      <c r="AU1165" s="30"/>
      <c r="AV1165" s="30"/>
      <c r="AW1165" s="30"/>
      <c r="AX1165" s="30"/>
    </row>
    <row r="1166" ht="15.75" customHeight="1">
      <c r="A1166" s="30"/>
      <c r="B1166" s="30"/>
      <c r="C1166" s="31"/>
      <c r="D1166" s="31"/>
      <c r="E1166" s="31"/>
      <c r="F1166" s="30"/>
      <c r="G1166" s="30"/>
      <c r="H1166" s="30"/>
      <c r="I1166" s="30"/>
      <c r="J1166" s="30"/>
      <c r="K1166" s="30"/>
      <c r="L1166" s="30"/>
      <c r="M1166" s="30"/>
      <c r="N1166" s="30"/>
      <c r="O1166" s="30"/>
      <c r="P1166" s="30"/>
      <c r="Q1166" s="30"/>
      <c r="R1166" s="30"/>
      <c r="S1166" s="30"/>
      <c r="T1166" s="30"/>
      <c r="U1166" s="30"/>
      <c r="V1166" s="30"/>
      <c r="W1166" s="30"/>
      <c r="X1166" s="30"/>
      <c r="Y1166" s="30"/>
      <c r="Z1166" s="30"/>
      <c r="AA1166" s="30"/>
      <c r="AB1166" s="30"/>
      <c r="AC1166" s="30"/>
      <c r="AD1166" s="30"/>
      <c r="AE1166" s="30"/>
      <c r="AF1166" s="30"/>
      <c r="AG1166" s="30"/>
      <c r="AH1166" s="30"/>
      <c r="AI1166" s="30"/>
      <c r="AJ1166" s="30"/>
      <c r="AK1166" s="30"/>
      <c r="AL1166" s="30"/>
      <c r="AM1166" s="30"/>
      <c r="AN1166" s="30"/>
      <c r="AO1166" s="30"/>
      <c r="AP1166" s="30"/>
      <c r="AQ1166" s="30"/>
      <c r="AR1166" s="30"/>
      <c r="AS1166" s="30"/>
      <c r="AT1166" s="30"/>
      <c r="AU1166" s="30"/>
      <c r="AV1166" s="30"/>
      <c r="AW1166" s="30"/>
      <c r="AX1166" s="30"/>
    </row>
    <row r="1167" ht="15.75" customHeight="1">
      <c r="A1167" s="30"/>
      <c r="B1167" s="30"/>
      <c r="C1167" s="31"/>
      <c r="D1167" s="31"/>
      <c r="E1167" s="31"/>
      <c r="F1167" s="30"/>
      <c r="G1167" s="30"/>
      <c r="H1167" s="30"/>
      <c r="I1167" s="30"/>
      <c r="J1167" s="30"/>
      <c r="K1167" s="30"/>
      <c r="L1167" s="30"/>
      <c r="M1167" s="30"/>
      <c r="N1167" s="30"/>
      <c r="O1167" s="30"/>
      <c r="P1167" s="30"/>
      <c r="Q1167" s="30"/>
      <c r="R1167" s="30"/>
      <c r="S1167" s="30"/>
      <c r="T1167" s="30"/>
      <c r="U1167" s="30"/>
      <c r="V1167" s="30"/>
      <c r="W1167" s="30"/>
      <c r="X1167" s="30"/>
      <c r="Y1167" s="30"/>
      <c r="Z1167" s="30"/>
      <c r="AA1167" s="30"/>
      <c r="AB1167" s="30"/>
      <c r="AC1167" s="30"/>
      <c r="AD1167" s="30"/>
      <c r="AE1167" s="30"/>
      <c r="AF1167" s="30"/>
      <c r="AG1167" s="30"/>
      <c r="AH1167" s="30"/>
      <c r="AI1167" s="30"/>
      <c r="AJ1167" s="30"/>
      <c r="AK1167" s="30"/>
      <c r="AL1167" s="30"/>
      <c r="AM1167" s="30"/>
      <c r="AN1167" s="30"/>
      <c r="AO1167" s="30"/>
      <c r="AP1167" s="30"/>
      <c r="AQ1167" s="30"/>
      <c r="AR1167" s="30"/>
      <c r="AS1167" s="30"/>
      <c r="AT1167" s="30"/>
      <c r="AU1167" s="30"/>
      <c r="AV1167" s="30"/>
      <c r="AW1167" s="30"/>
      <c r="AX1167" s="30"/>
    </row>
    <row r="1168" ht="15.75" customHeight="1">
      <c r="A1168" s="30"/>
      <c r="B1168" s="30"/>
      <c r="C1168" s="31"/>
      <c r="D1168" s="31"/>
      <c r="E1168" s="31"/>
      <c r="F1168" s="30"/>
      <c r="G1168" s="30"/>
      <c r="H1168" s="30"/>
      <c r="I1168" s="30"/>
      <c r="J1168" s="30"/>
      <c r="K1168" s="30"/>
      <c r="L1168" s="30"/>
      <c r="M1168" s="30"/>
      <c r="N1168" s="30"/>
      <c r="O1168" s="30"/>
      <c r="P1168" s="30"/>
      <c r="Q1168" s="30"/>
      <c r="R1168" s="30"/>
      <c r="S1168" s="30"/>
      <c r="T1168" s="30"/>
      <c r="U1168" s="30"/>
      <c r="V1168" s="30"/>
      <c r="W1168" s="30"/>
      <c r="X1168" s="30"/>
      <c r="Y1168" s="30"/>
      <c r="Z1168" s="30"/>
      <c r="AA1168" s="30"/>
      <c r="AB1168" s="30"/>
      <c r="AC1168" s="30"/>
      <c r="AD1168" s="30"/>
      <c r="AE1168" s="30"/>
      <c r="AF1168" s="30"/>
      <c r="AG1168" s="30"/>
      <c r="AH1168" s="30"/>
      <c r="AI1168" s="30"/>
      <c r="AJ1168" s="30"/>
      <c r="AK1168" s="30"/>
      <c r="AL1168" s="30"/>
      <c r="AM1168" s="30"/>
      <c r="AN1168" s="30"/>
      <c r="AO1168" s="30"/>
      <c r="AP1168" s="30"/>
      <c r="AQ1168" s="30"/>
      <c r="AR1168" s="30"/>
      <c r="AS1168" s="30"/>
      <c r="AT1168" s="30"/>
      <c r="AU1168" s="30"/>
      <c r="AV1168" s="30"/>
      <c r="AW1168" s="30"/>
      <c r="AX1168" s="30"/>
    </row>
    <row r="1169" ht="15.75" customHeight="1">
      <c r="A1169" s="30"/>
      <c r="B1169" s="30"/>
      <c r="C1169" s="31"/>
      <c r="D1169" s="31"/>
      <c r="E1169" s="31"/>
      <c r="F1169" s="30"/>
      <c r="G1169" s="30"/>
      <c r="H1169" s="30"/>
      <c r="I1169" s="30"/>
      <c r="J1169" s="30"/>
      <c r="K1169" s="30"/>
      <c r="L1169" s="30"/>
      <c r="M1169" s="30"/>
      <c r="N1169" s="30"/>
      <c r="O1169" s="30"/>
      <c r="P1169" s="30"/>
      <c r="Q1169" s="30"/>
      <c r="R1169" s="30"/>
      <c r="S1169" s="30"/>
      <c r="T1169" s="30"/>
      <c r="U1169" s="30"/>
      <c r="V1169" s="30"/>
      <c r="W1169" s="30"/>
      <c r="X1169" s="30"/>
      <c r="Y1169" s="30"/>
      <c r="Z1169" s="30"/>
      <c r="AA1169" s="30"/>
      <c r="AB1169" s="30"/>
      <c r="AC1169" s="30"/>
      <c r="AD1169" s="30"/>
      <c r="AE1169" s="30"/>
      <c r="AF1169" s="30"/>
      <c r="AG1169" s="30"/>
      <c r="AH1169" s="30"/>
      <c r="AI1169" s="30"/>
      <c r="AJ1169" s="30"/>
      <c r="AK1169" s="30"/>
      <c r="AL1169" s="30"/>
      <c r="AM1169" s="30"/>
      <c r="AN1169" s="30"/>
      <c r="AO1169" s="30"/>
      <c r="AP1169" s="30"/>
      <c r="AQ1169" s="30"/>
      <c r="AR1169" s="30"/>
      <c r="AS1169" s="30"/>
      <c r="AT1169" s="30"/>
      <c r="AU1169" s="30"/>
      <c r="AV1169" s="30"/>
      <c r="AW1169" s="30"/>
      <c r="AX1169" s="30"/>
    </row>
    <row r="1170" ht="15.75" customHeight="1">
      <c r="A1170" s="30"/>
      <c r="B1170" s="30"/>
      <c r="C1170" s="31"/>
      <c r="D1170" s="31"/>
      <c r="E1170" s="31"/>
      <c r="F1170" s="30"/>
      <c r="G1170" s="30"/>
      <c r="H1170" s="30"/>
      <c r="I1170" s="30"/>
      <c r="J1170" s="30"/>
      <c r="K1170" s="30"/>
      <c r="L1170" s="30"/>
      <c r="M1170" s="30"/>
      <c r="N1170" s="30"/>
      <c r="O1170" s="30"/>
      <c r="P1170" s="30"/>
      <c r="Q1170" s="30"/>
      <c r="R1170" s="30"/>
      <c r="S1170" s="30"/>
      <c r="T1170" s="30"/>
      <c r="U1170" s="30"/>
      <c r="V1170" s="30"/>
      <c r="W1170" s="30"/>
      <c r="X1170" s="30"/>
      <c r="Y1170" s="30"/>
      <c r="Z1170" s="30"/>
      <c r="AA1170" s="30"/>
      <c r="AB1170" s="30"/>
      <c r="AC1170" s="30"/>
      <c r="AD1170" s="30"/>
      <c r="AE1170" s="30"/>
      <c r="AF1170" s="30"/>
      <c r="AG1170" s="30"/>
      <c r="AH1170" s="30"/>
      <c r="AI1170" s="30"/>
      <c r="AJ1170" s="30"/>
      <c r="AK1170" s="30"/>
      <c r="AL1170" s="30"/>
      <c r="AM1170" s="30"/>
      <c r="AN1170" s="30"/>
      <c r="AO1170" s="30"/>
      <c r="AP1170" s="30"/>
      <c r="AQ1170" s="30"/>
      <c r="AR1170" s="30"/>
      <c r="AS1170" s="30"/>
      <c r="AT1170" s="30"/>
      <c r="AU1170" s="30"/>
      <c r="AV1170" s="30"/>
      <c r="AW1170" s="30"/>
      <c r="AX1170" s="30"/>
    </row>
    <row r="1171" ht="15.75" customHeight="1">
      <c r="A1171" s="30"/>
      <c r="B1171" s="30"/>
      <c r="C1171" s="31"/>
      <c r="D1171" s="31"/>
      <c r="E1171" s="31"/>
      <c r="F1171" s="30"/>
      <c r="G1171" s="30"/>
      <c r="H1171" s="30"/>
      <c r="I1171" s="30"/>
      <c r="J1171" s="30"/>
      <c r="K1171" s="30"/>
      <c r="L1171" s="30"/>
      <c r="M1171" s="30"/>
      <c r="N1171" s="30"/>
      <c r="O1171" s="30"/>
      <c r="P1171" s="30"/>
      <c r="Q1171" s="30"/>
      <c r="R1171" s="30"/>
      <c r="S1171" s="30"/>
      <c r="T1171" s="30"/>
      <c r="U1171" s="30"/>
      <c r="V1171" s="30"/>
      <c r="W1171" s="30"/>
      <c r="X1171" s="30"/>
      <c r="Y1171" s="30"/>
      <c r="Z1171" s="30"/>
      <c r="AA1171" s="30"/>
      <c r="AB1171" s="30"/>
      <c r="AC1171" s="30"/>
      <c r="AD1171" s="30"/>
      <c r="AE1171" s="30"/>
      <c r="AF1171" s="30"/>
      <c r="AG1171" s="30"/>
      <c r="AH1171" s="30"/>
      <c r="AI1171" s="30"/>
      <c r="AJ1171" s="30"/>
      <c r="AK1171" s="30"/>
      <c r="AL1171" s="30"/>
      <c r="AM1171" s="30"/>
      <c r="AN1171" s="30"/>
      <c r="AO1171" s="30"/>
      <c r="AP1171" s="30"/>
      <c r="AQ1171" s="30"/>
      <c r="AR1171" s="30"/>
      <c r="AS1171" s="30"/>
      <c r="AT1171" s="30"/>
      <c r="AU1171" s="30"/>
      <c r="AV1171" s="30"/>
      <c r="AW1171" s="30"/>
      <c r="AX1171" s="30"/>
    </row>
    <row r="1172" ht="15.75" customHeight="1">
      <c r="A1172" s="30"/>
      <c r="B1172" s="30"/>
      <c r="C1172" s="31"/>
      <c r="D1172" s="31"/>
      <c r="E1172" s="31"/>
      <c r="F1172" s="30"/>
      <c r="G1172" s="30"/>
      <c r="H1172" s="30"/>
      <c r="I1172" s="30"/>
      <c r="J1172" s="30"/>
      <c r="K1172" s="30"/>
      <c r="L1172" s="30"/>
      <c r="M1172" s="30"/>
      <c r="N1172" s="30"/>
      <c r="O1172" s="30"/>
      <c r="P1172" s="30"/>
      <c r="Q1172" s="30"/>
      <c r="R1172" s="30"/>
      <c r="S1172" s="30"/>
      <c r="T1172" s="30"/>
      <c r="U1172" s="30"/>
      <c r="V1172" s="30"/>
      <c r="W1172" s="30"/>
      <c r="X1172" s="30"/>
      <c r="Y1172" s="30"/>
      <c r="Z1172" s="30"/>
      <c r="AA1172" s="30"/>
      <c r="AB1172" s="30"/>
      <c r="AC1172" s="30"/>
      <c r="AD1172" s="30"/>
      <c r="AE1172" s="30"/>
      <c r="AF1172" s="30"/>
      <c r="AG1172" s="30"/>
      <c r="AH1172" s="30"/>
      <c r="AI1172" s="30"/>
      <c r="AJ1172" s="30"/>
      <c r="AK1172" s="30"/>
      <c r="AL1172" s="30"/>
      <c r="AM1172" s="30"/>
      <c r="AN1172" s="30"/>
      <c r="AO1172" s="30"/>
      <c r="AP1172" s="30"/>
      <c r="AQ1172" s="30"/>
      <c r="AR1172" s="30"/>
      <c r="AS1172" s="30"/>
      <c r="AT1172" s="30"/>
      <c r="AU1172" s="30"/>
      <c r="AV1172" s="30"/>
      <c r="AW1172" s="30"/>
      <c r="AX1172" s="30"/>
    </row>
    <row r="1173" ht="15.75" customHeight="1">
      <c r="A1173" s="30"/>
      <c r="B1173" s="30"/>
      <c r="C1173" s="31"/>
      <c r="D1173" s="31"/>
      <c r="E1173" s="31"/>
      <c r="F1173" s="30"/>
      <c r="G1173" s="30"/>
      <c r="H1173" s="30"/>
      <c r="I1173" s="30"/>
      <c r="J1173" s="30"/>
      <c r="K1173" s="30"/>
      <c r="L1173" s="30"/>
      <c r="M1173" s="30"/>
      <c r="N1173" s="30"/>
      <c r="O1173" s="30"/>
      <c r="P1173" s="30"/>
      <c r="Q1173" s="30"/>
      <c r="R1173" s="30"/>
      <c r="S1173" s="30"/>
      <c r="T1173" s="30"/>
      <c r="U1173" s="30"/>
      <c r="V1173" s="30"/>
      <c r="W1173" s="30"/>
      <c r="X1173" s="30"/>
      <c r="Y1173" s="30"/>
      <c r="Z1173" s="30"/>
      <c r="AA1173" s="30"/>
      <c r="AB1173" s="30"/>
      <c r="AC1173" s="30"/>
      <c r="AD1173" s="30"/>
      <c r="AE1173" s="30"/>
      <c r="AF1173" s="30"/>
      <c r="AG1173" s="30"/>
      <c r="AH1173" s="30"/>
      <c r="AI1173" s="30"/>
      <c r="AJ1173" s="30"/>
      <c r="AK1173" s="30"/>
      <c r="AL1173" s="30"/>
      <c r="AM1173" s="30"/>
      <c r="AN1173" s="30"/>
      <c r="AO1173" s="30"/>
      <c r="AP1173" s="30"/>
      <c r="AQ1173" s="30"/>
      <c r="AR1173" s="30"/>
      <c r="AS1173" s="30"/>
      <c r="AT1173" s="30"/>
      <c r="AU1173" s="30"/>
      <c r="AV1173" s="30"/>
      <c r="AW1173" s="30"/>
      <c r="AX1173" s="30"/>
    </row>
    <row r="1174" ht="15.75" customHeight="1">
      <c r="A1174" s="30"/>
      <c r="B1174" s="30"/>
      <c r="C1174" s="31"/>
      <c r="D1174" s="31"/>
      <c r="E1174" s="31"/>
      <c r="F1174" s="30"/>
      <c r="G1174" s="30"/>
      <c r="H1174" s="30"/>
      <c r="I1174" s="30"/>
      <c r="J1174" s="30"/>
      <c r="K1174" s="30"/>
      <c r="L1174" s="30"/>
      <c r="M1174" s="30"/>
      <c r="N1174" s="30"/>
      <c r="O1174" s="30"/>
      <c r="P1174" s="30"/>
      <c r="Q1174" s="30"/>
      <c r="R1174" s="30"/>
      <c r="S1174" s="30"/>
      <c r="T1174" s="30"/>
      <c r="U1174" s="30"/>
      <c r="V1174" s="30"/>
      <c r="W1174" s="30"/>
      <c r="X1174" s="30"/>
      <c r="Y1174" s="30"/>
      <c r="Z1174" s="30"/>
      <c r="AA1174" s="30"/>
      <c r="AB1174" s="30"/>
      <c r="AC1174" s="30"/>
      <c r="AD1174" s="30"/>
      <c r="AE1174" s="30"/>
      <c r="AF1174" s="30"/>
      <c r="AG1174" s="30"/>
      <c r="AH1174" s="30"/>
      <c r="AI1174" s="30"/>
      <c r="AJ1174" s="30"/>
      <c r="AK1174" s="30"/>
      <c r="AL1174" s="30"/>
      <c r="AM1174" s="30"/>
      <c r="AN1174" s="30"/>
      <c r="AO1174" s="30"/>
      <c r="AP1174" s="30"/>
      <c r="AQ1174" s="30"/>
      <c r="AR1174" s="30"/>
      <c r="AS1174" s="30"/>
      <c r="AT1174" s="30"/>
      <c r="AU1174" s="30"/>
      <c r="AV1174" s="30"/>
      <c r="AW1174" s="30"/>
      <c r="AX1174" s="30"/>
    </row>
    <row r="1175" ht="15.75" customHeight="1">
      <c r="A1175" s="30"/>
      <c r="B1175" s="30"/>
      <c r="C1175" s="31"/>
      <c r="D1175" s="31"/>
      <c r="E1175" s="31"/>
      <c r="F1175" s="30"/>
      <c r="G1175" s="30"/>
      <c r="H1175" s="30"/>
      <c r="I1175" s="30"/>
      <c r="J1175" s="30"/>
      <c r="K1175" s="30"/>
      <c r="L1175" s="30"/>
      <c r="M1175" s="30"/>
      <c r="N1175" s="30"/>
      <c r="O1175" s="30"/>
      <c r="P1175" s="30"/>
      <c r="Q1175" s="30"/>
      <c r="R1175" s="30"/>
      <c r="S1175" s="30"/>
      <c r="T1175" s="30"/>
      <c r="U1175" s="30"/>
      <c r="V1175" s="30"/>
      <c r="W1175" s="30"/>
      <c r="X1175" s="30"/>
      <c r="Y1175" s="30"/>
      <c r="Z1175" s="30"/>
      <c r="AA1175" s="30"/>
      <c r="AB1175" s="30"/>
      <c r="AC1175" s="30"/>
      <c r="AD1175" s="30"/>
      <c r="AE1175" s="30"/>
      <c r="AF1175" s="30"/>
      <c r="AG1175" s="30"/>
      <c r="AH1175" s="30"/>
      <c r="AI1175" s="30"/>
      <c r="AJ1175" s="30"/>
      <c r="AK1175" s="30"/>
      <c r="AL1175" s="30"/>
      <c r="AM1175" s="30"/>
      <c r="AN1175" s="30"/>
      <c r="AO1175" s="30"/>
      <c r="AP1175" s="30"/>
      <c r="AQ1175" s="30"/>
      <c r="AR1175" s="30"/>
      <c r="AS1175" s="30"/>
      <c r="AT1175" s="30"/>
      <c r="AU1175" s="30"/>
      <c r="AV1175" s="30"/>
      <c r="AW1175" s="30"/>
      <c r="AX1175" s="30"/>
    </row>
    <row r="1176" ht="15.75" customHeight="1">
      <c r="A1176" s="30"/>
      <c r="B1176" s="30"/>
      <c r="C1176" s="31"/>
      <c r="D1176" s="31"/>
      <c r="E1176" s="31"/>
      <c r="F1176" s="30"/>
      <c r="G1176" s="30"/>
      <c r="H1176" s="30"/>
      <c r="I1176" s="30"/>
      <c r="J1176" s="30"/>
      <c r="K1176" s="30"/>
      <c r="L1176" s="30"/>
      <c r="M1176" s="30"/>
      <c r="N1176" s="30"/>
      <c r="O1176" s="30"/>
      <c r="P1176" s="30"/>
      <c r="Q1176" s="30"/>
      <c r="R1176" s="30"/>
      <c r="S1176" s="30"/>
      <c r="T1176" s="30"/>
      <c r="U1176" s="30"/>
      <c r="V1176" s="30"/>
      <c r="W1176" s="30"/>
      <c r="X1176" s="30"/>
      <c r="Y1176" s="30"/>
      <c r="Z1176" s="30"/>
      <c r="AA1176" s="30"/>
      <c r="AB1176" s="30"/>
      <c r="AC1176" s="30"/>
      <c r="AD1176" s="30"/>
      <c r="AE1176" s="30"/>
      <c r="AF1176" s="30"/>
      <c r="AG1176" s="30"/>
      <c r="AH1176" s="30"/>
      <c r="AI1176" s="30"/>
      <c r="AJ1176" s="30"/>
      <c r="AK1176" s="30"/>
      <c r="AL1176" s="30"/>
      <c r="AM1176" s="30"/>
      <c r="AN1176" s="30"/>
      <c r="AO1176" s="30"/>
      <c r="AP1176" s="30"/>
      <c r="AQ1176" s="30"/>
      <c r="AR1176" s="30"/>
      <c r="AS1176" s="30"/>
      <c r="AT1176" s="30"/>
      <c r="AU1176" s="30"/>
      <c r="AV1176" s="30"/>
      <c r="AW1176" s="30"/>
      <c r="AX1176" s="30"/>
    </row>
    <row r="1177" ht="15.75" customHeight="1">
      <c r="A1177" s="30"/>
      <c r="B1177" s="30"/>
      <c r="C1177" s="31"/>
      <c r="D1177" s="31"/>
      <c r="E1177" s="31"/>
      <c r="F1177" s="30"/>
      <c r="G1177" s="30"/>
      <c r="H1177" s="30"/>
      <c r="I1177" s="30"/>
      <c r="J1177" s="30"/>
      <c r="K1177" s="30"/>
      <c r="L1177" s="30"/>
      <c r="M1177" s="30"/>
      <c r="N1177" s="30"/>
      <c r="O1177" s="30"/>
      <c r="P1177" s="30"/>
      <c r="Q1177" s="30"/>
      <c r="R1177" s="30"/>
      <c r="S1177" s="30"/>
      <c r="T1177" s="30"/>
      <c r="U1177" s="30"/>
      <c r="V1177" s="30"/>
      <c r="W1177" s="30"/>
      <c r="X1177" s="30"/>
      <c r="Y1177" s="30"/>
      <c r="Z1177" s="30"/>
      <c r="AA1177" s="30"/>
      <c r="AB1177" s="30"/>
      <c r="AC1177" s="30"/>
      <c r="AD1177" s="30"/>
      <c r="AE1177" s="30"/>
      <c r="AF1177" s="30"/>
      <c r="AG1177" s="30"/>
      <c r="AH1177" s="30"/>
      <c r="AI1177" s="30"/>
      <c r="AJ1177" s="30"/>
      <c r="AK1177" s="30"/>
      <c r="AL1177" s="30"/>
      <c r="AM1177" s="30"/>
      <c r="AN1177" s="30"/>
      <c r="AO1177" s="30"/>
      <c r="AP1177" s="30"/>
      <c r="AQ1177" s="30"/>
      <c r="AR1177" s="30"/>
      <c r="AS1177" s="30"/>
      <c r="AT1177" s="30"/>
      <c r="AU1177" s="30"/>
      <c r="AV1177" s="30"/>
      <c r="AW1177" s="30"/>
      <c r="AX1177" s="30"/>
    </row>
    <row r="1178" ht="15.75" customHeight="1">
      <c r="A1178" s="30"/>
      <c r="B1178" s="30"/>
      <c r="C1178" s="31"/>
      <c r="D1178" s="31"/>
      <c r="E1178" s="31"/>
      <c r="F1178" s="30"/>
      <c r="G1178" s="30"/>
      <c r="H1178" s="30"/>
      <c r="I1178" s="30"/>
      <c r="J1178" s="30"/>
      <c r="K1178" s="30"/>
      <c r="L1178" s="30"/>
      <c r="M1178" s="30"/>
      <c r="N1178" s="30"/>
      <c r="O1178" s="30"/>
      <c r="P1178" s="30"/>
      <c r="Q1178" s="30"/>
      <c r="R1178" s="30"/>
      <c r="S1178" s="30"/>
      <c r="T1178" s="30"/>
      <c r="U1178" s="30"/>
      <c r="V1178" s="30"/>
      <c r="W1178" s="30"/>
      <c r="X1178" s="30"/>
      <c r="Y1178" s="30"/>
      <c r="Z1178" s="30"/>
      <c r="AA1178" s="30"/>
      <c r="AB1178" s="30"/>
      <c r="AC1178" s="30"/>
      <c r="AD1178" s="30"/>
      <c r="AE1178" s="30"/>
      <c r="AF1178" s="30"/>
      <c r="AG1178" s="30"/>
      <c r="AH1178" s="30"/>
      <c r="AI1178" s="30"/>
      <c r="AJ1178" s="30"/>
      <c r="AK1178" s="30"/>
      <c r="AL1178" s="30"/>
      <c r="AM1178" s="30"/>
      <c r="AN1178" s="30"/>
      <c r="AO1178" s="30"/>
      <c r="AP1178" s="30"/>
      <c r="AQ1178" s="30"/>
      <c r="AR1178" s="30"/>
      <c r="AS1178" s="30"/>
      <c r="AT1178" s="30"/>
      <c r="AU1178" s="30"/>
      <c r="AV1178" s="30"/>
      <c r="AW1178" s="30"/>
      <c r="AX1178" s="30"/>
    </row>
    <row r="1179" ht="15.75" customHeight="1">
      <c r="A1179" s="30"/>
      <c r="B1179" s="30"/>
      <c r="C1179" s="31"/>
      <c r="D1179" s="31"/>
      <c r="E1179" s="31"/>
      <c r="F1179" s="30"/>
      <c r="G1179" s="30"/>
      <c r="H1179" s="30"/>
      <c r="I1179" s="30"/>
      <c r="J1179" s="30"/>
      <c r="K1179" s="30"/>
      <c r="L1179" s="30"/>
      <c r="M1179" s="30"/>
      <c r="N1179" s="30"/>
      <c r="O1179" s="30"/>
      <c r="P1179" s="30"/>
      <c r="Q1179" s="30"/>
      <c r="R1179" s="30"/>
      <c r="S1179" s="30"/>
      <c r="T1179" s="30"/>
      <c r="U1179" s="30"/>
      <c r="V1179" s="30"/>
      <c r="W1179" s="30"/>
      <c r="X1179" s="30"/>
      <c r="Y1179" s="30"/>
      <c r="Z1179" s="30"/>
      <c r="AA1179" s="30"/>
      <c r="AB1179" s="30"/>
      <c r="AC1179" s="30"/>
      <c r="AD1179" s="30"/>
      <c r="AE1179" s="30"/>
      <c r="AF1179" s="30"/>
      <c r="AG1179" s="30"/>
      <c r="AH1179" s="30"/>
      <c r="AI1179" s="30"/>
      <c r="AJ1179" s="30"/>
      <c r="AK1179" s="30"/>
      <c r="AL1179" s="30"/>
      <c r="AM1179" s="30"/>
      <c r="AN1179" s="30"/>
      <c r="AO1179" s="30"/>
      <c r="AP1179" s="30"/>
      <c r="AQ1179" s="30"/>
      <c r="AR1179" s="30"/>
      <c r="AS1179" s="30"/>
      <c r="AT1179" s="30"/>
      <c r="AU1179" s="30"/>
      <c r="AV1179" s="30"/>
      <c r="AW1179" s="30"/>
      <c r="AX1179" s="30"/>
    </row>
    <row r="1180" ht="15.75" customHeight="1">
      <c r="A1180" s="30"/>
      <c r="B1180" s="30"/>
      <c r="C1180" s="31"/>
      <c r="D1180" s="31"/>
      <c r="E1180" s="31"/>
      <c r="F1180" s="30"/>
      <c r="G1180" s="30"/>
      <c r="H1180" s="30"/>
      <c r="I1180" s="30"/>
      <c r="J1180" s="30"/>
      <c r="K1180" s="30"/>
      <c r="L1180" s="30"/>
      <c r="M1180" s="30"/>
      <c r="N1180" s="30"/>
      <c r="O1180" s="30"/>
      <c r="P1180" s="30"/>
      <c r="Q1180" s="30"/>
      <c r="R1180" s="30"/>
      <c r="S1180" s="30"/>
      <c r="T1180" s="30"/>
      <c r="U1180" s="30"/>
      <c r="V1180" s="30"/>
      <c r="W1180" s="30"/>
      <c r="X1180" s="30"/>
      <c r="Y1180" s="30"/>
      <c r="Z1180" s="30"/>
      <c r="AA1180" s="30"/>
      <c r="AB1180" s="30"/>
      <c r="AC1180" s="30"/>
      <c r="AD1180" s="30"/>
      <c r="AE1180" s="30"/>
      <c r="AF1180" s="30"/>
      <c r="AG1180" s="30"/>
      <c r="AH1180" s="30"/>
      <c r="AI1180" s="30"/>
      <c r="AJ1180" s="30"/>
      <c r="AK1180" s="30"/>
      <c r="AL1180" s="30"/>
      <c r="AM1180" s="30"/>
      <c r="AN1180" s="30"/>
      <c r="AO1180" s="30"/>
      <c r="AP1180" s="30"/>
      <c r="AQ1180" s="30"/>
      <c r="AR1180" s="30"/>
      <c r="AS1180" s="30"/>
      <c r="AT1180" s="30"/>
      <c r="AU1180" s="30"/>
      <c r="AV1180" s="30"/>
      <c r="AW1180" s="30"/>
      <c r="AX1180" s="30"/>
    </row>
    <row r="1181" ht="15.75" customHeight="1">
      <c r="A1181" s="30"/>
      <c r="B1181" s="30"/>
      <c r="C1181" s="31"/>
      <c r="D1181" s="31"/>
      <c r="E1181" s="31"/>
      <c r="F1181" s="30"/>
      <c r="G1181" s="30"/>
      <c r="H1181" s="30"/>
      <c r="I1181" s="30"/>
      <c r="J1181" s="30"/>
      <c r="K1181" s="30"/>
      <c r="L1181" s="30"/>
      <c r="M1181" s="30"/>
      <c r="N1181" s="30"/>
      <c r="O1181" s="30"/>
      <c r="P1181" s="30"/>
      <c r="Q1181" s="30"/>
      <c r="R1181" s="30"/>
      <c r="S1181" s="30"/>
      <c r="T1181" s="30"/>
      <c r="U1181" s="30"/>
      <c r="V1181" s="30"/>
      <c r="W1181" s="30"/>
      <c r="X1181" s="30"/>
      <c r="Y1181" s="30"/>
      <c r="Z1181" s="30"/>
      <c r="AA1181" s="30"/>
      <c r="AB1181" s="30"/>
      <c r="AC1181" s="30"/>
      <c r="AD1181" s="30"/>
      <c r="AE1181" s="30"/>
      <c r="AF1181" s="30"/>
      <c r="AG1181" s="30"/>
      <c r="AH1181" s="30"/>
      <c r="AI1181" s="30"/>
      <c r="AJ1181" s="30"/>
      <c r="AK1181" s="30"/>
      <c r="AL1181" s="30"/>
      <c r="AM1181" s="30"/>
      <c r="AN1181" s="30"/>
      <c r="AO1181" s="30"/>
      <c r="AP1181" s="30"/>
      <c r="AQ1181" s="30"/>
      <c r="AR1181" s="30"/>
      <c r="AS1181" s="30"/>
      <c r="AT1181" s="30"/>
      <c r="AU1181" s="30"/>
      <c r="AV1181" s="30"/>
      <c r="AW1181" s="30"/>
      <c r="AX1181" s="30"/>
    </row>
    <row r="1182" ht="15.75" customHeight="1">
      <c r="A1182" s="30"/>
      <c r="B1182" s="30"/>
      <c r="C1182" s="31"/>
      <c r="D1182" s="31"/>
      <c r="E1182" s="31"/>
      <c r="F1182" s="30"/>
      <c r="G1182" s="30"/>
      <c r="H1182" s="30"/>
      <c r="I1182" s="30"/>
      <c r="J1182" s="30"/>
      <c r="K1182" s="30"/>
      <c r="L1182" s="30"/>
      <c r="M1182" s="30"/>
      <c r="N1182" s="30"/>
      <c r="O1182" s="30"/>
      <c r="P1182" s="30"/>
      <c r="Q1182" s="30"/>
      <c r="R1182" s="30"/>
      <c r="S1182" s="30"/>
      <c r="T1182" s="30"/>
      <c r="U1182" s="30"/>
      <c r="V1182" s="30"/>
      <c r="W1182" s="30"/>
      <c r="X1182" s="30"/>
      <c r="Y1182" s="30"/>
      <c r="Z1182" s="30"/>
      <c r="AA1182" s="30"/>
      <c r="AB1182" s="30"/>
      <c r="AC1182" s="30"/>
      <c r="AD1182" s="30"/>
      <c r="AE1182" s="30"/>
      <c r="AF1182" s="30"/>
      <c r="AG1182" s="30"/>
      <c r="AH1182" s="30"/>
      <c r="AI1182" s="30"/>
      <c r="AJ1182" s="30"/>
      <c r="AK1182" s="30"/>
      <c r="AL1182" s="30"/>
      <c r="AM1182" s="30"/>
      <c r="AN1182" s="30"/>
      <c r="AO1182" s="30"/>
      <c r="AP1182" s="30"/>
      <c r="AQ1182" s="30"/>
      <c r="AR1182" s="30"/>
      <c r="AS1182" s="30"/>
      <c r="AT1182" s="30"/>
      <c r="AU1182" s="30"/>
      <c r="AV1182" s="30"/>
      <c r="AW1182" s="30"/>
      <c r="AX1182" s="30"/>
    </row>
    <row r="1183" ht="15.75" customHeight="1">
      <c r="A1183" s="30"/>
      <c r="B1183" s="30"/>
      <c r="C1183" s="31"/>
      <c r="D1183" s="31"/>
      <c r="E1183" s="31"/>
      <c r="F1183" s="30"/>
      <c r="G1183" s="30"/>
      <c r="H1183" s="30"/>
      <c r="I1183" s="30"/>
      <c r="J1183" s="30"/>
      <c r="K1183" s="30"/>
      <c r="L1183" s="30"/>
      <c r="M1183" s="30"/>
      <c r="N1183" s="30"/>
      <c r="O1183" s="30"/>
      <c r="P1183" s="30"/>
      <c r="Q1183" s="30"/>
      <c r="R1183" s="30"/>
      <c r="S1183" s="30"/>
      <c r="T1183" s="30"/>
      <c r="U1183" s="30"/>
      <c r="V1183" s="30"/>
      <c r="W1183" s="30"/>
      <c r="X1183" s="30"/>
      <c r="Y1183" s="30"/>
      <c r="Z1183" s="30"/>
      <c r="AA1183" s="30"/>
      <c r="AB1183" s="30"/>
      <c r="AC1183" s="30"/>
      <c r="AD1183" s="30"/>
      <c r="AE1183" s="30"/>
      <c r="AF1183" s="30"/>
      <c r="AG1183" s="30"/>
      <c r="AH1183" s="30"/>
      <c r="AI1183" s="30"/>
      <c r="AJ1183" s="30"/>
      <c r="AK1183" s="30"/>
      <c r="AL1183" s="30"/>
      <c r="AM1183" s="30"/>
      <c r="AN1183" s="30"/>
      <c r="AO1183" s="30"/>
      <c r="AP1183" s="30"/>
      <c r="AQ1183" s="30"/>
      <c r="AR1183" s="30"/>
      <c r="AS1183" s="30"/>
      <c r="AT1183" s="30"/>
      <c r="AU1183" s="30"/>
      <c r="AV1183" s="30"/>
      <c r="AW1183" s="30"/>
      <c r="AX1183" s="30"/>
    </row>
    <row r="1184" ht="15.75" customHeight="1">
      <c r="A1184" s="30"/>
      <c r="B1184" s="30"/>
      <c r="C1184" s="31"/>
      <c r="D1184" s="31"/>
      <c r="E1184" s="31"/>
      <c r="F1184" s="30"/>
      <c r="G1184" s="30"/>
      <c r="H1184" s="30"/>
      <c r="I1184" s="30"/>
      <c r="J1184" s="30"/>
      <c r="K1184" s="30"/>
      <c r="L1184" s="30"/>
      <c r="M1184" s="30"/>
      <c r="N1184" s="30"/>
      <c r="O1184" s="30"/>
      <c r="P1184" s="30"/>
      <c r="Q1184" s="30"/>
      <c r="R1184" s="30"/>
      <c r="S1184" s="30"/>
      <c r="T1184" s="30"/>
      <c r="U1184" s="30"/>
      <c r="V1184" s="30"/>
      <c r="W1184" s="30"/>
      <c r="X1184" s="30"/>
      <c r="Y1184" s="30"/>
      <c r="Z1184" s="30"/>
      <c r="AA1184" s="30"/>
      <c r="AB1184" s="30"/>
      <c r="AC1184" s="30"/>
      <c r="AD1184" s="30"/>
      <c r="AE1184" s="30"/>
      <c r="AF1184" s="30"/>
      <c r="AG1184" s="30"/>
      <c r="AH1184" s="30"/>
      <c r="AI1184" s="30"/>
      <c r="AJ1184" s="30"/>
      <c r="AK1184" s="30"/>
      <c r="AL1184" s="30"/>
      <c r="AM1184" s="30"/>
      <c r="AN1184" s="30"/>
      <c r="AO1184" s="30"/>
      <c r="AP1184" s="30"/>
      <c r="AQ1184" s="30"/>
      <c r="AR1184" s="30"/>
      <c r="AS1184" s="30"/>
      <c r="AT1184" s="30"/>
      <c r="AU1184" s="30"/>
      <c r="AV1184" s="30"/>
      <c r="AW1184" s="30"/>
      <c r="AX1184" s="30"/>
    </row>
    <row r="1185" ht="15.75" customHeight="1">
      <c r="A1185" s="30"/>
      <c r="B1185" s="30"/>
      <c r="C1185" s="31"/>
      <c r="D1185" s="31"/>
      <c r="E1185" s="31"/>
      <c r="F1185" s="30"/>
      <c r="G1185" s="30"/>
      <c r="H1185" s="30"/>
      <c r="I1185" s="30"/>
      <c r="J1185" s="30"/>
      <c r="K1185" s="30"/>
      <c r="L1185" s="30"/>
      <c r="M1185" s="30"/>
      <c r="N1185" s="30"/>
      <c r="O1185" s="30"/>
      <c r="P1185" s="30"/>
      <c r="Q1185" s="30"/>
      <c r="R1185" s="30"/>
      <c r="S1185" s="30"/>
      <c r="T1185" s="30"/>
      <c r="U1185" s="30"/>
      <c r="V1185" s="30"/>
      <c r="W1185" s="30"/>
      <c r="X1185" s="30"/>
      <c r="Y1185" s="30"/>
      <c r="Z1185" s="30"/>
      <c r="AA1185" s="30"/>
      <c r="AB1185" s="30"/>
      <c r="AC1185" s="30"/>
      <c r="AD1185" s="30"/>
      <c r="AE1185" s="30"/>
      <c r="AF1185" s="30"/>
      <c r="AG1185" s="30"/>
      <c r="AH1185" s="30"/>
      <c r="AI1185" s="30"/>
      <c r="AJ1185" s="30"/>
      <c r="AK1185" s="30"/>
      <c r="AL1185" s="30"/>
      <c r="AM1185" s="30"/>
      <c r="AN1185" s="30"/>
      <c r="AO1185" s="30"/>
      <c r="AP1185" s="30"/>
      <c r="AQ1185" s="30"/>
      <c r="AR1185" s="30"/>
      <c r="AS1185" s="30"/>
      <c r="AT1185" s="30"/>
      <c r="AU1185" s="30"/>
      <c r="AV1185" s="30"/>
      <c r="AW1185" s="30"/>
      <c r="AX1185" s="30"/>
    </row>
    <row r="1186" ht="15.75" customHeight="1">
      <c r="A1186" s="30"/>
      <c r="B1186" s="30"/>
      <c r="C1186" s="31"/>
      <c r="D1186" s="31"/>
      <c r="E1186" s="31"/>
      <c r="F1186" s="30"/>
      <c r="G1186" s="30"/>
      <c r="H1186" s="30"/>
      <c r="I1186" s="30"/>
      <c r="J1186" s="30"/>
      <c r="K1186" s="30"/>
      <c r="L1186" s="30"/>
      <c r="M1186" s="30"/>
      <c r="N1186" s="30"/>
      <c r="O1186" s="30"/>
      <c r="P1186" s="30"/>
      <c r="Q1186" s="30"/>
      <c r="R1186" s="30"/>
      <c r="S1186" s="30"/>
      <c r="T1186" s="30"/>
      <c r="U1186" s="30"/>
      <c r="V1186" s="30"/>
      <c r="W1186" s="30"/>
      <c r="X1186" s="30"/>
      <c r="Y1186" s="30"/>
      <c r="Z1186" s="30"/>
      <c r="AA1186" s="30"/>
      <c r="AB1186" s="30"/>
      <c r="AC1186" s="30"/>
      <c r="AD1186" s="30"/>
      <c r="AE1186" s="30"/>
      <c r="AF1186" s="30"/>
      <c r="AG1186" s="30"/>
      <c r="AH1186" s="30"/>
      <c r="AI1186" s="30"/>
      <c r="AJ1186" s="30"/>
      <c r="AK1186" s="30"/>
      <c r="AL1186" s="30"/>
      <c r="AM1186" s="30"/>
      <c r="AN1186" s="30"/>
      <c r="AO1186" s="30"/>
      <c r="AP1186" s="30"/>
      <c r="AQ1186" s="30"/>
      <c r="AR1186" s="30"/>
      <c r="AS1186" s="30"/>
      <c r="AT1186" s="30"/>
      <c r="AU1186" s="30"/>
      <c r="AV1186" s="30"/>
      <c r="AW1186" s="30"/>
      <c r="AX1186" s="30"/>
    </row>
    <row r="1187" ht="15.75" customHeight="1">
      <c r="A1187" s="30"/>
      <c r="B1187" s="30"/>
      <c r="C1187" s="31"/>
      <c r="D1187" s="31"/>
      <c r="E1187" s="31"/>
      <c r="F1187" s="30"/>
      <c r="G1187" s="30"/>
      <c r="H1187" s="30"/>
      <c r="I1187" s="30"/>
      <c r="J1187" s="30"/>
      <c r="K1187" s="30"/>
      <c r="L1187" s="30"/>
      <c r="M1187" s="30"/>
      <c r="N1187" s="30"/>
      <c r="O1187" s="30"/>
      <c r="P1187" s="30"/>
      <c r="Q1187" s="30"/>
      <c r="R1187" s="30"/>
      <c r="S1187" s="30"/>
      <c r="T1187" s="30"/>
      <c r="U1187" s="30"/>
      <c r="V1187" s="30"/>
      <c r="W1187" s="30"/>
      <c r="X1187" s="30"/>
      <c r="Y1187" s="30"/>
      <c r="Z1187" s="30"/>
      <c r="AA1187" s="30"/>
      <c r="AB1187" s="30"/>
      <c r="AC1187" s="30"/>
      <c r="AD1187" s="30"/>
      <c r="AE1187" s="30"/>
      <c r="AF1187" s="30"/>
      <c r="AG1187" s="30"/>
      <c r="AH1187" s="30"/>
      <c r="AI1187" s="30"/>
      <c r="AJ1187" s="30"/>
      <c r="AK1187" s="30"/>
      <c r="AL1187" s="30"/>
      <c r="AM1187" s="30"/>
      <c r="AN1187" s="30"/>
      <c r="AO1187" s="30"/>
      <c r="AP1187" s="30"/>
      <c r="AQ1187" s="30"/>
      <c r="AR1187" s="30"/>
      <c r="AS1187" s="30"/>
      <c r="AT1187" s="30"/>
      <c r="AU1187" s="30"/>
      <c r="AV1187" s="30"/>
      <c r="AW1187" s="30"/>
      <c r="AX1187" s="30"/>
    </row>
    <row r="1188" ht="15.75" customHeight="1">
      <c r="A1188" s="30"/>
      <c r="B1188" s="30"/>
      <c r="C1188" s="31"/>
      <c r="D1188" s="31"/>
      <c r="E1188" s="31"/>
      <c r="F1188" s="30"/>
      <c r="G1188" s="30"/>
      <c r="H1188" s="30"/>
      <c r="I1188" s="30"/>
      <c r="J1188" s="30"/>
      <c r="K1188" s="30"/>
      <c r="L1188" s="30"/>
      <c r="M1188" s="30"/>
      <c r="N1188" s="30"/>
      <c r="O1188" s="30"/>
      <c r="P1188" s="30"/>
      <c r="Q1188" s="30"/>
      <c r="R1188" s="30"/>
      <c r="S1188" s="30"/>
      <c r="T1188" s="30"/>
      <c r="U1188" s="30"/>
      <c r="V1188" s="30"/>
      <c r="W1188" s="30"/>
      <c r="X1188" s="30"/>
      <c r="Y1188" s="30"/>
      <c r="Z1188" s="30"/>
      <c r="AA1188" s="30"/>
      <c r="AB1188" s="30"/>
      <c r="AC1188" s="30"/>
      <c r="AD1188" s="30"/>
      <c r="AE1188" s="30"/>
      <c r="AF1188" s="30"/>
      <c r="AG1188" s="30"/>
      <c r="AH1188" s="30"/>
      <c r="AI1188" s="30"/>
      <c r="AJ1188" s="30"/>
      <c r="AK1188" s="30"/>
      <c r="AL1188" s="30"/>
      <c r="AM1188" s="30"/>
      <c r="AN1188" s="30"/>
      <c r="AO1188" s="30"/>
      <c r="AP1188" s="30"/>
      <c r="AQ1188" s="30"/>
      <c r="AR1188" s="30"/>
      <c r="AS1188" s="30"/>
      <c r="AT1188" s="30"/>
      <c r="AU1188" s="30"/>
      <c r="AV1188" s="30"/>
      <c r="AW1188" s="30"/>
      <c r="AX1188" s="30"/>
    </row>
    <row r="1189" ht="15.75" customHeight="1">
      <c r="A1189" s="30"/>
      <c r="B1189" s="30"/>
      <c r="C1189" s="31"/>
      <c r="D1189" s="31"/>
      <c r="E1189" s="31"/>
      <c r="F1189" s="30"/>
      <c r="G1189" s="30"/>
      <c r="H1189" s="30"/>
      <c r="I1189" s="30"/>
      <c r="J1189" s="30"/>
      <c r="K1189" s="30"/>
      <c r="L1189" s="30"/>
      <c r="M1189" s="30"/>
      <c r="N1189" s="30"/>
      <c r="O1189" s="30"/>
      <c r="P1189" s="30"/>
      <c r="Q1189" s="30"/>
      <c r="R1189" s="30"/>
      <c r="S1189" s="30"/>
      <c r="T1189" s="30"/>
      <c r="U1189" s="30"/>
      <c r="V1189" s="30"/>
      <c r="W1189" s="30"/>
      <c r="X1189" s="30"/>
      <c r="Y1189" s="30"/>
      <c r="Z1189" s="30"/>
      <c r="AA1189" s="30"/>
      <c r="AB1189" s="30"/>
      <c r="AC1189" s="30"/>
      <c r="AD1189" s="30"/>
      <c r="AE1189" s="30"/>
      <c r="AF1189" s="30"/>
      <c r="AG1189" s="30"/>
      <c r="AH1189" s="30"/>
      <c r="AI1189" s="30"/>
      <c r="AJ1189" s="30"/>
      <c r="AK1189" s="30"/>
      <c r="AL1189" s="30"/>
      <c r="AM1189" s="30"/>
      <c r="AN1189" s="30"/>
      <c r="AO1189" s="30"/>
      <c r="AP1189" s="30"/>
      <c r="AQ1189" s="30"/>
      <c r="AR1189" s="30"/>
      <c r="AS1189" s="30"/>
      <c r="AT1189" s="30"/>
      <c r="AU1189" s="30"/>
      <c r="AV1189" s="30"/>
      <c r="AW1189" s="30"/>
      <c r="AX1189" s="30"/>
    </row>
    <row r="1190" ht="15.75" customHeight="1">
      <c r="A1190" s="30"/>
      <c r="B1190" s="30"/>
      <c r="C1190" s="31"/>
      <c r="D1190" s="31"/>
      <c r="E1190" s="31"/>
      <c r="F1190" s="30"/>
      <c r="G1190" s="30"/>
      <c r="H1190" s="30"/>
      <c r="I1190" s="30"/>
      <c r="J1190" s="30"/>
      <c r="K1190" s="30"/>
      <c r="L1190" s="30"/>
      <c r="M1190" s="30"/>
      <c r="N1190" s="30"/>
      <c r="O1190" s="30"/>
      <c r="P1190" s="30"/>
      <c r="Q1190" s="30"/>
      <c r="R1190" s="30"/>
      <c r="S1190" s="30"/>
      <c r="T1190" s="30"/>
      <c r="U1190" s="30"/>
      <c r="V1190" s="30"/>
      <c r="W1190" s="30"/>
      <c r="X1190" s="30"/>
      <c r="Y1190" s="30"/>
      <c r="Z1190" s="30"/>
      <c r="AA1190" s="30"/>
      <c r="AB1190" s="30"/>
      <c r="AC1190" s="30"/>
      <c r="AD1190" s="30"/>
      <c r="AE1190" s="30"/>
      <c r="AF1190" s="30"/>
      <c r="AG1190" s="30"/>
      <c r="AH1190" s="30"/>
      <c r="AI1190" s="30"/>
      <c r="AJ1190" s="30"/>
      <c r="AK1190" s="30"/>
      <c r="AL1190" s="30"/>
      <c r="AM1190" s="30"/>
      <c r="AN1190" s="30"/>
      <c r="AO1190" s="30"/>
      <c r="AP1190" s="30"/>
      <c r="AQ1190" s="30"/>
      <c r="AR1190" s="30"/>
      <c r="AS1190" s="30"/>
      <c r="AT1190" s="30"/>
      <c r="AU1190" s="30"/>
      <c r="AV1190" s="30"/>
      <c r="AW1190" s="30"/>
      <c r="AX1190" s="30"/>
    </row>
    <row r="1191" ht="15.75" customHeight="1">
      <c r="A1191" s="30"/>
      <c r="B1191" s="30"/>
      <c r="C1191" s="31"/>
      <c r="D1191" s="31"/>
      <c r="E1191" s="31"/>
      <c r="F1191" s="30"/>
      <c r="G1191" s="30"/>
      <c r="H1191" s="30"/>
      <c r="I1191" s="30"/>
      <c r="J1191" s="30"/>
      <c r="K1191" s="30"/>
      <c r="L1191" s="30"/>
      <c r="M1191" s="30"/>
      <c r="N1191" s="30"/>
      <c r="O1191" s="30"/>
      <c r="P1191" s="30"/>
      <c r="Q1191" s="30"/>
      <c r="R1191" s="30"/>
      <c r="S1191" s="30"/>
      <c r="T1191" s="30"/>
      <c r="U1191" s="30"/>
      <c r="V1191" s="30"/>
      <c r="W1191" s="30"/>
      <c r="X1191" s="30"/>
      <c r="Y1191" s="30"/>
      <c r="Z1191" s="30"/>
      <c r="AA1191" s="30"/>
      <c r="AB1191" s="30"/>
      <c r="AC1191" s="30"/>
      <c r="AD1191" s="30"/>
      <c r="AE1191" s="30"/>
      <c r="AF1191" s="30"/>
      <c r="AG1191" s="30"/>
      <c r="AH1191" s="30"/>
      <c r="AI1191" s="30"/>
      <c r="AJ1191" s="30"/>
      <c r="AK1191" s="30"/>
      <c r="AL1191" s="30"/>
      <c r="AM1191" s="30"/>
      <c r="AN1191" s="30"/>
      <c r="AO1191" s="30"/>
      <c r="AP1191" s="30"/>
      <c r="AQ1191" s="30"/>
      <c r="AR1191" s="30"/>
      <c r="AS1191" s="30"/>
      <c r="AT1191" s="30"/>
      <c r="AU1191" s="30"/>
      <c r="AV1191" s="30"/>
      <c r="AW1191" s="30"/>
      <c r="AX1191" s="30"/>
    </row>
    <row r="1192" ht="15.75" customHeight="1">
      <c r="A1192" s="30"/>
      <c r="B1192" s="30"/>
      <c r="C1192" s="31"/>
      <c r="D1192" s="31"/>
      <c r="E1192" s="31"/>
      <c r="F1192" s="30"/>
      <c r="G1192" s="30"/>
      <c r="H1192" s="30"/>
      <c r="I1192" s="30"/>
      <c r="J1192" s="30"/>
      <c r="K1192" s="30"/>
      <c r="L1192" s="30"/>
      <c r="M1192" s="30"/>
      <c r="N1192" s="30"/>
      <c r="O1192" s="30"/>
      <c r="P1192" s="30"/>
      <c r="Q1192" s="30"/>
      <c r="R1192" s="30"/>
      <c r="S1192" s="30"/>
      <c r="T1192" s="30"/>
      <c r="U1192" s="30"/>
      <c r="V1192" s="30"/>
      <c r="W1192" s="30"/>
      <c r="X1192" s="30"/>
      <c r="Y1192" s="30"/>
      <c r="Z1192" s="30"/>
      <c r="AA1192" s="30"/>
      <c r="AB1192" s="30"/>
      <c r="AC1192" s="30"/>
      <c r="AD1192" s="30"/>
      <c r="AE1192" s="30"/>
      <c r="AF1192" s="30"/>
      <c r="AG1192" s="30"/>
      <c r="AH1192" s="30"/>
      <c r="AI1192" s="30"/>
      <c r="AJ1192" s="30"/>
      <c r="AK1192" s="30"/>
      <c r="AL1192" s="30"/>
      <c r="AM1192" s="30"/>
      <c r="AN1192" s="30"/>
      <c r="AO1192" s="30"/>
      <c r="AP1192" s="30"/>
      <c r="AQ1192" s="30"/>
      <c r="AR1192" s="30"/>
      <c r="AS1192" s="30"/>
      <c r="AT1192" s="30"/>
      <c r="AU1192" s="30"/>
      <c r="AV1192" s="30"/>
      <c r="AW1192" s="30"/>
      <c r="AX1192" s="30"/>
    </row>
    <row r="1193" ht="15.75" customHeight="1">
      <c r="A1193" s="30"/>
      <c r="B1193" s="30"/>
      <c r="C1193" s="31"/>
      <c r="D1193" s="31"/>
      <c r="E1193" s="31"/>
      <c r="F1193" s="30"/>
      <c r="G1193" s="30"/>
      <c r="H1193" s="30"/>
      <c r="I1193" s="30"/>
      <c r="J1193" s="30"/>
      <c r="K1193" s="30"/>
      <c r="L1193" s="30"/>
      <c r="M1193" s="30"/>
      <c r="N1193" s="30"/>
      <c r="O1193" s="30"/>
      <c r="P1193" s="30"/>
      <c r="Q1193" s="30"/>
      <c r="R1193" s="30"/>
      <c r="S1193" s="30"/>
      <c r="T1193" s="30"/>
      <c r="U1193" s="30"/>
      <c r="V1193" s="30"/>
      <c r="W1193" s="30"/>
      <c r="X1193" s="30"/>
      <c r="Y1193" s="30"/>
      <c r="Z1193" s="30"/>
      <c r="AA1193" s="30"/>
      <c r="AB1193" s="30"/>
      <c r="AC1193" s="30"/>
      <c r="AD1193" s="30"/>
      <c r="AE1193" s="30"/>
      <c r="AF1193" s="30"/>
      <c r="AG1193" s="30"/>
      <c r="AH1193" s="30"/>
      <c r="AI1193" s="30"/>
      <c r="AJ1193" s="30"/>
      <c r="AK1193" s="30"/>
      <c r="AL1193" s="30"/>
      <c r="AM1193" s="30"/>
      <c r="AN1193" s="30"/>
      <c r="AO1193" s="30"/>
      <c r="AP1193" s="30"/>
      <c r="AQ1193" s="30"/>
      <c r="AR1193" s="30"/>
      <c r="AS1193" s="30"/>
      <c r="AT1193" s="30"/>
      <c r="AU1193" s="30"/>
      <c r="AV1193" s="30"/>
      <c r="AW1193" s="30"/>
      <c r="AX1193" s="30"/>
    </row>
    <row r="1194" ht="15.75" customHeight="1">
      <c r="A1194" s="30"/>
      <c r="B1194" s="30"/>
      <c r="C1194" s="31"/>
      <c r="D1194" s="31"/>
      <c r="E1194" s="31"/>
      <c r="F1194" s="30"/>
      <c r="G1194" s="30"/>
      <c r="H1194" s="30"/>
      <c r="I1194" s="30"/>
      <c r="J1194" s="30"/>
      <c r="K1194" s="30"/>
      <c r="L1194" s="30"/>
      <c r="M1194" s="30"/>
      <c r="N1194" s="30"/>
      <c r="O1194" s="30"/>
      <c r="P1194" s="30"/>
      <c r="Q1194" s="30"/>
      <c r="R1194" s="30"/>
      <c r="S1194" s="30"/>
      <c r="T1194" s="30"/>
      <c r="U1194" s="30"/>
      <c r="V1194" s="30"/>
      <c r="W1194" s="30"/>
      <c r="X1194" s="30"/>
      <c r="Y1194" s="30"/>
      <c r="Z1194" s="30"/>
      <c r="AA1194" s="30"/>
      <c r="AB1194" s="30"/>
      <c r="AC1194" s="30"/>
      <c r="AD1194" s="30"/>
      <c r="AE1194" s="30"/>
      <c r="AF1194" s="30"/>
      <c r="AG1194" s="30"/>
      <c r="AH1194" s="30"/>
      <c r="AI1194" s="30"/>
      <c r="AJ1194" s="30"/>
      <c r="AK1194" s="30"/>
      <c r="AL1194" s="30"/>
      <c r="AM1194" s="30"/>
      <c r="AN1194" s="30"/>
      <c r="AO1194" s="30"/>
      <c r="AP1194" s="30"/>
      <c r="AQ1194" s="30"/>
      <c r="AR1194" s="30"/>
      <c r="AS1194" s="30"/>
      <c r="AT1194" s="30"/>
      <c r="AU1194" s="30"/>
      <c r="AV1194" s="30"/>
      <c r="AW1194" s="30"/>
      <c r="AX1194" s="30"/>
    </row>
    <row r="1195" ht="15.75" customHeight="1">
      <c r="A1195" s="30"/>
      <c r="B1195" s="30"/>
      <c r="C1195" s="31"/>
      <c r="D1195" s="31"/>
      <c r="E1195" s="31"/>
      <c r="F1195" s="30"/>
      <c r="G1195" s="30"/>
      <c r="H1195" s="30"/>
      <c r="I1195" s="30"/>
      <c r="J1195" s="30"/>
      <c r="K1195" s="30"/>
      <c r="L1195" s="30"/>
      <c r="M1195" s="30"/>
      <c r="N1195" s="30"/>
      <c r="O1195" s="30"/>
      <c r="P1195" s="30"/>
      <c r="Q1195" s="30"/>
      <c r="R1195" s="30"/>
      <c r="S1195" s="30"/>
      <c r="T1195" s="30"/>
      <c r="U1195" s="30"/>
      <c r="V1195" s="30"/>
      <c r="W1195" s="30"/>
      <c r="X1195" s="30"/>
      <c r="Y1195" s="30"/>
      <c r="Z1195" s="30"/>
      <c r="AA1195" s="30"/>
      <c r="AB1195" s="30"/>
      <c r="AC1195" s="30"/>
      <c r="AD1195" s="30"/>
      <c r="AE1195" s="30"/>
      <c r="AF1195" s="30"/>
      <c r="AG1195" s="30"/>
      <c r="AH1195" s="30"/>
      <c r="AI1195" s="30"/>
      <c r="AJ1195" s="30"/>
      <c r="AK1195" s="30"/>
      <c r="AL1195" s="30"/>
      <c r="AM1195" s="30"/>
      <c r="AN1195" s="30"/>
      <c r="AO1195" s="30"/>
      <c r="AP1195" s="30"/>
      <c r="AQ1195" s="30"/>
      <c r="AR1195" s="30"/>
      <c r="AS1195" s="30"/>
      <c r="AT1195" s="30"/>
      <c r="AU1195" s="30"/>
      <c r="AV1195" s="30"/>
      <c r="AW1195" s="30"/>
      <c r="AX1195" s="30"/>
    </row>
    <row r="1196" ht="15.75" customHeight="1">
      <c r="A1196" s="30"/>
      <c r="B1196" s="30"/>
      <c r="C1196" s="31"/>
      <c r="D1196" s="31"/>
      <c r="E1196" s="31"/>
      <c r="F1196" s="30"/>
      <c r="G1196" s="30"/>
      <c r="H1196" s="30"/>
      <c r="I1196" s="30"/>
      <c r="J1196" s="30"/>
      <c r="K1196" s="30"/>
      <c r="L1196" s="30"/>
      <c r="M1196" s="30"/>
      <c r="N1196" s="30"/>
      <c r="O1196" s="30"/>
      <c r="P1196" s="30"/>
      <c r="Q1196" s="30"/>
      <c r="R1196" s="30"/>
      <c r="S1196" s="30"/>
      <c r="T1196" s="30"/>
      <c r="U1196" s="30"/>
      <c r="V1196" s="30"/>
      <c r="W1196" s="30"/>
      <c r="X1196" s="30"/>
      <c r="Y1196" s="30"/>
      <c r="Z1196" s="30"/>
      <c r="AA1196" s="30"/>
      <c r="AB1196" s="30"/>
      <c r="AC1196" s="30"/>
      <c r="AD1196" s="30"/>
      <c r="AE1196" s="30"/>
      <c r="AF1196" s="30"/>
      <c r="AG1196" s="30"/>
      <c r="AH1196" s="30"/>
      <c r="AI1196" s="30"/>
      <c r="AJ1196" s="30"/>
      <c r="AK1196" s="30"/>
      <c r="AL1196" s="30"/>
      <c r="AM1196" s="30"/>
      <c r="AN1196" s="30"/>
      <c r="AO1196" s="30"/>
      <c r="AP1196" s="30"/>
      <c r="AQ1196" s="30"/>
      <c r="AR1196" s="30"/>
      <c r="AS1196" s="30"/>
      <c r="AT1196" s="30"/>
      <c r="AU1196" s="30"/>
      <c r="AV1196" s="30"/>
      <c r="AW1196" s="30"/>
      <c r="AX1196" s="30"/>
    </row>
    <row r="1197" ht="15.75" customHeight="1">
      <c r="A1197" s="30"/>
      <c r="B1197" s="30"/>
      <c r="C1197" s="31"/>
      <c r="D1197" s="31"/>
      <c r="E1197" s="31"/>
      <c r="F1197" s="30"/>
      <c r="G1197" s="30"/>
      <c r="H1197" s="30"/>
      <c r="I1197" s="30"/>
      <c r="J1197" s="30"/>
      <c r="K1197" s="30"/>
      <c r="L1197" s="30"/>
      <c r="M1197" s="30"/>
      <c r="N1197" s="30"/>
      <c r="O1197" s="30"/>
      <c r="P1197" s="30"/>
      <c r="Q1197" s="30"/>
      <c r="R1197" s="30"/>
      <c r="S1197" s="30"/>
      <c r="T1197" s="30"/>
      <c r="U1197" s="30"/>
      <c r="V1197" s="30"/>
      <c r="W1197" s="30"/>
      <c r="X1197" s="30"/>
      <c r="Y1197" s="30"/>
      <c r="Z1197" s="30"/>
      <c r="AA1197" s="30"/>
      <c r="AB1197" s="30"/>
      <c r="AC1197" s="30"/>
      <c r="AD1197" s="30"/>
      <c r="AE1197" s="30"/>
      <c r="AF1197" s="30"/>
      <c r="AG1197" s="30"/>
      <c r="AH1197" s="30"/>
      <c r="AI1197" s="30"/>
      <c r="AJ1197" s="30"/>
      <c r="AK1197" s="30"/>
      <c r="AL1197" s="30"/>
      <c r="AM1197" s="30"/>
      <c r="AN1197" s="30"/>
      <c r="AO1197" s="30"/>
      <c r="AP1197" s="30"/>
      <c r="AQ1197" s="30"/>
      <c r="AR1197" s="30"/>
      <c r="AS1197" s="30"/>
      <c r="AT1197" s="30"/>
      <c r="AU1197" s="30"/>
      <c r="AV1197" s="30"/>
      <c r="AW1197" s="30"/>
      <c r="AX1197" s="30"/>
    </row>
    <row r="1198" ht="15.75" customHeight="1">
      <c r="A1198" s="30"/>
      <c r="B1198" s="30"/>
      <c r="C1198" s="31"/>
      <c r="D1198" s="31"/>
      <c r="E1198" s="31"/>
      <c r="F1198" s="30"/>
      <c r="G1198" s="30"/>
      <c r="H1198" s="30"/>
      <c r="I1198" s="30"/>
      <c r="J1198" s="30"/>
      <c r="K1198" s="30"/>
      <c r="L1198" s="30"/>
      <c r="M1198" s="30"/>
      <c r="N1198" s="30"/>
      <c r="O1198" s="30"/>
      <c r="P1198" s="30"/>
      <c r="Q1198" s="30"/>
      <c r="R1198" s="30"/>
      <c r="S1198" s="30"/>
      <c r="T1198" s="30"/>
      <c r="U1198" s="30"/>
      <c r="V1198" s="30"/>
      <c r="W1198" s="30"/>
      <c r="X1198" s="30"/>
      <c r="Y1198" s="30"/>
      <c r="Z1198" s="30"/>
      <c r="AA1198" s="30"/>
      <c r="AB1198" s="30"/>
      <c r="AC1198" s="30"/>
      <c r="AD1198" s="30"/>
      <c r="AE1198" s="30"/>
      <c r="AF1198" s="30"/>
      <c r="AG1198" s="30"/>
      <c r="AH1198" s="30"/>
      <c r="AI1198" s="30"/>
      <c r="AJ1198" s="30"/>
      <c r="AK1198" s="30"/>
      <c r="AL1198" s="30"/>
      <c r="AM1198" s="30"/>
      <c r="AN1198" s="30"/>
      <c r="AO1198" s="30"/>
      <c r="AP1198" s="30"/>
      <c r="AQ1198" s="30"/>
      <c r="AR1198" s="30"/>
      <c r="AS1198" s="30"/>
      <c r="AT1198" s="30"/>
      <c r="AU1198" s="30"/>
      <c r="AV1198" s="30"/>
      <c r="AW1198" s="30"/>
      <c r="AX1198" s="30"/>
    </row>
    <row r="1199" ht="15.75" customHeight="1">
      <c r="A1199" s="30"/>
      <c r="B1199" s="30"/>
      <c r="C1199" s="31"/>
      <c r="D1199" s="31"/>
      <c r="E1199" s="31"/>
      <c r="F1199" s="30"/>
      <c r="G1199" s="30"/>
      <c r="H1199" s="30"/>
      <c r="I1199" s="30"/>
      <c r="J1199" s="30"/>
      <c r="K1199" s="30"/>
      <c r="L1199" s="30"/>
      <c r="M1199" s="30"/>
      <c r="N1199" s="30"/>
      <c r="O1199" s="30"/>
      <c r="P1199" s="30"/>
      <c r="Q1199" s="30"/>
      <c r="R1199" s="30"/>
      <c r="S1199" s="30"/>
      <c r="T1199" s="30"/>
      <c r="U1199" s="30"/>
      <c r="V1199" s="30"/>
      <c r="W1199" s="30"/>
      <c r="X1199" s="30"/>
      <c r="Y1199" s="30"/>
      <c r="Z1199" s="30"/>
      <c r="AA1199" s="30"/>
      <c r="AB1199" s="30"/>
      <c r="AC1199" s="30"/>
      <c r="AD1199" s="30"/>
      <c r="AE1199" s="30"/>
      <c r="AF1199" s="30"/>
      <c r="AG1199" s="30"/>
      <c r="AH1199" s="30"/>
      <c r="AI1199" s="30"/>
      <c r="AJ1199" s="30"/>
      <c r="AK1199" s="30"/>
      <c r="AL1199" s="30"/>
      <c r="AM1199" s="30"/>
      <c r="AN1199" s="30"/>
      <c r="AO1199" s="30"/>
      <c r="AP1199" s="30"/>
      <c r="AQ1199" s="30"/>
      <c r="AR1199" s="30"/>
      <c r="AS1199" s="30"/>
      <c r="AT1199" s="30"/>
      <c r="AU1199" s="30"/>
      <c r="AV1199" s="30"/>
      <c r="AW1199" s="30"/>
      <c r="AX1199" s="30"/>
    </row>
    <row r="1200" ht="15.75" customHeight="1">
      <c r="A1200" s="30"/>
      <c r="B1200" s="30"/>
      <c r="C1200" s="31"/>
      <c r="D1200" s="31"/>
      <c r="E1200" s="31"/>
      <c r="F1200" s="30"/>
      <c r="G1200" s="30"/>
      <c r="H1200" s="30"/>
      <c r="I1200" s="30"/>
      <c r="J1200" s="30"/>
      <c r="K1200" s="30"/>
      <c r="L1200" s="30"/>
      <c r="M1200" s="30"/>
      <c r="N1200" s="30"/>
      <c r="O1200" s="30"/>
      <c r="P1200" s="30"/>
      <c r="Q1200" s="30"/>
      <c r="R1200" s="30"/>
      <c r="S1200" s="30"/>
      <c r="T1200" s="30"/>
      <c r="U1200" s="30"/>
      <c r="V1200" s="30"/>
      <c r="W1200" s="30"/>
      <c r="X1200" s="30"/>
      <c r="Y1200" s="30"/>
      <c r="Z1200" s="30"/>
      <c r="AA1200" s="30"/>
      <c r="AB1200" s="30"/>
      <c r="AC1200" s="30"/>
      <c r="AD1200" s="30"/>
      <c r="AE1200" s="30"/>
      <c r="AF1200" s="30"/>
      <c r="AG1200" s="30"/>
      <c r="AH1200" s="30"/>
      <c r="AI1200" s="30"/>
      <c r="AJ1200" s="30"/>
      <c r="AK1200" s="30"/>
      <c r="AL1200" s="30"/>
      <c r="AM1200" s="30"/>
      <c r="AN1200" s="30"/>
      <c r="AO1200" s="30"/>
      <c r="AP1200" s="30"/>
      <c r="AQ1200" s="30"/>
      <c r="AR1200" s="30"/>
      <c r="AS1200" s="30"/>
      <c r="AT1200" s="30"/>
      <c r="AU1200" s="30"/>
      <c r="AV1200" s="30"/>
      <c r="AW1200" s="30"/>
      <c r="AX1200" s="30"/>
    </row>
    <row r="1201" ht="15.75" customHeight="1">
      <c r="A1201" s="30"/>
      <c r="B1201" s="30"/>
      <c r="C1201" s="31"/>
      <c r="D1201" s="31"/>
      <c r="E1201" s="31"/>
      <c r="F1201" s="30"/>
      <c r="G1201" s="30"/>
      <c r="H1201" s="30"/>
      <c r="I1201" s="30"/>
      <c r="J1201" s="30"/>
      <c r="K1201" s="30"/>
      <c r="L1201" s="30"/>
      <c r="M1201" s="30"/>
      <c r="N1201" s="30"/>
      <c r="O1201" s="30"/>
      <c r="P1201" s="30"/>
      <c r="Q1201" s="30"/>
      <c r="R1201" s="30"/>
      <c r="S1201" s="30"/>
      <c r="T1201" s="30"/>
      <c r="U1201" s="30"/>
      <c r="V1201" s="30"/>
      <c r="W1201" s="30"/>
      <c r="X1201" s="30"/>
      <c r="Y1201" s="30"/>
      <c r="Z1201" s="30"/>
      <c r="AA1201" s="30"/>
      <c r="AB1201" s="30"/>
      <c r="AC1201" s="30"/>
      <c r="AD1201" s="30"/>
      <c r="AE1201" s="30"/>
      <c r="AF1201" s="30"/>
      <c r="AG1201" s="30"/>
      <c r="AH1201" s="30"/>
      <c r="AI1201" s="30"/>
      <c r="AJ1201" s="30"/>
      <c r="AK1201" s="30"/>
      <c r="AL1201" s="30"/>
      <c r="AM1201" s="30"/>
      <c r="AN1201" s="30"/>
      <c r="AO1201" s="30"/>
      <c r="AP1201" s="30"/>
      <c r="AQ1201" s="30"/>
      <c r="AR1201" s="30"/>
      <c r="AS1201" s="30"/>
      <c r="AT1201" s="30"/>
      <c r="AU1201" s="30"/>
      <c r="AV1201" s="30"/>
      <c r="AW1201" s="30"/>
      <c r="AX1201" s="30"/>
    </row>
    <row r="1202" ht="15.75" customHeight="1">
      <c r="A1202" s="30"/>
      <c r="B1202" s="30"/>
      <c r="C1202" s="31"/>
      <c r="D1202" s="31"/>
      <c r="E1202" s="31"/>
      <c r="F1202" s="30"/>
      <c r="G1202" s="30"/>
      <c r="H1202" s="30"/>
      <c r="I1202" s="30"/>
      <c r="J1202" s="30"/>
      <c r="K1202" s="30"/>
      <c r="L1202" s="30"/>
      <c r="M1202" s="30"/>
      <c r="N1202" s="30"/>
      <c r="O1202" s="30"/>
      <c r="P1202" s="30"/>
      <c r="Q1202" s="30"/>
      <c r="R1202" s="30"/>
      <c r="S1202" s="30"/>
      <c r="T1202" s="30"/>
      <c r="U1202" s="30"/>
      <c r="V1202" s="30"/>
      <c r="W1202" s="30"/>
      <c r="X1202" s="30"/>
      <c r="Y1202" s="30"/>
      <c r="Z1202" s="30"/>
      <c r="AA1202" s="30"/>
      <c r="AB1202" s="30"/>
      <c r="AC1202" s="30"/>
      <c r="AD1202" s="30"/>
      <c r="AE1202" s="30"/>
      <c r="AF1202" s="30"/>
      <c r="AG1202" s="30"/>
      <c r="AH1202" s="30"/>
      <c r="AI1202" s="30"/>
      <c r="AJ1202" s="30"/>
      <c r="AK1202" s="30"/>
      <c r="AL1202" s="30"/>
      <c r="AM1202" s="30"/>
      <c r="AN1202" s="30"/>
      <c r="AO1202" s="30"/>
      <c r="AP1202" s="30"/>
      <c r="AQ1202" s="30"/>
      <c r="AR1202" s="30"/>
      <c r="AS1202" s="30"/>
      <c r="AT1202" s="30"/>
      <c r="AU1202" s="30"/>
      <c r="AV1202" s="30"/>
      <c r="AW1202" s="30"/>
      <c r="AX1202" s="30"/>
    </row>
    <row r="1203" ht="15.75" customHeight="1">
      <c r="A1203" s="30"/>
      <c r="B1203" s="30"/>
      <c r="C1203" s="31"/>
      <c r="D1203" s="31"/>
      <c r="E1203" s="31"/>
      <c r="F1203" s="30"/>
      <c r="G1203" s="30"/>
      <c r="H1203" s="30"/>
      <c r="I1203" s="30"/>
      <c r="J1203" s="30"/>
      <c r="K1203" s="30"/>
      <c r="L1203" s="30"/>
      <c r="M1203" s="30"/>
      <c r="N1203" s="30"/>
      <c r="O1203" s="30"/>
      <c r="P1203" s="30"/>
      <c r="Q1203" s="30"/>
      <c r="R1203" s="30"/>
      <c r="S1203" s="30"/>
      <c r="T1203" s="30"/>
      <c r="U1203" s="30"/>
      <c r="V1203" s="30"/>
      <c r="W1203" s="30"/>
      <c r="X1203" s="30"/>
      <c r="Y1203" s="30"/>
      <c r="Z1203" s="30"/>
      <c r="AA1203" s="30"/>
      <c r="AB1203" s="30"/>
      <c r="AC1203" s="30"/>
      <c r="AD1203" s="30"/>
      <c r="AE1203" s="30"/>
      <c r="AF1203" s="30"/>
      <c r="AG1203" s="30"/>
      <c r="AH1203" s="30"/>
      <c r="AI1203" s="30"/>
      <c r="AJ1203" s="30"/>
      <c r="AK1203" s="30"/>
      <c r="AL1203" s="30"/>
      <c r="AM1203" s="30"/>
      <c r="AN1203" s="30"/>
      <c r="AO1203" s="30"/>
      <c r="AP1203" s="30"/>
      <c r="AQ1203" s="30"/>
      <c r="AR1203" s="30"/>
      <c r="AS1203" s="30"/>
      <c r="AT1203" s="30"/>
      <c r="AU1203" s="30"/>
      <c r="AV1203" s="30"/>
      <c r="AW1203" s="30"/>
      <c r="AX1203" s="30"/>
    </row>
    <row r="1204" ht="15.75" customHeight="1">
      <c r="A1204" s="30"/>
      <c r="B1204" s="30"/>
      <c r="C1204" s="31"/>
      <c r="D1204" s="31"/>
      <c r="E1204" s="31"/>
      <c r="F1204" s="30"/>
      <c r="G1204" s="30"/>
      <c r="H1204" s="30"/>
      <c r="I1204" s="30"/>
      <c r="J1204" s="30"/>
      <c r="K1204" s="30"/>
      <c r="L1204" s="30"/>
      <c r="M1204" s="30"/>
      <c r="N1204" s="30"/>
      <c r="O1204" s="30"/>
      <c r="P1204" s="30"/>
      <c r="Q1204" s="30"/>
      <c r="R1204" s="30"/>
      <c r="S1204" s="30"/>
      <c r="T1204" s="30"/>
      <c r="U1204" s="30"/>
      <c r="V1204" s="30"/>
      <c r="W1204" s="30"/>
      <c r="X1204" s="30"/>
      <c r="Y1204" s="30"/>
      <c r="Z1204" s="30"/>
      <c r="AA1204" s="30"/>
      <c r="AB1204" s="30"/>
      <c r="AC1204" s="30"/>
      <c r="AD1204" s="30"/>
      <c r="AE1204" s="30"/>
      <c r="AF1204" s="30"/>
      <c r="AG1204" s="30"/>
      <c r="AH1204" s="30"/>
      <c r="AI1204" s="30"/>
      <c r="AJ1204" s="30"/>
      <c r="AK1204" s="30"/>
      <c r="AL1204" s="30"/>
      <c r="AM1204" s="30"/>
      <c r="AN1204" s="30"/>
      <c r="AO1204" s="30"/>
      <c r="AP1204" s="30"/>
      <c r="AQ1204" s="30"/>
      <c r="AR1204" s="30"/>
      <c r="AS1204" s="30"/>
      <c r="AT1204" s="30"/>
      <c r="AU1204" s="30"/>
      <c r="AV1204" s="30"/>
      <c r="AW1204" s="30"/>
      <c r="AX1204" s="30"/>
    </row>
    <row r="1205" ht="15.75" customHeight="1">
      <c r="A1205" s="30"/>
      <c r="B1205" s="30"/>
      <c r="C1205" s="31"/>
      <c r="D1205" s="31"/>
      <c r="E1205" s="31"/>
      <c r="F1205" s="30"/>
      <c r="G1205" s="30"/>
      <c r="H1205" s="30"/>
      <c r="I1205" s="30"/>
      <c r="J1205" s="30"/>
      <c r="K1205" s="30"/>
      <c r="L1205" s="30"/>
      <c r="M1205" s="30"/>
      <c r="N1205" s="30"/>
      <c r="O1205" s="30"/>
      <c r="P1205" s="30"/>
      <c r="Q1205" s="30"/>
      <c r="R1205" s="30"/>
      <c r="S1205" s="30"/>
      <c r="T1205" s="30"/>
      <c r="U1205" s="30"/>
      <c r="V1205" s="30"/>
      <c r="W1205" s="30"/>
      <c r="X1205" s="30"/>
      <c r="Y1205" s="30"/>
      <c r="Z1205" s="30"/>
      <c r="AA1205" s="30"/>
      <c r="AB1205" s="30"/>
      <c r="AC1205" s="30"/>
      <c r="AD1205" s="30"/>
      <c r="AE1205" s="30"/>
      <c r="AF1205" s="30"/>
      <c r="AG1205" s="30"/>
      <c r="AH1205" s="30"/>
      <c r="AI1205" s="30"/>
      <c r="AJ1205" s="30"/>
      <c r="AK1205" s="30"/>
      <c r="AL1205" s="30"/>
      <c r="AM1205" s="30"/>
      <c r="AN1205" s="30"/>
      <c r="AO1205" s="30"/>
      <c r="AP1205" s="30"/>
      <c r="AQ1205" s="30"/>
      <c r="AR1205" s="30"/>
      <c r="AS1205" s="30"/>
      <c r="AT1205" s="30"/>
      <c r="AU1205" s="30"/>
      <c r="AV1205" s="30"/>
      <c r="AW1205" s="30"/>
      <c r="AX1205" s="30"/>
    </row>
    <row r="1206" ht="15.75" customHeight="1">
      <c r="A1206" s="30"/>
      <c r="B1206" s="30"/>
      <c r="C1206" s="31"/>
      <c r="D1206" s="31"/>
      <c r="E1206" s="31"/>
      <c r="F1206" s="30"/>
      <c r="G1206" s="30"/>
      <c r="H1206" s="30"/>
      <c r="I1206" s="30"/>
      <c r="J1206" s="30"/>
      <c r="K1206" s="30"/>
      <c r="L1206" s="30"/>
      <c r="M1206" s="30"/>
      <c r="N1206" s="30"/>
      <c r="O1206" s="30"/>
      <c r="P1206" s="30"/>
      <c r="Q1206" s="30"/>
      <c r="R1206" s="30"/>
      <c r="S1206" s="30"/>
      <c r="T1206" s="30"/>
      <c r="U1206" s="30"/>
      <c r="V1206" s="30"/>
      <c r="W1206" s="30"/>
      <c r="X1206" s="30"/>
      <c r="Y1206" s="30"/>
      <c r="Z1206" s="30"/>
      <c r="AA1206" s="30"/>
      <c r="AB1206" s="30"/>
      <c r="AC1206" s="30"/>
      <c r="AD1206" s="30"/>
      <c r="AE1206" s="30"/>
      <c r="AF1206" s="30"/>
      <c r="AG1206" s="30"/>
      <c r="AH1206" s="30"/>
      <c r="AI1206" s="30"/>
      <c r="AJ1206" s="30"/>
      <c r="AK1206" s="30"/>
      <c r="AL1206" s="30"/>
      <c r="AM1206" s="30"/>
      <c r="AN1206" s="30"/>
      <c r="AO1206" s="30"/>
      <c r="AP1206" s="30"/>
      <c r="AQ1206" s="30"/>
      <c r="AR1206" s="30"/>
      <c r="AS1206" s="30"/>
      <c r="AT1206" s="30"/>
      <c r="AU1206" s="30"/>
      <c r="AV1206" s="30"/>
      <c r="AW1206" s="30"/>
      <c r="AX1206" s="30"/>
    </row>
    <row r="1207" ht="15.75" customHeight="1">
      <c r="A1207" s="30"/>
      <c r="B1207" s="30"/>
      <c r="C1207" s="31"/>
      <c r="D1207" s="31"/>
      <c r="E1207" s="31"/>
      <c r="F1207" s="30"/>
      <c r="G1207" s="30"/>
      <c r="H1207" s="30"/>
      <c r="I1207" s="30"/>
      <c r="J1207" s="30"/>
      <c r="K1207" s="30"/>
      <c r="L1207" s="30"/>
      <c r="M1207" s="30"/>
      <c r="N1207" s="30"/>
      <c r="O1207" s="30"/>
      <c r="P1207" s="30"/>
      <c r="Q1207" s="30"/>
      <c r="R1207" s="30"/>
      <c r="S1207" s="30"/>
      <c r="T1207" s="30"/>
      <c r="U1207" s="30"/>
      <c r="V1207" s="30"/>
      <c r="W1207" s="30"/>
      <c r="X1207" s="30"/>
      <c r="Y1207" s="30"/>
      <c r="Z1207" s="30"/>
      <c r="AA1207" s="30"/>
      <c r="AB1207" s="30"/>
      <c r="AC1207" s="30"/>
      <c r="AD1207" s="30"/>
      <c r="AE1207" s="30"/>
      <c r="AF1207" s="30"/>
      <c r="AG1207" s="30"/>
      <c r="AH1207" s="30"/>
      <c r="AI1207" s="30"/>
      <c r="AJ1207" s="30"/>
      <c r="AK1207" s="30"/>
      <c r="AL1207" s="30"/>
      <c r="AM1207" s="30"/>
      <c r="AN1207" s="30"/>
      <c r="AO1207" s="30"/>
      <c r="AP1207" s="30"/>
      <c r="AQ1207" s="30"/>
      <c r="AR1207" s="30"/>
      <c r="AS1207" s="30"/>
      <c r="AT1207" s="30"/>
      <c r="AU1207" s="30"/>
      <c r="AV1207" s="30"/>
      <c r="AW1207" s="30"/>
      <c r="AX1207" s="30"/>
    </row>
    <row r="1208" ht="15.75" customHeight="1">
      <c r="A1208" s="30"/>
      <c r="B1208" s="30"/>
      <c r="C1208" s="31"/>
      <c r="D1208" s="31"/>
      <c r="E1208" s="31"/>
      <c r="F1208" s="30"/>
      <c r="G1208" s="30"/>
      <c r="H1208" s="30"/>
      <c r="I1208" s="30"/>
      <c r="J1208" s="30"/>
      <c r="K1208" s="30"/>
      <c r="L1208" s="30"/>
      <c r="M1208" s="30"/>
      <c r="N1208" s="30"/>
      <c r="O1208" s="30"/>
      <c r="P1208" s="30"/>
      <c r="Q1208" s="30"/>
      <c r="R1208" s="30"/>
      <c r="S1208" s="30"/>
      <c r="T1208" s="30"/>
      <c r="U1208" s="30"/>
      <c r="V1208" s="30"/>
      <c r="W1208" s="30"/>
      <c r="X1208" s="30"/>
      <c r="Y1208" s="30"/>
      <c r="Z1208" s="30"/>
      <c r="AA1208" s="30"/>
      <c r="AB1208" s="30"/>
      <c r="AC1208" s="30"/>
      <c r="AD1208" s="30"/>
      <c r="AE1208" s="30"/>
      <c r="AF1208" s="30"/>
      <c r="AG1208" s="30"/>
      <c r="AH1208" s="30"/>
      <c r="AI1208" s="30"/>
      <c r="AJ1208" s="30"/>
      <c r="AK1208" s="30"/>
      <c r="AL1208" s="30"/>
      <c r="AM1208" s="30"/>
      <c r="AN1208" s="30"/>
      <c r="AO1208" s="30"/>
      <c r="AP1208" s="30"/>
      <c r="AQ1208" s="30"/>
      <c r="AR1208" s="30"/>
      <c r="AS1208" s="30"/>
      <c r="AT1208" s="30"/>
      <c r="AU1208" s="30"/>
      <c r="AV1208" s="30"/>
      <c r="AW1208" s="30"/>
      <c r="AX1208" s="30"/>
    </row>
    <row r="1209" ht="15.75" customHeight="1">
      <c r="A1209" s="30"/>
      <c r="B1209" s="30"/>
      <c r="C1209" s="31"/>
      <c r="D1209" s="31"/>
      <c r="E1209" s="31"/>
      <c r="F1209" s="30"/>
      <c r="G1209" s="30"/>
      <c r="H1209" s="30"/>
      <c r="I1209" s="30"/>
      <c r="J1209" s="30"/>
      <c r="K1209" s="30"/>
      <c r="L1209" s="30"/>
      <c r="M1209" s="30"/>
      <c r="N1209" s="30"/>
      <c r="O1209" s="30"/>
      <c r="P1209" s="30"/>
      <c r="Q1209" s="30"/>
      <c r="R1209" s="30"/>
      <c r="S1209" s="30"/>
      <c r="T1209" s="30"/>
      <c r="U1209" s="30"/>
      <c r="V1209" s="30"/>
      <c r="W1209" s="30"/>
      <c r="X1209" s="30"/>
      <c r="Y1209" s="30"/>
      <c r="Z1209" s="30"/>
      <c r="AA1209" s="30"/>
      <c r="AB1209" s="30"/>
      <c r="AC1209" s="30"/>
      <c r="AD1209" s="30"/>
      <c r="AE1209" s="30"/>
      <c r="AF1209" s="30"/>
      <c r="AG1209" s="30"/>
      <c r="AH1209" s="30"/>
      <c r="AI1209" s="30"/>
      <c r="AJ1209" s="30"/>
      <c r="AK1209" s="30"/>
      <c r="AL1209" s="30"/>
      <c r="AM1209" s="30"/>
      <c r="AN1209" s="30"/>
      <c r="AO1209" s="30"/>
      <c r="AP1209" s="30"/>
      <c r="AQ1209" s="30"/>
      <c r="AR1209" s="30"/>
      <c r="AS1209" s="30"/>
      <c r="AT1209" s="30"/>
      <c r="AU1209" s="30"/>
      <c r="AV1209" s="30"/>
      <c r="AW1209" s="30"/>
      <c r="AX1209" s="30"/>
    </row>
    <row r="1210" ht="15.75" customHeight="1">
      <c r="A1210" s="30"/>
      <c r="B1210" s="30"/>
      <c r="C1210" s="31"/>
      <c r="D1210" s="31"/>
      <c r="E1210" s="31"/>
      <c r="F1210" s="30"/>
      <c r="G1210" s="30"/>
      <c r="H1210" s="30"/>
      <c r="I1210" s="30"/>
      <c r="J1210" s="30"/>
      <c r="K1210" s="30"/>
      <c r="L1210" s="30"/>
      <c r="M1210" s="30"/>
      <c r="N1210" s="30"/>
      <c r="O1210" s="30"/>
      <c r="P1210" s="30"/>
      <c r="Q1210" s="30"/>
      <c r="R1210" s="30"/>
      <c r="S1210" s="30"/>
      <c r="T1210" s="30"/>
      <c r="U1210" s="30"/>
      <c r="V1210" s="30"/>
      <c r="W1210" s="30"/>
      <c r="X1210" s="30"/>
      <c r="Y1210" s="30"/>
      <c r="Z1210" s="30"/>
      <c r="AA1210" s="30"/>
      <c r="AB1210" s="30"/>
      <c r="AC1210" s="30"/>
      <c r="AD1210" s="30"/>
      <c r="AE1210" s="30"/>
      <c r="AF1210" s="30"/>
      <c r="AG1210" s="30"/>
      <c r="AH1210" s="30"/>
      <c r="AI1210" s="30"/>
      <c r="AJ1210" s="30"/>
      <c r="AK1210" s="30"/>
      <c r="AL1210" s="30"/>
      <c r="AM1210" s="30"/>
      <c r="AN1210" s="30"/>
      <c r="AO1210" s="30"/>
      <c r="AP1210" s="30"/>
      <c r="AQ1210" s="30"/>
      <c r="AR1210" s="30"/>
      <c r="AS1210" s="30"/>
      <c r="AT1210" s="30"/>
      <c r="AU1210" s="30"/>
      <c r="AV1210" s="30"/>
      <c r="AW1210" s="30"/>
      <c r="AX1210" s="30"/>
    </row>
    <row r="1211" ht="15.75" customHeight="1">
      <c r="A1211" s="30"/>
      <c r="B1211" s="30"/>
      <c r="C1211" s="31"/>
      <c r="D1211" s="31"/>
      <c r="E1211" s="31"/>
      <c r="F1211" s="30"/>
      <c r="G1211" s="30"/>
      <c r="H1211" s="30"/>
      <c r="I1211" s="30"/>
      <c r="J1211" s="30"/>
      <c r="K1211" s="30"/>
      <c r="L1211" s="30"/>
      <c r="M1211" s="30"/>
      <c r="N1211" s="30"/>
      <c r="O1211" s="30"/>
      <c r="P1211" s="30"/>
      <c r="Q1211" s="30"/>
      <c r="R1211" s="30"/>
      <c r="S1211" s="30"/>
      <c r="T1211" s="30"/>
      <c r="U1211" s="30"/>
      <c r="V1211" s="30"/>
      <c r="W1211" s="30"/>
      <c r="X1211" s="30"/>
      <c r="Y1211" s="30"/>
      <c r="Z1211" s="30"/>
      <c r="AA1211" s="30"/>
      <c r="AB1211" s="30"/>
      <c r="AC1211" s="30"/>
      <c r="AD1211" s="30"/>
      <c r="AE1211" s="30"/>
      <c r="AF1211" s="30"/>
      <c r="AG1211" s="30"/>
      <c r="AH1211" s="30"/>
      <c r="AI1211" s="30"/>
      <c r="AJ1211" s="30"/>
      <c r="AK1211" s="30"/>
      <c r="AL1211" s="30"/>
      <c r="AM1211" s="30"/>
      <c r="AN1211" s="30"/>
      <c r="AO1211" s="30"/>
      <c r="AP1211" s="30"/>
      <c r="AQ1211" s="30"/>
      <c r="AR1211" s="30"/>
      <c r="AS1211" s="30"/>
      <c r="AT1211" s="30"/>
      <c r="AU1211" s="30"/>
      <c r="AV1211" s="30"/>
      <c r="AW1211" s="30"/>
      <c r="AX1211" s="30"/>
    </row>
    <row r="1212" ht="15.75" customHeight="1">
      <c r="A1212" s="30"/>
      <c r="B1212" s="30"/>
      <c r="C1212" s="31"/>
      <c r="D1212" s="31"/>
      <c r="E1212" s="31"/>
      <c r="F1212" s="30"/>
      <c r="G1212" s="30"/>
      <c r="H1212" s="30"/>
      <c r="I1212" s="30"/>
      <c r="J1212" s="30"/>
      <c r="K1212" s="30"/>
      <c r="L1212" s="30"/>
      <c r="M1212" s="30"/>
      <c r="N1212" s="30"/>
      <c r="O1212" s="30"/>
      <c r="P1212" s="30"/>
      <c r="Q1212" s="30"/>
      <c r="R1212" s="30"/>
      <c r="S1212" s="30"/>
      <c r="T1212" s="30"/>
      <c r="U1212" s="30"/>
      <c r="V1212" s="30"/>
      <c r="W1212" s="30"/>
      <c r="X1212" s="30"/>
      <c r="Y1212" s="30"/>
      <c r="Z1212" s="30"/>
      <c r="AA1212" s="30"/>
      <c r="AB1212" s="30"/>
      <c r="AC1212" s="30"/>
      <c r="AD1212" s="30"/>
      <c r="AE1212" s="30"/>
      <c r="AF1212" s="30"/>
      <c r="AG1212" s="30"/>
      <c r="AH1212" s="30"/>
      <c r="AI1212" s="30"/>
      <c r="AJ1212" s="30"/>
      <c r="AK1212" s="30"/>
      <c r="AL1212" s="30"/>
      <c r="AM1212" s="30"/>
      <c r="AN1212" s="30"/>
      <c r="AO1212" s="30"/>
      <c r="AP1212" s="30"/>
      <c r="AQ1212" s="30"/>
      <c r="AR1212" s="30"/>
      <c r="AS1212" s="30"/>
      <c r="AT1212" s="30"/>
      <c r="AU1212" s="30"/>
      <c r="AV1212" s="30"/>
      <c r="AW1212" s="30"/>
      <c r="AX1212" s="30"/>
    </row>
    <row r="1213" ht="15.75" customHeight="1">
      <c r="A1213" s="30"/>
      <c r="B1213" s="30"/>
      <c r="C1213" s="31"/>
      <c r="D1213" s="31"/>
      <c r="E1213" s="31"/>
      <c r="F1213" s="30"/>
      <c r="G1213" s="30"/>
      <c r="H1213" s="30"/>
      <c r="I1213" s="30"/>
      <c r="J1213" s="30"/>
      <c r="K1213" s="30"/>
      <c r="L1213" s="30"/>
      <c r="M1213" s="30"/>
      <c r="N1213" s="30"/>
      <c r="O1213" s="30"/>
      <c r="P1213" s="30"/>
      <c r="Q1213" s="30"/>
      <c r="R1213" s="30"/>
      <c r="S1213" s="30"/>
      <c r="T1213" s="30"/>
      <c r="U1213" s="30"/>
      <c r="V1213" s="30"/>
      <c r="W1213" s="30"/>
      <c r="X1213" s="30"/>
      <c r="Y1213" s="30"/>
      <c r="Z1213" s="30"/>
      <c r="AA1213" s="30"/>
      <c r="AB1213" s="30"/>
      <c r="AC1213" s="30"/>
      <c r="AD1213" s="30"/>
      <c r="AE1213" s="30"/>
      <c r="AF1213" s="30"/>
      <c r="AG1213" s="30"/>
      <c r="AH1213" s="30"/>
      <c r="AI1213" s="30"/>
      <c r="AJ1213" s="30"/>
      <c r="AK1213" s="30"/>
      <c r="AL1213" s="30"/>
      <c r="AM1213" s="30"/>
      <c r="AN1213" s="30"/>
      <c r="AO1213" s="30"/>
      <c r="AP1213" s="30"/>
      <c r="AQ1213" s="30"/>
      <c r="AR1213" s="30"/>
      <c r="AS1213" s="30"/>
      <c r="AT1213" s="30"/>
      <c r="AU1213" s="30"/>
      <c r="AV1213" s="30"/>
      <c r="AW1213" s="30"/>
      <c r="AX1213" s="30"/>
    </row>
    <row r="1214" ht="15.75" customHeight="1">
      <c r="A1214" s="30"/>
      <c r="B1214" s="30"/>
      <c r="C1214" s="31"/>
      <c r="D1214" s="31"/>
      <c r="E1214" s="31"/>
      <c r="F1214" s="30"/>
      <c r="G1214" s="30"/>
      <c r="H1214" s="30"/>
      <c r="I1214" s="30"/>
      <c r="J1214" s="30"/>
      <c r="K1214" s="30"/>
      <c r="L1214" s="30"/>
      <c r="M1214" s="30"/>
      <c r="N1214" s="30"/>
      <c r="O1214" s="30"/>
      <c r="P1214" s="30"/>
      <c r="Q1214" s="30"/>
      <c r="R1214" s="30"/>
      <c r="S1214" s="30"/>
      <c r="T1214" s="30"/>
      <c r="U1214" s="30"/>
      <c r="V1214" s="30"/>
      <c r="W1214" s="30"/>
      <c r="X1214" s="30"/>
      <c r="Y1214" s="30"/>
      <c r="Z1214" s="30"/>
      <c r="AA1214" s="30"/>
      <c r="AB1214" s="30"/>
      <c r="AC1214" s="30"/>
      <c r="AD1214" s="30"/>
      <c r="AE1214" s="30"/>
      <c r="AF1214" s="30"/>
      <c r="AG1214" s="30"/>
      <c r="AH1214" s="30"/>
      <c r="AI1214" s="30"/>
      <c r="AJ1214" s="30"/>
      <c r="AK1214" s="30"/>
      <c r="AL1214" s="30"/>
      <c r="AM1214" s="30"/>
      <c r="AN1214" s="30"/>
      <c r="AO1214" s="30"/>
      <c r="AP1214" s="30"/>
      <c r="AQ1214" s="30"/>
      <c r="AR1214" s="30"/>
      <c r="AS1214" s="30"/>
      <c r="AT1214" s="30"/>
      <c r="AU1214" s="30"/>
      <c r="AV1214" s="30"/>
      <c r="AW1214" s="30"/>
      <c r="AX1214" s="30"/>
    </row>
    <row r="1215" ht="15.75" customHeight="1">
      <c r="A1215" s="30"/>
      <c r="B1215" s="30"/>
      <c r="C1215" s="31"/>
      <c r="D1215" s="31"/>
      <c r="E1215" s="31"/>
      <c r="F1215" s="30"/>
      <c r="G1215" s="30"/>
      <c r="H1215" s="30"/>
      <c r="I1215" s="30"/>
      <c r="J1215" s="30"/>
      <c r="K1215" s="30"/>
      <c r="L1215" s="30"/>
      <c r="M1215" s="30"/>
      <c r="N1215" s="30"/>
      <c r="O1215" s="30"/>
      <c r="P1215" s="30"/>
      <c r="Q1215" s="30"/>
      <c r="R1215" s="30"/>
      <c r="S1215" s="30"/>
      <c r="T1215" s="30"/>
      <c r="U1215" s="30"/>
      <c r="V1215" s="30"/>
      <c r="W1215" s="30"/>
      <c r="X1215" s="30"/>
      <c r="Y1215" s="30"/>
      <c r="Z1215" s="30"/>
      <c r="AA1215" s="30"/>
      <c r="AB1215" s="30"/>
      <c r="AC1215" s="30"/>
      <c r="AD1215" s="30"/>
      <c r="AE1215" s="30"/>
      <c r="AF1215" s="30"/>
      <c r="AG1215" s="30"/>
      <c r="AH1215" s="30"/>
      <c r="AI1215" s="30"/>
      <c r="AJ1215" s="30"/>
      <c r="AK1215" s="30"/>
      <c r="AL1215" s="30"/>
      <c r="AM1215" s="30"/>
      <c r="AN1215" s="30"/>
      <c r="AO1215" s="30"/>
      <c r="AP1215" s="30"/>
      <c r="AQ1215" s="30"/>
      <c r="AR1215" s="30"/>
      <c r="AS1215" s="30"/>
      <c r="AT1215" s="30"/>
      <c r="AU1215" s="30"/>
      <c r="AV1215" s="30"/>
      <c r="AW1215" s="30"/>
      <c r="AX1215" s="30"/>
    </row>
    <row r="1216" ht="15.75" customHeight="1">
      <c r="A1216" s="30"/>
      <c r="B1216" s="30"/>
      <c r="C1216" s="31"/>
      <c r="D1216" s="31"/>
      <c r="E1216" s="31"/>
      <c r="F1216" s="30"/>
      <c r="G1216" s="30"/>
      <c r="H1216" s="30"/>
      <c r="I1216" s="30"/>
      <c r="J1216" s="30"/>
      <c r="K1216" s="30"/>
      <c r="L1216" s="30"/>
      <c r="M1216" s="30"/>
      <c r="N1216" s="30"/>
      <c r="O1216" s="30"/>
      <c r="P1216" s="30"/>
      <c r="Q1216" s="30"/>
      <c r="R1216" s="30"/>
      <c r="S1216" s="30"/>
      <c r="T1216" s="30"/>
      <c r="U1216" s="30"/>
      <c r="V1216" s="30"/>
      <c r="W1216" s="30"/>
      <c r="X1216" s="30"/>
      <c r="Y1216" s="30"/>
      <c r="Z1216" s="30"/>
      <c r="AA1216" s="30"/>
      <c r="AB1216" s="30"/>
      <c r="AC1216" s="30"/>
      <c r="AD1216" s="30"/>
      <c r="AE1216" s="30"/>
      <c r="AF1216" s="30"/>
      <c r="AG1216" s="30"/>
      <c r="AH1216" s="30"/>
      <c r="AI1216" s="30"/>
      <c r="AJ1216" s="30"/>
      <c r="AK1216" s="30"/>
      <c r="AL1216" s="30"/>
      <c r="AM1216" s="30"/>
      <c r="AN1216" s="30"/>
      <c r="AO1216" s="30"/>
      <c r="AP1216" s="30"/>
      <c r="AQ1216" s="30"/>
      <c r="AR1216" s="30"/>
      <c r="AS1216" s="30"/>
      <c r="AT1216" s="30"/>
      <c r="AU1216" s="30"/>
      <c r="AV1216" s="30"/>
      <c r="AW1216" s="30"/>
      <c r="AX1216" s="30"/>
    </row>
    <row r="1217" ht="15.75" customHeight="1">
      <c r="A1217" s="30"/>
      <c r="B1217" s="30"/>
      <c r="C1217" s="31"/>
      <c r="D1217" s="31"/>
      <c r="E1217" s="31"/>
      <c r="F1217" s="30"/>
      <c r="G1217" s="30"/>
      <c r="H1217" s="30"/>
      <c r="I1217" s="30"/>
      <c r="J1217" s="30"/>
      <c r="K1217" s="30"/>
      <c r="L1217" s="30"/>
      <c r="M1217" s="30"/>
      <c r="N1217" s="30"/>
      <c r="O1217" s="30"/>
      <c r="P1217" s="30"/>
      <c r="Q1217" s="30"/>
      <c r="R1217" s="30"/>
      <c r="S1217" s="30"/>
      <c r="T1217" s="30"/>
      <c r="U1217" s="30"/>
      <c r="V1217" s="30"/>
      <c r="W1217" s="30"/>
      <c r="X1217" s="30"/>
      <c r="Y1217" s="30"/>
      <c r="Z1217" s="30"/>
      <c r="AA1217" s="30"/>
      <c r="AB1217" s="30"/>
      <c r="AC1217" s="30"/>
      <c r="AD1217" s="30"/>
      <c r="AE1217" s="30"/>
      <c r="AF1217" s="30"/>
      <c r="AG1217" s="30"/>
      <c r="AH1217" s="30"/>
      <c r="AI1217" s="30"/>
      <c r="AJ1217" s="30"/>
      <c r="AK1217" s="30"/>
      <c r="AL1217" s="30"/>
      <c r="AM1217" s="30"/>
      <c r="AN1217" s="30"/>
      <c r="AO1217" s="30"/>
      <c r="AP1217" s="30"/>
      <c r="AQ1217" s="30"/>
      <c r="AR1217" s="30"/>
      <c r="AS1217" s="30"/>
      <c r="AT1217" s="30"/>
      <c r="AU1217" s="30"/>
      <c r="AV1217" s="30"/>
      <c r="AW1217" s="30"/>
      <c r="AX1217" s="30"/>
    </row>
    <row r="1218" ht="15.75" customHeight="1">
      <c r="A1218" s="30"/>
      <c r="B1218" s="30"/>
      <c r="C1218" s="31"/>
      <c r="D1218" s="31"/>
      <c r="E1218" s="31"/>
      <c r="F1218" s="30"/>
      <c r="G1218" s="30"/>
      <c r="H1218" s="30"/>
      <c r="I1218" s="30"/>
      <c r="J1218" s="30"/>
      <c r="K1218" s="30"/>
      <c r="L1218" s="30"/>
      <c r="M1218" s="30"/>
      <c r="N1218" s="30"/>
      <c r="O1218" s="30"/>
      <c r="P1218" s="30"/>
      <c r="Q1218" s="30"/>
      <c r="R1218" s="30"/>
      <c r="S1218" s="30"/>
      <c r="T1218" s="30"/>
      <c r="U1218" s="30"/>
      <c r="V1218" s="30"/>
      <c r="W1218" s="30"/>
      <c r="X1218" s="30"/>
      <c r="Y1218" s="30"/>
      <c r="Z1218" s="30"/>
      <c r="AA1218" s="30"/>
      <c r="AB1218" s="30"/>
      <c r="AC1218" s="30"/>
      <c r="AD1218" s="30"/>
      <c r="AE1218" s="30"/>
      <c r="AF1218" s="30"/>
      <c r="AG1218" s="30"/>
      <c r="AH1218" s="30"/>
      <c r="AI1218" s="30"/>
      <c r="AJ1218" s="30"/>
      <c r="AK1218" s="30"/>
      <c r="AL1218" s="30"/>
      <c r="AM1218" s="30"/>
      <c r="AN1218" s="30"/>
      <c r="AO1218" s="30"/>
      <c r="AP1218" s="30"/>
      <c r="AQ1218" s="30"/>
      <c r="AR1218" s="30"/>
      <c r="AS1218" s="30"/>
      <c r="AT1218" s="30"/>
      <c r="AU1218" s="30"/>
      <c r="AV1218" s="30"/>
      <c r="AW1218" s="30"/>
      <c r="AX1218" s="30"/>
    </row>
    <row r="1219" ht="15.75" customHeight="1">
      <c r="A1219" s="30"/>
      <c r="B1219" s="30"/>
      <c r="C1219" s="31"/>
      <c r="D1219" s="31"/>
      <c r="E1219" s="31"/>
      <c r="F1219" s="30"/>
      <c r="G1219" s="30"/>
      <c r="H1219" s="30"/>
      <c r="I1219" s="30"/>
      <c r="J1219" s="30"/>
      <c r="K1219" s="30"/>
      <c r="L1219" s="30"/>
      <c r="M1219" s="30"/>
      <c r="N1219" s="30"/>
      <c r="O1219" s="30"/>
      <c r="P1219" s="30"/>
      <c r="Q1219" s="30"/>
      <c r="R1219" s="30"/>
      <c r="S1219" s="30"/>
      <c r="T1219" s="30"/>
      <c r="U1219" s="30"/>
      <c r="V1219" s="30"/>
      <c r="W1219" s="30"/>
      <c r="X1219" s="30"/>
      <c r="Y1219" s="30"/>
      <c r="Z1219" s="30"/>
      <c r="AA1219" s="30"/>
      <c r="AB1219" s="30"/>
      <c r="AC1219" s="30"/>
      <c r="AD1219" s="30"/>
      <c r="AE1219" s="30"/>
      <c r="AF1219" s="30"/>
      <c r="AG1219" s="30"/>
      <c r="AH1219" s="30"/>
      <c r="AI1219" s="30"/>
      <c r="AJ1219" s="30"/>
      <c r="AK1219" s="30"/>
      <c r="AL1219" s="30"/>
      <c r="AM1219" s="30"/>
      <c r="AN1219" s="30"/>
      <c r="AO1219" s="30"/>
      <c r="AP1219" s="30"/>
      <c r="AQ1219" s="30"/>
      <c r="AR1219" s="30"/>
      <c r="AS1219" s="30"/>
      <c r="AT1219" s="30"/>
      <c r="AU1219" s="30"/>
      <c r="AV1219" s="30"/>
      <c r="AW1219" s="30"/>
      <c r="AX1219" s="30"/>
    </row>
    <row r="1220" ht="15.75" customHeight="1">
      <c r="A1220" s="30"/>
      <c r="B1220" s="30"/>
      <c r="C1220" s="31"/>
      <c r="D1220" s="31"/>
      <c r="E1220" s="31"/>
      <c r="F1220" s="30"/>
      <c r="G1220" s="30"/>
      <c r="H1220" s="30"/>
      <c r="I1220" s="30"/>
      <c r="J1220" s="30"/>
      <c r="K1220" s="30"/>
      <c r="L1220" s="30"/>
      <c r="M1220" s="30"/>
      <c r="N1220" s="30"/>
      <c r="O1220" s="30"/>
      <c r="P1220" s="30"/>
      <c r="Q1220" s="30"/>
      <c r="R1220" s="30"/>
      <c r="S1220" s="30"/>
      <c r="T1220" s="30"/>
      <c r="U1220" s="30"/>
      <c r="V1220" s="30"/>
      <c r="W1220" s="30"/>
      <c r="X1220" s="30"/>
      <c r="Y1220" s="30"/>
      <c r="Z1220" s="30"/>
      <c r="AA1220" s="30"/>
      <c r="AB1220" s="30"/>
      <c r="AC1220" s="30"/>
      <c r="AD1220" s="30"/>
      <c r="AE1220" s="30"/>
      <c r="AF1220" s="30"/>
      <c r="AG1220" s="30"/>
      <c r="AH1220" s="30"/>
      <c r="AI1220" s="30"/>
      <c r="AJ1220" s="30"/>
      <c r="AK1220" s="30"/>
      <c r="AL1220" s="30"/>
      <c r="AM1220" s="30"/>
      <c r="AN1220" s="30"/>
      <c r="AO1220" s="30"/>
      <c r="AP1220" s="30"/>
      <c r="AQ1220" s="30"/>
      <c r="AR1220" s="30"/>
      <c r="AS1220" s="30"/>
      <c r="AT1220" s="30"/>
      <c r="AU1220" s="30"/>
      <c r="AV1220" s="30"/>
      <c r="AW1220" s="30"/>
      <c r="AX1220" s="30"/>
    </row>
    <row r="1221" ht="15.75" customHeight="1">
      <c r="A1221" s="30"/>
      <c r="B1221" s="30"/>
      <c r="C1221" s="31"/>
      <c r="D1221" s="31"/>
      <c r="E1221" s="31"/>
      <c r="F1221" s="30"/>
      <c r="G1221" s="30"/>
      <c r="H1221" s="30"/>
      <c r="I1221" s="30"/>
      <c r="J1221" s="30"/>
      <c r="K1221" s="30"/>
      <c r="L1221" s="30"/>
      <c r="M1221" s="30"/>
      <c r="N1221" s="30"/>
      <c r="O1221" s="30"/>
      <c r="P1221" s="30"/>
      <c r="Q1221" s="30"/>
      <c r="R1221" s="30"/>
      <c r="S1221" s="30"/>
      <c r="T1221" s="30"/>
      <c r="U1221" s="30"/>
      <c r="V1221" s="30"/>
      <c r="W1221" s="30"/>
      <c r="X1221" s="30"/>
      <c r="Y1221" s="30"/>
      <c r="Z1221" s="30"/>
      <c r="AA1221" s="30"/>
      <c r="AB1221" s="30"/>
      <c r="AC1221" s="30"/>
      <c r="AD1221" s="30"/>
      <c r="AE1221" s="30"/>
      <c r="AF1221" s="30"/>
      <c r="AG1221" s="30"/>
      <c r="AH1221" s="30"/>
      <c r="AI1221" s="30"/>
      <c r="AJ1221" s="30"/>
      <c r="AK1221" s="30"/>
      <c r="AL1221" s="30"/>
      <c r="AM1221" s="30"/>
      <c r="AN1221" s="30"/>
      <c r="AO1221" s="30"/>
      <c r="AP1221" s="30"/>
      <c r="AQ1221" s="30"/>
      <c r="AR1221" s="30"/>
      <c r="AS1221" s="30"/>
      <c r="AT1221" s="30"/>
      <c r="AU1221" s="30"/>
      <c r="AV1221" s="30"/>
      <c r="AW1221" s="30"/>
      <c r="AX1221" s="30"/>
    </row>
    <row r="1222" ht="15.75" customHeight="1">
      <c r="A1222" s="30"/>
      <c r="B1222" s="30"/>
      <c r="C1222" s="31"/>
      <c r="D1222" s="31"/>
      <c r="E1222" s="31"/>
      <c r="F1222" s="30"/>
      <c r="G1222" s="30"/>
      <c r="H1222" s="30"/>
      <c r="I1222" s="30"/>
      <c r="J1222" s="30"/>
      <c r="K1222" s="30"/>
      <c r="L1222" s="30"/>
      <c r="M1222" s="30"/>
      <c r="N1222" s="30"/>
      <c r="O1222" s="30"/>
      <c r="P1222" s="30"/>
      <c r="Q1222" s="30"/>
      <c r="R1222" s="30"/>
      <c r="S1222" s="30"/>
      <c r="T1222" s="30"/>
      <c r="U1222" s="30"/>
      <c r="V1222" s="30"/>
      <c r="W1222" s="30"/>
      <c r="X1222" s="30"/>
      <c r="Y1222" s="30"/>
      <c r="Z1222" s="30"/>
      <c r="AA1222" s="30"/>
      <c r="AB1222" s="30"/>
      <c r="AC1222" s="30"/>
      <c r="AD1222" s="30"/>
      <c r="AE1222" s="30"/>
      <c r="AF1222" s="30"/>
      <c r="AG1222" s="30"/>
      <c r="AH1222" s="30"/>
      <c r="AI1222" s="30"/>
      <c r="AJ1222" s="30"/>
      <c r="AK1222" s="30"/>
      <c r="AL1222" s="30"/>
      <c r="AM1222" s="30"/>
      <c r="AN1222" s="30"/>
      <c r="AO1222" s="30"/>
      <c r="AP1222" s="30"/>
      <c r="AQ1222" s="30"/>
      <c r="AR1222" s="30"/>
      <c r="AS1222" s="30"/>
      <c r="AT1222" s="30"/>
      <c r="AU1222" s="30"/>
      <c r="AV1222" s="30"/>
      <c r="AW1222" s="30"/>
      <c r="AX1222" s="30"/>
    </row>
    <row r="1223" ht="15.75" customHeight="1">
      <c r="A1223" s="30"/>
      <c r="B1223" s="30"/>
      <c r="C1223" s="31"/>
      <c r="D1223" s="31"/>
      <c r="E1223" s="31"/>
      <c r="F1223" s="30"/>
      <c r="G1223" s="30"/>
      <c r="H1223" s="30"/>
      <c r="I1223" s="30"/>
      <c r="J1223" s="30"/>
      <c r="K1223" s="30"/>
      <c r="L1223" s="30"/>
      <c r="M1223" s="30"/>
      <c r="N1223" s="30"/>
      <c r="O1223" s="30"/>
      <c r="P1223" s="30"/>
      <c r="Q1223" s="30"/>
      <c r="R1223" s="30"/>
      <c r="S1223" s="30"/>
      <c r="T1223" s="30"/>
      <c r="U1223" s="30"/>
      <c r="V1223" s="30"/>
      <c r="W1223" s="30"/>
      <c r="X1223" s="30"/>
      <c r="Y1223" s="30"/>
      <c r="Z1223" s="30"/>
      <c r="AA1223" s="30"/>
      <c r="AB1223" s="30"/>
      <c r="AC1223" s="30"/>
      <c r="AD1223" s="30"/>
      <c r="AE1223" s="30"/>
      <c r="AF1223" s="30"/>
      <c r="AG1223" s="30"/>
      <c r="AH1223" s="30"/>
      <c r="AI1223" s="30"/>
      <c r="AJ1223" s="30"/>
      <c r="AK1223" s="30"/>
      <c r="AL1223" s="30"/>
      <c r="AM1223" s="30"/>
      <c r="AN1223" s="30"/>
      <c r="AO1223" s="30"/>
      <c r="AP1223" s="30"/>
      <c r="AQ1223" s="30"/>
      <c r="AR1223" s="30"/>
      <c r="AS1223" s="30"/>
      <c r="AT1223" s="30"/>
      <c r="AU1223" s="30"/>
      <c r="AV1223" s="30"/>
      <c r="AW1223" s="30"/>
      <c r="AX1223" s="30"/>
    </row>
    <row r="1224" ht="15.75" customHeight="1">
      <c r="A1224" s="30"/>
      <c r="B1224" s="30"/>
      <c r="C1224" s="31"/>
      <c r="D1224" s="31"/>
      <c r="E1224" s="31"/>
      <c r="F1224" s="30"/>
      <c r="G1224" s="30"/>
      <c r="H1224" s="30"/>
      <c r="I1224" s="30"/>
      <c r="J1224" s="30"/>
      <c r="K1224" s="30"/>
      <c r="L1224" s="30"/>
      <c r="M1224" s="30"/>
      <c r="N1224" s="30"/>
      <c r="O1224" s="30"/>
      <c r="P1224" s="30"/>
      <c r="Q1224" s="30"/>
      <c r="R1224" s="30"/>
      <c r="S1224" s="30"/>
      <c r="T1224" s="30"/>
      <c r="U1224" s="30"/>
      <c r="V1224" s="30"/>
      <c r="W1224" s="30"/>
      <c r="X1224" s="30"/>
      <c r="Y1224" s="30"/>
      <c r="Z1224" s="30"/>
      <c r="AA1224" s="30"/>
      <c r="AB1224" s="30"/>
      <c r="AC1224" s="30"/>
      <c r="AD1224" s="30"/>
      <c r="AE1224" s="30"/>
      <c r="AF1224" s="30"/>
      <c r="AG1224" s="30"/>
      <c r="AH1224" s="30"/>
      <c r="AI1224" s="30"/>
      <c r="AJ1224" s="30"/>
      <c r="AK1224" s="30"/>
      <c r="AL1224" s="30"/>
      <c r="AM1224" s="30"/>
      <c r="AN1224" s="30"/>
      <c r="AO1224" s="30"/>
      <c r="AP1224" s="30"/>
      <c r="AQ1224" s="30"/>
      <c r="AR1224" s="30"/>
      <c r="AS1224" s="30"/>
      <c r="AT1224" s="30"/>
      <c r="AU1224" s="30"/>
      <c r="AV1224" s="30"/>
      <c r="AW1224" s="30"/>
      <c r="AX1224" s="30"/>
    </row>
    <row r="1225" ht="15.75" customHeight="1">
      <c r="A1225" s="30"/>
      <c r="B1225" s="30"/>
      <c r="C1225" s="31"/>
      <c r="D1225" s="31"/>
      <c r="E1225" s="31"/>
      <c r="F1225" s="30"/>
      <c r="G1225" s="30"/>
      <c r="H1225" s="30"/>
      <c r="I1225" s="30"/>
      <c r="J1225" s="30"/>
      <c r="K1225" s="30"/>
      <c r="L1225" s="30"/>
      <c r="M1225" s="30"/>
      <c r="N1225" s="30"/>
      <c r="O1225" s="30"/>
      <c r="P1225" s="30"/>
      <c r="Q1225" s="30"/>
      <c r="R1225" s="30"/>
      <c r="S1225" s="30"/>
      <c r="T1225" s="30"/>
      <c r="U1225" s="30"/>
      <c r="V1225" s="30"/>
      <c r="W1225" s="30"/>
      <c r="X1225" s="30"/>
      <c r="Y1225" s="30"/>
      <c r="Z1225" s="30"/>
      <c r="AA1225" s="30"/>
      <c r="AB1225" s="30"/>
      <c r="AC1225" s="30"/>
      <c r="AD1225" s="30"/>
      <c r="AE1225" s="30"/>
      <c r="AF1225" s="30"/>
      <c r="AG1225" s="30"/>
      <c r="AH1225" s="30"/>
      <c r="AI1225" s="30"/>
      <c r="AJ1225" s="30"/>
      <c r="AK1225" s="30"/>
      <c r="AL1225" s="30"/>
      <c r="AM1225" s="30"/>
      <c r="AN1225" s="30"/>
      <c r="AO1225" s="30"/>
      <c r="AP1225" s="30"/>
      <c r="AQ1225" s="30"/>
      <c r="AR1225" s="30"/>
      <c r="AS1225" s="30"/>
      <c r="AT1225" s="30"/>
      <c r="AU1225" s="30"/>
      <c r="AV1225" s="30"/>
      <c r="AW1225" s="30"/>
      <c r="AX1225" s="30"/>
    </row>
    <row r="1226" ht="15.75" customHeight="1">
      <c r="A1226" s="30"/>
      <c r="B1226" s="30"/>
      <c r="C1226" s="31"/>
      <c r="D1226" s="31"/>
      <c r="E1226" s="31"/>
      <c r="F1226" s="30"/>
      <c r="G1226" s="30"/>
      <c r="H1226" s="30"/>
      <c r="I1226" s="30"/>
      <c r="J1226" s="30"/>
      <c r="K1226" s="30"/>
      <c r="L1226" s="30"/>
      <c r="M1226" s="30"/>
      <c r="N1226" s="30"/>
      <c r="O1226" s="30"/>
      <c r="P1226" s="30"/>
      <c r="Q1226" s="30"/>
      <c r="R1226" s="30"/>
      <c r="S1226" s="30"/>
      <c r="T1226" s="30"/>
      <c r="U1226" s="30"/>
      <c r="V1226" s="30"/>
      <c r="W1226" s="30"/>
      <c r="X1226" s="30"/>
      <c r="Y1226" s="30"/>
      <c r="Z1226" s="30"/>
      <c r="AA1226" s="30"/>
      <c r="AB1226" s="30"/>
      <c r="AC1226" s="30"/>
      <c r="AD1226" s="30"/>
      <c r="AE1226" s="30"/>
      <c r="AF1226" s="30"/>
      <c r="AG1226" s="30"/>
      <c r="AH1226" s="30"/>
      <c r="AI1226" s="30"/>
      <c r="AJ1226" s="30"/>
      <c r="AK1226" s="30"/>
      <c r="AL1226" s="30"/>
      <c r="AM1226" s="30"/>
      <c r="AN1226" s="30"/>
      <c r="AO1226" s="30"/>
      <c r="AP1226" s="30"/>
      <c r="AQ1226" s="30"/>
      <c r="AR1226" s="30"/>
      <c r="AS1226" s="30"/>
      <c r="AT1226" s="30"/>
      <c r="AU1226" s="30"/>
      <c r="AV1226" s="30"/>
      <c r="AW1226" s="30"/>
      <c r="AX1226" s="30"/>
    </row>
    <row r="1227" ht="15.75" customHeight="1">
      <c r="A1227" s="30"/>
      <c r="B1227" s="30"/>
      <c r="C1227" s="31"/>
      <c r="D1227" s="31"/>
      <c r="E1227" s="31"/>
      <c r="F1227" s="30"/>
      <c r="G1227" s="30"/>
      <c r="H1227" s="30"/>
      <c r="I1227" s="30"/>
      <c r="J1227" s="30"/>
      <c r="K1227" s="30"/>
      <c r="L1227" s="30"/>
      <c r="M1227" s="30"/>
      <c r="N1227" s="30"/>
      <c r="O1227" s="30"/>
      <c r="P1227" s="30"/>
      <c r="Q1227" s="30"/>
      <c r="R1227" s="30"/>
      <c r="S1227" s="30"/>
      <c r="T1227" s="30"/>
      <c r="U1227" s="30"/>
      <c r="V1227" s="30"/>
      <c r="W1227" s="30"/>
      <c r="X1227" s="30"/>
      <c r="Y1227" s="30"/>
      <c r="Z1227" s="30"/>
      <c r="AA1227" s="30"/>
      <c r="AB1227" s="30"/>
      <c r="AC1227" s="30"/>
      <c r="AD1227" s="30"/>
      <c r="AE1227" s="30"/>
      <c r="AF1227" s="30"/>
      <c r="AG1227" s="30"/>
      <c r="AH1227" s="30"/>
      <c r="AI1227" s="30"/>
      <c r="AJ1227" s="30"/>
      <c r="AK1227" s="30"/>
      <c r="AL1227" s="30"/>
      <c r="AM1227" s="30"/>
      <c r="AN1227" s="30"/>
      <c r="AO1227" s="30"/>
      <c r="AP1227" s="30"/>
      <c r="AQ1227" s="30"/>
      <c r="AR1227" s="30"/>
      <c r="AS1227" s="30"/>
      <c r="AT1227" s="30"/>
      <c r="AU1227" s="30"/>
      <c r="AV1227" s="30"/>
      <c r="AW1227" s="30"/>
      <c r="AX1227" s="30"/>
    </row>
    <row r="1228" ht="15.75" customHeight="1">
      <c r="A1228" s="30"/>
      <c r="B1228" s="30"/>
      <c r="C1228" s="31"/>
      <c r="D1228" s="31"/>
      <c r="E1228" s="31"/>
      <c r="F1228" s="30"/>
      <c r="G1228" s="30"/>
      <c r="H1228" s="30"/>
      <c r="I1228" s="30"/>
      <c r="J1228" s="30"/>
      <c r="K1228" s="30"/>
      <c r="L1228" s="30"/>
      <c r="M1228" s="30"/>
      <c r="N1228" s="30"/>
      <c r="O1228" s="30"/>
      <c r="P1228" s="30"/>
      <c r="Q1228" s="30"/>
      <c r="R1228" s="30"/>
      <c r="S1228" s="30"/>
      <c r="T1228" s="30"/>
      <c r="U1228" s="30"/>
      <c r="V1228" s="30"/>
      <c r="W1228" s="30"/>
      <c r="X1228" s="30"/>
      <c r="Y1228" s="30"/>
      <c r="Z1228" s="30"/>
      <c r="AA1228" s="30"/>
      <c r="AB1228" s="30"/>
      <c r="AC1228" s="30"/>
      <c r="AD1228" s="30"/>
      <c r="AE1228" s="30"/>
      <c r="AF1228" s="30"/>
      <c r="AG1228" s="30"/>
      <c r="AH1228" s="30"/>
      <c r="AI1228" s="30"/>
      <c r="AJ1228" s="30"/>
      <c r="AK1228" s="30"/>
      <c r="AL1228" s="30"/>
      <c r="AM1228" s="30"/>
      <c r="AN1228" s="30"/>
      <c r="AO1228" s="30"/>
      <c r="AP1228" s="30"/>
      <c r="AQ1228" s="30"/>
      <c r="AR1228" s="30"/>
      <c r="AS1228" s="30"/>
      <c r="AT1228" s="30"/>
      <c r="AU1228" s="30"/>
      <c r="AV1228" s="30"/>
      <c r="AW1228" s="30"/>
      <c r="AX1228" s="30"/>
    </row>
    <row r="1229" ht="15.75" customHeight="1">
      <c r="A1229" s="30"/>
      <c r="B1229" s="30"/>
      <c r="C1229" s="31"/>
      <c r="D1229" s="31"/>
      <c r="E1229" s="31"/>
      <c r="F1229" s="30"/>
      <c r="G1229" s="30"/>
      <c r="H1229" s="30"/>
      <c r="I1229" s="30"/>
      <c r="J1229" s="30"/>
      <c r="K1229" s="30"/>
      <c r="L1229" s="30"/>
      <c r="M1229" s="30"/>
      <c r="N1229" s="30"/>
      <c r="O1229" s="30"/>
      <c r="P1229" s="30"/>
      <c r="Q1229" s="30"/>
      <c r="R1229" s="30"/>
      <c r="S1229" s="30"/>
      <c r="T1229" s="30"/>
      <c r="U1229" s="30"/>
      <c r="V1229" s="30"/>
      <c r="W1229" s="30"/>
      <c r="X1229" s="30"/>
      <c r="Y1229" s="30"/>
      <c r="Z1229" s="30"/>
      <c r="AA1229" s="30"/>
      <c r="AB1229" s="30"/>
      <c r="AC1229" s="30"/>
      <c r="AD1229" s="30"/>
      <c r="AE1229" s="30"/>
      <c r="AF1229" s="30"/>
      <c r="AG1229" s="30"/>
      <c r="AH1229" s="30"/>
      <c r="AI1229" s="30"/>
      <c r="AJ1229" s="30"/>
      <c r="AK1229" s="30"/>
      <c r="AL1229" s="30"/>
      <c r="AM1229" s="30"/>
      <c r="AN1229" s="30"/>
      <c r="AO1229" s="30"/>
      <c r="AP1229" s="30"/>
      <c r="AQ1229" s="30"/>
      <c r="AR1229" s="30"/>
      <c r="AS1229" s="30"/>
      <c r="AT1229" s="30"/>
      <c r="AU1229" s="30"/>
      <c r="AV1229" s="30"/>
      <c r="AW1229" s="30"/>
      <c r="AX1229" s="30"/>
    </row>
    <row r="1230" ht="15.75" customHeight="1">
      <c r="A1230" s="30"/>
      <c r="B1230" s="30"/>
      <c r="C1230" s="31"/>
      <c r="D1230" s="31"/>
      <c r="E1230" s="31"/>
      <c r="F1230" s="30"/>
      <c r="G1230" s="30"/>
      <c r="H1230" s="30"/>
      <c r="I1230" s="30"/>
      <c r="J1230" s="30"/>
      <c r="K1230" s="30"/>
      <c r="L1230" s="30"/>
      <c r="M1230" s="30"/>
      <c r="N1230" s="30"/>
      <c r="O1230" s="30"/>
      <c r="P1230" s="30"/>
      <c r="Q1230" s="30"/>
      <c r="R1230" s="30"/>
      <c r="S1230" s="30"/>
      <c r="T1230" s="30"/>
      <c r="U1230" s="30"/>
      <c r="V1230" s="30"/>
      <c r="W1230" s="30"/>
      <c r="X1230" s="30"/>
      <c r="Y1230" s="30"/>
      <c r="Z1230" s="30"/>
      <c r="AA1230" s="30"/>
      <c r="AB1230" s="30"/>
      <c r="AC1230" s="30"/>
      <c r="AD1230" s="30"/>
      <c r="AE1230" s="30"/>
      <c r="AF1230" s="30"/>
      <c r="AG1230" s="30"/>
      <c r="AH1230" s="30"/>
      <c r="AI1230" s="30"/>
      <c r="AJ1230" s="30"/>
      <c r="AK1230" s="30"/>
      <c r="AL1230" s="30"/>
      <c r="AM1230" s="30"/>
      <c r="AN1230" s="30"/>
      <c r="AO1230" s="30"/>
      <c r="AP1230" s="30"/>
      <c r="AQ1230" s="30"/>
      <c r="AR1230" s="30"/>
      <c r="AS1230" s="30"/>
      <c r="AT1230" s="30"/>
      <c r="AU1230" s="30"/>
      <c r="AV1230" s="30"/>
      <c r="AW1230" s="30"/>
      <c r="AX1230" s="30"/>
    </row>
    <row r="1231" ht="15.75" customHeight="1">
      <c r="A1231" s="30"/>
      <c r="B1231" s="30"/>
      <c r="C1231" s="31"/>
      <c r="D1231" s="31"/>
      <c r="E1231" s="31"/>
      <c r="F1231" s="30"/>
      <c r="G1231" s="30"/>
      <c r="H1231" s="30"/>
      <c r="I1231" s="30"/>
      <c r="J1231" s="30"/>
      <c r="K1231" s="30"/>
      <c r="L1231" s="30"/>
      <c r="M1231" s="30"/>
      <c r="N1231" s="30"/>
      <c r="O1231" s="30"/>
      <c r="P1231" s="30"/>
      <c r="Q1231" s="30"/>
      <c r="R1231" s="30"/>
      <c r="S1231" s="30"/>
      <c r="T1231" s="30"/>
      <c r="U1231" s="30"/>
      <c r="V1231" s="30"/>
      <c r="W1231" s="30"/>
      <c r="X1231" s="30"/>
      <c r="Y1231" s="30"/>
      <c r="Z1231" s="30"/>
      <c r="AA1231" s="30"/>
      <c r="AB1231" s="30"/>
      <c r="AC1231" s="30"/>
      <c r="AD1231" s="30"/>
      <c r="AE1231" s="30"/>
      <c r="AF1231" s="30"/>
      <c r="AG1231" s="30"/>
      <c r="AH1231" s="30"/>
      <c r="AI1231" s="30"/>
      <c r="AJ1231" s="30"/>
      <c r="AK1231" s="30"/>
      <c r="AL1231" s="30"/>
      <c r="AM1231" s="30"/>
      <c r="AN1231" s="30"/>
      <c r="AO1231" s="30"/>
      <c r="AP1231" s="30"/>
      <c r="AQ1231" s="30"/>
      <c r="AR1231" s="30"/>
      <c r="AS1231" s="30"/>
      <c r="AT1231" s="30"/>
      <c r="AU1231" s="30"/>
      <c r="AV1231" s="30"/>
      <c r="AW1231" s="30"/>
      <c r="AX1231" s="30"/>
    </row>
    <row r="1232" ht="15.75" customHeight="1">
      <c r="A1232" s="30"/>
      <c r="B1232" s="30"/>
      <c r="C1232" s="31"/>
      <c r="D1232" s="31"/>
      <c r="E1232" s="31"/>
      <c r="F1232" s="30"/>
      <c r="G1232" s="30"/>
      <c r="H1232" s="30"/>
      <c r="I1232" s="30"/>
      <c r="J1232" s="30"/>
      <c r="K1232" s="30"/>
      <c r="L1232" s="30"/>
      <c r="M1232" s="30"/>
      <c r="N1232" s="30"/>
      <c r="O1232" s="30"/>
      <c r="P1232" s="30"/>
      <c r="Q1232" s="30"/>
      <c r="R1232" s="30"/>
      <c r="S1232" s="30"/>
      <c r="T1232" s="30"/>
      <c r="U1232" s="30"/>
      <c r="V1232" s="30"/>
      <c r="W1232" s="30"/>
      <c r="X1232" s="30"/>
      <c r="Y1232" s="30"/>
      <c r="Z1232" s="30"/>
      <c r="AA1232" s="30"/>
      <c r="AB1232" s="30"/>
      <c r="AC1232" s="30"/>
      <c r="AD1232" s="30"/>
      <c r="AE1232" s="30"/>
      <c r="AF1232" s="30"/>
      <c r="AG1232" s="30"/>
      <c r="AH1232" s="30"/>
      <c r="AI1232" s="30"/>
      <c r="AJ1232" s="30"/>
      <c r="AK1232" s="30"/>
      <c r="AL1232" s="30"/>
      <c r="AM1232" s="30"/>
      <c r="AN1232" s="30"/>
      <c r="AO1232" s="30"/>
      <c r="AP1232" s="30"/>
      <c r="AQ1232" s="30"/>
      <c r="AR1232" s="30"/>
      <c r="AS1232" s="30"/>
      <c r="AT1232" s="30"/>
      <c r="AU1232" s="30"/>
      <c r="AV1232" s="30"/>
      <c r="AW1232" s="30"/>
      <c r="AX1232" s="30"/>
    </row>
    <row r="1233" ht="15.75" customHeight="1">
      <c r="A1233" s="30"/>
      <c r="B1233" s="30"/>
      <c r="C1233" s="31"/>
      <c r="D1233" s="31"/>
      <c r="E1233" s="31"/>
      <c r="F1233" s="30"/>
      <c r="G1233" s="30"/>
      <c r="H1233" s="30"/>
      <c r="I1233" s="30"/>
      <c r="J1233" s="30"/>
      <c r="K1233" s="30"/>
      <c r="L1233" s="30"/>
      <c r="M1233" s="30"/>
      <c r="N1233" s="30"/>
      <c r="O1233" s="30"/>
      <c r="P1233" s="30"/>
      <c r="Q1233" s="30"/>
      <c r="R1233" s="30"/>
      <c r="S1233" s="30"/>
      <c r="T1233" s="30"/>
      <c r="U1233" s="30"/>
      <c r="V1233" s="30"/>
      <c r="W1233" s="30"/>
      <c r="X1233" s="30"/>
      <c r="Y1233" s="30"/>
      <c r="Z1233" s="30"/>
      <c r="AA1233" s="30"/>
      <c r="AB1233" s="30"/>
      <c r="AC1233" s="30"/>
      <c r="AD1233" s="30"/>
      <c r="AE1233" s="30"/>
      <c r="AF1233" s="30"/>
      <c r="AG1233" s="30"/>
      <c r="AH1233" s="30"/>
      <c r="AI1233" s="30"/>
      <c r="AJ1233" s="30"/>
      <c r="AK1233" s="30"/>
      <c r="AL1233" s="30"/>
      <c r="AM1233" s="30"/>
      <c r="AN1233" s="30"/>
      <c r="AO1233" s="30"/>
      <c r="AP1233" s="30"/>
      <c r="AQ1233" s="30"/>
      <c r="AR1233" s="30"/>
      <c r="AS1233" s="30"/>
      <c r="AT1233" s="30"/>
      <c r="AU1233" s="30"/>
      <c r="AV1233" s="30"/>
      <c r="AW1233" s="30"/>
      <c r="AX1233" s="30"/>
    </row>
    <row r="1234" ht="15.75" customHeight="1">
      <c r="A1234" s="30"/>
      <c r="B1234" s="30"/>
      <c r="C1234" s="31"/>
      <c r="D1234" s="31"/>
      <c r="E1234" s="31"/>
      <c r="F1234" s="30"/>
      <c r="G1234" s="30"/>
      <c r="H1234" s="30"/>
      <c r="I1234" s="30"/>
      <c r="J1234" s="30"/>
      <c r="K1234" s="30"/>
      <c r="L1234" s="30"/>
      <c r="M1234" s="30"/>
      <c r="N1234" s="30"/>
      <c r="O1234" s="30"/>
      <c r="P1234" s="30"/>
      <c r="Q1234" s="30"/>
      <c r="R1234" s="30"/>
      <c r="S1234" s="30"/>
      <c r="T1234" s="30"/>
      <c r="U1234" s="30"/>
      <c r="V1234" s="30"/>
      <c r="W1234" s="30"/>
      <c r="X1234" s="30"/>
      <c r="Y1234" s="30"/>
      <c r="Z1234" s="30"/>
      <c r="AA1234" s="30"/>
      <c r="AB1234" s="30"/>
      <c r="AC1234" s="30"/>
      <c r="AD1234" s="30"/>
      <c r="AE1234" s="30"/>
      <c r="AF1234" s="30"/>
      <c r="AG1234" s="30"/>
      <c r="AH1234" s="30"/>
      <c r="AI1234" s="30"/>
      <c r="AJ1234" s="30"/>
      <c r="AK1234" s="30"/>
      <c r="AL1234" s="30"/>
      <c r="AM1234" s="30"/>
      <c r="AN1234" s="30"/>
      <c r="AO1234" s="30"/>
      <c r="AP1234" s="30"/>
      <c r="AQ1234" s="30"/>
      <c r="AR1234" s="30"/>
      <c r="AS1234" s="30"/>
      <c r="AT1234" s="30"/>
      <c r="AU1234" s="30"/>
      <c r="AV1234" s="30"/>
      <c r="AW1234" s="30"/>
      <c r="AX1234" s="30"/>
    </row>
    <row r="1235" ht="15.75" customHeight="1">
      <c r="A1235" s="30"/>
      <c r="B1235" s="30"/>
      <c r="C1235" s="31"/>
      <c r="D1235" s="31"/>
      <c r="E1235" s="31"/>
      <c r="F1235" s="30"/>
      <c r="G1235" s="30"/>
      <c r="H1235" s="30"/>
      <c r="I1235" s="30"/>
      <c r="J1235" s="30"/>
      <c r="K1235" s="30"/>
      <c r="L1235" s="30"/>
      <c r="M1235" s="30"/>
      <c r="N1235" s="30"/>
      <c r="O1235" s="30"/>
      <c r="P1235" s="30"/>
      <c r="Q1235" s="30"/>
      <c r="R1235" s="30"/>
      <c r="S1235" s="30"/>
      <c r="T1235" s="30"/>
      <c r="U1235" s="30"/>
      <c r="V1235" s="30"/>
      <c r="W1235" s="30"/>
      <c r="X1235" s="30"/>
      <c r="Y1235" s="30"/>
      <c r="Z1235" s="30"/>
      <c r="AA1235" s="30"/>
      <c r="AB1235" s="30"/>
      <c r="AC1235" s="30"/>
      <c r="AD1235" s="30"/>
      <c r="AE1235" s="30"/>
      <c r="AF1235" s="30"/>
      <c r="AG1235" s="30"/>
      <c r="AH1235" s="30"/>
      <c r="AI1235" s="30"/>
      <c r="AJ1235" s="30"/>
      <c r="AK1235" s="30"/>
      <c r="AL1235" s="30"/>
      <c r="AM1235" s="30"/>
      <c r="AN1235" s="30"/>
      <c r="AO1235" s="30"/>
      <c r="AP1235" s="30"/>
      <c r="AQ1235" s="30"/>
      <c r="AR1235" s="30"/>
      <c r="AS1235" s="30"/>
      <c r="AT1235" s="30"/>
      <c r="AU1235" s="30"/>
      <c r="AV1235" s="30"/>
      <c r="AW1235" s="30"/>
      <c r="AX1235" s="30"/>
    </row>
    <row r="1236" ht="15.75" customHeight="1">
      <c r="A1236" s="30"/>
      <c r="B1236" s="30"/>
      <c r="C1236" s="31"/>
      <c r="D1236" s="31"/>
      <c r="E1236" s="31"/>
      <c r="F1236" s="30"/>
      <c r="G1236" s="30"/>
      <c r="H1236" s="30"/>
      <c r="I1236" s="30"/>
      <c r="J1236" s="30"/>
      <c r="K1236" s="30"/>
      <c r="L1236" s="30"/>
      <c r="M1236" s="30"/>
      <c r="N1236" s="30"/>
      <c r="O1236" s="30"/>
      <c r="P1236" s="30"/>
      <c r="Q1236" s="30"/>
      <c r="R1236" s="30"/>
      <c r="S1236" s="30"/>
      <c r="T1236" s="30"/>
      <c r="U1236" s="30"/>
      <c r="V1236" s="30"/>
      <c r="W1236" s="30"/>
      <c r="X1236" s="30"/>
      <c r="Y1236" s="30"/>
      <c r="Z1236" s="30"/>
      <c r="AA1236" s="30"/>
      <c r="AB1236" s="30"/>
      <c r="AC1236" s="30"/>
      <c r="AD1236" s="30"/>
      <c r="AE1236" s="30"/>
      <c r="AF1236" s="30"/>
      <c r="AG1236" s="30"/>
      <c r="AH1236" s="30"/>
      <c r="AI1236" s="30"/>
      <c r="AJ1236" s="30"/>
      <c r="AK1236" s="30"/>
      <c r="AL1236" s="30"/>
      <c r="AM1236" s="30"/>
      <c r="AN1236" s="30"/>
      <c r="AO1236" s="30"/>
      <c r="AP1236" s="30"/>
      <c r="AQ1236" s="30"/>
      <c r="AR1236" s="30"/>
      <c r="AS1236" s="30"/>
      <c r="AT1236" s="30"/>
      <c r="AU1236" s="30"/>
      <c r="AV1236" s="30"/>
      <c r="AW1236" s="30"/>
      <c r="AX1236" s="30"/>
    </row>
    <row r="1237" ht="15.75" customHeight="1">
      <c r="A1237" s="30"/>
      <c r="B1237" s="30"/>
      <c r="C1237" s="31"/>
      <c r="D1237" s="31"/>
      <c r="E1237" s="31"/>
      <c r="F1237" s="30"/>
      <c r="G1237" s="30"/>
      <c r="H1237" s="30"/>
      <c r="I1237" s="30"/>
      <c r="J1237" s="30"/>
      <c r="K1237" s="30"/>
      <c r="L1237" s="30"/>
      <c r="M1237" s="30"/>
      <c r="N1237" s="30"/>
      <c r="O1237" s="30"/>
      <c r="P1237" s="30"/>
      <c r="Q1237" s="30"/>
      <c r="R1237" s="30"/>
      <c r="S1237" s="30"/>
      <c r="T1237" s="30"/>
      <c r="U1237" s="30"/>
      <c r="V1237" s="30"/>
      <c r="W1237" s="30"/>
      <c r="X1237" s="30"/>
      <c r="Y1237" s="30"/>
      <c r="Z1237" s="30"/>
      <c r="AA1237" s="30"/>
      <c r="AB1237" s="30"/>
      <c r="AC1237" s="30"/>
      <c r="AD1237" s="30"/>
      <c r="AE1237" s="30"/>
      <c r="AF1237" s="30"/>
      <c r="AG1237" s="30"/>
      <c r="AH1237" s="30"/>
      <c r="AI1237" s="30"/>
      <c r="AJ1237" s="30"/>
      <c r="AK1237" s="30"/>
      <c r="AL1237" s="30"/>
      <c r="AM1237" s="30"/>
      <c r="AN1237" s="30"/>
      <c r="AO1237" s="30"/>
      <c r="AP1237" s="30"/>
      <c r="AQ1237" s="30"/>
      <c r="AR1237" s="30"/>
      <c r="AS1237" s="30"/>
      <c r="AT1237" s="30"/>
      <c r="AU1237" s="30"/>
      <c r="AV1237" s="30"/>
      <c r="AW1237" s="30"/>
      <c r="AX1237" s="30"/>
    </row>
    <row r="1238" ht="15.75" customHeight="1">
      <c r="A1238" s="30"/>
      <c r="B1238" s="30"/>
      <c r="C1238" s="31"/>
      <c r="D1238" s="31"/>
      <c r="E1238" s="31"/>
      <c r="F1238" s="30"/>
      <c r="G1238" s="30"/>
      <c r="H1238" s="30"/>
      <c r="I1238" s="30"/>
      <c r="J1238" s="30"/>
      <c r="K1238" s="30"/>
      <c r="L1238" s="30"/>
      <c r="M1238" s="30"/>
      <c r="N1238" s="30"/>
      <c r="O1238" s="30"/>
      <c r="P1238" s="30"/>
      <c r="Q1238" s="30"/>
      <c r="R1238" s="30"/>
      <c r="S1238" s="30"/>
      <c r="T1238" s="30"/>
      <c r="U1238" s="30"/>
      <c r="V1238" s="30"/>
      <c r="W1238" s="30"/>
      <c r="X1238" s="30"/>
      <c r="Y1238" s="30"/>
      <c r="Z1238" s="30"/>
      <c r="AA1238" s="30"/>
      <c r="AB1238" s="30"/>
      <c r="AC1238" s="30"/>
      <c r="AD1238" s="30"/>
      <c r="AE1238" s="30"/>
      <c r="AF1238" s="30"/>
      <c r="AG1238" s="30"/>
      <c r="AH1238" s="30"/>
      <c r="AI1238" s="30"/>
      <c r="AJ1238" s="30"/>
      <c r="AK1238" s="30"/>
      <c r="AL1238" s="30"/>
      <c r="AM1238" s="30"/>
      <c r="AN1238" s="30"/>
      <c r="AO1238" s="30"/>
      <c r="AP1238" s="30"/>
      <c r="AQ1238" s="30"/>
      <c r="AR1238" s="30"/>
      <c r="AS1238" s="30"/>
      <c r="AT1238" s="30"/>
      <c r="AU1238" s="30"/>
      <c r="AV1238" s="30"/>
      <c r="AW1238" s="30"/>
      <c r="AX1238" s="30"/>
    </row>
    <row r="1239" ht="15.75" customHeight="1">
      <c r="A1239" s="30"/>
      <c r="B1239" s="30"/>
      <c r="C1239" s="31"/>
      <c r="D1239" s="31"/>
      <c r="E1239" s="31"/>
      <c r="F1239" s="30"/>
      <c r="G1239" s="30"/>
      <c r="H1239" s="30"/>
      <c r="I1239" s="30"/>
      <c r="J1239" s="30"/>
      <c r="K1239" s="30"/>
      <c r="L1239" s="30"/>
      <c r="M1239" s="30"/>
      <c r="N1239" s="30"/>
      <c r="O1239" s="30"/>
      <c r="P1239" s="30"/>
      <c r="Q1239" s="30"/>
      <c r="R1239" s="30"/>
      <c r="S1239" s="30"/>
      <c r="T1239" s="30"/>
      <c r="U1239" s="30"/>
      <c r="V1239" s="30"/>
      <c r="W1239" s="30"/>
      <c r="X1239" s="30"/>
      <c r="Y1239" s="30"/>
      <c r="Z1239" s="30"/>
      <c r="AA1239" s="30"/>
      <c r="AB1239" s="30"/>
      <c r="AC1239" s="30"/>
      <c r="AD1239" s="30"/>
      <c r="AE1239" s="30"/>
      <c r="AF1239" s="30"/>
      <c r="AG1239" s="30"/>
      <c r="AH1239" s="30"/>
      <c r="AI1239" s="30"/>
      <c r="AJ1239" s="30"/>
      <c r="AK1239" s="30"/>
      <c r="AL1239" s="30"/>
      <c r="AM1239" s="30"/>
      <c r="AN1239" s="30"/>
      <c r="AO1239" s="30"/>
      <c r="AP1239" s="30"/>
      <c r="AQ1239" s="30"/>
      <c r="AR1239" s="30"/>
      <c r="AS1239" s="30"/>
      <c r="AT1239" s="30"/>
      <c r="AU1239" s="30"/>
      <c r="AV1239" s="30"/>
      <c r="AW1239" s="30"/>
      <c r="AX1239" s="30"/>
    </row>
    <row r="1240" ht="15.75" customHeight="1">
      <c r="A1240" s="30"/>
      <c r="B1240" s="30"/>
      <c r="C1240" s="31"/>
      <c r="D1240" s="31"/>
      <c r="E1240" s="31"/>
      <c r="F1240" s="30"/>
      <c r="G1240" s="30"/>
      <c r="H1240" s="30"/>
      <c r="I1240" s="30"/>
      <c r="J1240" s="30"/>
      <c r="K1240" s="30"/>
      <c r="L1240" s="30"/>
      <c r="M1240" s="30"/>
      <c r="N1240" s="30"/>
      <c r="O1240" s="30"/>
      <c r="P1240" s="30"/>
      <c r="Q1240" s="30"/>
      <c r="R1240" s="30"/>
      <c r="S1240" s="30"/>
      <c r="T1240" s="30"/>
      <c r="U1240" s="30"/>
      <c r="V1240" s="30"/>
      <c r="W1240" s="30"/>
      <c r="X1240" s="30"/>
      <c r="Y1240" s="30"/>
      <c r="Z1240" s="30"/>
      <c r="AA1240" s="30"/>
      <c r="AB1240" s="30"/>
      <c r="AC1240" s="30"/>
      <c r="AD1240" s="30"/>
      <c r="AE1240" s="30"/>
      <c r="AF1240" s="30"/>
      <c r="AG1240" s="30"/>
      <c r="AH1240" s="30"/>
      <c r="AI1240" s="30"/>
      <c r="AJ1240" s="30"/>
      <c r="AK1240" s="30"/>
      <c r="AL1240" s="30"/>
      <c r="AM1240" s="30"/>
      <c r="AN1240" s="30"/>
      <c r="AO1240" s="30"/>
      <c r="AP1240" s="30"/>
      <c r="AQ1240" s="30"/>
      <c r="AR1240" s="30"/>
      <c r="AS1240" s="30"/>
      <c r="AT1240" s="30"/>
      <c r="AU1240" s="30"/>
      <c r="AV1240" s="30"/>
      <c r="AW1240" s="30"/>
      <c r="AX1240" s="30"/>
    </row>
    <row r="1241" ht="15.75" customHeight="1">
      <c r="A1241" s="30"/>
      <c r="B1241" s="30"/>
      <c r="C1241" s="31"/>
      <c r="D1241" s="31"/>
      <c r="E1241" s="31"/>
      <c r="F1241" s="30"/>
      <c r="G1241" s="30"/>
      <c r="H1241" s="30"/>
      <c r="I1241" s="30"/>
      <c r="J1241" s="30"/>
      <c r="K1241" s="30"/>
      <c r="L1241" s="30"/>
      <c r="M1241" s="30"/>
      <c r="N1241" s="30"/>
      <c r="O1241" s="30"/>
      <c r="P1241" s="30"/>
      <c r="Q1241" s="30"/>
      <c r="R1241" s="30"/>
      <c r="S1241" s="30"/>
      <c r="T1241" s="30"/>
      <c r="U1241" s="30"/>
      <c r="V1241" s="30"/>
      <c r="W1241" s="30"/>
      <c r="X1241" s="30"/>
      <c r="Y1241" s="30"/>
      <c r="Z1241" s="30"/>
      <c r="AA1241" s="30"/>
      <c r="AB1241" s="30"/>
      <c r="AC1241" s="30"/>
      <c r="AD1241" s="30"/>
      <c r="AE1241" s="30"/>
      <c r="AF1241" s="30"/>
      <c r="AG1241" s="30"/>
      <c r="AH1241" s="30"/>
      <c r="AI1241" s="30"/>
      <c r="AJ1241" s="30"/>
      <c r="AK1241" s="30"/>
      <c r="AL1241" s="30"/>
      <c r="AM1241" s="30"/>
      <c r="AN1241" s="30"/>
      <c r="AO1241" s="30"/>
      <c r="AP1241" s="30"/>
      <c r="AQ1241" s="30"/>
      <c r="AR1241" s="30"/>
      <c r="AS1241" s="30"/>
      <c r="AT1241" s="30"/>
      <c r="AU1241" s="30"/>
      <c r="AV1241" s="30"/>
      <c r="AW1241" s="30"/>
      <c r="AX1241" s="30"/>
    </row>
    <row r="1242" ht="15.75" customHeight="1">
      <c r="A1242" s="30"/>
      <c r="B1242" s="30"/>
      <c r="C1242" s="31"/>
      <c r="D1242" s="31"/>
      <c r="E1242" s="31"/>
      <c r="F1242" s="30"/>
      <c r="G1242" s="30"/>
      <c r="H1242" s="30"/>
      <c r="I1242" s="30"/>
      <c r="J1242" s="30"/>
      <c r="K1242" s="30"/>
      <c r="L1242" s="30"/>
      <c r="M1242" s="30"/>
      <c r="N1242" s="30"/>
      <c r="O1242" s="30"/>
      <c r="P1242" s="30"/>
      <c r="Q1242" s="30"/>
      <c r="R1242" s="30"/>
      <c r="S1242" s="30"/>
      <c r="T1242" s="30"/>
      <c r="U1242" s="30"/>
      <c r="V1242" s="30"/>
      <c r="W1242" s="30"/>
      <c r="X1242" s="30"/>
      <c r="Y1242" s="30"/>
      <c r="Z1242" s="30"/>
      <c r="AA1242" s="30"/>
      <c r="AB1242" s="30"/>
      <c r="AC1242" s="30"/>
      <c r="AD1242" s="30"/>
      <c r="AE1242" s="30"/>
      <c r="AF1242" s="30"/>
      <c r="AG1242" s="30"/>
      <c r="AH1242" s="30"/>
      <c r="AI1242" s="30"/>
      <c r="AJ1242" s="30"/>
      <c r="AK1242" s="30"/>
      <c r="AL1242" s="30"/>
      <c r="AM1242" s="30"/>
      <c r="AN1242" s="30"/>
      <c r="AO1242" s="30"/>
      <c r="AP1242" s="30"/>
      <c r="AQ1242" s="30"/>
      <c r="AR1242" s="30"/>
      <c r="AS1242" s="30"/>
      <c r="AT1242" s="30"/>
      <c r="AU1242" s="30"/>
      <c r="AV1242" s="30"/>
      <c r="AW1242" s="30"/>
      <c r="AX1242" s="30"/>
    </row>
    <row r="1243" ht="15.75" customHeight="1">
      <c r="A1243" s="30"/>
      <c r="B1243" s="30"/>
      <c r="C1243" s="31"/>
      <c r="D1243" s="31"/>
      <c r="E1243" s="31"/>
      <c r="F1243" s="30"/>
      <c r="G1243" s="30"/>
      <c r="H1243" s="30"/>
      <c r="I1243" s="30"/>
      <c r="J1243" s="30"/>
      <c r="K1243" s="30"/>
      <c r="L1243" s="30"/>
      <c r="M1243" s="30"/>
      <c r="N1243" s="30"/>
      <c r="O1243" s="30"/>
      <c r="P1243" s="30"/>
      <c r="Q1243" s="30"/>
      <c r="R1243" s="30"/>
      <c r="S1243" s="30"/>
      <c r="T1243" s="30"/>
      <c r="U1243" s="30"/>
      <c r="V1243" s="30"/>
      <c r="W1243" s="30"/>
      <c r="X1243" s="30"/>
      <c r="Y1243" s="30"/>
      <c r="Z1243" s="30"/>
      <c r="AA1243" s="30"/>
      <c r="AB1243" s="30"/>
      <c r="AC1243" s="30"/>
      <c r="AD1243" s="30"/>
      <c r="AE1243" s="30"/>
      <c r="AF1243" s="30"/>
      <c r="AG1243" s="30"/>
      <c r="AH1243" s="30"/>
      <c r="AI1243" s="30"/>
      <c r="AJ1243" s="30"/>
      <c r="AK1243" s="30"/>
      <c r="AL1243" s="30"/>
      <c r="AM1243" s="30"/>
      <c r="AN1243" s="30"/>
      <c r="AO1243" s="30"/>
      <c r="AP1243" s="30"/>
      <c r="AQ1243" s="30"/>
      <c r="AR1243" s="30"/>
      <c r="AS1243" s="30"/>
      <c r="AT1243" s="30"/>
      <c r="AU1243" s="30"/>
      <c r="AV1243" s="30"/>
      <c r="AW1243" s="30"/>
      <c r="AX1243" s="30"/>
    </row>
    <row r="1244" ht="15.75" customHeight="1">
      <c r="A1244" s="30"/>
      <c r="B1244" s="30"/>
      <c r="C1244" s="31"/>
      <c r="D1244" s="31"/>
      <c r="E1244" s="31"/>
      <c r="F1244" s="30"/>
      <c r="G1244" s="30"/>
      <c r="H1244" s="30"/>
      <c r="I1244" s="30"/>
      <c r="J1244" s="30"/>
      <c r="K1244" s="30"/>
      <c r="L1244" s="30"/>
      <c r="M1244" s="30"/>
      <c r="N1244" s="30"/>
      <c r="O1244" s="30"/>
      <c r="P1244" s="30"/>
      <c r="Q1244" s="30"/>
      <c r="R1244" s="30"/>
      <c r="S1244" s="30"/>
      <c r="T1244" s="30"/>
      <c r="U1244" s="30"/>
      <c r="V1244" s="30"/>
      <c r="W1244" s="30"/>
      <c r="X1244" s="30"/>
      <c r="Y1244" s="30"/>
      <c r="Z1244" s="30"/>
      <c r="AA1244" s="30"/>
      <c r="AB1244" s="30"/>
      <c r="AC1244" s="30"/>
      <c r="AD1244" s="30"/>
      <c r="AE1244" s="30"/>
      <c r="AF1244" s="30"/>
      <c r="AG1244" s="30"/>
      <c r="AH1244" s="30"/>
      <c r="AI1244" s="30"/>
      <c r="AJ1244" s="30"/>
      <c r="AK1244" s="30"/>
      <c r="AL1244" s="30"/>
      <c r="AM1244" s="30"/>
      <c r="AN1244" s="30"/>
      <c r="AO1244" s="30"/>
      <c r="AP1244" s="30"/>
      <c r="AQ1244" s="30"/>
      <c r="AR1244" s="30"/>
      <c r="AS1244" s="30"/>
      <c r="AT1244" s="30"/>
      <c r="AU1244" s="30"/>
      <c r="AV1244" s="30"/>
      <c r="AW1244" s="30"/>
      <c r="AX1244" s="30"/>
    </row>
    <row r="1245" ht="15.75" customHeight="1">
      <c r="A1245" s="30"/>
      <c r="B1245" s="30"/>
      <c r="C1245" s="31"/>
      <c r="D1245" s="31"/>
      <c r="E1245" s="31"/>
      <c r="F1245" s="30"/>
      <c r="G1245" s="30"/>
      <c r="H1245" s="30"/>
      <c r="I1245" s="30"/>
      <c r="J1245" s="30"/>
      <c r="K1245" s="30"/>
      <c r="L1245" s="30"/>
      <c r="M1245" s="30"/>
      <c r="N1245" s="30"/>
      <c r="O1245" s="30"/>
      <c r="P1245" s="30"/>
      <c r="Q1245" s="30"/>
      <c r="R1245" s="30"/>
      <c r="S1245" s="30"/>
      <c r="T1245" s="30"/>
      <c r="U1245" s="30"/>
      <c r="V1245" s="30"/>
      <c r="W1245" s="30"/>
      <c r="X1245" s="30"/>
      <c r="Y1245" s="30"/>
      <c r="Z1245" s="30"/>
      <c r="AA1245" s="30"/>
      <c r="AB1245" s="30"/>
      <c r="AC1245" s="30"/>
      <c r="AD1245" s="30"/>
      <c r="AE1245" s="30"/>
      <c r="AF1245" s="30"/>
      <c r="AG1245" s="30"/>
      <c r="AH1245" s="30"/>
      <c r="AI1245" s="30"/>
      <c r="AJ1245" s="30"/>
      <c r="AK1245" s="30"/>
      <c r="AL1245" s="30"/>
      <c r="AM1245" s="30"/>
      <c r="AN1245" s="30"/>
      <c r="AO1245" s="30"/>
      <c r="AP1245" s="30"/>
      <c r="AQ1245" s="30"/>
      <c r="AR1245" s="30"/>
      <c r="AS1245" s="30"/>
      <c r="AT1245" s="30"/>
      <c r="AU1245" s="30"/>
      <c r="AV1245" s="30"/>
      <c r="AW1245" s="30"/>
      <c r="AX1245" s="30"/>
    </row>
    <row r="1246" ht="15.75" customHeight="1">
      <c r="A1246" s="30"/>
      <c r="B1246" s="30"/>
      <c r="C1246" s="31"/>
      <c r="D1246" s="31"/>
      <c r="E1246" s="31"/>
      <c r="F1246" s="30"/>
      <c r="G1246" s="30"/>
      <c r="H1246" s="30"/>
      <c r="I1246" s="30"/>
      <c r="J1246" s="30"/>
      <c r="K1246" s="30"/>
      <c r="L1246" s="30"/>
      <c r="M1246" s="30"/>
      <c r="N1246" s="30"/>
      <c r="O1246" s="30"/>
      <c r="P1246" s="30"/>
      <c r="Q1246" s="30"/>
      <c r="R1246" s="30"/>
      <c r="S1246" s="30"/>
      <c r="T1246" s="30"/>
      <c r="U1246" s="30"/>
      <c r="V1246" s="30"/>
      <c r="W1246" s="30"/>
      <c r="X1246" s="30"/>
      <c r="Y1246" s="30"/>
      <c r="Z1246" s="30"/>
      <c r="AA1246" s="30"/>
      <c r="AB1246" s="30"/>
      <c r="AC1246" s="30"/>
      <c r="AD1246" s="30"/>
      <c r="AE1246" s="30"/>
      <c r="AF1246" s="30"/>
      <c r="AG1246" s="30"/>
      <c r="AH1246" s="30"/>
      <c r="AI1246" s="30"/>
      <c r="AJ1246" s="30"/>
      <c r="AK1246" s="30"/>
      <c r="AL1246" s="30"/>
      <c r="AM1246" s="30"/>
      <c r="AN1246" s="30"/>
      <c r="AO1246" s="30"/>
      <c r="AP1246" s="30"/>
      <c r="AQ1246" s="30"/>
      <c r="AR1246" s="30"/>
      <c r="AS1246" s="30"/>
      <c r="AT1246" s="30"/>
      <c r="AU1246" s="30"/>
      <c r="AV1246" s="30"/>
      <c r="AW1246" s="30"/>
      <c r="AX1246" s="30"/>
    </row>
    <row r="1247" ht="15.75" customHeight="1">
      <c r="A1247" s="30"/>
      <c r="B1247" s="30"/>
      <c r="C1247" s="31"/>
      <c r="D1247" s="31"/>
      <c r="E1247" s="31"/>
      <c r="F1247" s="30"/>
      <c r="G1247" s="30"/>
      <c r="H1247" s="30"/>
      <c r="I1247" s="30"/>
      <c r="J1247" s="30"/>
      <c r="K1247" s="30"/>
      <c r="L1247" s="30"/>
      <c r="M1247" s="30"/>
      <c r="N1247" s="30"/>
      <c r="O1247" s="30"/>
      <c r="P1247" s="30"/>
      <c r="Q1247" s="30"/>
      <c r="R1247" s="30"/>
      <c r="S1247" s="30"/>
      <c r="T1247" s="30"/>
      <c r="U1247" s="30"/>
      <c r="V1247" s="30"/>
      <c r="W1247" s="30"/>
      <c r="X1247" s="30"/>
      <c r="Y1247" s="30"/>
      <c r="Z1247" s="30"/>
      <c r="AA1247" s="30"/>
      <c r="AB1247" s="30"/>
      <c r="AC1247" s="30"/>
      <c r="AD1247" s="30"/>
      <c r="AE1247" s="30"/>
      <c r="AF1247" s="30"/>
      <c r="AG1247" s="30"/>
      <c r="AH1247" s="30"/>
      <c r="AI1247" s="30"/>
      <c r="AJ1247" s="30"/>
      <c r="AK1247" s="30"/>
      <c r="AL1247" s="30"/>
      <c r="AM1247" s="30"/>
      <c r="AN1247" s="30"/>
      <c r="AO1247" s="30"/>
      <c r="AP1247" s="30"/>
      <c r="AQ1247" s="30"/>
      <c r="AR1247" s="30"/>
      <c r="AS1247" s="30"/>
      <c r="AT1247" s="30"/>
      <c r="AU1247" s="30"/>
      <c r="AV1247" s="30"/>
      <c r="AW1247" s="30"/>
      <c r="AX1247" s="30"/>
    </row>
    <row r="1248" ht="15.75" customHeight="1">
      <c r="A1248" s="30"/>
      <c r="B1248" s="30"/>
      <c r="C1248" s="31"/>
      <c r="D1248" s="31"/>
      <c r="E1248" s="31"/>
      <c r="F1248" s="30"/>
      <c r="G1248" s="30"/>
      <c r="H1248" s="30"/>
      <c r="I1248" s="30"/>
      <c r="J1248" s="30"/>
      <c r="K1248" s="30"/>
      <c r="L1248" s="30"/>
      <c r="M1248" s="30"/>
      <c r="N1248" s="30"/>
      <c r="O1248" s="30"/>
      <c r="P1248" s="30"/>
      <c r="Q1248" s="30"/>
      <c r="R1248" s="30"/>
      <c r="S1248" s="30"/>
      <c r="T1248" s="30"/>
      <c r="U1248" s="30"/>
      <c r="V1248" s="30"/>
      <c r="W1248" s="30"/>
      <c r="X1248" s="30"/>
      <c r="Y1248" s="30"/>
      <c r="Z1248" s="30"/>
      <c r="AA1248" s="30"/>
      <c r="AB1248" s="30"/>
      <c r="AC1248" s="30"/>
      <c r="AD1248" s="30"/>
      <c r="AE1248" s="30"/>
      <c r="AF1248" s="30"/>
      <c r="AG1248" s="30"/>
      <c r="AH1248" s="30"/>
      <c r="AI1248" s="30"/>
      <c r="AJ1248" s="30"/>
      <c r="AK1248" s="30"/>
      <c r="AL1248" s="30"/>
      <c r="AM1248" s="30"/>
      <c r="AN1248" s="30"/>
      <c r="AO1248" s="30"/>
      <c r="AP1248" s="30"/>
      <c r="AQ1248" s="30"/>
      <c r="AR1248" s="30"/>
      <c r="AS1248" s="30"/>
      <c r="AT1248" s="30"/>
      <c r="AU1248" s="30"/>
      <c r="AV1248" s="30"/>
      <c r="AW1248" s="30"/>
      <c r="AX1248" s="30"/>
    </row>
    <row r="1249" ht="15.75" customHeight="1">
      <c r="A1249" s="30"/>
      <c r="B1249" s="30"/>
      <c r="C1249" s="31"/>
      <c r="D1249" s="31"/>
      <c r="E1249" s="31"/>
      <c r="F1249" s="30"/>
      <c r="G1249" s="30"/>
      <c r="H1249" s="30"/>
      <c r="I1249" s="30"/>
      <c r="J1249" s="30"/>
      <c r="K1249" s="30"/>
      <c r="L1249" s="30"/>
      <c r="M1249" s="30"/>
      <c r="N1249" s="30"/>
      <c r="O1249" s="30"/>
      <c r="P1249" s="30"/>
      <c r="Q1249" s="30"/>
      <c r="R1249" s="30"/>
      <c r="S1249" s="30"/>
      <c r="T1249" s="30"/>
      <c r="U1249" s="30"/>
      <c r="V1249" s="30"/>
      <c r="W1249" s="30"/>
      <c r="X1249" s="30"/>
      <c r="Y1249" s="30"/>
      <c r="Z1249" s="30"/>
      <c r="AA1249" s="30"/>
      <c r="AB1249" s="30"/>
      <c r="AC1249" s="30"/>
      <c r="AD1249" s="30"/>
      <c r="AE1249" s="30"/>
      <c r="AF1249" s="30"/>
      <c r="AG1249" s="30"/>
      <c r="AH1249" s="30"/>
      <c r="AI1249" s="30"/>
      <c r="AJ1249" s="30"/>
      <c r="AK1249" s="30"/>
      <c r="AL1249" s="30"/>
      <c r="AM1249" s="30"/>
      <c r="AN1249" s="30"/>
      <c r="AO1249" s="30"/>
      <c r="AP1249" s="30"/>
      <c r="AQ1249" s="30"/>
      <c r="AR1249" s="30"/>
      <c r="AS1249" s="30"/>
      <c r="AT1249" s="30"/>
      <c r="AU1249" s="30"/>
      <c r="AV1249" s="30"/>
      <c r="AW1249" s="30"/>
      <c r="AX1249" s="30"/>
    </row>
    <row r="1250" ht="15.75" customHeight="1">
      <c r="A1250" s="30"/>
      <c r="B1250" s="30"/>
      <c r="C1250" s="31"/>
      <c r="D1250" s="31"/>
      <c r="E1250" s="31"/>
      <c r="F1250" s="30"/>
      <c r="G1250" s="30"/>
      <c r="H1250" s="30"/>
      <c r="I1250" s="30"/>
      <c r="J1250" s="30"/>
      <c r="K1250" s="30"/>
      <c r="L1250" s="30"/>
      <c r="M1250" s="30"/>
      <c r="N1250" s="30"/>
      <c r="O1250" s="30"/>
      <c r="P1250" s="30"/>
      <c r="Q1250" s="30"/>
      <c r="R1250" s="30"/>
      <c r="S1250" s="30"/>
      <c r="T1250" s="30"/>
      <c r="U1250" s="30"/>
      <c r="V1250" s="30"/>
      <c r="W1250" s="30"/>
      <c r="X1250" s="30"/>
      <c r="Y1250" s="30"/>
      <c r="Z1250" s="30"/>
      <c r="AA1250" s="30"/>
      <c r="AB1250" s="30"/>
      <c r="AC1250" s="30"/>
      <c r="AD1250" s="30"/>
      <c r="AE1250" s="30"/>
      <c r="AF1250" s="30"/>
      <c r="AG1250" s="30"/>
      <c r="AH1250" s="30"/>
      <c r="AI1250" s="30"/>
      <c r="AJ1250" s="30"/>
      <c r="AK1250" s="30"/>
      <c r="AL1250" s="30"/>
      <c r="AM1250" s="30"/>
      <c r="AN1250" s="30"/>
      <c r="AO1250" s="30"/>
      <c r="AP1250" s="30"/>
      <c r="AQ1250" s="30"/>
      <c r="AR1250" s="30"/>
      <c r="AS1250" s="30"/>
      <c r="AT1250" s="30"/>
      <c r="AU1250" s="30"/>
      <c r="AV1250" s="30"/>
      <c r="AW1250" s="30"/>
      <c r="AX1250" s="30"/>
    </row>
    <row r="1251" ht="15.75" customHeight="1">
      <c r="A1251" s="30"/>
      <c r="B1251" s="30"/>
      <c r="C1251" s="31"/>
      <c r="D1251" s="31"/>
      <c r="E1251" s="31"/>
      <c r="F1251" s="30"/>
      <c r="G1251" s="30"/>
      <c r="H1251" s="30"/>
      <c r="I1251" s="30"/>
      <c r="J1251" s="30"/>
      <c r="K1251" s="30"/>
      <c r="L1251" s="30"/>
      <c r="M1251" s="30"/>
      <c r="N1251" s="30"/>
      <c r="O1251" s="30"/>
      <c r="P1251" s="30"/>
      <c r="Q1251" s="30"/>
      <c r="R1251" s="30"/>
      <c r="S1251" s="30"/>
      <c r="T1251" s="30"/>
      <c r="U1251" s="30"/>
      <c r="V1251" s="30"/>
      <c r="W1251" s="30"/>
      <c r="X1251" s="30"/>
      <c r="Y1251" s="30"/>
      <c r="Z1251" s="30"/>
      <c r="AA1251" s="30"/>
      <c r="AB1251" s="30"/>
      <c r="AC1251" s="30"/>
      <c r="AD1251" s="30"/>
      <c r="AE1251" s="30"/>
      <c r="AF1251" s="30"/>
      <c r="AG1251" s="30"/>
      <c r="AH1251" s="30"/>
      <c r="AI1251" s="30"/>
      <c r="AJ1251" s="30"/>
      <c r="AK1251" s="30"/>
      <c r="AL1251" s="30"/>
      <c r="AM1251" s="30"/>
      <c r="AN1251" s="30"/>
      <c r="AO1251" s="30"/>
      <c r="AP1251" s="30"/>
      <c r="AQ1251" s="30"/>
      <c r="AR1251" s="30"/>
      <c r="AS1251" s="30"/>
      <c r="AT1251" s="30"/>
      <c r="AU1251" s="30"/>
      <c r="AV1251" s="30"/>
      <c r="AW1251" s="30"/>
      <c r="AX1251" s="30"/>
    </row>
    <row r="1252" ht="15.75" customHeight="1">
      <c r="A1252" s="30"/>
      <c r="B1252" s="30"/>
      <c r="C1252" s="31"/>
      <c r="D1252" s="31"/>
      <c r="E1252" s="31"/>
      <c r="F1252" s="30"/>
      <c r="G1252" s="30"/>
      <c r="H1252" s="30"/>
      <c r="I1252" s="30"/>
      <c r="J1252" s="30"/>
      <c r="K1252" s="30"/>
      <c r="L1252" s="30"/>
      <c r="M1252" s="30"/>
      <c r="N1252" s="30"/>
      <c r="O1252" s="30"/>
      <c r="P1252" s="30"/>
      <c r="Q1252" s="30"/>
      <c r="R1252" s="30"/>
      <c r="S1252" s="30"/>
      <c r="T1252" s="30"/>
      <c r="U1252" s="30"/>
      <c r="V1252" s="30"/>
      <c r="W1252" s="30"/>
      <c r="X1252" s="30"/>
      <c r="Y1252" s="30"/>
      <c r="Z1252" s="30"/>
      <c r="AA1252" s="30"/>
      <c r="AB1252" s="30"/>
      <c r="AC1252" s="30"/>
      <c r="AD1252" s="30"/>
      <c r="AE1252" s="30"/>
      <c r="AF1252" s="30"/>
      <c r="AG1252" s="30"/>
      <c r="AH1252" s="30"/>
      <c r="AI1252" s="30"/>
      <c r="AJ1252" s="30"/>
      <c r="AK1252" s="30"/>
      <c r="AL1252" s="30"/>
      <c r="AM1252" s="30"/>
      <c r="AN1252" s="30"/>
      <c r="AO1252" s="30"/>
      <c r="AP1252" s="30"/>
      <c r="AQ1252" s="30"/>
      <c r="AR1252" s="30"/>
      <c r="AS1252" s="30"/>
      <c r="AT1252" s="30"/>
      <c r="AU1252" s="30"/>
      <c r="AV1252" s="30"/>
      <c r="AW1252" s="30"/>
      <c r="AX1252" s="30"/>
    </row>
    <row r="1253" ht="15.75" customHeight="1">
      <c r="A1253" s="30"/>
      <c r="B1253" s="30"/>
      <c r="C1253" s="31"/>
      <c r="D1253" s="31"/>
      <c r="E1253" s="31"/>
      <c r="F1253" s="30"/>
      <c r="G1253" s="30"/>
      <c r="H1253" s="30"/>
      <c r="I1253" s="30"/>
      <c r="J1253" s="30"/>
      <c r="K1253" s="30"/>
      <c r="L1253" s="30"/>
      <c r="M1253" s="30"/>
      <c r="N1253" s="30"/>
      <c r="O1253" s="30"/>
      <c r="P1253" s="30"/>
      <c r="Q1253" s="30"/>
      <c r="R1253" s="30"/>
      <c r="S1253" s="30"/>
      <c r="T1253" s="30"/>
      <c r="U1253" s="30"/>
      <c r="V1253" s="30"/>
      <c r="W1253" s="30"/>
      <c r="X1253" s="30"/>
      <c r="Y1253" s="30"/>
      <c r="Z1253" s="30"/>
      <c r="AA1253" s="30"/>
      <c r="AB1253" s="30"/>
      <c r="AC1253" s="30"/>
      <c r="AD1253" s="30"/>
      <c r="AE1253" s="30"/>
      <c r="AF1253" s="30"/>
      <c r="AG1253" s="30"/>
      <c r="AH1253" s="30"/>
      <c r="AI1253" s="30"/>
      <c r="AJ1253" s="30"/>
      <c r="AK1253" s="30"/>
      <c r="AL1253" s="30"/>
      <c r="AM1253" s="30"/>
      <c r="AN1253" s="30"/>
      <c r="AO1253" s="30"/>
      <c r="AP1253" s="30"/>
      <c r="AQ1253" s="30"/>
      <c r="AR1253" s="30"/>
      <c r="AS1253" s="30"/>
      <c r="AT1253" s="30"/>
      <c r="AU1253" s="30"/>
      <c r="AV1253" s="30"/>
      <c r="AW1253" s="30"/>
      <c r="AX1253" s="30"/>
    </row>
    <row r="1254" ht="15.75" customHeight="1">
      <c r="A1254" s="30"/>
      <c r="B1254" s="30"/>
      <c r="C1254" s="31"/>
      <c r="D1254" s="31"/>
      <c r="E1254" s="31"/>
      <c r="F1254" s="30"/>
      <c r="G1254" s="30"/>
      <c r="H1254" s="30"/>
      <c r="I1254" s="30"/>
      <c r="J1254" s="30"/>
      <c r="K1254" s="30"/>
      <c r="L1254" s="30"/>
      <c r="M1254" s="30"/>
      <c r="N1254" s="30"/>
      <c r="O1254" s="30"/>
      <c r="P1254" s="30"/>
      <c r="Q1254" s="30"/>
      <c r="R1254" s="30"/>
      <c r="S1254" s="30"/>
      <c r="T1254" s="30"/>
      <c r="U1254" s="30"/>
      <c r="V1254" s="30"/>
      <c r="W1254" s="30"/>
      <c r="X1254" s="30"/>
      <c r="Y1254" s="30"/>
      <c r="Z1254" s="30"/>
      <c r="AA1254" s="30"/>
      <c r="AB1254" s="30"/>
      <c r="AC1254" s="30"/>
      <c r="AD1254" s="30"/>
      <c r="AE1254" s="30"/>
      <c r="AF1254" s="30"/>
      <c r="AG1254" s="30"/>
      <c r="AH1254" s="30"/>
      <c r="AI1254" s="30"/>
      <c r="AJ1254" s="30"/>
      <c r="AK1254" s="30"/>
      <c r="AL1254" s="30"/>
      <c r="AM1254" s="30"/>
      <c r="AN1254" s="30"/>
      <c r="AO1254" s="30"/>
      <c r="AP1254" s="30"/>
      <c r="AQ1254" s="30"/>
      <c r="AR1254" s="30"/>
      <c r="AS1254" s="30"/>
      <c r="AT1254" s="30"/>
      <c r="AU1254" s="30"/>
      <c r="AV1254" s="30"/>
      <c r="AW1254" s="30"/>
      <c r="AX1254" s="30"/>
    </row>
    <row r="1255" ht="15.75" customHeight="1">
      <c r="A1255" s="30"/>
      <c r="B1255" s="30"/>
      <c r="C1255" s="31"/>
      <c r="D1255" s="31"/>
      <c r="E1255" s="31"/>
      <c r="F1255" s="30"/>
      <c r="G1255" s="30"/>
      <c r="H1255" s="30"/>
      <c r="I1255" s="30"/>
      <c r="J1255" s="30"/>
      <c r="K1255" s="30"/>
      <c r="L1255" s="30"/>
      <c r="M1255" s="30"/>
      <c r="N1255" s="30"/>
      <c r="O1255" s="30"/>
      <c r="P1255" s="30"/>
      <c r="Q1255" s="30"/>
      <c r="R1255" s="30"/>
      <c r="S1255" s="30"/>
      <c r="T1255" s="30"/>
      <c r="U1255" s="30"/>
      <c r="V1255" s="30"/>
      <c r="W1255" s="30"/>
      <c r="X1255" s="30"/>
      <c r="Y1255" s="30"/>
      <c r="Z1255" s="30"/>
      <c r="AA1255" s="30"/>
      <c r="AB1255" s="30"/>
      <c r="AC1255" s="30"/>
      <c r="AD1255" s="30"/>
      <c r="AE1255" s="30"/>
      <c r="AF1255" s="30"/>
      <c r="AG1255" s="30"/>
      <c r="AH1255" s="30"/>
      <c r="AI1255" s="30"/>
      <c r="AJ1255" s="30"/>
      <c r="AK1255" s="30"/>
      <c r="AL1255" s="30"/>
      <c r="AM1255" s="30"/>
      <c r="AN1255" s="30"/>
      <c r="AO1255" s="30"/>
      <c r="AP1255" s="30"/>
      <c r="AQ1255" s="30"/>
      <c r="AR1255" s="30"/>
      <c r="AS1255" s="30"/>
      <c r="AT1255" s="30"/>
      <c r="AU1255" s="30"/>
      <c r="AV1255" s="30"/>
      <c r="AW1255" s="30"/>
      <c r="AX1255" s="30"/>
    </row>
    <row r="1256" ht="15.75" customHeight="1">
      <c r="A1256" s="30"/>
      <c r="B1256" s="30"/>
      <c r="C1256" s="31"/>
      <c r="D1256" s="31"/>
      <c r="E1256" s="31"/>
      <c r="F1256" s="30"/>
      <c r="G1256" s="30"/>
      <c r="H1256" s="30"/>
      <c r="I1256" s="30"/>
      <c r="J1256" s="30"/>
      <c r="K1256" s="30"/>
      <c r="L1256" s="30"/>
      <c r="M1256" s="30"/>
      <c r="N1256" s="30"/>
      <c r="O1256" s="30"/>
      <c r="P1256" s="30"/>
      <c r="Q1256" s="30"/>
      <c r="R1256" s="30"/>
      <c r="S1256" s="30"/>
      <c r="T1256" s="30"/>
      <c r="U1256" s="30"/>
      <c r="V1256" s="30"/>
      <c r="W1256" s="30"/>
      <c r="X1256" s="30"/>
      <c r="Y1256" s="30"/>
      <c r="Z1256" s="30"/>
      <c r="AA1256" s="30"/>
      <c r="AB1256" s="30"/>
      <c r="AC1256" s="30"/>
      <c r="AD1256" s="30"/>
      <c r="AE1256" s="30"/>
      <c r="AF1256" s="30"/>
      <c r="AG1256" s="30"/>
      <c r="AH1256" s="30"/>
      <c r="AI1256" s="30"/>
      <c r="AJ1256" s="30"/>
      <c r="AK1256" s="30"/>
      <c r="AL1256" s="30"/>
      <c r="AM1256" s="30"/>
      <c r="AN1256" s="30"/>
      <c r="AO1256" s="30"/>
      <c r="AP1256" s="30"/>
      <c r="AQ1256" s="30"/>
      <c r="AR1256" s="30"/>
      <c r="AS1256" s="30"/>
      <c r="AT1256" s="30"/>
      <c r="AU1256" s="30"/>
      <c r="AV1256" s="30"/>
      <c r="AW1256" s="30"/>
      <c r="AX1256" s="30"/>
    </row>
    <row r="1257" ht="15.75" customHeight="1">
      <c r="A1257" s="30"/>
      <c r="B1257" s="30"/>
      <c r="C1257" s="31"/>
      <c r="D1257" s="31"/>
      <c r="E1257" s="31"/>
      <c r="F1257" s="30"/>
      <c r="G1257" s="30"/>
      <c r="H1257" s="30"/>
      <c r="I1257" s="30"/>
      <c r="J1257" s="30"/>
      <c r="K1257" s="30"/>
      <c r="L1257" s="30"/>
      <c r="M1257" s="30"/>
      <c r="N1257" s="30"/>
      <c r="O1257" s="30"/>
      <c r="P1257" s="30"/>
      <c r="Q1257" s="30"/>
      <c r="R1257" s="30"/>
      <c r="S1257" s="30"/>
      <c r="T1257" s="30"/>
      <c r="U1257" s="30"/>
      <c r="V1257" s="30"/>
      <c r="W1257" s="30"/>
      <c r="X1257" s="30"/>
      <c r="Y1257" s="30"/>
      <c r="Z1257" s="30"/>
      <c r="AA1257" s="30"/>
      <c r="AB1257" s="30"/>
      <c r="AC1257" s="30"/>
      <c r="AD1257" s="30"/>
      <c r="AE1257" s="30"/>
      <c r="AF1257" s="30"/>
      <c r="AG1257" s="30"/>
      <c r="AH1257" s="30"/>
      <c r="AI1257" s="30"/>
      <c r="AJ1257" s="30"/>
      <c r="AK1257" s="30"/>
      <c r="AL1257" s="30"/>
      <c r="AM1257" s="30"/>
      <c r="AN1257" s="30"/>
      <c r="AO1257" s="30"/>
      <c r="AP1257" s="30"/>
      <c r="AQ1257" s="30"/>
      <c r="AR1257" s="30"/>
      <c r="AS1257" s="30"/>
      <c r="AT1257" s="30"/>
      <c r="AU1257" s="30"/>
      <c r="AV1257" s="30"/>
      <c r="AW1257" s="30"/>
      <c r="AX1257" s="30"/>
    </row>
    <row r="1258" ht="15.75" customHeight="1">
      <c r="A1258" s="30"/>
      <c r="B1258" s="30"/>
      <c r="C1258" s="31"/>
      <c r="D1258" s="31"/>
      <c r="E1258" s="31"/>
      <c r="F1258" s="30"/>
      <c r="G1258" s="30"/>
      <c r="H1258" s="30"/>
      <c r="I1258" s="30"/>
      <c r="J1258" s="30"/>
      <c r="K1258" s="30"/>
      <c r="L1258" s="30"/>
      <c r="M1258" s="30"/>
      <c r="N1258" s="30"/>
      <c r="O1258" s="30"/>
      <c r="P1258" s="30"/>
      <c r="Q1258" s="30"/>
      <c r="R1258" s="30"/>
      <c r="S1258" s="30"/>
      <c r="T1258" s="30"/>
      <c r="U1258" s="30"/>
      <c r="V1258" s="30"/>
      <c r="W1258" s="30"/>
      <c r="X1258" s="30"/>
      <c r="Y1258" s="30"/>
      <c r="Z1258" s="30"/>
      <c r="AA1258" s="30"/>
      <c r="AB1258" s="30"/>
      <c r="AC1258" s="30"/>
      <c r="AD1258" s="30"/>
      <c r="AE1258" s="30"/>
      <c r="AF1258" s="30"/>
      <c r="AG1258" s="30"/>
      <c r="AH1258" s="30"/>
      <c r="AI1258" s="30"/>
      <c r="AJ1258" s="30"/>
      <c r="AK1258" s="30"/>
      <c r="AL1258" s="30"/>
      <c r="AM1258" s="30"/>
      <c r="AN1258" s="30"/>
      <c r="AO1258" s="30"/>
      <c r="AP1258" s="30"/>
      <c r="AQ1258" s="30"/>
      <c r="AR1258" s="30"/>
      <c r="AS1258" s="30"/>
      <c r="AT1258" s="30"/>
      <c r="AU1258" s="30"/>
      <c r="AV1258" s="30"/>
      <c r="AW1258" s="30"/>
      <c r="AX1258" s="30"/>
    </row>
    <row r="1259" ht="15.75" customHeight="1">
      <c r="A1259" s="30"/>
      <c r="B1259" s="30"/>
      <c r="C1259" s="31"/>
      <c r="D1259" s="31"/>
      <c r="E1259" s="31"/>
      <c r="F1259" s="30"/>
      <c r="G1259" s="30"/>
      <c r="H1259" s="30"/>
      <c r="I1259" s="30"/>
      <c r="J1259" s="30"/>
      <c r="K1259" s="30"/>
      <c r="L1259" s="30"/>
      <c r="M1259" s="30"/>
      <c r="N1259" s="30"/>
      <c r="O1259" s="30"/>
      <c r="P1259" s="30"/>
      <c r="Q1259" s="30"/>
      <c r="R1259" s="30"/>
      <c r="S1259" s="30"/>
      <c r="T1259" s="30"/>
      <c r="U1259" s="30"/>
      <c r="V1259" s="30"/>
      <c r="W1259" s="30"/>
      <c r="X1259" s="30"/>
      <c r="Y1259" s="30"/>
      <c r="Z1259" s="30"/>
      <c r="AA1259" s="30"/>
      <c r="AB1259" s="30"/>
      <c r="AC1259" s="30"/>
      <c r="AD1259" s="30"/>
      <c r="AE1259" s="30"/>
      <c r="AF1259" s="30"/>
      <c r="AG1259" s="30"/>
      <c r="AH1259" s="30"/>
      <c r="AI1259" s="30"/>
      <c r="AJ1259" s="30"/>
      <c r="AK1259" s="30"/>
      <c r="AL1259" s="30"/>
      <c r="AM1259" s="30"/>
      <c r="AN1259" s="30"/>
      <c r="AO1259" s="30"/>
      <c r="AP1259" s="30"/>
      <c r="AQ1259" s="30"/>
      <c r="AR1259" s="30"/>
      <c r="AS1259" s="30"/>
      <c r="AT1259" s="30"/>
      <c r="AU1259" s="30"/>
      <c r="AV1259" s="30"/>
      <c r="AW1259" s="30"/>
      <c r="AX1259" s="30"/>
    </row>
    <row r="1260" ht="15.75" customHeight="1">
      <c r="A1260" s="30"/>
      <c r="B1260" s="30"/>
      <c r="C1260" s="31"/>
      <c r="D1260" s="31"/>
      <c r="E1260" s="31"/>
      <c r="F1260" s="30"/>
      <c r="G1260" s="30"/>
      <c r="H1260" s="30"/>
      <c r="I1260" s="30"/>
      <c r="J1260" s="30"/>
      <c r="K1260" s="30"/>
      <c r="L1260" s="30"/>
      <c r="M1260" s="30"/>
      <c r="N1260" s="30"/>
      <c r="O1260" s="30"/>
      <c r="P1260" s="30"/>
      <c r="Q1260" s="30"/>
      <c r="R1260" s="30"/>
      <c r="S1260" s="30"/>
      <c r="T1260" s="30"/>
      <c r="U1260" s="30"/>
      <c r="V1260" s="30"/>
      <c r="W1260" s="30"/>
      <c r="X1260" s="30"/>
      <c r="Y1260" s="30"/>
      <c r="Z1260" s="30"/>
      <c r="AA1260" s="30"/>
      <c r="AB1260" s="30"/>
      <c r="AC1260" s="30"/>
      <c r="AD1260" s="30"/>
      <c r="AE1260" s="30"/>
      <c r="AF1260" s="30"/>
      <c r="AG1260" s="30"/>
      <c r="AH1260" s="30"/>
      <c r="AI1260" s="30"/>
      <c r="AJ1260" s="30"/>
      <c r="AK1260" s="30"/>
      <c r="AL1260" s="30"/>
      <c r="AM1260" s="30"/>
      <c r="AN1260" s="30"/>
      <c r="AO1260" s="30"/>
      <c r="AP1260" s="30"/>
      <c r="AQ1260" s="30"/>
      <c r="AR1260" s="30"/>
      <c r="AS1260" s="30"/>
      <c r="AT1260" s="30"/>
      <c r="AU1260" s="30"/>
      <c r="AV1260" s="30"/>
      <c r="AW1260" s="30"/>
      <c r="AX1260" s="30"/>
    </row>
    <row r="1261" ht="15.75" customHeight="1">
      <c r="A1261" s="30"/>
      <c r="B1261" s="30"/>
      <c r="C1261" s="31"/>
      <c r="D1261" s="31"/>
      <c r="E1261" s="31"/>
      <c r="F1261" s="30"/>
      <c r="G1261" s="30"/>
      <c r="H1261" s="30"/>
      <c r="I1261" s="30"/>
      <c r="J1261" s="30"/>
      <c r="K1261" s="30"/>
      <c r="L1261" s="30"/>
      <c r="M1261" s="30"/>
      <c r="N1261" s="30"/>
      <c r="O1261" s="30"/>
      <c r="P1261" s="30"/>
      <c r="Q1261" s="30"/>
      <c r="R1261" s="30"/>
      <c r="S1261" s="30"/>
      <c r="T1261" s="30"/>
      <c r="U1261" s="30"/>
      <c r="V1261" s="30"/>
      <c r="W1261" s="30"/>
      <c r="X1261" s="30"/>
      <c r="Y1261" s="30"/>
      <c r="Z1261" s="30"/>
      <c r="AA1261" s="30"/>
      <c r="AB1261" s="30"/>
      <c r="AC1261" s="30"/>
      <c r="AD1261" s="30"/>
      <c r="AE1261" s="30"/>
      <c r="AF1261" s="30"/>
      <c r="AG1261" s="30"/>
      <c r="AH1261" s="30"/>
      <c r="AI1261" s="30"/>
      <c r="AJ1261" s="30"/>
      <c r="AK1261" s="30"/>
      <c r="AL1261" s="30"/>
      <c r="AM1261" s="30"/>
      <c r="AN1261" s="30"/>
      <c r="AO1261" s="30"/>
      <c r="AP1261" s="30"/>
      <c r="AQ1261" s="30"/>
      <c r="AR1261" s="30"/>
      <c r="AS1261" s="30"/>
      <c r="AT1261" s="30"/>
      <c r="AU1261" s="30"/>
      <c r="AV1261" s="30"/>
      <c r="AW1261" s="30"/>
      <c r="AX1261" s="30"/>
    </row>
    <row r="1262" ht="15.75" customHeight="1">
      <c r="A1262" s="30"/>
      <c r="B1262" s="30"/>
      <c r="C1262" s="31"/>
      <c r="D1262" s="31"/>
      <c r="E1262" s="31"/>
      <c r="F1262" s="30"/>
      <c r="G1262" s="30"/>
      <c r="H1262" s="30"/>
      <c r="I1262" s="30"/>
      <c r="J1262" s="30"/>
      <c r="K1262" s="30"/>
      <c r="L1262" s="30"/>
      <c r="M1262" s="30"/>
      <c r="N1262" s="30"/>
      <c r="O1262" s="30"/>
      <c r="P1262" s="30"/>
      <c r="Q1262" s="30"/>
      <c r="R1262" s="30"/>
      <c r="S1262" s="30"/>
      <c r="T1262" s="30"/>
      <c r="U1262" s="30"/>
      <c r="V1262" s="30"/>
      <c r="W1262" s="30"/>
      <c r="X1262" s="30"/>
      <c r="Y1262" s="30"/>
      <c r="Z1262" s="30"/>
      <c r="AA1262" s="30"/>
      <c r="AB1262" s="30"/>
      <c r="AC1262" s="30"/>
      <c r="AD1262" s="30"/>
      <c r="AE1262" s="30"/>
      <c r="AF1262" s="30"/>
      <c r="AG1262" s="30"/>
      <c r="AH1262" s="30"/>
      <c r="AI1262" s="30"/>
      <c r="AJ1262" s="30"/>
      <c r="AK1262" s="30"/>
      <c r="AL1262" s="30"/>
      <c r="AM1262" s="30"/>
      <c r="AN1262" s="30"/>
      <c r="AO1262" s="30"/>
      <c r="AP1262" s="30"/>
      <c r="AQ1262" s="30"/>
      <c r="AR1262" s="30"/>
      <c r="AS1262" s="30"/>
      <c r="AT1262" s="30"/>
      <c r="AU1262" s="30"/>
      <c r="AV1262" s="30"/>
      <c r="AW1262" s="30"/>
      <c r="AX1262" s="30"/>
    </row>
    <row r="1263" ht="15.75" customHeight="1">
      <c r="A1263" s="30"/>
      <c r="B1263" s="30"/>
      <c r="C1263" s="31"/>
      <c r="D1263" s="31"/>
      <c r="E1263" s="31"/>
      <c r="F1263" s="30"/>
      <c r="G1263" s="30"/>
      <c r="H1263" s="30"/>
      <c r="I1263" s="30"/>
      <c r="J1263" s="30"/>
      <c r="K1263" s="30"/>
      <c r="L1263" s="30"/>
      <c r="M1263" s="30"/>
      <c r="N1263" s="30"/>
      <c r="O1263" s="30"/>
      <c r="P1263" s="30"/>
      <c r="Q1263" s="30"/>
      <c r="R1263" s="30"/>
      <c r="S1263" s="30"/>
      <c r="T1263" s="30"/>
      <c r="U1263" s="30"/>
      <c r="V1263" s="30"/>
      <c r="W1263" s="30"/>
      <c r="X1263" s="30"/>
      <c r="Y1263" s="30"/>
      <c r="Z1263" s="30"/>
      <c r="AA1263" s="30"/>
      <c r="AB1263" s="30"/>
      <c r="AC1263" s="30"/>
      <c r="AD1263" s="30"/>
      <c r="AE1263" s="30"/>
      <c r="AF1263" s="30"/>
      <c r="AG1263" s="30"/>
      <c r="AH1263" s="30"/>
      <c r="AI1263" s="30"/>
      <c r="AJ1263" s="30"/>
      <c r="AK1263" s="30"/>
      <c r="AL1263" s="30"/>
      <c r="AM1263" s="30"/>
      <c r="AN1263" s="30"/>
      <c r="AO1263" s="30"/>
      <c r="AP1263" s="30"/>
      <c r="AQ1263" s="30"/>
      <c r="AR1263" s="30"/>
      <c r="AS1263" s="30"/>
      <c r="AT1263" s="30"/>
      <c r="AU1263" s="30"/>
      <c r="AV1263" s="30"/>
      <c r="AW1263" s="30"/>
      <c r="AX1263" s="30"/>
    </row>
    <row r="1264" ht="15.75" customHeight="1">
      <c r="A1264" s="30"/>
      <c r="B1264" s="30"/>
      <c r="C1264" s="31"/>
      <c r="D1264" s="31"/>
      <c r="E1264" s="31"/>
      <c r="F1264" s="30"/>
      <c r="G1264" s="30"/>
      <c r="H1264" s="30"/>
      <c r="I1264" s="30"/>
      <c r="J1264" s="30"/>
      <c r="K1264" s="30"/>
      <c r="L1264" s="30"/>
      <c r="M1264" s="30"/>
      <c r="N1264" s="30"/>
      <c r="O1264" s="30"/>
      <c r="P1264" s="30"/>
      <c r="Q1264" s="30"/>
      <c r="R1264" s="30"/>
      <c r="S1264" s="30"/>
      <c r="T1264" s="30"/>
      <c r="U1264" s="30"/>
      <c r="V1264" s="30"/>
      <c r="W1264" s="30"/>
      <c r="X1264" s="30"/>
      <c r="Y1264" s="30"/>
      <c r="Z1264" s="30"/>
      <c r="AA1264" s="30"/>
      <c r="AB1264" s="30"/>
      <c r="AC1264" s="30"/>
      <c r="AD1264" s="30"/>
      <c r="AE1264" s="30"/>
      <c r="AF1264" s="30"/>
      <c r="AG1264" s="30"/>
      <c r="AH1264" s="30"/>
      <c r="AI1264" s="30"/>
      <c r="AJ1264" s="30"/>
      <c r="AK1264" s="30"/>
      <c r="AL1264" s="30"/>
      <c r="AM1264" s="30"/>
      <c r="AN1264" s="30"/>
      <c r="AO1264" s="30"/>
      <c r="AP1264" s="30"/>
      <c r="AQ1264" s="30"/>
      <c r="AR1264" s="30"/>
      <c r="AS1264" s="30"/>
      <c r="AT1264" s="30"/>
      <c r="AU1264" s="30"/>
      <c r="AV1264" s="30"/>
      <c r="AW1264" s="30"/>
      <c r="AX1264" s="30"/>
    </row>
    <row r="1265" ht="15.75" customHeight="1">
      <c r="A1265" s="30"/>
      <c r="B1265" s="30"/>
      <c r="C1265" s="31"/>
      <c r="D1265" s="31"/>
      <c r="E1265" s="31"/>
      <c r="F1265" s="30"/>
      <c r="G1265" s="30"/>
      <c r="H1265" s="30"/>
      <c r="I1265" s="30"/>
      <c r="J1265" s="30"/>
      <c r="K1265" s="30"/>
      <c r="L1265" s="30"/>
      <c r="M1265" s="30"/>
      <c r="N1265" s="30"/>
      <c r="O1265" s="30"/>
      <c r="P1265" s="30"/>
      <c r="Q1265" s="30"/>
      <c r="R1265" s="30"/>
      <c r="S1265" s="30"/>
      <c r="T1265" s="30"/>
      <c r="U1265" s="30"/>
      <c r="V1265" s="30"/>
      <c r="W1265" s="30"/>
      <c r="X1265" s="30"/>
      <c r="Y1265" s="30"/>
      <c r="Z1265" s="30"/>
      <c r="AA1265" s="30"/>
      <c r="AB1265" s="30"/>
      <c r="AC1265" s="30"/>
      <c r="AD1265" s="30"/>
      <c r="AE1265" s="30"/>
      <c r="AF1265" s="30"/>
      <c r="AG1265" s="30"/>
      <c r="AH1265" s="30"/>
      <c r="AI1265" s="30"/>
      <c r="AJ1265" s="30"/>
      <c r="AK1265" s="30"/>
      <c r="AL1265" s="30"/>
      <c r="AM1265" s="30"/>
      <c r="AN1265" s="30"/>
      <c r="AO1265" s="30"/>
      <c r="AP1265" s="30"/>
      <c r="AQ1265" s="30"/>
      <c r="AR1265" s="30"/>
      <c r="AS1265" s="30"/>
      <c r="AT1265" s="30"/>
      <c r="AU1265" s="30"/>
      <c r="AV1265" s="30"/>
      <c r="AW1265" s="30"/>
      <c r="AX1265" s="30"/>
    </row>
    <row r="1266" ht="15.75" customHeight="1">
      <c r="A1266" s="30"/>
      <c r="B1266" s="30"/>
      <c r="C1266" s="31"/>
      <c r="D1266" s="31"/>
      <c r="E1266" s="31"/>
      <c r="F1266" s="30"/>
      <c r="G1266" s="30"/>
      <c r="H1266" s="30"/>
      <c r="I1266" s="30"/>
      <c r="J1266" s="30"/>
      <c r="K1266" s="30"/>
      <c r="L1266" s="30"/>
      <c r="M1266" s="30"/>
      <c r="N1266" s="30"/>
      <c r="O1266" s="30"/>
      <c r="P1266" s="30"/>
      <c r="Q1266" s="30"/>
      <c r="R1266" s="30"/>
      <c r="S1266" s="30"/>
      <c r="T1266" s="30"/>
      <c r="U1266" s="30"/>
      <c r="V1266" s="30"/>
      <c r="W1266" s="30"/>
      <c r="X1266" s="30"/>
      <c r="Y1266" s="30"/>
      <c r="Z1266" s="30"/>
      <c r="AA1266" s="30"/>
      <c r="AB1266" s="30"/>
      <c r="AC1266" s="30"/>
      <c r="AD1266" s="30"/>
      <c r="AE1266" s="30"/>
      <c r="AF1266" s="30"/>
      <c r="AG1266" s="30"/>
      <c r="AH1266" s="30"/>
      <c r="AI1266" s="30"/>
      <c r="AJ1266" s="30"/>
      <c r="AK1266" s="30"/>
      <c r="AL1266" s="30"/>
      <c r="AM1266" s="30"/>
      <c r="AN1266" s="30"/>
      <c r="AO1266" s="30"/>
      <c r="AP1266" s="30"/>
      <c r="AQ1266" s="30"/>
      <c r="AR1266" s="30"/>
      <c r="AS1266" s="30"/>
      <c r="AT1266" s="30"/>
      <c r="AU1266" s="30"/>
      <c r="AV1266" s="30"/>
      <c r="AW1266" s="30"/>
      <c r="AX1266" s="30"/>
    </row>
    <row r="1267" ht="15.75" customHeight="1">
      <c r="A1267" s="30"/>
      <c r="B1267" s="30"/>
      <c r="C1267" s="31"/>
      <c r="D1267" s="31"/>
      <c r="E1267" s="31"/>
      <c r="F1267" s="30"/>
      <c r="G1267" s="30"/>
      <c r="H1267" s="30"/>
      <c r="I1267" s="30"/>
      <c r="J1267" s="30"/>
      <c r="K1267" s="30"/>
      <c r="L1267" s="30"/>
      <c r="M1267" s="30"/>
      <c r="N1267" s="30"/>
      <c r="O1267" s="30"/>
      <c r="P1267" s="30"/>
      <c r="Q1267" s="30"/>
      <c r="R1267" s="30"/>
      <c r="S1267" s="30"/>
      <c r="T1267" s="30"/>
      <c r="U1267" s="30"/>
      <c r="V1267" s="30"/>
      <c r="W1267" s="30"/>
      <c r="X1267" s="30"/>
      <c r="Y1267" s="30"/>
      <c r="Z1267" s="30"/>
      <c r="AA1267" s="30"/>
      <c r="AB1267" s="30"/>
      <c r="AC1267" s="30"/>
      <c r="AD1267" s="30"/>
      <c r="AE1267" s="30"/>
      <c r="AF1267" s="30"/>
      <c r="AG1267" s="30"/>
      <c r="AH1267" s="30"/>
      <c r="AI1267" s="30"/>
      <c r="AJ1267" s="30"/>
      <c r="AK1267" s="30"/>
      <c r="AL1267" s="30"/>
      <c r="AM1267" s="30"/>
      <c r="AN1267" s="30"/>
      <c r="AO1267" s="30"/>
      <c r="AP1267" s="30"/>
      <c r="AQ1267" s="30"/>
      <c r="AR1267" s="30"/>
      <c r="AS1267" s="30"/>
      <c r="AT1267" s="30"/>
      <c r="AU1267" s="30"/>
      <c r="AV1267" s="30"/>
      <c r="AW1267" s="30"/>
      <c r="AX1267" s="30"/>
    </row>
    <row r="1268" ht="15.75" customHeight="1">
      <c r="A1268" s="30"/>
      <c r="B1268" s="30"/>
      <c r="C1268" s="31"/>
      <c r="D1268" s="31"/>
      <c r="E1268" s="31"/>
      <c r="F1268" s="30"/>
      <c r="G1268" s="30"/>
      <c r="H1268" s="30"/>
      <c r="I1268" s="30"/>
      <c r="J1268" s="30"/>
      <c r="K1268" s="30"/>
      <c r="L1268" s="30"/>
      <c r="M1268" s="30"/>
      <c r="N1268" s="30"/>
      <c r="O1268" s="30"/>
      <c r="P1268" s="30"/>
      <c r="Q1268" s="30"/>
      <c r="R1268" s="30"/>
      <c r="S1268" s="30"/>
      <c r="T1268" s="30"/>
      <c r="U1268" s="30"/>
      <c r="V1268" s="30"/>
      <c r="W1268" s="30"/>
      <c r="X1268" s="30"/>
      <c r="Y1268" s="30"/>
      <c r="Z1268" s="30"/>
      <c r="AA1268" s="30"/>
      <c r="AB1268" s="30"/>
      <c r="AC1268" s="30"/>
      <c r="AD1268" s="30"/>
      <c r="AE1268" s="30"/>
      <c r="AF1268" s="30"/>
      <c r="AG1268" s="30"/>
      <c r="AH1268" s="30"/>
      <c r="AI1268" s="30"/>
      <c r="AJ1268" s="30"/>
      <c r="AK1268" s="30"/>
      <c r="AL1268" s="30"/>
      <c r="AM1268" s="30"/>
      <c r="AN1268" s="30"/>
      <c r="AO1268" s="30"/>
      <c r="AP1268" s="30"/>
      <c r="AQ1268" s="30"/>
      <c r="AR1268" s="30"/>
      <c r="AS1268" s="30"/>
      <c r="AT1268" s="30"/>
      <c r="AU1268" s="30"/>
      <c r="AV1268" s="30"/>
      <c r="AW1268" s="30"/>
      <c r="AX1268" s="30"/>
    </row>
    <row r="1269" ht="15.75" customHeight="1">
      <c r="A1269" s="30"/>
      <c r="B1269" s="30"/>
      <c r="C1269" s="31"/>
      <c r="D1269" s="31"/>
      <c r="E1269" s="31"/>
      <c r="F1269" s="30"/>
      <c r="G1269" s="30"/>
      <c r="H1269" s="30"/>
      <c r="I1269" s="30"/>
      <c r="J1269" s="30"/>
      <c r="K1269" s="30"/>
      <c r="L1269" s="30"/>
      <c r="M1269" s="30"/>
      <c r="N1269" s="30"/>
      <c r="O1269" s="30"/>
      <c r="P1269" s="30"/>
      <c r="Q1269" s="30"/>
      <c r="R1269" s="30"/>
      <c r="S1269" s="30"/>
      <c r="T1269" s="30"/>
      <c r="U1269" s="30"/>
      <c r="V1269" s="30"/>
      <c r="W1269" s="30"/>
      <c r="X1269" s="30"/>
      <c r="Y1269" s="30"/>
      <c r="Z1269" s="30"/>
      <c r="AA1269" s="30"/>
      <c r="AB1269" s="30"/>
      <c r="AC1269" s="30"/>
      <c r="AD1269" s="30"/>
      <c r="AE1269" s="30"/>
      <c r="AF1269" s="30"/>
      <c r="AG1269" s="30"/>
      <c r="AH1269" s="30"/>
      <c r="AI1269" s="30"/>
      <c r="AJ1269" s="30"/>
      <c r="AK1269" s="30"/>
      <c r="AL1269" s="30"/>
      <c r="AM1269" s="30"/>
      <c r="AN1269" s="30"/>
      <c r="AO1269" s="30"/>
      <c r="AP1269" s="30"/>
      <c r="AQ1269" s="30"/>
      <c r="AR1269" s="30"/>
      <c r="AS1269" s="30"/>
      <c r="AT1269" s="30"/>
      <c r="AU1269" s="30"/>
      <c r="AV1269" s="30"/>
      <c r="AW1269" s="30"/>
      <c r="AX1269" s="30"/>
    </row>
    <row r="1270" ht="15.75" customHeight="1">
      <c r="A1270" s="30"/>
      <c r="B1270" s="30"/>
      <c r="C1270" s="31"/>
      <c r="D1270" s="31"/>
      <c r="E1270" s="31"/>
      <c r="F1270" s="30"/>
      <c r="G1270" s="30"/>
      <c r="H1270" s="30"/>
      <c r="I1270" s="30"/>
      <c r="J1270" s="30"/>
      <c r="K1270" s="30"/>
      <c r="L1270" s="30"/>
      <c r="M1270" s="30"/>
      <c r="N1270" s="30"/>
      <c r="O1270" s="30"/>
      <c r="P1270" s="30"/>
      <c r="Q1270" s="30"/>
      <c r="R1270" s="30"/>
      <c r="S1270" s="30"/>
      <c r="T1270" s="30"/>
      <c r="U1270" s="30"/>
      <c r="V1270" s="30"/>
      <c r="W1270" s="30"/>
      <c r="X1270" s="30"/>
      <c r="Y1270" s="30"/>
      <c r="Z1270" s="30"/>
      <c r="AA1270" s="30"/>
      <c r="AB1270" s="30"/>
      <c r="AC1270" s="30"/>
      <c r="AD1270" s="30"/>
      <c r="AE1270" s="30"/>
      <c r="AF1270" s="30"/>
      <c r="AG1270" s="30"/>
      <c r="AH1270" s="30"/>
      <c r="AI1270" s="30"/>
      <c r="AJ1270" s="30"/>
      <c r="AK1270" s="30"/>
      <c r="AL1270" s="30"/>
      <c r="AM1270" s="30"/>
      <c r="AN1270" s="30"/>
      <c r="AO1270" s="30"/>
      <c r="AP1270" s="30"/>
      <c r="AQ1270" s="30"/>
      <c r="AR1270" s="30"/>
      <c r="AS1270" s="30"/>
      <c r="AT1270" s="30"/>
      <c r="AU1270" s="30"/>
      <c r="AV1270" s="30"/>
      <c r="AW1270" s="30"/>
      <c r="AX1270" s="30"/>
    </row>
    <row r="1271" ht="15.75" customHeight="1">
      <c r="A1271" s="30"/>
      <c r="B1271" s="30"/>
      <c r="C1271" s="31"/>
      <c r="D1271" s="31"/>
      <c r="E1271" s="31"/>
      <c r="F1271" s="30"/>
      <c r="G1271" s="30"/>
      <c r="H1271" s="30"/>
      <c r="I1271" s="30"/>
      <c r="J1271" s="30"/>
      <c r="K1271" s="30"/>
      <c r="L1271" s="30"/>
      <c r="M1271" s="30"/>
      <c r="N1271" s="30"/>
      <c r="O1271" s="30"/>
      <c r="P1271" s="30"/>
      <c r="Q1271" s="30"/>
      <c r="R1271" s="30"/>
      <c r="S1271" s="30"/>
      <c r="T1271" s="30"/>
      <c r="U1271" s="30"/>
      <c r="V1271" s="30"/>
      <c r="W1271" s="30"/>
      <c r="X1271" s="30"/>
      <c r="Y1271" s="30"/>
      <c r="Z1271" s="30"/>
      <c r="AA1271" s="30"/>
      <c r="AB1271" s="30"/>
      <c r="AC1271" s="30"/>
      <c r="AD1271" s="30"/>
      <c r="AE1271" s="30"/>
      <c r="AF1271" s="30"/>
      <c r="AG1271" s="30"/>
      <c r="AH1271" s="30"/>
      <c r="AI1271" s="30"/>
      <c r="AJ1271" s="30"/>
      <c r="AK1271" s="30"/>
      <c r="AL1271" s="30"/>
      <c r="AM1271" s="30"/>
      <c r="AN1271" s="30"/>
      <c r="AO1271" s="30"/>
      <c r="AP1271" s="30"/>
      <c r="AQ1271" s="30"/>
      <c r="AR1271" s="30"/>
      <c r="AS1271" s="30"/>
      <c r="AT1271" s="30"/>
      <c r="AU1271" s="30"/>
      <c r="AV1271" s="30"/>
      <c r="AW1271" s="30"/>
      <c r="AX1271" s="30"/>
    </row>
    <row r="1272" ht="15.75" customHeight="1">
      <c r="A1272" s="30"/>
      <c r="B1272" s="30"/>
      <c r="C1272" s="31"/>
      <c r="D1272" s="31"/>
      <c r="E1272" s="31"/>
      <c r="F1272" s="30"/>
      <c r="G1272" s="30"/>
      <c r="H1272" s="30"/>
      <c r="I1272" s="30"/>
      <c r="J1272" s="30"/>
      <c r="K1272" s="30"/>
      <c r="L1272" s="30"/>
      <c r="M1272" s="30"/>
      <c r="N1272" s="30"/>
      <c r="O1272" s="30"/>
      <c r="P1272" s="30"/>
      <c r="Q1272" s="30"/>
      <c r="R1272" s="30"/>
      <c r="S1272" s="30"/>
      <c r="T1272" s="30"/>
      <c r="U1272" s="30"/>
      <c r="V1272" s="30"/>
      <c r="W1272" s="30"/>
      <c r="X1272" s="30"/>
      <c r="Y1272" s="30"/>
      <c r="Z1272" s="30"/>
      <c r="AA1272" s="30"/>
      <c r="AB1272" s="30"/>
      <c r="AC1272" s="30"/>
      <c r="AD1272" s="30"/>
      <c r="AE1272" s="30"/>
      <c r="AF1272" s="30"/>
      <c r="AG1272" s="30"/>
      <c r="AH1272" s="30"/>
      <c r="AI1272" s="30"/>
      <c r="AJ1272" s="30"/>
      <c r="AK1272" s="30"/>
      <c r="AL1272" s="30"/>
      <c r="AM1272" s="30"/>
      <c r="AN1272" s="30"/>
      <c r="AO1272" s="30"/>
      <c r="AP1272" s="30"/>
      <c r="AQ1272" s="30"/>
      <c r="AR1272" s="30"/>
      <c r="AS1272" s="30"/>
      <c r="AT1272" s="30"/>
      <c r="AU1272" s="30"/>
      <c r="AV1272" s="30"/>
      <c r="AW1272" s="30"/>
      <c r="AX1272" s="30"/>
    </row>
    <row r="1273" ht="15.75" customHeight="1">
      <c r="A1273" s="30"/>
      <c r="B1273" s="30"/>
      <c r="C1273" s="31"/>
      <c r="D1273" s="31"/>
      <c r="E1273" s="31"/>
      <c r="F1273" s="30"/>
      <c r="G1273" s="30"/>
      <c r="H1273" s="30"/>
      <c r="I1273" s="30"/>
      <c r="J1273" s="30"/>
      <c r="K1273" s="30"/>
      <c r="L1273" s="30"/>
      <c r="M1273" s="30"/>
      <c r="N1273" s="30"/>
      <c r="O1273" s="30"/>
      <c r="P1273" s="30"/>
      <c r="Q1273" s="30"/>
      <c r="R1273" s="30"/>
      <c r="S1273" s="30"/>
      <c r="T1273" s="30"/>
      <c r="U1273" s="30"/>
      <c r="V1273" s="30"/>
      <c r="W1273" s="30"/>
      <c r="X1273" s="30"/>
      <c r="Y1273" s="30"/>
      <c r="Z1273" s="30"/>
      <c r="AA1273" s="30"/>
      <c r="AB1273" s="30"/>
      <c r="AC1273" s="30"/>
      <c r="AD1273" s="30"/>
      <c r="AE1273" s="30"/>
      <c r="AF1273" s="30"/>
      <c r="AG1273" s="30"/>
      <c r="AH1273" s="30"/>
      <c r="AI1273" s="30"/>
      <c r="AJ1273" s="30"/>
      <c r="AK1273" s="30"/>
      <c r="AL1273" s="30"/>
      <c r="AM1273" s="30"/>
      <c r="AN1273" s="30"/>
      <c r="AO1273" s="30"/>
      <c r="AP1273" s="30"/>
      <c r="AQ1273" s="30"/>
      <c r="AR1273" s="30"/>
      <c r="AS1273" s="30"/>
      <c r="AT1273" s="30"/>
      <c r="AU1273" s="30"/>
      <c r="AV1273" s="30"/>
      <c r="AW1273" s="30"/>
      <c r="AX1273" s="30"/>
    </row>
    <row r="1274" ht="15.75" customHeight="1">
      <c r="A1274" s="30"/>
      <c r="B1274" s="30"/>
      <c r="C1274" s="31"/>
      <c r="D1274" s="31"/>
      <c r="E1274" s="31"/>
      <c r="F1274" s="30"/>
      <c r="G1274" s="30"/>
      <c r="H1274" s="30"/>
      <c r="I1274" s="30"/>
      <c r="J1274" s="30"/>
      <c r="K1274" s="30"/>
      <c r="L1274" s="30"/>
      <c r="M1274" s="30"/>
      <c r="N1274" s="30"/>
      <c r="O1274" s="30"/>
      <c r="P1274" s="30"/>
      <c r="Q1274" s="30"/>
      <c r="R1274" s="30"/>
      <c r="S1274" s="30"/>
      <c r="T1274" s="30"/>
      <c r="U1274" s="30"/>
      <c r="V1274" s="30"/>
      <c r="W1274" s="30"/>
      <c r="X1274" s="30"/>
      <c r="Y1274" s="30"/>
      <c r="Z1274" s="30"/>
      <c r="AA1274" s="30"/>
      <c r="AB1274" s="30"/>
      <c r="AC1274" s="30"/>
      <c r="AD1274" s="30"/>
      <c r="AE1274" s="30"/>
      <c r="AF1274" s="30"/>
      <c r="AG1274" s="30"/>
      <c r="AH1274" s="30"/>
      <c r="AI1274" s="30"/>
      <c r="AJ1274" s="30"/>
      <c r="AK1274" s="30"/>
      <c r="AL1274" s="30"/>
      <c r="AM1274" s="30"/>
      <c r="AN1274" s="30"/>
      <c r="AO1274" s="30"/>
      <c r="AP1274" s="30"/>
      <c r="AQ1274" s="30"/>
      <c r="AR1274" s="30"/>
      <c r="AS1274" s="30"/>
      <c r="AT1274" s="30"/>
      <c r="AU1274" s="30"/>
      <c r="AV1274" s="30"/>
      <c r="AW1274" s="30"/>
      <c r="AX1274" s="30"/>
    </row>
    <row r="1275" ht="15.75" customHeight="1">
      <c r="A1275" s="30"/>
      <c r="B1275" s="30"/>
      <c r="C1275" s="31"/>
      <c r="D1275" s="31"/>
      <c r="E1275" s="31"/>
      <c r="F1275" s="30"/>
      <c r="G1275" s="30"/>
      <c r="H1275" s="30"/>
      <c r="I1275" s="30"/>
      <c r="J1275" s="30"/>
      <c r="K1275" s="30"/>
      <c r="L1275" s="30"/>
      <c r="M1275" s="30"/>
      <c r="N1275" s="30"/>
      <c r="O1275" s="30"/>
      <c r="P1275" s="30"/>
      <c r="Q1275" s="30"/>
      <c r="R1275" s="30"/>
      <c r="S1275" s="30"/>
      <c r="T1275" s="30"/>
      <c r="U1275" s="30"/>
      <c r="V1275" s="30"/>
      <c r="W1275" s="30"/>
      <c r="X1275" s="30"/>
      <c r="Y1275" s="30"/>
      <c r="Z1275" s="30"/>
      <c r="AA1275" s="30"/>
      <c r="AB1275" s="30"/>
      <c r="AC1275" s="30"/>
      <c r="AD1275" s="30"/>
      <c r="AE1275" s="30"/>
      <c r="AF1275" s="30"/>
      <c r="AG1275" s="30"/>
      <c r="AH1275" s="30"/>
      <c r="AI1275" s="30"/>
      <c r="AJ1275" s="30"/>
      <c r="AK1275" s="30"/>
      <c r="AL1275" s="30"/>
      <c r="AM1275" s="30"/>
      <c r="AN1275" s="30"/>
      <c r="AO1275" s="30"/>
      <c r="AP1275" s="30"/>
      <c r="AQ1275" s="30"/>
      <c r="AR1275" s="30"/>
      <c r="AS1275" s="30"/>
      <c r="AT1275" s="30"/>
      <c r="AU1275" s="30"/>
      <c r="AV1275" s="30"/>
      <c r="AW1275" s="30"/>
      <c r="AX1275" s="30"/>
    </row>
    <row r="1276" ht="15.75" customHeight="1">
      <c r="A1276" s="30"/>
      <c r="B1276" s="30"/>
      <c r="C1276" s="31"/>
      <c r="D1276" s="31"/>
      <c r="E1276" s="31"/>
      <c r="F1276" s="30"/>
      <c r="G1276" s="30"/>
      <c r="H1276" s="30"/>
      <c r="I1276" s="30"/>
      <c r="J1276" s="30"/>
      <c r="K1276" s="30"/>
      <c r="L1276" s="30"/>
      <c r="M1276" s="30"/>
      <c r="N1276" s="30"/>
      <c r="O1276" s="30"/>
      <c r="P1276" s="30"/>
      <c r="Q1276" s="30"/>
      <c r="R1276" s="30"/>
      <c r="S1276" s="30"/>
      <c r="T1276" s="30"/>
      <c r="U1276" s="30"/>
      <c r="V1276" s="30"/>
      <c r="W1276" s="30"/>
      <c r="X1276" s="30"/>
      <c r="Y1276" s="30"/>
      <c r="Z1276" s="30"/>
      <c r="AA1276" s="30"/>
      <c r="AB1276" s="30"/>
      <c r="AC1276" s="30"/>
      <c r="AD1276" s="30"/>
      <c r="AE1276" s="30"/>
      <c r="AF1276" s="30"/>
      <c r="AG1276" s="30"/>
      <c r="AH1276" s="30"/>
      <c r="AI1276" s="30"/>
      <c r="AJ1276" s="30"/>
      <c r="AK1276" s="30"/>
      <c r="AL1276" s="30"/>
      <c r="AM1276" s="30"/>
      <c r="AN1276" s="30"/>
      <c r="AO1276" s="30"/>
      <c r="AP1276" s="30"/>
      <c r="AQ1276" s="30"/>
      <c r="AR1276" s="30"/>
      <c r="AS1276" s="30"/>
      <c r="AT1276" s="30"/>
      <c r="AU1276" s="30"/>
      <c r="AV1276" s="30"/>
      <c r="AW1276" s="30"/>
      <c r="AX1276" s="30"/>
    </row>
    <row r="1277" ht="15.75" customHeight="1">
      <c r="A1277" s="30"/>
      <c r="B1277" s="30"/>
      <c r="C1277" s="31"/>
      <c r="D1277" s="31"/>
      <c r="E1277" s="31"/>
      <c r="F1277" s="30"/>
      <c r="G1277" s="30"/>
      <c r="H1277" s="30"/>
      <c r="I1277" s="30"/>
      <c r="J1277" s="30"/>
      <c r="K1277" s="30"/>
      <c r="L1277" s="30"/>
      <c r="M1277" s="30"/>
      <c r="N1277" s="30"/>
      <c r="O1277" s="30"/>
      <c r="P1277" s="30"/>
      <c r="Q1277" s="30"/>
      <c r="R1277" s="30"/>
      <c r="S1277" s="30"/>
      <c r="T1277" s="30"/>
      <c r="U1277" s="30"/>
      <c r="V1277" s="30"/>
      <c r="W1277" s="30"/>
      <c r="X1277" s="30"/>
      <c r="Y1277" s="30"/>
      <c r="Z1277" s="30"/>
      <c r="AA1277" s="30"/>
      <c r="AB1277" s="30"/>
      <c r="AC1277" s="30"/>
      <c r="AD1277" s="30"/>
      <c r="AE1277" s="30"/>
      <c r="AF1277" s="30"/>
      <c r="AG1277" s="30"/>
      <c r="AH1277" s="30"/>
      <c r="AI1277" s="30"/>
      <c r="AJ1277" s="30"/>
      <c r="AK1277" s="30"/>
      <c r="AL1277" s="30"/>
      <c r="AM1277" s="30"/>
      <c r="AN1277" s="30"/>
      <c r="AO1277" s="30"/>
      <c r="AP1277" s="30"/>
      <c r="AQ1277" s="30"/>
      <c r="AR1277" s="30"/>
      <c r="AS1277" s="30"/>
      <c r="AT1277" s="30"/>
      <c r="AU1277" s="30"/>
      <c r="AV1277" s="30"/>
      <c r="AW1277" s="30"/>
      <c r="AX1277" s="30"/>
    </row>
    <row r="1278" ht="15.75" customHeight="1">
      <c r="A1278" s="30"/>
      <c r="B1278" s="30"/>
      <c r="C1278" s="31"/>
      <c r="D1278" s="31"/>
      <c r="E1278" s="31"/>
      <c r="F1278" s="30"/>
      <c r="G1278" s="30"/>
      <c r="H1278" s="30"/>
      <c r="I1278" s="30"/>
      <c r="J1278" s="30"/>
      <c r="K1278" s="30"/>
      <c r="L1278" s="30"/>
      <c r="M1278" s="30"/>
      <c r="N1278" s="30"/>
      <c r="O1278" s="30"/>
      <c r="P1278" s="30"/>
      <c r="Q1278" s="30"/>
      <c r="R1278" s="30"/>
      <c r="S1278" s="30"/>
      <c r="T1278" s="30"/>
      <c r="U1278" s="30"/>
      <c r="V1278" s="30"/>
      <c r="W1278" s="30"/>
      <c r="X1278" s="30"/>
      <c r="Y1278" s="30"/>
      <c r="Z1278" s="30"/>
      <c r="AA1278" s="30"/>
      <c r="AB1278" s="30"/>
      <c r="AC1278" s="30"/>
      <c r="AD1278" s="30"/>
      <c r="AE1278" s="30"/>
      <c r="AF1278" s="30"/>
      <c r="AG1278" s="30"/>
      <c r="AH1278" s="30"/>
      <c r="AI1278" s="30"/>
      <c r="AJ1278" s="30"/>
      <c r="AK1278" s="30"/>
      <c r="AL1278" s="30"/>
      <c r="AM1278" s="30"/>
      <c r="AN1278" s="30"/>
      <c r="AO1278" s="30"/>
      <c r="AP1278" s="30"/>
      <c r="AQ1278" s="30"/>
      <c r="AR1278" s="30"/>
      <c r="AS1278" s="30"/>
      <c r="AT1278" s="30"/>
      <c r="AU1278" s="30"/>
      <c r="AV1278" s="30"/>
      <c r="AW1278" s="30"/>
      <c r="AX1278" s="30"/>
    </row>
    <row r="1279" ht="15.75" customHeight="1">
      <c r="A1279" s="30"/>
      <c r="B1279" s="30"/>
      <c r="C1279" s="31"/>
      <c r="D1279" s="31"/>
      <c r="E1279" s="31"/>
      <c r="F1279" s="30"/>
      <c r="G1279" s="30"/>
      <c r="H1279" s="30"/>
      <c r="I1279" s="30"/>
      <c r="J1279" s="30"/>
      <c r="K1279" s="30"/>
      <c r="L1279" s="30"/>
      <c r="M1279" s="30"/>
      <c r="N1279" s="30"/>
      <c r="O1279" s="30"/>
      <c r="P1279" s="30"/>
      <c r="Q1279" s="30"/>
      <c r="R1279" s="30"/>
      <c r="S1279" s="30"/>
      <c r="T1279" s="30"/>
      <c r="U1279" s="30"/>
      <c r="V1279" s="30"/>
      <c r="W1279" s="30"/>
      <c r="X1279" s="30"/>
      <c r="Y1279" s="30"/>
      <c r="Z1279" s="30"/>
      <c r="AA1279" s="30"/>
      <c r="AB1279" s="30"/>
      <c r="AC1279" s="30"/>
      <c r="AD1279" s="30"/>
      <c r="AE1279" s="30"/>
      <c r="AF1279" s="30"/>
      <c r="AG1279" s="30"/>
      <c r="AH1279" s="30"/>
      <c r="AI1279" s="30"/>
      <c r="AJ1279" s="30"/>
      <c r="AK1279" s="30"/>
      <c r="AL1279" s="30"/>
      <c r="AM1279" s="30"/>
      <c r="AN1279" s="30"/>
      <c r="AO1279" s="30"/>
      <c r="AP1279" s="30"/>
      <c r="AQ1279" s="30"/>
      <c r="AR1279" s="30"/>
      <c r="AS1279" s="30"/>
      <c r="AT1279" s="30"/>
      <c r="AU1279" s="30"/>
      <c r="AV1279" s="30"/>
      <c r="AW1279" s="30"/>
      <c r="AX1279" s="30"/>
    </row>
    <row r="1280" ht="15.75" customHeight="1">
      <c r="A1280" s="30"/>
      <c r="B1280" s="30"/>
      <c r="C1280" s="31"/>
      <c r="D1280" s="31"/>
      <c r="E1280" s="31"/>
      <c r="F1280" s="30"/>
      <c r="G1280" s="30"/>
      <c r="H1280" s="30"/>
      <c r="I1280" s="30"/>
      <c r="J1280" s="30"/>
      <c r="K1280" s="30"/>
      <c r="L1280" s="30"/>
      <c r="M1280" s="30"/>
      <c r="N1280" s="30"/>
      <c r="O1280" s="30"/>
      <c r="P1280" s="30"/>
      <c r="Q1280" s="30"/>
      <c r="R1280" s="30"/>
      <c r="S1280" s="30"/>
      <c r="T1280" s="30"/>
      <c r="U1280" s="30"/>
      <c r="V1280" s="30"/>
      <c r="W1280" s="30"/>
      <c r="X1280" s="30"/>
      <c r="Y1280" s="30"/>
      <c r="Z1280" s="30"/>
      <c r="AA1280" s="30"/>
      <c r="AB1280" s="30"/>
      <c r="AC1280" s="30"/>
      <c r="AD1280" s="30"/>
      <c r="AE1280" s="30"/>
      <c r="AF1280" s="30"/>
      <c r="AG1280" s="30"/>
      <c r="AH1280" s="30"/>
      <c r="AI1280" s="30"/>
      <c r="AJ1280" s="30"/>
      <c r="AK1280" s="30"/>
      <c r="AL1280" s="30"/>
      <c r="AM1280" s="30"/>
      <c r="AN1280" s="30"/>
      <c r="AO1280" s="30"/>
      <c r="AP1280" s="30"/>
      <c r="AQ1280" s="30"/>
      <c r="AR1280" s="30"/>
      <c r="AS1280" s="30"/>
      <c r="AT1280" s="30"/>
      <c r="AU1280" s="30"/>
      <c r="AV1280" s="30"/>
      <c r="AW1280" s="30"/>
      <c r="AX1280" s="30"/>
    </row>
    <row r="1281" ht="15.75" customHeight="1">
      <c r="A1281" s="30"/>
      <c r="B1281" s="30"/>
      <c r="C1281" s="31"/>
      <c r="D1281" s="31"/>
      <c r="E1281" s="31"/>
      <c r="F1281" s="30"/>
      <c r="G1281" s="30"/>
      <c r="H1281" s="30"/>
      <c r="I1281" s="30"/>
      <c r="J1281" s="30"/>
      <c r="K1281" s="30"/>
      <c r="L1281" s="30"/>
      <c r="M1281" s="30"/>
      <c r="N1281" s="30"/>
      <c r="O1281" s="30"/>
      <c r="P1281" s="30"/>
      <c r="Q1281" s="30"/>
      <c r="R1281" s="30"/>
      <c r="S1281" s="30"/>
      <c r="T1281" s="30"/>
      <c r="U1281" s="30"/>
      <c r="V1281" s="30"/>
      <c r="W1281" s="30"/>
      <c r="X1281" s="30"/>
      <c r="Y1281" s="30"/>
      <c r="Z1281" s="30"/>
      <c r="AA1281" s="30"/>
      <c r="AB1281" s="30"/>
      <c r="AC1281" s="30"/>
      <c r="AD1281" s="30"/>
      <c r="AE1281" s="30"/>
      <c r="AF1281" s="30"/>
      <c r="AG1281" s="30"/>
      <c r="AH1281" s="30"/>
      <c r="AI1281" s="30"/>
      <c r="AJ1281" s="30"/>
      <c r="AK1281" s="30"/>
      <c r="AL1281" s="30"/>
      <c r="AM1281" s="30"/>
      <c r="AN1281" s="30"/>
      <c r="AO1281" s="30"/>
      <c r="AP1281" s="30"/>
      <c r="AQ1281" s="30"/>
      <c r="AR1281" s="30"/>
      <c r="AS1281" s="30"/>
      <c r="AT1281" s="30"/>
      <c r="AU1281" s="30"/>
      <c r="AV1281" s="30"/>
      <c r="AW1281" s="30"/>
      <c r="AX1281" s="30"/>
    </row>
    <row r="1282" ht="15.75" customHeight="1">
      <c r="A1282" s="30"/>
      <c r="B1282" s="30"/>
      <c r="C1282" s="31"/>
      <c r="D1282" s="31"/>
      <c r="E1282" s="31"/>
      <c r="F1282" s="30"/>
      <c r="G1282" s="30"/>
      <c r="H1282" s="30"/>
      <c r="I1282" s="30"/>
      <c r="J1282" s="30"/>
      <c r="K1282" s="30"/>
      <c r="L1282" s="30"/>
      <c r="M1282" s="30"/>
      <c r="N1282" s="30"/>
      <c r="O1282" s="30"/>
      <c r="P1282" s="30"/>
      <c r="Q1282" s="30"/>
      <c r="R1282" s="30"/>
      <c r="S1282" s="30"/>
      <c r="T1282" s="30"/>
      <c r="U1282" s="30"/>
      <c r="V1282" s="30"/>
      <c r="W1282" s="30"/>
      <c r="X1282" s="30"/>
      <c r="Y1282" s="30"/>
      <c r="Z1282" s="30"/>
      <c r="AA1282" s="30"/>
      <c r="AB1282" s="30"/>
      <c r="AC1282" s="30"/>
      <c r="AD1282" s="30"/>
      <c r="AE1282" s="30"/>
      <c r="AF1282" s="30"/>
      <c r="AG1282" s="30"/>
      <c r="AH1282" s="30"/>
      <c r="AI1282" s="30"/>
      <c r="AJ1282" s="30"/>
      <c r="AK1282" s="30"/>
      <c r="AL1282" s="30"/>
      <c r="AM1282" s="30"/>
      <c r="AN1282" s="30"/>
      <c r="AO1282" s="30"/>
      <c r="AP1282" s="30"/>
      <c r="AQ1282" s="30"/>
      <c r="AR1282" s="30"/>
      <c r="AS1282" s="30"/>
      <c r="AT1282" s="30"/>
      <c r="AU1282" s="30"/>
      <c r="AV1282" s="30"/>
      <c r="AW1282" s="30"/>
      <c r="AX1282" s="30"/>
    </row>
    <row r="1283" ht="15.75" customHeight="1">
      <c r="A1283" s="30"/>
      <c r="B1283" s="30"/>
      <c r="C1283" s="31"/>
      <c r="D1283" s="31"/>
      <c r="E1283" s="31"/>
      <c r="F1283" s="30"/>
      <c r="G1283" s="30"/>
      <c r="H1283" s="30"/>
      <c r="I1283" s="30"/>
      <c r="J1283" s="30"/>
      <c r="K1283" s="30"/>
      <c r="L1283" s="30"/>
      <c r="M1283" s="30"/>
      <c r="N1283" s="30"/>
      <c r="O1283" s="30"/>
      <c r="P1283" s="30"/>
      <c r="Q1283" s="30"/>
      <c r="R1283" s="30"/>
      <c r="S1283" s="30"/>
      <c r="T1283" s="30"/>
      <c r="U1283" s="30"/>
      <c r="V1283" s="30"/>
      <c r="W1283" s="30"/>
      <c r="X1283" s="30"/>
      <c r="Y1283" s="30"/>
      <c r="Z1283" s="30"/>
      <c r="AA1283" s="30"/>
      <c r="AB1283" s="30"/>
      <c r="AC1283" s="30"/>
      <c r="AD1283" s="30"/>
      <c r="AE1283" s="30"/>
      <c r="AF1283" s="30"/>
      <c r="AG1283" s="30"/>
      <c r="AH1283" s="30"/>
      <c r="AI1283" s="30"/>
      <c r="AJ1283" s="30"/>
      <c r="AK1283" s="30"/>
      <c r="AL1283" s="30"/>
      <c r="AM1283" s="30"/>
      <c r="AN1283" s="30"/>
      <c r="AO1283" s="30"/>
      <c r="AP1283" s="30"/>
      <c r="AQ1283" s="30"/>
      <c r="AR1283" s="30"/>
      <c r="AS1283" s="30"/>
      <c r="AT1283" s="30"/>
      <c r="AU1283" s="30"/>
      <c r="AV1283" s="30"/>
      <c r="AW1283" s="30"/>
      <c r="AX1283" s="30"/>
    </row>
    <row r="1284" ht="15.75" customHeight="1">
      <c r="A1284" s="30"/>
      <c r="B1284" s="30"/>
      <c r="C1284" s="31"/>
      <c r="D1284" s="31"/>
      <c r="E1284" s="31"/>
      <c r="F1284" s="30"/>
      <c r="G1284" s="30"/>
      <c r="H1284" s="30"/>
      <c r="I1284" s="30"/>
      <c r="J1284" s="30"/>
      <c r="K1284" s="30"/>
      <c r="L1284" s="30"/>
      <c r="M1284" s="30"/>
      <c r="N1284" s="30"/>
      <c r="O1284" s="30"/>
      <c r="P1284" s="30"/>
      <c r="Q1284" s="30"/>
      <c r="R1284" s="30"/>
      <c r="S1284" s="30"/>
      <c r="T1284" s="30"/>
      <c r="U1284" s="30"/>
      <c r="V1284" s="30"/>
      <c r="W1284" s="30"/>
      <c r="X1284" s="30"/>
      <c r="Y1284" s="30"/>
      <c r="Z1284" s="30"/>
      <c r="AA1284" s="30"/>
      <c r="AB1284" s="30"/>
      <c r="AC1284" s="30"/>
      <c r="AD1284" s="30"/>
      <c r="AE1284" s="30"/>
      <c r="AF1284" s="30"/>
      <c r="AG1284" s="30"/>
      <c r="AH1284" s="30"/>
      <c r="AI1284" s="30"/>
      <c r="AJ1284" s="30"/>
      <c r="AK1284" s="30"/>
      <c r="AL1284" s="30"/>
      <c r="AM1284" s="30"/>
      <c r="AN1284" s="30"/>
      <c r="AO1284" s="30"/>
      <c r="AP1284" s="30"/>
      <c r="AQ1284" s="30"/>
      <c r="AR1284" s="30"/>
      <c r="AS1284" s="30"/>
      <c r="AT1284" s="30"/>
      <c r="AU1284" s="30"/>
      <c r="AV1284" s="30"/>
      <c r="AW1284" s="30"/>
      <c r="AX1284" s="30"/>
    </row>
    <row r="1285" ht="15.75" customHeight="1">
      <c r="A1285" s="30"/>
      <c r="B1285" s="30"/>
      <c r="C1285" s="31"/>
      <c r="D1285" s="31"/>
      <c r="E1285" s="31"/>
      <c r="F1285" s="30"/>
      <c r="G1285" s="30"/>
      <c r="H1285" s="30"/>
      <c r="I1285" s="30"/>
      <c r="J1285" s="30"/>
      <c r="K1285" s="30"/>
      <c r="L1285" s="30"/>
      <c r="M1285" s="30"/>
      <c r="N1285" s="30"/>
      <c r="O1285" s="30"/>
      <c r="P1285" s="30"/>
      <c r="Q1285" s="30"/>
      <c r="R1285" s="30"/>
      <c r="S1285" s="30"/>
      <c r="T1285" s="30"/>
      <c r="U1285" s="30"/>
      <c r="V1285" s="30"/>
      <c r="W1285" s="30"/>
      <c r="X1285" s="30"/>
      <c r="Y1285" s="30"/>
      <c r="Z1285" s="30"/>
      <c r="AA1285" s="30"/>
      <c r="AB1285" s="30"/>
      <c r="AC1285" s="30"/>
      <c r="AD1285" s="30"/>
      <c r="AE1285" s="30"/>
      <c r="AF1285" s="30"/>
      <c r="AG1285" s="30"/>
      <c r="AH1285" s="30"/>
      <c r="AI1285" s="30"/>
      <c r="AJ1285" s="30"/>
      <c r="AK1285" s="30"/>
      <c r="AL1285" s="30"/>
      <c r="AM1285" s="30"/>
      <c r="AN1285" s="30"/>
      <c r="AO1285" s="30"/>
      <c r="AP1285" s="30"/>
      <c r="AQ1285" s="30"/>
      <c r="AR1285" s="30"/>
      <c r="AS1285" s="30"/>
      <c r="AT1285" s="30"/>
      <c r="AU1285" s="30"/>
      <c r="AV1285" s="30"/>
      <c r="AW1285" s="30"/>
      <c r="AX1285" s="30"/>
    </row>
    <row r="1286" ht="15.75" customHeight="1">
      <c r="A1286" s="30"/>
      <c r="B1286" s="30"/>
      <c r="C1286" s="31"/>
      <c r="D1286" s="31"/>
      <c r="E1286" s="31"/>
      <c r="F1286" s="30"/>
      <c r="G1286" s="30"/>
      <c r="H1286" s="30"/>
      <c r="I1286" s="30"/>
      <c r="J1286" s="30"/>
      <c r="K1286" s="30"/>
      <c r="L1286" s="30"/>
      <c r="M1286" s="30"/>
      <c r="N1286" s="30"/>
      <c r="O1286" s="30"/>
      <c r="P1286" s="30"/>
      <c r="Q1286" s="30"/>
      <c r="R1286" s="30"/>
      <c r="S1286" s="30"/>
      <c r="T1286" s="30"/>
      <c r="U1286" s="30"/>
      <c r="V1286" s="30"/>
      <c r="W1286" s="30"/>
      <c r="X1286" s="30"/>
      <c r="Y1286" s="30"/>
      <c r="Z1286" s="30"/>
      <c r="AA1286" s="30"/>
      <c r="AB1286" s="30"/>
      <c r="AC1286" s="30"/>
      <c r="AD1286" s="30"/>
      <c r="AE1286" s="30"/>
      <c r="AF1286" s="30"/>
      <c r="AG1286" s="30"/>
      <c r="AH1286" s="30"/>
      <c r="AI1286" s="30"/>
      <c r="AJ1286" s="30"/>
      <c r="AK1286" s="30"/>
      <c r="AL1286" s="30"/>
      <c r="AM1286" s="30"/>
      <c r="AN1286" s="30"/>
      <c r="AO1286" s="30"/>
      <c r="AP1286" s="30"/>
      <c r="AQ1286" s="30"/>
      <c r="AR1286" s="30"/>
      <c r="AS1286" s="30"/>
      <c r="AT1286" s="30"/>
      <c r="AU1286" s="30"/>
      <c r="AV1286" s="30"/>
      <c r="AW1286" s="30"/>
      <c r="AX1286" s="30"/>
    </row>
    <row r="1287" ht="15.75" customHeight="1">
      <c r="A1287" s="30"/>
      <c r="B1287" s="30"/>
      <c r="C1287" s="31"/>
      <c r="D1287" s="31"/>
      <c r="E1287" s="31"/>
      <c r="F1287" s="30"/>
      <c r="G1287" s="30"/>
      <c r="H1287" s="30"/>
      <c r="I1287" s="30"/>
      <c r="J1287" s="30"/>
      <c r="K1287" s="30"/>
      <c r="L1287" s="30"/>
      <c r="M1287" s="30"/>
      <c r="N1287" s="30"/>
      <c r="O1287" s="30"/>
      <c r="P1287" s="30"/>
      <c r="Q1287" s="30"/>
      <c r="R1287" s="30"/>
      <c r="S1287" s="30"/>
      <c r="T1287" s="30"/>
      <c r="U1287" s="30"/>
      <c r="V1287" s="30"/>
      <c r="W1287" s="30"/>
      <c r="X1287" s="30"/>
      <c r="Y1287" s="30"/>
      <c r="Z1287" s="30"/>
      <c r="AA1287" s="30"/>
      <c r="AB1287" s="30"/>
      <c r="AC1287" s="30"/>
      <c r="AD1287" s="30"/>
      <c r="AE1287" s="30"/>
      <c r="AF1287" s="30"/>
      <c r="AG1287" s="30"/>
      <c r="AH1287" s="30"/>
      <c r="AI1287" s="30"/>
      <c r="AJ1287" s="30"/>
      <c r="AK1287" s="30"/>
      <c r="AL1287" s="30"/>
      <c r="AM1287" s="30"/>
      <c r="AN1287" s="30"/>
      <c r="AO1287" s="30"/>
      <c r="AP1287" s="30"/>
      <c r="AQ1287" s="30"/>
      <c r="AR1287" s="30"/>
      <c r="AS1287" s="30"/>
      <c r="AT1287" s="30"/>
      <c r="AU1287" s="30"/>
      <c r="AV1287" s="30"/>
      <c r="AW1287" s="30"/>
      <c r="AX1287" s="30"/>
    </row>
    <row r="1288" ht="15.75" customHeight="1">
      <c r="A1288" s="30"/>
      <c r="B1288" s="30"/>
      <c r="C1288" s="31"/>
      <c r="D1288" s="31"/>
      <c r="E1288" s="31"/>
      <c r="F1288" s="30"/>
      <c r="G1288" s="30"/>
      <c r="H1288" s="30"/>
      <c r="I1288" s="30"/>
      <c r="J1288" s="30"/>
      <c r="K1288" s="30"/>
      <c r="L1288" s="30"/>
      <c r="M1288" s="30"/>
      <c r="N1288" s="30"/>
      <c r="O1288" s="30"/>
      <c r="P1288" s="30"/>
      <c r="Q1288" s="30"/>
      <c r="R1288" s="30"/>
      <c r="S1288" s="30"/>
      <c r="T1288" s="30"/>
      <c r="U1288" s="30"/>
      <c r="V1288" s="30"/>
      <c r="W1288" s="30"/>
      <c r="X1288" s="30"/>
      <c r="Y1288" s="30"/>
      <c r="Z1288" s="30"/>
      <c r="AA1288" s="30"/>
      <c r="AB1288" s="30"/>
      <c r="AC1288" s="30"/>
      <c r="AD1288" s="30"/>
      <c r="AE1288" s="30"/>
      <c r="AF1288" s="30"/>
      <c r="AG1288" s="30"/>
      <c r="AH1288" s="30"/>
      <c r="AI1288" s="30"/>
      <c r="AJ1288" s="30"/>
      <c r="AK1288" s="30"/>
      <c r="AL1288" s="30"/>
      <c r="AM1288" s="30"/>
      <c r="AN1288" s="30"/>
      <c r="AO1288" s="30"/>
      <c r="AP1288" s="30"/>
      <c r="AQ1288" s="30"/>
      <c r="AR1288" s="30"/>
      <c r="AS1288" s="30"/>
      <c r="AT1288" s="30"/>
      <c r="AU1288" s="30"/>
      <c r="AV1288" s="30"/>
      <c r="AW1288" s="30"/>
      <c r="AX1288" s="30"/>
    </row>
    <row r="1289" ht="15.75" customHeight="1">
      <c r="A1289" s="30"/>
      <c r="B1289" s="30"/>
      <c r="C1289" s="31"/>
      <c r="D1289" s="31"/>
      <c r="E1289" s="31"/>
      <c r="F1289" s="30"/>
      <c r="G1289" s="30"/>
      <c r="H1289" s="30"/>
      <c r="I1289" s="30"/>
      <c r="J1289" s="30"/>
      <c r="K1289" s="30"/>
      <c r="L1289" s="30"/>
      <c r="M1289" s="30"/>
      <c r="N1289" s="30"/>
      <c r="O1289" s="30"/>
      <c r="P1289" s="30"/>
      <c r="Q1289" s="30"/>
      <c r="R1289" s="30"/>
      <c r="S1289" s="30"/>
      <c r="T1289" s="30"/>
      <c r="U1289" s="30"/>
      <c r="V1289" s="30"/>
      <c r="W1289" s="30"/>
      <c r="X1289" s="30"/>
      <c r="Y1289" s="30"/>
      <c r="Z1289" s="30"/>
      <c r="AA1289" s="30"/>
      <c r="AB1289" s="30"/>
      <c r="AC1289" s="30"/>
      <c r="AD1289" s="30"/>
      <c r="AE1289" s="30"/>
      <c r="AF1289" s="30"/>
      <c r="AG1289" s="30"/>
      <c r="AH1289" s="30"/>
      <c r="AI1289" s="30"/>
      <c r="AJ1289" s="30"/>
      <c r="AK1289" s="30"/>
      <c r="AL1289" s="30"/>
      <c r="AM1289" s="30"/>
      <c r="AN1289" s="30"/>
      <c r="AO1289" s="30"/>
      <c r="AP1289" s="30"/>
      <c r="AQ1289" s="30"/>
      <c r="AR1289" s="30"/>
      <c r="AS1289" s="30"/>
      <c r="AT1289" s="30"/>
      <c r="AU1289" s="30"/>
      <c r="AV1289" s="30"/>
      <c r="AW1289" s="30"/>
      <c r="AX1289" s="30"/>
    </row>
    <row r="1290" ht="15.75" customHeight="1">
      <c r="A1290" s="30"/>
      <c r="B1290" s="30"/>
      <c r="C1290" s="31"/>
      <c r="D1290" s="31"/>
      <c r="E1290" s="31"/>
      <c r="F1290" s="30"/>
      <c r="G1290" s="30"/>
      <c r="H1290" s="30"/>
      <c r="I1290" s="30"/>
      <c r="J1290" s="30"/>
      <c r="K1290" s="30"/>
      <c r="L1290" s="30"/>
      <c r="M1290" s="30"/>
      <c r="N1290" s="30"/>
      <c r="O1290" s="30"/>
      <c r="P1290" s="30"/>
      <c r="Q1290" s="30"/>
      <c r="R1290" s="30"/>
      <c r="S1290" s="30"/>
      <c r="T1290" s="30"/>
      <c r="U1290" s="30"/>
      <c r="V1290" s="30"/>
      <c r="W1290" s="30"/>
      <c r="X1290" s="30"/>
      <c r="Y1290" s="30"/>
      <c r="Z1290" s="30"/>
      <c r="AA1290" s="30"/>
      <c r="AB1290" s="30"/>
      <c r="AC1290" s="30"/>
      <c r="AD1290" s="30"/>
      <c r="AE1290" s="30"/>
      <c r="AF1290" s="30"/>
      <c r="AG1290" s="30"/>
      <c r="AH1290" s="30"/>
      <c r="AI1290" s="30"/>
      <c r="AJ1290" s="30"/>
      <c r="AK1290" s="30"/>
      <c r="AL1290" s="30"/>
      <c r="AM1290" s="30"/>
      <c r="AN1290" s="30"/>
      <c r="AO1290" s="30"/>
      <c r="AP1290" s="30"/>
      <c r="AQ1290" s="30"/>
      <c r="AR1290" s="30"/>
      <c r="AS1290" s="30"/>
      <c r="AT1290" s="30"/>
      <c r="AU1290" s="30"/>
      <c r="AV1290" s="30"/>
      <c r="AW1290" s="30"/>
      <c r="AX1290" s="30"/>
    </row>
    <row r="1291" ht="15.75" customHeight="1">
      <c r="A1291" s="30"/>
      <c r="B1291" s="30"/>
      <c r="C1291" s="31"/>
      <c r="D1291" s="31"/>
      <c r="E1291" s="31"/>
      <c r="F1291" s="30"/>
      <c r="G1291" s="30"/>
      <c r="H1291" s="30"/>
      <c r="I1291" s="30"/>
      <c r="J1291" s="30"/>
      <c r="K1291" s="30"/>
      <c r="L1291" s="30"/>
      <c r="M1291" s="30"/>
      <c r="N1291" s="30"/>
      <c r="O1291" s="30"/>
      <c r="P1291" s="30"/>
      <c r="Q1291" s="30"/>
      <c r="R1291" s="30"/>
      <c r="S1291" s="30"/>
      <c r="T1291" s="30"/>
      <c r="U1291" s="30"/>
      <c r="V1291" s="30"/>
      <c r="W1291" s="30"/>
      <c r="X1291" s="30"/>
      <c r="Y1291" s="30"/>
      <c r="Z1291" s="30"/>
      <c r="AA1291" s="30"/>
      <c r="AB1291" s="30"/>
      <c r="AC1291" s="30"/>
      <c r="AD1291" s="30"/>
      <c r="AE1291" s="30"/>
      <c r="AF1291" s="30"/>
      <c r="AG1291" s="30"/>
      <c r="AH1291" s="30"/>
      <c r="AI1291" s="30"/>
      <c r="AJ1291" s="30"/>
      <c r="AK1291" s="30"/>
      <c r="AL1291" s="30"/>
      <c r="AM1291" s="30"/>
      <c r="AN1291" s="30"/>
      <c r="AO1291" s="30"/>
      <c r="AP1291" s="30"/>
      <c r="AQ1291" s="30"/>
      <c r="AR1291" s="30"/>
      <c r="AS1291" s="30"/>
      <c r="AT1291" s="30"/>
      <c r="AU1291" s="30"/>
      <c r="AV1291" s="30"/>
      <c r="AW1291" s="30"/>
      <c r="AX1291" s="30"/>
    </row>
    <row r="1292" ht="15.75" customHeight="1">
      <c r="A1292" s="30"/>
      <c r="B1292" s="30"/>
      <c r="C1292" s="31"/>
      <c r="D1292" s="31"/>
      <c r="E1292" s="31"/>
      <c r="F1292" s="30"/>
      <c r="G1292" s="30"/>
      <c r="H1292" s="30"/>
      <c r="I1292" s="30"/>
      <c r="J1292" s="30"/>
      <c r="K1292" s="30"/>
      <c r="L1292" s="30"/>
      <c r="M1292" s="30"/>
      <c r="N1292" s="30"/>
      <c r="O1292" s="30"/>
      <c r="P1292" s="30"/>
      <c r="Q1292" s="30"/>
      <c r="R1292" s="30"/>
      <c r="S1292" s="30"/>
      <c r="T1292" s="30"/>
      <c r="U1292" s="30"/>
      <c r="V1292" s="30"/>
      <c r="W1292" s="30"/>
      <c r="X1292" s="30"/>
      <c r="Y1292" s="30"/>
      <c r="Z1292" s="30"/>
      <c r="AA1292" s="30"/>
      <c r="AB1292" s="30"/>
      <c r="AC1292" s="30"/>
      <c r="AD1292" s="30"/>
      <c r="AE1292" s="30"/>
      <c r="AF1292" s="30"/>
      <c r="AG1292" s="30"/>
      <c r="AH1292" s="30"/>
      <c r="AI1292" s="30"/>
      <c r="AJ1292" s="30"/>
      <c r="AK1292" s="30"/>
      <c r="AL1292" s="30"/>
      <c r="AM1292" s="30"/>
      <c r="AN1292" s="30"/>
      <c r="AO1292" s="30"/>
      <c r="AP1292" s="30"/>
      <c r="AQ1292" s="30"/>
      <c r="AR1292" s="30"/>
      <c r="AS1292" s="30"/>
      <c r="AT1292" s="30"/>
      <c r="AU1292" s="30"/>
      <c r="AV1292" s="30"/>
      <c r="AW1292" s="30"/>
      <c r="AX1292" s="30"/>
    </row>
    <row r="1293" ht="15.75" customHeight="1">
      <c r="A1293" s="30"/>
      <c r="B1293" s="30"/>
      <c r="C1293" s="31"/>
      <c r="D1293" s="31"/>
      <c r="E1293" s="31"/>
      <c r="F1293" s="30"/>
      <c r="G1293" s="30"/>
      <c r="H1293" s="30"/>
      <c r="I1293" s="30"/>
      <c r="J1293" s="30"/>
      <c r="K1293" s="30"/>
      <c r="L1293" s="30"/>
      <c r="M1293" s="30"/>
      <c r="N1293" s="30"/>
      <c r="O1293" s="30"/>
      <c r="P1293" s="30"/>
      <c r="Q1293" s="30"/>
      <c r="R1293" s="30"/>
      <c r="S1293" s="30"/>
      <c r="T1293" s="30"/>
      <c r="U1293" s="30"/>
      <c r="V1293" s="30"/>
      <c r="W1293" s="30"/>
      <c r="X1293" s="30"/>
      <c r="Y1293" s="30"/>
      <c r="Z1293" s="30"/>
      <c r="AA1293" s="30"/>
      <c r="AB1293" s="30"/>
      <c r="AC1293" s="30"/>
      <c r="AD1293" s="30"/>
      <c r="AE1293" s="30"/>
      <c r="AF1293" s="30"/>
      <c r="AG1293" s="30"/>
      <c r="AH1293" s="30"/>
      <c r="AI1293" s="30"/>
      <c r="AJ1293" s="30"/>
      <c r="AK1293" s="30"/>
      <c r="AL1293" s="30"/>
      <c r="AM1293" s="30"/>
      <c r="AN1293" s="30"/>
      <c r="AO1293" s="30"/>
      <c r="AP1293" s="30"/>
      <c r="AQ1293" s="30"/>
      <c r="AR1293" s="30"/>
      <c r="AS1293" s="30"/>
      <c r="AT1293" s="30"/>
      <c r="AU1293" s="30"/>
      <c r="AV1293" s="30"/>
      <c r="AW1293" s="30"/>
      <c r="AX1293" s="30"/>
    </row>
    <row r="1294" ht="15.75" customHeight="1">
      <c r="A1294" s="30"/>
      <c r="B1294" s="30"/>
      <c r="C1294" s="31"/>
      <c r="D1294" s="31"/>
      <c r="E1294" s="31"/>
      <c r="F1294" s="30"/>
      <c r="G1294" s="30"/>
      <c r="H1294" s="30"/>
      <c r="I1294" s="30"/>
      <c r="J1294" s="30"/>
      <c r="K1294" s="30"/>
      <c r="L1294" s="30"/>
      <c r="M1294" s="30"/>
      <c r="N1294" s="30"/>
      <c r="O1294" s="30"/>
      <c r="P1294" s="30"/>
      <c r="Q1294" s="30"/>
      <c r="R1294" s="30"/>
      <c r="S1294" s="30"/>
      <c r="T1294" s="30"/>
      <c r="U1294" s="30"/>
      <c r="V1294" s="30"/>
      <c r="W1294" s="30"/>
      <c r="X1294" s="30"/>
      <c r="Y1294" s="30"/>
      <c r="Z1294" s="30"/>
      <c r="AA1294" s="30"/>
      <c r="AB1294" s="30"/>
      <c r="AC1294" s="30"/>
      <c r="AD1294" s="30"/>
      <c r="AE1294" s="30"/>
      <c r="AF1294" s="30"/>
      <c r="AG1294" s="30"/>
      <c r="AH1294" s="30"/>
      <c r="AI1294" s="30"/>
      <c r="AJ1294" s="30"/>
      <c r="AK1294" s="30"/>
      <c r="AL1294" s="30"/>
      <c r="AM1294" s="30"/>
      <c r="AN1294" s="30"/>
      <c r="AO1294" s="30"/>
      <c r="AP1294" s="30"/>
      <c r="AQ1294" s="30"/>
      <c r="AR1294" s="30"/>
      <c r="AS1294" s="30"/>
      <c r="AT1294" s="30"/>
      <c r="AU1294" s="30"/>
      <c r="AV1294" s="30"/>
      <c r="AW1294" s="30"/>
      <c r="AX1294" s="30"/>
    </row>
    <row r="1295" ht="15.75" customHeight="1">
      <c r="A1295" s="30"/>
      <c r="B1295" s="30"/>
      <c r="C1295" s="31"/>
      <c r="D1295" s="31"/>
      <c r="E1295" s="31"/>
      <c r="F1295" s="30"/>
      <c r="G1295" s="30"/>
      <c r="H1295" s="30"/>
      <c r="I1295" s="30"/>
      <c r="J1295" s="30"/>
      <c r="K1295" s="30"/>
      <c r="L1295" s="30"/>
      <c r="M1295" s="30"/>
      <c r="N1295" s="30"/>
      <c r="O1295" s="30"/>
      <c r="P1295" s="30"/>
      <c r="Q1295" s="30"/>
      <c r="R1295" s="30"/>
      <c r="S1295" s="30"/>
      <c r="T1295" s="30"/>
      <c r="U1295" s="30"/>
      <c r="V1295" s="30"/>
      <c r="W1295" s="30"/>
      <c r="X1295" s="30"/>
      <c r="Y1295" s="30"/>
      <c r="Z1295" s="30"/>
      <c r="AA1295" s="30"/>
      <c r="AB1295" s="30"/>
      <c r="AC1295" s="30"/>
      <c r="AD1295" s="30"/>
      <c r="AE1295" s="30"/>
      <c r="AF1295" s="30"/>
      <c r="AG1295" s="30"/>
      <c r="AH1295" s="30"/>
      <c r="AI1295" s="30"/>
      <c r="AJ1295" s="30"/>
      <c r="AK1295" s="30"/>
      <c r="AL1295" s="30"/>
      <c r="AM1295" s="30"/>
      <c r="AN1295" s="30"/>
      <c r="AO1295" s="30"/>
      <c r="AP1295" s="30"/>
      <c r="AQ1295" s="30"/>
      <c r="AR1295" s="30"/>
      <c r="AS1295" s="30"/>
      <c r="AT1295" s="30"/>
      <c r="AU1295" s="30"/>
      <c r="AV1295" s="30"/>
      <c r="AW1295" s="30"/>
      <c r="AX1295" s="30"/>
    </row>
    <row r="1296" ht="15.75" customHeight="1">
      <c r="A1296" s="30"/>
      <c r="B1296" s="30"/>
      <c r="C1296" s="31"/>
      <c r="D1296" s="31"/>
      <c r="E1296" s="31"/>
      <c r="F1296" s="30"/>
      <c r="G1296" s="30"/>
      <c r="H1296" s="30"/>
      <c r="I1296" s="30"/>
      <c r="J1296" s="30"/>
      <c r="K1296" s="30"/>
      <c r="L1296" s="30"/>
      <c r="M1296" s="30"/>
      <c r="N1296" s="30"/>
      <c r="O1296" s="30"/>
      <c r="P1296" s="30"/>
      <c r="Q1296" s="30"/>
      <c r="R1296" s="30"/>
      <c r="S1296" s="30"/>
      <c r="T1296" s="30"/>
      <c r="U1296" s="30"/>
      <c r="V1296" s="30"/>
      <c r="W1296" s="30"/>
      <c r="X1296" s="30"/>
      <c r="Y1296" s="30"/>
      <c r="Z1296" s="30"/>
      <c r="AA1296" s="30"/>
      <c r="AB1296" s="30"/>
      <c r="AC1296" s="30"/>
      <c r="AD1296" s="30"/>
      <c r="AE1296" s="30"/>
      <c r="AF1296" s="30"/>
      <c r="AG1296" s="30"/>
      <c r="AH1296" s="30"/>
      <c r="AI1296" s="30"/>
      <c r="AJ1296" s="30"/>
      <c r="AK1296" s="30"/>
      <c r="AL1296" s="30"/>
      <c r="AM1296" s="30"/>
      <c r="AN1296" s="30"/>
      <c r="AO1296" s="30"/>
      <c r="AP1296" s="30"/>
      <c r="AQ1296" s="30"/>
      <c r="AR1296" s="30"/>
      <c r="AS1296" s="30"/>
      <c r="AT1296" s="30"/>
      <c r="AU1296" s="30"/>
      <c r="AV1296" s="30"/>
      <c r="AW1296" s="30"/>
      <c r="AX1296" s="30"/>
    </row>
    <row r="1297" ht="15.75" customHeight="1">
      <c r="A1297" s="30"/>
      <c r="B1297" s="30"/>
      <c r="C1297" s="31"/>
      <c r="D1297" s="31"/>
      <c r="E1297" s="31"/>
      <c r="F1297" s="30"/>
      <c r="G1297" s="30"/>
      <c r="H1297" s="30"/>
      <c r="I1297" s="30"/>
      <c r="J1297" s="30"/>
      <c r="K1297" s="30"/>
      <c r="L1297" s="30"/>
      <c r="M1297" s="30"/>
      <c r="N1297" s="30"/>
      <c r="O1297" s="30"/>
      <c r="P1297" s="30"/>
      <c r="Q1297" s="30"/>
      <c r="R1297" s="30"/>
      <c r="S1297" s="30"/>
      <c r="T1297" s="30"/>
      <c r="U1297" s="30"/>
      <c r="V1297" s="30"/>
      <c r="W1297" s="30"/>
      <c r="X1297" s="30"/>
      <c r="Y1297" s="30"/>
      <c r="Z1297" s="30"/>
      <c r="AA1297" s="30"/>
      <c r="AB1297" s="30"/>
      <c r="AC1297" s="30"/>
      <c r="AD1297" s="30"/>
      <c r="AE1297" s="30"/>
      <c r="AF1297" s="30"/>
      <c r="AG1297" s="30"/>
      <c r="AH1297" s="30"/>
      <c r="AI1297" s="30"/>
      <c r="AJ1297" s="30"/>
      <c r="AK1297" s="30"/>
      <c r="AL1297" s="30"/>
      <c r="AM1297" s="30"/>
      <c r="AN1297" s="30"/>
      <c r="AO1297" s="30"/>
      <c r="AP1297" s="30"/>
      <c r="AQ1297" s="30"/>
      <c r="AR1297" s="30"/>
      <c r="AS1297" s="30"/>
      <c r="AT1297" s="30"/>
      <c r="AU1297" s="30"/>
      <c r="AV1297" s="30"/>
      <c r="AW1297" s="30"/>
      <c r="AX1297" s="30"/>
    </row>
    <row r="1298" ht="15.75" customHeight="1">
      <c r="A1298" s="30"/>
      <c r="B1298" s="30"/>
      <c r="C1298" s="31"/>
      <c r="D1298" s="31"/>
      <c r="E1298" s="31"/>
      <c r="F1298" s="30"/>
      <c r="G1298" s="30"/>
      <c r="H1298" s="30"/>
      <c r="I1298" s="30"/>
      <c r="J1298" s="30"/>
      <c r="K1298" s="30"/>
      <c r="L1298" s="30"/>
      <c r="M1298" s="30"/>
      <c r="N1298" s="30"/>
      <c r="O1298" s="30"/>
      <c r="P1298" s="30"/>
      <c r="Q1298" s="30"/>
      <c r="R1298" s="30"/>
      <c r="S1298" s="30"/>
      <c r="T1298" s="30"/>
      <c r="U1298" s="30"/>
      <c r="V1298" s="30"/>
      <c r="W1298" s="30"/>
      <c r="X1298" s="30"/>
      <c r="Y1298" s="30"/>
      <c r="Z1298" s="30"/>
      <c r="AA1298" s="30"/>
      <c r="AB1298" s="30"/>
      <c r="AC1298" s="30"/>
      <c r="AD1298" s="30"/>
      <c r="AE1298" s="30"/>
      <c r="AF1298" s="30"/>
      <c r="AG1298" s="30"/>
      <c r="AH1298" s="30"/>
      <c r="AI1298" s="30"/>
      <c r="AJ1298" s="30"/>
      <c r="AK1298" s="30"/>
      <c r="AL1298" s="30"/>
      <c r="AM1298" s="30"/>
      <c r="AN1298" s="30"/>
      <c r="AO1298" s="30"/>
      <c r="AP1298" s="30"/>
      <c r="AQ1298" s="30"/>
      <c r="AR1298" s="30"/>
      <c r="AS1298" s="30"/>
      <c r="AT1298" s="30"/>
      <c r="AU1298" s="30"/>
      <c r="AV1298" s="30"/>
      <c r="AW1298" s="30"/>
      <c r="AX1298" s="30"/>
    </row>
    <row r="1299" ht="15.75" customHeight="1">
      <c r="A1299" s="30"/>
      <c r="B1299" s="30"/>
      <c r="C1299" s="31"/>
      <c r="D1299" s="31"/>
      <c r="E1299" s="31"/>
      <c r="F1299" s="30"/>
      <c r="G1299" s="30"/>
      <c r="H1299" s="30"/>
      <c r="I1299" s="30"/>
      <c r="J1299" s="30"/>
      <c r="K1299" s="30"/>
      <c r="L1299" s="30"/>
      <c r="M1299" s="30"/>
      <c r="N1299" s="30"/>
      <c r="O1299" s="30"/>
      <c r="P1299" s="30"/>
      <c r="Q1299" s="30"/>
      <c r="R1299" s="30"/>
      <c r="S1299" s="30"/>
      <c r="T1299" s="30"/>
      <c r="U1299" s="30"/>
      <c r="V1299" s="30"/>
      <c r="W1299" s="30"/>
      <c r="X1299" s="30"/>
      <c r="Y1299" s="30"/>
      <c r="Z1299" s="30"/>
      <c r="AA1299" s="30"/>
      <c r="AB1299" s="30"/>
      <c r="AC1299" s="30"/>
      <c r="AD1299" s="30"/>
      <c r="AE1299" s="30"/>
      <c r="AF1299" s="30"/>
      <c r="AG1299" s="30"/>
      <c r="AH1299" s="30"/>
      <c r="AI1299" s="30"/>
      <c r="AJ1299" s="30"/>
      <c r="AK1299" s="30"/>
      <c r="AL1299" s="30"/>
      <c r="AM1299" s="30"/>
      <c r="AN1299" s="30"/>
      <c r="AO1299" s="30"/>
      <c r="AP1299" s="30"/>
      <c r="AQ1299" s="30"/>
      <c r="AR1299" s="30"/>
      <c r="AS1299" s="30"/>
      <c r="AT1299" s="30"/>
      <c r="AU1299" s="30"/>
      <c r="AV1299" s="30"/>
      <c r="AW1299" s="30"/>
      <c r="AX1299" s="30"/>
    </row>
    <row r="1300" ht="15.75" customHeight="1">
      <c r="A1300" s="30"/>
      <c r="B1300" s="30"/>
      <c r="C1300" s="31"/>
      <c r="D1300" s="31"/>
      <c r="E1300" s="31"/>
      <c r="F1300" s="30"/>
      <c r="G1300" s="30"/>
      <c r="H1300" s="30"/>
      <c r="I1300" s="30"/>
      <c r="J1300" s="30"/>
      <c r="K1300" s="30"/>
      <c r="L1300" s="30"/>
      <c r="M1300" s="30"/>
      <c r="N1300" s="30"/>
      <c r="O1300" s="30"/>
      <c r="P1300" s="30"/>
      <c r="Q1300" s="30"/>
      <c r="R1300" s="30"/>
      <c r="S1300" s="30"/>
      <c r="T1300" s="30"/>
      <c r="U1300" s="30"/>
      <c r="V1300" s="30"/>
      <c r="W1300" s="30"/>
      <c r="X1300" s="30"/>
      <c r="Y1300" s="30"/>
      <c r="Z1300" s="30"/>
      <c r="AA1300" s="30"/>
      <c r="AB1300" s="30"/>
      <c r="AC1300" s="30"/>
      <c r="AD1300" s="30"/>
      <c r="AE1300" s="30"/>
      <c r="AF1300" s="30"/>
      <c r="AG1300" s="30"/>
      <c r="AH1300" s="30"/>
      <c r="AI1300" s="30"/>
      <c r="AJ1300" s="30"/>
      <c r="AK1300" s="30"/>
      <c r="AL1300" s="30"/>
      <c r="AM1300" s="30"/>
      <c r="AN1300" s="30"/>
      <c r="AO1300" s="30"/>
      <c r="AP1300" s="30"/>
      <c r="AQ1300" s="30"/>
      <c r="AR1300" s="30"/>
      <c r="AS1300" s="30"/>
      <c r="AT1300" s="30"/>
      <c r="AU1300" s="30"/>
      <c r="AV1300" s="30"/>
      <c r="AW1300" s="30"/>
      <c r="AX1300" s="30"/>
    </row>
    <row r="1301" ht="15.75" customHeight="1">
      <c r="A1301" s="30"/>
      <c r="B1301" s="30"/>
      <c r="C1301" s="31"/>
      <c r="D1301" s="31"/>
      <c r="E1301" s="31"/>
      <c r="F1301" s="30"/>
      <c r="G1301" s="30"/>
      <c r="H1301" s="30"/>
      <c r="I1301" s="30"/>
      <c r="J1301" s="30"/>
      <c r="K1301" s="30"/>
      <c r="L1301" s="30"/>
      <c r="M1301" s="30"/>
      <c r="N1301" s="30"/>
      <c r="O1301" s="30"/>
      <c r="P1301" s="30"/>
      <c r="Q1301" s="30"/>
      <c r="R1301" s="30"/>
      <c r="S1301" s="30"/>
      <c r="T1301" s="30"/>
      <c r="U1301" s="30"/>
      <c r="V1301" s="30"/>
      <c r="W1301" s="30"/>
      <c r="X1301" s="30"/>
      <c r="Y1301" s="30"/>
      <c r="Z1301" s="30"/>
      <c r="AA1301" s="30"/>
      <c r="AB1301" s="30"/>
      <c r="AC1301" s="30"/>
      <c r="AD1301" s="30"/>
      <c r="AE1301" s="30"/>
      <c r="AF1301" s="30"/>
      <c r="AG1301" s="30"/>
      <c r="AH1301" s="30"/>
      <c r="AI1301" s="30"/>
      <c r="AJ1301" s="30"/>
      <c r="AK1301" s="30"/>
      <c r="AL1301" s="30"/>
      <c r="AM1301" s="30"/>
      <c r="AN1301" s="30"/>
      <c r="AO1301" s="30"/>
      <c r="AP1301" s="30"/>
      <c r="AQ1301" s="30"/>
      <c r="AR1301" s="30"/>
      <c r="AS1301" s="30"/>
      <c r="AT1301" s="30"/>
      <c r="AU1301" s="30"/>
      <c r="AV1301" s="30"/>
      <c r="AW1301" s="30"/>
      <c r="AX1301" s="30"/>
    </row>
    <row r="1302" ht="15.75" customHeight="1">
      <c r="A1302" s="30"/>
      <c r="B1302" s="30"/>
      <c r="C1302" s="31"/>
      <c r="D1302" s="31"/>
      <c r="E1302" s="31"/>
      <c r="F1302" s="30"/>
      <c r="G1302" s="30"/>
      <c r="H1302" s="30"/>
      <c r="I1302" s="30"/>
      <c r="J1302" s="30"/>
      <c r="K1302" s="30"/>
      <c r="L1302" s="30"/>
      <c r="M1302" s="30"/>
      <c r="N1302" s="30"/>
      <c r="O1302" s="30"/>
      <c r="P1302" s="30"/>
      <c r="Q1302" s="30"/>
      <c r="R1302" s="30"/>
      <c r="S1302" s="30"/>
      <c r="T1302" s="30"/>
      <c r="U1302" s="30"/>
      <c r="V1302" s="30"/>
      <c r="W1302" s="30"/>
      <c r="X1302" s="30"/>
      <c r="Y1302" s="30"/>
      <c r="Z1302" s="30"/>
      <c r="AA1302" s="30"/>
      <c r="AB1302" s="30"/>
      <c r="AC1302" s="30"/>
      <c r="AD1302" s="30"/>
      <c r="AE1302" s="30"/>
      <c r="AF1302" s="30"/>
      <c r="AG1302" s="30"/>
      <c r="AH1302" s="30"/>
      <c r="AI1302" s="30"/>
      <c r="AJ1302" s="30"/>
      <c r="AK1302" s="30"/>
      <c r="AL1302" s="30"/>
      <c r="AM1302" s="30"/>
      <c r="AN1302" s="30"/>
      <c r="AO1302" s="30"/>
      <c r="AP1302" s="30"/>
      <c r="AQ1302" s="30"/>
      <c r="AR1302" s="30"/>
      <c r="AS1302" s="30"/>
      <c r="AT1302" s="30"/>
      <c r="AU1302" s="30"/>
      <c r="AV1302" s="30"/>
      <c r="AW1302" s="30"/>
      <c r="AX1302" s="30"/>
    </row>
    <row r="1303" ht="15.75" customHeight="1">
      <c r="A1303" s="30"/>
      <c r="B1303" s="30"/>
      <c r="C1303" s="31"/>
      <c r="D1303" s="31"/>
      <c r="E1303" s="31"/>
      <c r="F1303" s="30"/>
      <c r="G1303" s="30"/>
      <c r="H1303" s="30"/>
      <c r="I1303" s="30"/>
      <c r="J1303" s="30"/>
      <c r="K1303" s="30"/>
      <c r="L1303" s="30"/>
      <c r="M1303" s="30"/>
      <c r="N1303" s="30"/>
      <c r="O1303" s="30"/>
      <c r="P1303" s="30"/>
      <c r="Q1303" s="30"/>
      <c r="R1303" s="30"/>
      <c r="S1303" s="30"/>
      <c r="T1303" s="30"/>
      <c r="U1303" s="30"/>
      <c r="V1303" s="30"/>
      <c r="W1303" s="30"/>
      <c r="X1303" s="30"/>
      <c r="Y1303" s="30"/>
      <c r="Z1303" s="30"/>
      <c r="AA1303" s="30"/>
      <c r="AB1303" s="30"/>
      <c r="AC1303" s="30"/>
      <c r="AD1303" s="30"/>
      <c r="AE1303" s="30"/>
      <c r="AF1303" s="30"/>
      <c r="AG1303" s="30"/>
      <c r="AH1303" s="30"/>
      <c r="AI1303" s="30"/>
      <c r="AJ1303" s="30"/>
      <c r="AK1303" s="30"/>
      <c r="AL1303" s="30"/>
      <c r="AM1303" s="30"/>
      <c r="AN1303" s="30"/>
      <c r="AO1303" s="30"/>
      <c r="AP1303" s="30"/>
      <c r="AQ1303" s="30"/>
      <c r="AR1303" s="30"/>
      <c r="AS1303" s="30"/>
      <c r="AT1303" s="30"/>
      <c r="AU1303" s="30"/>
      <c r="AV1303" s="30"/>
      <c r="AW1303" s="30"/>
      <c r="AX1303" s="30"/>
    </row>
    <row r="1304" ht="15.75" customHeight="1">
      <c r="A1304" s="30"/>
      <c r="B1304" s="30"/>
      <c r="C1304" s="31"/>
      <c r="D1304" s="31"/>
      <c r="E1304" s="31"/>
      <c r="F1304" s="30"/>
      <c r="G1304" s="30"/>
      <c r="H1304" s="30"/>
      <c r="I1304" s="30"/>
      <c r="J1304" s="30"/>
      <c r="K1304" s="30"/>
      <c r="L1304" s="30"/>
      <c r="M1304" s="30"/>
      <c r="N1304" s="30"/>
      <c r="O1304" s="30"/>
      <c r="P1304" s="30"/>
      <c r="Q1304" s="30"/>
      <c r="R1304" s="30"/>
      <c r="S1304" s="30"/>
      <c r="T1304" s="30"/>
      <c r="U1304" s="30"/>
      <c r="V1304" s="30"/>
      <c r="W1304" s="30"/>
      <c r="X1304" s="30"/>
      <c r="Y1304" s="30"/>
      <c r="Z1304" s="30"/>
      <c r="AA1304" s="30"/>
      <c r="AB1304" s="30"/>
      <c r="AC1304" s="30"/>
      <c r="AD1304" s="30"/>
      <c r="AE1304" s="30"/>
      <c r="AF1304" s="30"/>
      <c r="AG1304" s="30"/>
      <c r="AH1304" s="30"/>
      <c r="AI1304" s="30"/>
      <c r="AJ1304" s="30"/>
      <c r="AK1304" s="30"/>
      <c r="AL1304" s="30"/>
      <c r="AM1304" s="30"/>
      <c r="AN1304" s="30"/>
      <c r="AO1304" s="30"/>
      <c r="AP1304" s="30"/>
      <c r="AQ1304" s="30"/>
      <c r="AR1304" s="30"/>
      <c r="AS1304" s="30"/>
      <c r="AT1304" s="30"/>
      <c r="AU1304" s="30"/>
      <c r="AV1304" s="30"/>
      <c r="AW1304" s="30"/>
      <c r="AX1304" s="30"/>
    </row>
    <row r="1305" ht="15.75" customHeight="1">
      <c r="A1305" s="30"/>
      <c r="B1305" s="30"/>
      <c r="C1305" s="31"/>
      <c r="D1305" s="31"/>
      <c r="E1305" s="31"/>
      <c r="F1305" s="30"/>
      <c r="G1305" s="30"/>
      <c r="H1305" s="30"/>
      <c r="I1305" s="30"/>
      <c r="J1305" s="30"/>
      <c r="K1305" s="30"/>
      <c r="L1305" s="30"/>
      <c r="M1305" s="30"/>
      <c r="N1305" s="30"/>
      <c r="O1305" s="30"/>
      <c r="P1305" s="30"/>
      <c r="Q1305" s="30"/>
      <c r="R1305" s="30"/>
      <c r="S1305" s="30"/>
      <c r="T1305" s="30"/>
      <c r="U1305" s="30"/>
      <c r="V1305" s="30"/>
      <c r="W1305" s="30"/>
      <c r="X1305" s="30"/>
      <c r="Y1305" s="30"/>
      <c r="Z1305" s="30"/>
      <c r="AA1305" s="30"/>
      <c r="AB1305" s="30"/>
      <c r="AC1305" s="30"/>
      <c r="AD1305" s="30"/>
      <c r="AE1305" s="30"/>
      <c r="AF1305" s="30"/>
      <c r="AG1305" s="30"/>
      <c r="AH1305" s="30"/>
      <c r="AI1305" s="30"/>
      <c r="AJ1305" s="30"/>
      <c r="AK1305" s="30"/>
      <c r="AL1305" s="30"/>
      <c r="AM1305" s="30"/>
      <c r="AN1305" s="30"/>
      <c r="AO1305" s="30"/>
      <c r="AP1305" s="30"/>
      <c r="AQ1305" s="30"/>
      <c r="AR1305" s="30"/>
      <c r="AS1305" s="30"/>
      <c r="AT1305" s="30"/>
      <c r="AU1305" s="30"/>
      <c r="AV1305" s="30"/>
      <c r="AW1305" s="30"/>
      <c r="AX1305" s="30"/>
    </row>
    <row r="1306" ht="15.75" customHeight="1">
      <c r="A1306" s="30"/>
      <c r="B1306" s="30"/>
      <c r="C1306" s="31"/>
      <c r="D1306" s="31"/>
      <c r="E1306" s="31"/>
      <c r="F1306" s="30"/>
      <c r="G1306" s="30"/>
      <c r="H1306" s="30"/>
      <c r="I1306" s="30"/>
      <c r="J1306" s="30"/>
      <c r="K1306" s="30"/>
      <c r="L1306" s="30"/>
      <c r="M1306" s="30"/>
      <c r="N1306" s="30"/>
      <c r="O1306" s="30"/>
      <c r="P1306" s="30"/>
      <c r="Q1306" s="30"/>
      <c r="R1306" s="30"/>
      <c r="S1306" s="30"/>
      <c r="T1306" s="30"/>
      <c r="U1306" s="30"/>
      <c r="V1306" s="30"/>
      <c r="W1306" s="30"/>
      <c r="X1306" s="30"/>
      <c r="Y1306" s="30"/>
      <c r="Z1306" s="30"/>
      <c r="AA1306" s="30"/>
      <c r="AB1306" s="30"/>
      <c r="AC1306" s="30"/>
      <c r="AD1306" s="30"/>
      <c r="AE1306" s="30"/>
      <c r="AF1306" s="30"/>
      <c r="AG1306" s="30"/>
      <c r="AH1306" s="30"/>
      <c r="AI1306" s="30"/>
      <c r="AJ1306" s="30"/>
      <c r="AK1306" s="30"/>
      <c r="AL1306" s="30"/>
      <c r="AM1306" s="30"/>
      <c r="AN1306" s="30"/>
      <c r="AO1306" s="30"/>
      <c r="AP1306" s="30"/>
      <c r="AQ1306" s="30"/>
      <c r="AR1306" s="30"/>
      <c r="AS1306" s="30"/>
      <c r="AT1306" s="30"/>
      <c r="AU1306" s="30"/>
      <c r="AV1306" s="30"/>
      <c r="AW1306" s="30"/>
      <c r="AX1306" s="30"/>
    </row>
    <row r="1307" ht="15.75" customHeight="1">
      <c r="A1307" s="30"/>
      <c r="B1307" s="30"/>
      <c r="C1307" s="31"/>
      <c r="D1307" s="31"/>
      <c r="E1307" s="31"/>
      <c r="F1307" s="30"/>
      <c r="G1307" s="30"/>
      <c r="H1307" s="30"/>
      <c r="I1307" s="30"/>
      <c r="J1307" s="30"/>
      <c r="K1307" s="30"/>
      <c r="L1307" s="30"/>
      <c r="M1307" s="30"/>
      <c r="N1307" s="30"/>
      <c r="O1307" s="30"/>
      <c r="P1307" s="30"/>
      <c r="Q1307" s="30"/>
      <c r="R1307" s="30"/>
      <c r="S1307" s="30"/>
      <c r="T1307" s="30"/>
      <c r="U1307" s="30"/>
      <c r="V1307" s="30"/>
      <c r="W1307" s="30"/>
      <c r="X1307" s="30"/>
      <c r="Y1307" s="30"/>
      <c r="Z1307" s="30"/>
      <c r="AA1307" s="30"/>
      <c r="AB1307" s="30"/>
      <c r="AC1307" s="30"/>
      <c r="AD1307" s="30"/>
      <c r="AE1307" s="30"/>
      <c r="AF1307" s="30"/>
      <c r="AG1307" s="30"/>
      <c r="AH1307" s="30"/>
      <c r="AI1307" s="30"/>
      <c r="AJ1307" s="30"/>
      <c r="AK1307" s="30"/>
      <c r="AL1307" s="30"/>
      <c r="AM1307" s="30"/>
      <c r="AN1307" s="30"/>
      <c r="AO1307" s="30"/>
      <c r="AP1307" s="30"/>
      <c r="AQ1307" s="30"/>
      <c r="AR1307" s="30"/>
      <c r="AS1307" s="30"/>
      <c r="AT1307" s="30"/>
      <c r="AU1307" s="30"/>
      <c r="AV1307" s="30"/>
      <c r="AW1307" s="30"/>
      <c r="AX1307" s="30"/>
    </row>
    <row r="1308" ht="15.75" customHeight="1">
      <c r="A1308" s="30"/>
      <c r="B1308" s="30"/>
      <c r="C1308" s="31"/>
      <c r="D1308" s="31"/>
      <c r="E1308" s="31"/>
      <c r="F1308" s="30"/>
      <c r="G1308" s="30"/>
      <c r="H1308" s="30"/>
      <c r="I1308" s="30"/>
      <c r="J1308" s="30"/>
      <c r="K1308" s="30"/>
      <c r="L1308" s="30"/>
      <c r="M1308" s="30"/>
      <c r="N1308" s="30"/>
      <c r="O1308" s="30"/>
      <c r="P1308" s="30"/>
      <c r="Q1308" s="30"/>
      <c r="R1308" s="30"/>
      <c r="S1308" s="30"/>
      <c r="T1308" s="30"/>
      <c r="U1308" s="30"/>
      <c r="V1308" s="30"/>
      <c r="W1308" s="30"/>
      <c r="X1308" s="30"/>
      <c r="Y1308" s="30"/>
      <c r="Z1308" s="30"/>
      <c r="AA1308" s="30"/>
      <c r="AB1308" s="30"/>
      <c r="AC1308" s="30"/>
      <c r="AD1308" s="30"/>
      <c r="AE1308" s="30"/>
      <c r="AF1308" s="30"/>
      <c r="AG1308" s="30"/>
      <c r="AH1308" s="30"/>
      <c r="AI1308" s="30"/>
      <c r="AJ1308" s="30"/>
      <c r="AK1308" s="30"/>
      <c r="AL1308" s="30"/>
      <c r="AM1308" s="30"/>
      <c r="AN1308" s="30"/>
      <c r="AO1308" s="30"/>
      <c r="AP1308" s="30"/>
      <c r="AQ1308" s="30"/>
      <c r="AR1308" s="30"/>
      <c r="AS1308" s="30"/>
      <c r="AT1308" s="30"/>
      <c r="AU1308" s="30"/>
      <c r="AV1308" s="30"/>
      <c r="AW1308" s="30"/>
      <c r="AX1308" s="30"/>
    </row>
    <row r="1309" ht="15.75" customHeight="1">
      <c r="A1309" s="30"/>
      <c r="B1309" s="30"/>
      <c r="C1309" s="31"/>
      <c r="D1309" s="31"/>
      <c r="E1309" s="31"/>
      <c r="F1309" s="30"/>
      <c r="G1309" s="30"/>
      <c r="H1309" s="30"/>
      <c r="I1309" s="30"/>
      <c r="J1309" s="30"/>
      <c r="K1309" s="30"/>
      <c r="L1309" s="30"/>
      <c r="M1309" s="30"/>
      <c r="N1309" s="30"/>
      <c r="O1309" s="30"/>
      <c r="P1309" s="30"/>
      <c r="Q1309" s="30"/>
      <c r="R1309" s="30"/>
      <c r="S1309" s="30"/>
      <c r="T1309" s="30"/>
      <c r="U1309" s="30"/>
      <c r="V1309" s="30"/>
      <c r="W1309" s="30"/>
      <c r="X1309" s="30"/>
      <c r="Y1309" s="30"/>
      <c r="Z1309" s="30"/>
      <c r="AA1309" s="30"/>
      <c r="AB1309" s="30"/>
      <c r="AC1309" s="30"/>
      <c r="AD1309" s="30"/>
      <c r="AE1309" s="30"/>
      <c r="AF1309" s="30"/>
      <c r="AG1309" s="30"/>
      <c r="AH1309" s="30"/>
      <c r="AI1309" s="30"/>
      <c r="AJ1309" s="30"/>
      <c r="AK1309" s="30"/>
      <c r="AL1309" s="30"/>
      <c r="AM1309" s="30"/>
      <c r="AN1309" s="30"/>
      <c r="AO1309" s="30"/>
      <c r="AP1309" s="30"/>
      <c r="AQ1309" s="30"/>
      <c r="AR1309" s="30"/>
      <c r="AS1309" s="30"/>
      <c r="AT1309" s="30"/>
      <c r="AU1309" s="30"/>
      <c r="AV1309" s="30"/>
      <c r="AW1309" s="30"/>
      <c r="AX1309" s="30"/>
    </row>
    <row r="1310" ht="15.75" customHeight="1">
      <c r="A1310" s="30"/>
      <c r="B1310" s="30"/>
      <c r="C1310" s="31"/>
      <c r="D1310" s="31"/>
      <c r="E1310" s="31"/>
      <c r="F1310" s="30"/>
      <c r="G1310" s="30"/>
      <c r="H1310" s="30"/>
      <c r="I1310" s="30"/>
      <c r="J1310" s="30"/>
      <c r="K1310" s="30"/>
      <c r="L1310" s="30"/>
      <c r="M1310" s="30"/>
      <c r="N1310" s="30"/>
      <c r="O1310" s="30"/>
      <c r="P1310" s="30"/>
      <c r="Q1310" s="30"/>
      <c r="R1310" s="30"/>
      <c r="S1310" s="30"/>
      <c r="T1310" s="30"/>
      <c r="U1310" s="30"/>
      <c r="V1310" s="30"/>
      <c r="W1310" s="30"/>
      <c r="X1310" s="30"/>
      <c r="Y1310" s="30"/>
      <c r="Z1310" s="30"/>
      <c r="AA1310" s="30"/>
      <c r="AB1310" s="30"/>
      <c r="AC1310" s="30"/>
      <c r="AD1310" s="30"/>
      <c r="AE1310" s="30"/>
      <c r="AF1310" s="30"/>
      <c r="AG1310" s="30"/>
      <c r="AH1310" s="30"/>
      <c r="AI1310" s="30"/>
      <c r="AJ1310" s="30"/>
      <c r="AK1310" s="30"/>
      <c r="AL1310" s="30"/>
      <c r="AM1310" s="30"/>
      <c r="AN1310" s="30"/>
      <c r="AO1310" s="30"/>
      <c r="AP1310" s="30"/>
      <c r="AQ1310" s="30"/>
      <c r="AR1310" s="30"/>
      <c r="AS1310" s="30"/>
      <c r="AT1310" s="30"/>
      <c r="AU1310" s="30"/>
      <c r="AV1310" s="30"/>
      <c r="AW1310" s="30"/>
      <c r="AX1310" s="30"/>
    </row>
    <row r="1311" ht="15.75" customHeight="1">
      <c r="A1311" s="30"/>
      <c r="B1311" s="30"/>
      <c r="C1311" s="31"/>
      <c r="D1311" s="31"/>
      <c r="E1311" s="31"/>
      <c r="F1311" s="30"/>
      <c r="G1311" s="30"/>
      <c r="H1311" s="30"/>
      <c r="I1311" s="30"/>
      <c r="J1311" s="30"/>
      <c r="K1311" s="30"/>
      <c r="L1311" s="30"/>
      <c r="M1311" s="30"/>
      <c r="N1311" s="30"/>
      <c r="O1311" s="30"/>
      <c r="P1311" s="30"/>
      <c r="Q1311" s="30"/>
      <c r="R1311" s="30"/>
      <c r="S1311" s="30"/>
      <c r="T1311" s="30"/>
      <c r="U1311" s="30"/>
      <c r="V1311" s="30"/>
      <c r="W1311" s="30"/>
      <c r="X1311" s="30"/>
      <c r="Y1311" s="30"/>
      <c r="Z1311" s="30"/>
      <c r="AA1311" s="30"/>
      <c r="AB1311" s="30"/>
      <c r="AC1311" s="30"/>
      <c r="AD1311" s="30"/>
      <c r="AE1311" s="30"/>
      <c r="AF1311" s="30"/>
      <c r="AG1311" s="30"/>
      <c r="AH1311" s="30"/>
      <c r="AI1311" s="30"/>
      <c r="AJ1311" s="30"/>
      <c r="AK1311" s="30"/>
      <c r="AL1311" s="30"/>
      <c r="AM1311" s="30"/>
      <c r="AN1311" s="30"/>
      <c r="AO1311" s="30"/>
      <c r="AP1311" s="30"/>
      <c r="AQ1311" s="30"/>
      <c r="AR1311" s="30"/>
      <c r="AS1311" s="30"/>
      <c r="AT1311" s="30"/>
      <c r="AU1311" s="30"/>
      <c r="AV1311" s="30"/>
      <c r="AW1311" s="30"/>
      <c r="AX1311" s="30"/>
    </row>
    <row r="1312" ht="15.75" customHeight="1">
      <c r="A1312" s="30"/>
      <c r="B1312" s="30"/>
      <c r="C1312" s="31"/>
      <c r="D1312" s="31"/>
      <c r="E1312" s="31"/>
      <c r="F1312" s="30"/>
      <c r="G1312" s="30"/>
      <c r="H1312" s="30"/>
      <c r="I1312" s="30"/>
      <c r="J1312" s="30"/>
      <c r="K1312" s="30"/>
      <c r="L1312" s="30"/>
      <c r="M1312" s="30"/>
      <c r="N1312" s="30"/>
      <c r="O1312" s="30"/>
      <c r="P1312" s="30"/>
      <c r="Q1312" s="30"/>
      <c r="R1312" s="30"/>
      <c r="S1312" s="30"/>
      <c r="T1312" s="30"/>
      <c r="U1312" s="30"/>
      <c r="V1312" s="30"/>
      <c r="W1312" s="30"/>
      <c r="X1312" s="30"/>
      <c r="Y1312" s="30"/>
      <c r="Z1312" s="30"/>
      <c r="AA1312" s="30"/>
      <c r="AB1312" s="30"/>
      <c r="AC1312" s="30"/>
      <c r="AD1312" s="30"/>
      <c r="AE1312" s="30"/>
      <c r="AF1312" s="30"/>
      <c r="AG1312" s="30"/>
      <c r="AH1312" s="30"/>
      <c r="AI1312" s="30"/>
      <c r="AJ1312" s="30"/>
      <c r="AK1312" s="30"/>
      <c r="AL1312" s="30"/>
      <c r="AM1312" s="30"/>
      <c r="AN1312" s="30"/>
      <c r="AO1312" s="30"/>
      <c r="AP1312" s="30"/>
      <c r="AQ1312" s="30"/>
      <c r="AR1312" s="30"/>
      <c r="AS1312" s="30"/>
      <c r="AT1312" s="30"/>
      <c r="AU1312" s="30"/>
      <c r="AV1312" s="30"/>
      <c r="AW1312" s="30"/>
      <c r="AX1312" s="30"/>
    </row>
    <row r="1313" ht="15.75" customHeight="1">
      <c r="A1313" s="30"/>
      <c r="B1313" s="30"/>
      <c r="C1313" s="31"/>
      <c r="D1313" s="31"/>
      <c r="E1313" s="31"/>
      <c r="F1313" s="30"/>
      <c r="G1313" s="30"/>
      <c r="H1313" s="30"/>
      <c r="I1313" s="30"/>
      <c r="J1313" s="30"/>
      <c r="K1313" s="30"/>
      <c r="L1313" s="30"/>
      <c r="M1313" s="30"/>
      <c r="N1313" s="30"/>
      <c r="O1313" s="30"/>
      <c r="P1313" s="30"/>
      <c r="Q1313" s="30"/>
      <c r="R1313" s="30"/>
      <c r="S1313" s="30"/>
      <c r="T1313" s="30"/>
      <c r="U1313" s="30"/>
      <c r="V1313" s="30"/>
      <c r="W1313" s="30"/>
      <c r="X1313" s="30"/>
      <c r="Y1313" s="30"/>
      <c r="Z1313" s="30"/>
      <c r="AA1313" s="30"/>
      <c r="AB1313" s="30"/>
      <c r="AC1313" s="30"/>
      <c r="AD1313" s="30"/>
      <c r="AE1313" s="30"/>
      <c r="AF1313" s="30"/>
      <c r="AG1313" s="30"/>
      <c r="AH1313" s="30"/>
      <c r="AI1313" s="30"/>
      <c r="AJ1313" s="30"/>
      <c r="AK1313" s="30"/>
      <c r="AL1313" s="30"/>
      <c r="AM1313" s="30"/>
      <c r="AN1313" s="30"/>
      <c r="AO1313" s="30"/>
      <c r="AP1313" s="30"/>
      <c r="AQ1313" s="30"/>
      <c r="AR1313" s="30"/>
      <c r="AS1313" s="30"/>
      <c r="AT1313" s="30"/>
      <c r="AU1313" s="30"/>
      <c r="AV1313" s="30"/>
      <c r="AW1313" s="30"/>
      <c r="AX1313" s="30"/>
    </row>
    <row r="1314" ht="15.75" customHeight="1">
      <c r="A1314" s="30"/>
      <c r="B1314" s="30"/>
      <c r="C1314" s="31"/>
      <c r="D1314" s="31"/>
      <c r="E1314" s="31"/>
      <c r="F1314" s="30"/>
      <c r="G1314" s="30"/>
      <c r="H1314" s="30"/>
      <c r="I1314" s="30"/>
      <c r="J1314" s="30"/>
      <c r="K1314" s="30"/>
      <c r="L1314" s="30"/>
      <c r="M1314" s="30"/>
      <c r="N1314" s="30"/>
      <c r="O1314" s="30"/>
      <c r="P1314" s="30"/>
      <c r="Q1314" s="30"/>
      <c r="R1314" s="30"/>
      <c r="S1314" s="30"/>
      <c r="T1314" s="30"/>
      <c r="U1314" s="30"/>
      <c r="V1314" s="30"/>
      <c r="W1314" s="30"/>
      <c r="X1314" s="30"/>
      <c r="Y1314" s="30"/>
      <c r="Z1314" s="30"/>
      <c r="AA1314" s="30"/>
      <c r="AB1314" s="30"/>
      <c r="AC1314" s="30"/>
      <c r="AD1314" s="30"/>
      <c r="AE1314" s="30"/>
      <c r="AF1314" s="30"/>
      <c r="AG1314" s="30"/>
      <c r="AH1314" s="30"/>
      <c r="AI1314" s="30"/>
      <c r="AJ1314" s="30"/>
      <c r="AK1314" s="30"/>
      <c r="AL1314" s="30"/>
      <c r="AM1314" s="30"/>
      <c r="AN1314" s="30"/>
      <c r="AO1314" s="30"/>
      <c r="AP1314" s="30"/>
      <c r="AQ1314" s="30"/>
      <c r="AR1314" s="30"/>
      <c r="AS1314" s="30"/>
      <c r="AT1314" s="30"/>
      <c r="AU1314" s="30"/>
      <c r="AV1314" s="30"/>
      <c r="AW1314" s="30"/>
      <c r="AX1314" s="30"/>
    </row>
    <row r="1315" ht="15.75" customHeight="1">
      <c r="A1315" s="30"/>
      <c r="B1315" s="30"/>
      <c r="C1315" s="31"/>
      <c r="D1315" s="31"/>
      <c r="E1315" s="31"/>
      <c r="F1315" s="30"/>
      <c r="G1315" s="30"/>
      <c r="H1315" s="30"/>
      <c r="I1315" s="30"/>
      <c r="J1315" s="30"/>
      <c r="K1315" s="30"/>
      <c r="L1315" s="30"/>
      <c r="M1315" s="30"/>
      <c r="N1315" s="30"/>
      <c r="O1315" s="30"/>
      <c r="P1315" s="30"/>
      <c r="Q1315" s="30"/>
      <c r="R1315" s="30"/>
      <c r="S1315" s="30"/>
      <c r="T1315" s="30"/>
      <c r="U1315" s="30"/>
      <c r="V1315" s="30"/>
      <c r="W1315" s="30"/>
      <c r="X1315" s="30"/>
      <c r="Y1315" s="30"/>
      <c r="Z1315" s="30"/>
      <c r="AA1315" s="30"/>
      <c r="AB1315" s="30"/>
      <c r="AC1315" s="30"/>
      <c r="AD1315" s="30"/>
      <c r="AE1315" s="30"/>
      <c r="AF1315" s="30"/>
      <c r="AG1315" s="30"/>
      <c r="AH1315" s="30"/>
      <c r="AI1315" s="30"/>
      <c r="AJ1315" s="30"/>
      <c r="AK1315" s="30"/>
      <c r="AL1315" s="30"/>
      <c r="AM1315" s="30"/>
      <c r="AN1315" s="30"/>
      <c r="AO1315" s="30"/>
      <c r="AP1315" s="30"/>
      <c r="AQ1315" s="30"/>
      <c r="AR1315" s="30"/>
      <c r="AS1315" s="30"/>
      <c r="AT1315" s="30"/>
      <c r="AU1315" s="30"/>
      <c r="AV1315" s="30"/>
      <c r="AW1315" s="30"/>
      <c r="AX1315" s="30"/>
    </row>
    <row r="1316" ht="15.75" customHeight="1">
      <c r="A1316" s="30"/>
      <c r="B1316" s="30"/>
      <c r="C1316" s="31"/>
      <c r="D1316" s="31"/>
      <c r="E1316" s="31"/>
      <c r="F1316" s="30"/>
      <c r="G1316" s="30"/>
      <c r="H1316" s="30"/>
      <c r="I1316" s="30"/>
      <c r="J1316" s="30"/>
      <c r="K1316" s="30"/>
      <c r="L1316" s="30"/>
      <c r="M1316" s="30"/>
      <c r="N1316" s="30"/>
      <c r="O1316" s="30"/>
      <c r="P1316" s="30"/>
      <c r="Q1316" s="30"/>
      <c r="R1316" s="30"/>
      <c r="S1316" s="30"/>
      <c r="T1316" s="30"/>
      <c r="U1316" s="30"/>
      <c r="V1316" s="30"/>
      <c r="W1316" s="30"/>
      <c r="X1316" s="30"/>
      <c r="Y1316" s="30"/>
      <c r="Z1316" s="30"/>
      <c r="AA1316" s="30"/>
      <c r="AB1316" s="30"/>
      <c r="AC1316" s="30"/>
      <c r="AD1316" s="30"/>
      <c r="AE1316" s="30"/>
      <c r="AF1316" s="30"/>
      <c r="AG1316" s="30"/>
      <c r="AH1316" s="30"/>
      <c r="AI1316" s="30"/>
      <c r="AJ1316" s="30"/>
      <c r="AK1316" s="30"/>
      <c r="AL1316" s="30"/>
      <c r="AM1316" s="30"/>
      <c r="AN1316" s="30"/>
      <c r="AO1316" s="30"/>
      <c r="AP1316" s="30"/>
      <c r="AQ1316" s="30"/>
      <c r="AR1316" s="30"/>
      <c r="AS1316" s="30"/>
      <c r="AT1316" s="30"/>
      <c r="AU1316" s="30"/>
      <c r="AV1316" s="30"/>
      <c r="AW1316" s="30"/>
      <c r="AX1316" s="30"/>
    </row>
    <row r="1317" ht="15.75" customHeight="1">
      <c r="A1317" s="30"/>
      <c r="B1317" s="30"/>
      <c r="C1317" s="31"/>
      <c r="D1317" s="31"/>
      <c r="E1317" s="31"/>
      <c r="F1317" s="30"/>
      <c r="G1317" s="30"/>
      <c r="H1317" s="30"/>
      <c r="I1317" s="30"/>
      <c r="J1317" s="30"/>
      <c r="K1317" s="30"/>
      <c r="L1317" s="30"/>
      <c r="M1317" s="30"/>
      <c r="N1317" s="30"/>
      <c r="O1317" s="30"/>
      <c r="P1317" s="30"/>
      <c r="Q1317" s="30"/>
      <c r="R1317" s="30"/>
      <c r="S1317" s="30"/>
      <c r="T1317" s="30"/>
      <c r="U1317" s="30"/>
      <c r="V1317" s="30"/>
      <c r="W1317" s="30"/>
      <c r="X1317" s="30"/>
      <c r="Y1317" s="30"/>
      <c r="Z1317" s="30"/>
      <c r="AA1317" s="30"/>
      <c r="AB1317" s="30"/>
      <c r="AC1317" s="30"/>
      <c r="AD1317" s="30"/>
      <c r="AE1317" s="30"/>
      <c r="AF1317" s="30"/>
      <c r="AG1317" s="30"/>
      <c r="AH1317" s="30"/>
      <c r="AI1317" s="30"/>
      <c r="AJ1317" s="30"/>
      <c r="AK1317" s="30"/>
      <c r="AL1317" s="30"/>
      <c r="AM1317" s="30"/>
      <c r="AN1317" s="30"/>
      <c r="AO1317" s="30"/>
      <c r="AP1317" s="30"/>
      <c r="AQ1317" s="30"/>
      <c r="AR1317" s="30"/>
      <c r="AS1317" s="30"/>
      <c r="AT1317" s="30"/>
      <c r="AU1317" s="30"/>
      <c r="AV1317" s="30"/>
      <c r="AW1317" s="30"/>
      <c r="AX1317" s="30"/>
    </row>
    <row r="1318" ht="15.75" customHeight="1">
      <c r="A1318" s="30"/>
      <c r="B1318" s="30"/>
      <c r="C1318" s="31"/>
      <c r="D1318" s="31"/>
      <c r="E1318" s="31"/>
      <c r="F1318" s="30"/>
      <c r="G1318" s="30"/>
      <c r="H1318" s="30"/>
      <c r="I1318" s="30"/>
      <c r="J1318" s="30"/>
      <c r="K1318" s="30"/>
      <c r="L1318" s="30"/>
      <c r="M1318" s="30"/>
      <c r="N1318" s="30"/>
      <c r="O1318" s="30"/>
      <c r="P1318" s="30"/>
      <c r="Q1318" s="30"/>
      <c r="R1318" s="30"/>
      <c r="S1318" s="30"/>
      <c r="T1318" s="30"/>
      <c r="U1318" s="30"/>
      <c r="V1318" s="30"/>
      <c r="W1318" s="30"/>
      <c r="X1318" s="30"/>
      <c r="Y1318" s="30"/>
      <c r="Z1318" s="30"/>
      <c r="AA1318" s="30"/>
      <c r="AB1318" s="30"/>
      <c r="AC1318" s="30"/>
      <c r="AD1318" s="30"/>
      <c r="AE1318" s="30"/>
      <c r="AF1318" s="30"/>
      <c r="AG1318" s="30"/>
      <c r="AH1318" s="30"/>
      <c r="AI1318" s="30"/>
      <c r="AJ1318" s="30"/>
      <c r="AK1318" s="30"/>
      <c r="AL1318" s="30"/>
      <c r="AM1318" s="30"/>
      <c r="AN1318" s="30"/>
      <c r="AO1318" s="30"/>
      <c r="AP1318" s="30"/>
      <c r="AQ1318" s="30"/>
      <c r="AR1318" s="30"/>
      <c r="AS1318" s="30"/>
      <c r="AT1318" s="30"/>
      <c r="AU1318" s="30"/>
      <c r="AV1318" s="30"/>
      <c r="AW1318" s="30"/>
      <c r="AX1318" s="30"/>
    </row>
    <row r="1319" ht="15.75" customHeight="1">
      <c r="A1319" s="30"/>
      <c r="B1319" s="30"/>
      <c r="C1319" s="31"/>
      <c r="D1319" s="31"/>
      <c r="E1319" s="31"/>
      <c r="F1319" s="30"/>
      <c r="G1319" s="30"/>
      <c r="H1319" s="30"/>
      <c r="I1319" s="30"/>
      <c r="J1319" s="30"/>
      <c r="K1319" s="30"/>
      <c r="L1319" s="30"/>
      <c r="M1319" s="30"/>
      <c r="N1319" s="30"/>
      <c r="O1319" s="30"/>
      <c r="P1319" s="30"/>
      <c r="Q1319" s="30"/>
      <c r="R1319" s="30"/>
      <c r="S1319" s="30"/>
      <c r="T1319" s="30"/>
      <c r="U1319" s="30"/>
      <c r="V1319" s="30"/>
      <c r="W1319" s="30"/>
      <c r="X1319" s="30"/>
      <c r="Y1319" s="30"/>
      <c r="Z1319" s="30"/>
      <c r="AA1319" s="30"/>
      <c r="AB1319" s="30"/>
      <c r="AC1319" s="30"/>
      <c r="AD1319" s="30"/>
      <c r="AE1319" s="30"/>
      <c r="AF1319" s="30"/>
      <c r="AG1319" s="30"/>
      <c r="AH1319" s="30"/>
      <c r="AI1319" s="30"/>
      <c r="AJ1319" s="30"/>
      <c r="AK1319" s="30"/>
      <c r="AL1319" s="30"/>
      <c r="AM1319" s="30"/>
      <c r="AN1319" s="30"/>
      <c r="AO1319" s="30"/>
      <c r="AP1319" s="30"/>
      <c r="AQ1319" s="30"/>
      <c r="AR1319" s="30"/>
      <c r="AS1319" s="30"/>
      <c r="AT1319" s="30"/>
      <c r="AU1319" s="30"/>
      <c r="AV1319" s="30"/>
      <c r="AW1319" s="30"/>
      <c r="AX1319" s="30"/>
    </row>
    <row r="1320" ht="15.75" customHeight="1">
      <c r="A1320" s="30"/>
      <c r="B1320" s="30"/>
      <c r="C1320" s="31"/>
      <c r="D1320" s="31"/>
      <c r="E1320" s="31"/>
      <c r="F1320" s="30"/>
      <c r="G1320" s="30"/>
      <c r="H1320" s="30"/>
      <c r="I1320" s="30"/>
      <c r="J1320" s="30"/>
      <c r="K1320" s="30"/>
      <c r="L1320" s="30"/>
      <c r="M1320" s="30"/>
      <c r="N1320" s="30"/>
      <c r="O1320" s="30"/>
      <c r="P1320" s="30"/>
      <c r="Q1320" s="30"/>
      <c r="R1320" s="30"/>
      <c r="S1320" s="30"/>
      <c r="T1320" s="30"/>
      <c r="U1320" s="30"/>
      <c r="V1320" s="30"/>
      <c r="W1320" s="30"/>
      <c r="X1320" s="30"/>
      <c r="Y1320" s="30"/>
      <c r="Z1320" s="30"/>
      <c r="AA1320" s="30"/>
      <c r="AB1320" s="30"/>
      <c r="AC1320" s="30"/>
      <c r="AD1320" s="30"/>
      <c r="AE1320" s="30"/>
      <c r="AF1320" s="30"/>
      <c r="AG1320" s="30"/>
      <c r="AH1320" s="30"/>
      <c r="AI1320" s="30"/>
      <c r="AJ1320" s="30"/>
      <c r="AK1320" s="30"/>
      <c r="AL1320" s="30"/>
      <c r="AM1320" s="30"/>
      <c r="AN1320" s="30"/>
      <c r="AO1320" s="30"/>
      <c r="AP1320" s="30"/>
      <c r="AQ1320" s="30"/>
      <c r="AR1320" s="30"/>
      <c r="AS1320" s="30"/>
      <c r="AT1320" s="30"/>
      <c r="AU1320" s="30"/>
      <c r="AV1320" s="30"/>
      <c r="AW1320" s="30"/>
      <c r="AX1320" s="30"/>
    </row>
    <row r="1321" ht="15.75" customHeight="1">
      <c r="A1321" s="30"/>
      <c r="B1321" s="30"/>
      <c r="C1321" s="31"/>
      <c r="D1321" s="31"/>
      <c r="E1321" s="31"/>
      <c r="F1321" s="30"/>
      <c r="G1321" s="30"/>
      <c r="H1321" s="30"/>
      <c r="I1321" s="30"/>
      <c r="J1321" s="30"/>
      <c r="K1321" s="30"/>
      <c r="L1321" s="30"/>
      <c r="M1321" s="30"/>
      <c r="N1321" s="30"/>
      <c r="O1321" s="30"/>
      <c r="P1321" s="30"/>
      <c r="Q1321" s="30"/>
      <c r="R1321" s="30"/>
      <c r="S1321" s="30"/>
      <c r="T1321" s="30"/>
      <c r="U1321" s="30"/>
      <c r="V1321" s="30"/>
      <c r="W1321" s="30"/>
      <c r="X1321" s="30"/>
      <c r="Y1321" s="30"/>
      <c r="Z1321" s="30"/>
      <c r="AA1321" s="30"/>
      <c r="AB1321" s="30"/>
      <c r="AC1321" s="30"/>
      <c r="AD1321" s="30"/>
      <c r="AE1321" s="30"/>
      <c r="AF1321" s="30"/>
      <c r="AG1321" s="30"/>
      <c r="AH1321" s="30"/>
      <c r="AI1321" s="30"/>
      <c r="AJ1321" s="30"/>
      <c r="AK1321" s="30"/>
      <c r="AL1321" s="30"/>
      <c r="AM1321" s="30"/>
      <c r="AN1321" s="30"/>
      <c r="AO1321" s="30"/>
      <c r="AP1321" s="30"/>
      <c r="AQ1321" s="30"/>
      <c r="AR1321" s="30"/>
      <c r="AS1321" s="30"/>
      <c r="AT1321" s="30"/>
      <c r="AU1321" s="30"/>
      <c r="AV1321" s="30"/>
      <c r="AW1321" s="30"/>
      <c r="AX1321" s="30"/>
    </row>
    <row r="1322" ht="15.75" customHeight="1">
      <c r="A1322" s="30"/>
      <c r="B1322" s="30"/>
      <c r="C1322" s="31"/>
      <c r="D1322" s="31"/>
      <c r="E1322" s="31"/>
      <c r="F1322" s="30"/>
      <c r="G1322" s="30"/>
      <c r="H1322" s="30"/>
      <c r="I1322" s="30"/>
      <c r="J1322" s="30"/>
      <c r="K1322" s="30"/>
      <c r="L1322" s="30"/>
      <c r="M1322" s="30"/>
      <c r="N1322" s="30"/>
      <c r="O1322" s="30"/>
      <c r="P1322" s="30"/>
      <c r="Q1322" s="30"/>
      <c r="R1322" s="30"/>
      <c r="S1322" s="30"/>
      <c r="T1322" s="30"/>
      <c r="U1322" s="30"/>
      <c r="V1322" s="30"/>
      <c r="W1322" s="30"/>
      <c r="X1322" s="30"/>
      <c r="Y1322" s="30"/>
      <c r="Z1322" s="30"/>
      <c r="AA1322" s="30"/>
      <c r="AB1322" s="30"/>
      <c r="AC1322" s="30"/>
      <c r="AD1322" s="30"/>
      <c r="AE1322" s="30"/>
      <c r="AF1322" s="30"/>
      <c r="AG1322" s="30"/>
      <c r="AH1322" s="30"/>
      <c r="AI1322" s="30"/>
      <c r="AJ1322" s="30"/>
      <c r="AK1322" s="30"/>
      <c r="AL1322" s="30"/>
      <c r="AM1322" s="30"/>
      <c r="AN1322" s="30"/>
      <c r="AO1322" s="30"/>
      <c r="AP1322" s="30"/>
      <c r="AQ1322" s="30"/>
      <c r="AR1322" s="30"/>
      <c r="AS1322" s="30"/>
      <c r="AT1322" s="30"/>
      <c r="AU1322" s="30"/>
      <c r="AV1322" s="30"/>
      <c r="AW1322" s="30"/>
      <c r="AX1322" s="30"/>
    </row>
    <row r="1323" ht="15.75" customHeight="1">
      <c r="A1323" s="30"/>
      <c r="B1323" s="30"/>
      <c r="C1323" s="31"/>
      <c r="D1323" s="31"/>
      <c r="E1323" s="31"/>
      <c r="F1323" s="30"/>
      <c r="G1323" s="30"/>
      <c r="H1323" s="30"/>
      <c r="I1323" s="30"/>
      <c r="J1323" s="30"/>
      <c r="K1323" s="30"/>
      <c r="L1323" s="30"/>
      <c r="M1323" s="30"/>
      <c r="N1323" s="30"/>
      <c r="O1323" s="30"/>
      <c r="P1323" s="30"/>
      <c r="Q1323" s="30"/>
      <c r="R1323" s="30"/>
      <c r="S1323" s="30"/>
      <c r="T1323" s="30"/>
      <c r="U1323" s="30"/>
      <c r="V1323" s="30"/>
      <c r="W1323" s="30"/>
      <c r="X1323" s="30"/>
      <c r="Y1323" s="30"/>
      <c r="Z1323" s="30"/>
      <c r="AA1323" s="30"/>
      <c r="AB1323" s="30"/>
      <c r="AC1323" s="30"/>
      <c r="AD1323" s="30"/>
      <c r="AE1323" s="30"/>
      <c r="AF1323" s="30"/>
      <c r="AG1323" s="30"/>
      <c r="AH1323" s="30"/>
      <c r="AI1323" s="30"/>
      <c r="AJ1323" s="30"/>
      <c r="AK1323" s="30"/>
      <c r="AL1323" s="30"/>
      <c r="AM1323" s="30"/>
      <c r="AN1323" s="30"/>
      <c r="AO1323" s="30"/>
      <c r="AP1323" s="30"/>
      <c r="AQ1323" s="30"/>
      <c r="AR1323" s="30"/>
      <c r="AS1323" s="30"/>
      <c r="AT1323" s="30"/>
      <c r="AU1323" s="30"/>
      <c r="AV1323" s="30"/>
      <c r="AW1323" s="30"/>
      <c r="AX1323" s="30"/>
    </row>
    <row r="1324" ht="15.75" customHeight="1">
      <c r="A1324" s="30"/>
      <c r="B1324" s="30"/>
      <c r="C1324" s="31"/>
      <c r="D1324" s="31"/>
      <c r="E1324" s="31"/>
      <c r="F1324" s="30"/>
      <c r="G1324" s="30"/>
      <c r="H1324" s="30"/>
      <c r="I1324" s="30"/>
      <c r="J1324" s="30"/>
      <c r="K1324" s="30"/>
      <c r="L1324" s="30"/>
      <c r="M1324" s="30"/>
      <c r="N1324" s="30"/>
      <c r="O1324" s="30"/>
      <c r="P1324" s="30"/>
      <c r="Q1324" s="30"/>
      <c r="R1324" s="30"/>
      <c r="S1324" s="30"/>
      <c r="T1324" s="30"/>
      <c r="U1324" s="30"/>
      <c r="V1324" s="30"/>
      <c r="W1324" s="30"/>
      <c r="X1324" s="30"/>
      <c r="Y1324" s="30"/>
      <c r="Z1324" s="30"/>
      <c r="AA1324" s="30"/>
      <c r="AB1324" s="30"/>
      <c r="AC1324" s="30"/>
      <c r="AD1324" s="30"/>
      <c r="AE1324" s="30"/>
      <c r="AF1324" s="30"/>
      <c r="AG1324" s="30"/>
      <c r="AH1324" s="30"/>
      <c r="AI1324" s="30"/>
      <c r="AJ1324" s="30"/>
      <c r="AK1324" s="30"/>
      <c r="AL1324" s="30"/>
      <c r="AM1324" s="30"/>
      <c r="AN1324" s="30"/>
      <c r="AO1324" s="30"/>
      <c r="AP1324" s="30"/>
      <c r="AQ1324" s="30"/>
      <c r="AR1324" s="30"/>
      <c r="AS1324" s="30"/>
      <c r="AT1324" s="30"/>
      <c r="AU1324" s="30"/>
      <c r="AV1324" s="30"/>
      <c r="AW1324" s="30"/>
      <c r="AX1324" s="30"/>
    </row>
    <row r="1325" ht="15.75" customHeight="1">
      <c r="A1325" s="30"/>
      <c r="B1325" s="30"/>
      <c r="C1325" s="31"/>
      <c r="D1325" s="31"/>
      <c r="E1325" s="31"/>
      <c r="F1325" s="30"/>
      <c r="G1325" s="30"/>
      <c r="H1325" s="30"/>
      <c r="I1325" s="30"/>
      <c r="J1325" s="30"/>
      <c r="K1325" s="30"/>
      <c r="L1325" s="30"/>
      <c r="M1325" s="30"/>
      <c r="N1325" s="30"/>
      <c r="O1325" s="30"/>
      <c r="P1325" s="30"/>
      <c r="Q1325" s="30"/>
      <c r="R1325" s="30"/>
      <c r="S1325" s="30"/>
      <c r="T1325" s="30"/>
      <c r="U1325" s="30"/>
      <c r="V1325" s="30"/>
      <c r="W1325" s="30"/>
      <c r="X1325" s="30"/>
      <c r="Y1325" s="30"/>
      <c r="Z1325" s="30"/>
      <c r="AA1325" s="30"/>
      <c r="AB1325" s="30"/>
      <c r="AC1325" s="30"/>
      <c r="AD1325" s="30"/>
      <c r="AE1325" s="30"/>
      <c r="AF1325" s="30"/>
      <c r="AG1325" s="30"/>
      <c r="AH1325" s="30"/>
      <c r="AI1325" s="30"/>
      <c r="AJ1325" s="30"/>
      <c r="AK1325" s="30"/>
      <c r="AL1325" s="30"/>
      <c r="AM1325" s="30"/>
      <c r="AN1325" s="30"/>
      <c r="AO1325" s="30"/>
      <c r="AP1325" s="30"/>
      <c r="AQ1325" s="30"/>
      <c r="AR1325" s="30"/>
      <c r="AS1325" s="30"/>
      <c r="AT1325" s="30"/>
      <c r="AU1325" s="30"/>
      <c r="AV1325" s="30"/>
      <c r="AW1325" s="30"/>
      <c r="AX1325" s="30"/>
    </row>
    <row r="1326" ht="15.75" customHeight="1">
      <c r="A1326" s="30"/>
      <c r="B1326" s="30"/>
      <c r="C1326" s="31"/>
      <c r="D1326" s="31"/>
      <c r="E1326" s="31"/>
      <c r="F1326" s="30"/>
      <c r="G1326" s="30"/>
      <c r="H1326" s="30"/>
      <c r="I1326" s="30"/>
      <c r="J1326" s="30"/>
      <c r="K1326" s="30"/>
      <c r="L1326" s="30"/>
      <c r="M1326" s="30"/>
      <c r="N1326" s="30"/>
      <c r="O1326" s="30"/>
      <c r="P1326" s="30"/>
      <c r="Q1326" s="30"/>
      <c r="R1326" s="30"/>
      <c r="S1326" s="30"/>
      <c r="T1326" s="30"/>
      <c r="U1326" s="30"/>
      <c r="V1326" s="30"/>
      <c r="W1326" s="30"/>
      <c r="X1326" s="30"/>
      <c r="Y1326" s="30"/>
      <c r="Z1326" s="30"/>
      <c r="AA1326" s="30"/>
      <c r="AB1326" s="30"/>
      <c r="AC1326" s="30"/>
      <c r="AD1326" s="30"/>
      <c r="AE1326" s="30"/>
      <c r="AF1326" s="30"/>
      <c r="AG1326" s="30"/>
      <c r="AH1326" s="30"/>
      <c r="AI1326" s="30"/>
      <c r="AJ1326" s="30"/>
      <c r="AK1326" s="30"/>
      <c r="AL1326" s="30"/>
      <c r="AM1326" s="30"/>
      <c r="AN1326" s="30"/>
      <c r="AO1326" s="30"/>
      <c r="AP1326" s="30"/>
      <c r="AQ1326" s="30"/>
      <c r="AR1326" s="30"/>
      <c r="AS1326" s="30"/>
      <c r="AT1326" s="30"/>
      <c r="AU1326" s="30"/>
      <c r="AV1326" s="30"/>
      <c r="AW1326" s="30"/>
      <c r="AX1326" s="30"/>
    </row>
    <row r="1327" ht="15.75" customHeight="1">
      <c r="A1327" s="30"/>
      <c r="B1327" s="30"/>
      <c r="C1327" s="31"/>
      <c r="D1327" s="31"/>
      <c r="E1327" s="31"/>
      <c r="F1327" s="30"/>
      <c r="G1327" s="30"/>
      <c r="H1327" s="30"/>
      <c r="I1327" s="30"/>
      <c r="J1327" s="30"/>
      <c r="K1327" s="30"/>
      <c r="L1327" s="30"/>
      <c r="M1327" s="30"/>
      <c r="N1327" s="30"/>
      <c r="O1327" s="30"/>
      <c r="P1327" s="30"/>
      <c r="Q1327" s="30"/>
      <c r="R1327" s="30"/>
      <c r="S1327" s="30"/>
      <c r="T1327" s="30"/>
      <c r="U1327" s="30"/>
      <c r="V1327" s="30"/>
      <c r="W1327" s="30"/>
      <c r="X1327" s="30"/>
      <c r="Y1327" s="30"/>
      <c r="Z1327" s="30"/>
      <c r="AA1327" s="30"/>
      <c r="AB1327" s="30"/>
      <c r="AC1327" s="30"/>
      <c r="AD1327" s="30"/>
      <c r="AE1327" s="30"/>
      <c r="AF1327" s="30"/>
      <c r="AG1327" s="30"/>
      <c r="AH1327" s="30"/>
      <c r="AI1327" s="30"/>
      <c r="AJ1327" s="30"/>
      <c r="AK1327" s="30"/>
      <c r="AL1327" s="30"/>
      <c r="AM1327" s="30"/>
      <c r="AN1327" s="30"/>
      <c r="AO1327" s="30"/>
      <c r="AP1327" s="30"/>
      <c r="AQ1327" s="30"/>
      <c r="AR1327" s="30"/>
      <c r="AS1327" s="30"/>
      <c r="AT1327" s="30"/>
      <c r="AU1327" s="30"/>
      <c r="AV1327" s="30"/>
      <c r="AW1327" s="30"/>
      <c r="AX1327" s="30"/>
    </row>
    <row r="1328" ht="15.75" customHeight="1">
      <c r="A1328" s="30"/>
      <c r="B1328" s="30"/>
      <c r="C1328" s="31"/>
      <c r="D1328" s="31"/>
      <c r="E1328" s="31"/>
      <c r="F1328" s="30"/>
      <c r="G1328" s="30"/>
      <c r="H1328" s="30"/>
      <c r="I1328" s="30"/>
      <c r="J1328" s="30"/>
      <c r="K1328" s="30"/>
      <c r="L1328" s="30"/>
      <c r="M1328" s="30"/>
      <c r="N1328" s="30"/>
      <c r="O1328" s="30"/>
      <c r="P1328" s="30"/>
      <c r="Q1328" s="30"/>
      <c r="R1328" s="30"/>
      <c r="S1328" s="30"/>
      <c r="T1328" s="30"/>
      <c r="U1328" s="30"/>
      <c r="V1328" s="30"/>
      <c r="W1328" s="30"/>
      <c r="X1328" s="30"/>
      <c r="Y1328" s="30"/>
      <c r="Z1328" s="30"/>
      <c r="AA1328" s="30"/>
      <c r="AB1328" s="30"/>
      <c r="AC1328" s="30"/>
      <c r="AD1328" s="30"/>
      <c r="AE1328" s="30"/>
      <c r="AF1328" s="30"/>
      <c r="AG1328" s="30"/>
      <c r="AH1328" s="30"/>
      <c r="AI1328" s="30"/>
      <c r="AJ1328" s="30"/>
      <c r="AK1328" s="30"/>
      <c r="AL1328" s="30"/>
      <c r="AM1328" s="30"/>
      <c r="AN1328" s="30"/>
      <c r="AO1328" s="30"/>
      <c r="AP1328" s="30"/>
      <c r="AQ1328" s="30"/>
      <c r="AR1328" s="30"/>
      <c r="AS1328" s="30"/>
      <c r="AT1328" s="30"/>
      <c r="AU1328" s="30"/>
      <c r="AV1328" s="30"/>
      <c r="AW1328" s="30"/>
      <c r="AX1328" s="30"/>
    </row>
    <row r="1329" ht="15.75" customHeight="1">
      <c r="A1329" s="30"/>
      <c r="B1329" s="30"/>
      <c r="C1329" s="31"/>
      <c r="D1329" s="31"/>
      <c r="E1329" s="31"/>
      <c r="F1329" s="30"/>
      <c r="G1329" s="30"/>
      <c r="H1329" s="30"/>
      <c r="I1329" s="30"/>
      <c r="J1329" s="30"/>
      <c r="K1329" s="30"/>
      <c r="L1329" s="30"/>
      <c r="M1329" s="30"/>
      <c r="N1329" s="30"/>
      <c r="O1329" s="30"/>
      <c r="P1329" s="30"/>
      <c r="Q1329" s="30"/>
      <c r="R1329" s="30"/>
      <c r="S1329" s="30"/>
      <c r="T1329" s="30"/>
      <c r="U1329" s="30"/>
      <c r="V1329" s="30"/>
      <c r="W1329" s="30"/>
      <c r="X1329" s="30"/>
      <c r="Y1329" s="30"/>
      <c r="Z1329" s="30"/>
      <c r="AA1329" s="30"/>
      <c r="AB1329" s="30"/>
      <c r="AC1329" s="30"/>
      <c r="AD1329" s="30"/>
      <c r="AE1329" s="30"/>
      <c r="AF1329" s="30"/>
      <c r="AG1329" s="30"/>
      <c r="AH1329" s="30"/>
      <c r="AI1329" s="30"/>
      <c r="AJ1329" s="30"/>
      <c r="AK1329" s="30"/>
      <c r="AL1329" s="30"/>
      <c r="AM1329" s="30"/>
      <c r="AN1329" s="30"/>
      <c r="AO1329" s="30"/>
      <c r="AP1329" s="30"/>
      <c r="AQ1329" s="30"/>
      <c r="AR1329" s="30"/>
      <c r="AS1329" s="30"/>
      <c r="AT1329" s="30"/>
      <c r="AU1329" s="30"/>
      <c r="AV1329" s="30"/>
      <c r="AW1329" s="30"/>
      <c r="AX1329" s="30"/>
    </row>
    <row r="1330" ht="15.75" customHeight="1">
      <c r="A1330" s="30"/>
      <c r="B1330" s="30"/>
      <c r="C1330" s="31"/>
      <c r="D1330" s="31"/>
      <c r="E1330" s="31"/>
      <c r="F1330" s="30"/>
      <c r="G1330" s="30"/>
      <c r="H1330" s="30"/>
      <c r="I1330" s="30"/>
      <c r="J1330" s="30"/>
      <c r="K1330" s="30"/>
      <c r="L1330" s="30"/>
      <c r="M1330" s="30"/>
      <c r="N1330" s="30"/>
      <c r="O1330" s="30"/>
      <c r="P1330" s="30"/>
      <c r="Q1330" s="30"/>
      <c r="R1330" s="30"/>
      <c r="S1330" s="30"/>
      <c r="T1330" s="30"/>
      <c r="U1330" s="30"/>
      <c r="V1330" s="30"/>
      <c r="W1330" s="30"/>
      <c r="X1330" s="30"/>
      <c r="Y1330" s="30"/>
      <c r="Z1330" s="30"/>
      <c r="AA1330" s="30"/>
      <c r="AB1330" s="30"/>
      <c r="AC1330" s="30"/>
      <c r="AD1330" s="30"/>
      <c r="AE1330" s="30"/>
      <c r="AF1330" s="30"/>
      <c r="AG1330" s="30"/>
      <c r="AH1330" s="30"/>
      <c r="AI1330" s="30"/>
      <c r="AJ1330" s="30"/>
      <c r="AK1330" s="30"/>
      <c r="AL1330" s="30"/>
      <c r="AM1330" s="30"/>
      <c r="AN1330" s="30"/>
      <c r="AO1330" s="30"/>
      <c r="AP1330" s="30"/>
      <c r="AQ1330" s="30"/>
      <c r="AR1330" s="30"/>
      <c r="AS1330" s="30"/>
      <c r="AT1330" s="30"/>
      <c r="AU1330" s="30"/>
      <c r="AV1330" s="30"/>
      <c r="AW1330" s="30"/>
      <c r="AX1330" s="30"/>
    </row>
    <row r="1331" ht="15.75" customHeight="1">
      <c r="A1331" s="30"/>
      <c r="B1331" s="30"/>
      <c r="C1331" s="31"/>
      <c r="D1331" s="31"/>
      <c r="E1331" s="31"/>
      <c r="F1331" s="30"/>
      <c r="G1331" s="30"/>
      <c r="H1331" s="30"/>
      <c r="I1331" s="30"/>
      <c r="J1331" s="30"/>
      <c r="K1331" s="30"/>
      <c r="L1331" s="30"/>
      <c r="M1331" s="30"/>
      <c r="N1331" s="30"/>
      <c r="O1331" s="30"/>
      <c r="P1331" s="30"/>
      <c r="Q1331" s="30"/>
      <c r="R1331" s="30"/>
      <c r="S1331" s="30"/>
      <c r="T1331" s="30"/>
      <c r="U1331" s="30"/>
      <c r="V1331" s="30"/>
      <c r="W1331" s="30"/>
      <c r="X1331" s="30"/>
      <c r="Y1331" s="30"/>
      <c r="Z1331" s="30"/>
      <c r="AA1331" s="30"/>
      <c r="AB1331" s="30"/>
      <c r="AC1331" s="30"/>
      <c r="AD1331" s="30"/>
      <c r="AE1331" s="30"/>
      <c r="AF1331" s="30"/>
      <c r="AG1331" s="30"/>
      <c r="AH1331" s="30"/>
      <c r="AI1331" s="30"/>
      <c r="AJ1331" s="30"/>
      <c r="AK1331" s="30"/>
      <c r="AL1331" s="30"/>
      <c r="AM1331" s="30"/>
      <c r="AN1331" s="30"/>
      <c r="AO1331" s="30"/>
      <c r="AP1331" s="30"/>
      <c r="AQ1331" s="30"/>
      <c r="AR1331" s="30"/>
      <c r="AS1331" s="30"/>
      <c r="AT1331" s="30"/>
      <c r="AU1331" s="30"/>
      <c r="AV1331" s="30"/>
      <c r="AW1331" s="30"/>
      <c r="AX1331" s="30"/>
    </row>
    <row r="1332" ht="15.75" customHeight="1">
      <c r="A1332" s="30"/>
      <c r="B1332" s="30"/>
      <c r="C1332" s="31"/>
      <c r="D1332" s="31"/>
      <c r="E1332" s="31"/>
      <c r="F1332" s="30"/>
      <c r="G1332" s="30"/>
      <c r="H1332" s="30"/>
      <c r="I1332" s="30"/>
      <c r="J1332" s="30"/>
      <c r="K1332" s="30"/>
      <c r="L1332" s="30"/>
      <c r="M1332" s="30"/>
      <c r="N1332" s="30"/>
      <c r="O1332" s="30"/>
      <c r="P1332" s="30"/>
      <c r="Q1332" s="30"/>
      <c r="R1332" s="30"/>
      <c r="S1332" s="30"/>
      <c r="T1332" s="30"/>
      <c r="U1332" s="30"/>
      <c r="V1332" s="30"/>
      <c r="W1332" s="30"/>
      <c r="X1332" s="30"/>
      <c r="Y1332" s="30"/>
      <c r="Z1332" s="30"/>
      <c r="AA1332" s="30"/>
      <c r="AB1332" s="30"/>
      <c r="AC1332" s="30"/>
      <c r="AD1332" s="30"/>
      <c r="AE1332" s="30"/>
      <c r="AF1332" s="30"/>
      <c r="AG1332" s="30"/>
      <c r="AH1332" s="30"/>
      <c r="AI1332" s="30"/>
      <c r="AJ1332" s="30"/>
      <c r="AK1332" s="30"/>
      <c r="AL1332" s="30"/>
      <c r="AM1332" s="30"/>
      <c r="AN1332" s="30"/>
      <c r="AO1332" s="30"/>
      <c r="AP1332" s="30"/>
      <c r="AQ1332" s="30"/>
      <c r="AR1332" s="30"/>
      <c r="AS1332" s="30"/>
      <c r="AT1332" s="30"/>
      <c r="AU1332" s="30"/>
      <c r="AV1332" s="30"/>
      <c r="AW1332" s="30"/>
      <c r="AX1332" s="30"/>
    </row>
    <row r="1333" ht="15.75" customHeight="1">
      <c r="A1333" s="30"/>
      <c r="B1333" s="30"/>
      <c r="C1333" s="31"/>
      <c r="D1333" s="31"/>
      <c r="E1333" s="31"/>
      <c r="F1333" s="30"/>
      <c r="G1333" s="30"/>
      <c r="H1333" s="30"/>
      <c r="I1333" s="30"/>
      <c r="J1333" s="30"/>
      <c r="K1333" s="30"/>
      <c r="L1333" s="30"/>
      <c r="M1333" s="30"/>
      <c r="N1333" s="30"/>
      <c r="O1333" s="30"/>
      <c r="P1333" s="30"/>
      <c r="Q1333" s="30"/>
      <c r="R1333" s="30"/>
      <c r="S1333" s="30"/>
      <c r="T1333" s="30"/>
      <c r="U1333" s="30"/>
      <c r="V1333" s="30"/>
      <c r="W1333" s="30"/>
      <c r="X1333" s="30"/>
      <c r="Y1333" s="30"/>
      <c r="Z1333" s="30"/>
      <c r="AA1333" s="30"/>
      <c r="AB1333" s="30"/>
      <c r="AC1333" s="30"/>
      <c r="AD1333" s="30"/>
      <c r="AE1333" s="30"/>
      <c r="AF1333" s="30"/>
      <c r="AG1333" s="30"/>
      <c r="AH1333" s="30"/>
      <c r="AI1333" s="30"/>
      <c r="AJ1333" s="30"/>
      <c r="AK1333" s="30"/>
      <c r="AL1333" s="30"/>
      <c r="AM1333" s="30"/>
      <c r="AN1333" s="30"/>
      <c r="AO1333" s="30"/>
      <c r="AP1333" s="30"/>
      <c r="AQ1333" s="30"/>
      <c r="AR1333" s="30"/>
      <c r="AS1333" s="30"/>
      <c r="AT1333" s="30"/>
      <c r="AU1333" s="30"/>
      <c r="AV1333" s="30"/>
      <c r="AW1333" s="30"/>
      <c r="AX1333" s="30"/>
    </row>
    <row r="1334" ht="15.75" customHeight="1">
      <c r="A1334" s="30"/>
      <c r="B1334" s="30"/>
      <c r="C1334" s="31"/>
      <c r="D1334" s="31"/>
      <c r="E1334" s="31"/>
      <c r="F1334" s="30"/>
      <c r="G1334" s="30"/>
      <c r="H1334" s="30"/>
      <c r="I1334" s="30"/>
      <c r="J1334" s="30"/>
      <c r="K1334" s="30"/>
      <c r="L1334" s="30"/>
      <c r="M1334" s="30"/>
      <c r="N1334" s="30"/>
      <c r="O1334" s="30"/>
      <c r="P1334" s="30"/>
      <c r="Q1334" s="30"/>
      <c r="R1334" s="30"/>
      <c r="S1334" s="30"/>
      <c r="T1334" s="30"/>
      <c r="U1334" s="30"/>
      <c r="V1334" s="30"/>
      <c r="W1334" s="30"/>
      <c r="X1334" s="30"/>
      <c r="Y1334" s="30"/>
      <c r="Z1334" s="30"/>
      <c r="AA1334" s="30"/>
      <c r="AB1334" s="30"/>
      <c r="AC1334" s="30"/>
      <c r="AD1334" s="30"/>
      <c r="AE1334" s="30"/>
      <c r="AF1334" s="30"/>
      <c r="AG1334" s="30"/>
      <c r="AH1334" s="30"/>
      <c r="AI1334" s="30"/>
      <c r="AJ1334" s="30"/>
      <c r="AK1334" s="30"/>
      <c r="AL1334" s="30"/>
      <c r="AM1334" s="30"/>
      <c r="AN1334" s="30"/>
      <c r="AO1334" s="30"/>
      <c r="AP1334" s="30"/>
      <c r="AQ1334" s="30"/>
      <c r="AR1334" s="30"/>
      <c r="AS1334" s="30"/>
      <c r="AT1334" s="30"/>
      <c r="AU1334" s="30"/>
      <c r="AV1334" s="30"/>
      <c r="AW1334" s="30"/>
      <c r="AX1334" s="30"/>
    </row>
    <row r="1335" ht="15.75" customHeight="1">
      <c r="A1335" s="30"/>
      <c r="B1335" s="30"/>
      <c r="C1335" s="31"/>
      <c r="D1335" s="31"/>
      <c r="E1335" s="31"/>
      <c r="F1335" s="30"/>
      <c r="G1335" s="30"/>
      <c r="H1335" s="30"/>
      <c r="I1335" s="30"/>
      <c r="J1335" s="30"/>
      <c r="K1335" s="30"/>
      <c r="L1335" s="30"/>
      <c r="M1335" s="30"/>
      <c r="N1335" s="30"/>
      <c r="O1335" s="30"/>
      <c r="P1335" s="30"/>
      <c r="Q1335" s="30"/>
      <c r="R1335" s="30"/>
      <c r="S1335" s="30"/>
      <c r="T1335" s="30"/>
      <c r="U1335" s="30"/>
      <c r="V1335" s="30"/>
      <c r="W1335" s="30"/>
      <c r="X1335" s="30"/>
      <c r="Y1335" s="30"/>
      <c r="Z1335" s="30"/>
      <c r="AA1335" s="30"/>
      <c r="AB1335" s="30"/>
      <c r="AC1335" s="30"/>
      <c r="AD1335" s="30"/>
      <c r="AE1335" s="30"/>
      <c r="AF1335" s="30"/>
      <c r="AG1335" s="30"/>
      <c r="AH1335" s="30"/>
      <c r="AI1335" s="30"/>
      <c r="AJ1335" s="30"/>
      <c r="AK1335" s="30"/>
      <c r="AL1335" s="30"/>
      <c r="AM1335" s="30"/>
      <c r="AN1335" s="30"/>
      <c r="AO1335" s="30"/>
      <c r="AP1335" s="30"/>
      <c r="AQ1335" s="30"/>
      <c r="AR1335" s="30"/>
      <c r="AS1335" s="30"/>
      <c r="AT1335" s="30"/>
      <c r="AU1335" s="30"/>
      <c r="AV1335" s="30"/>
      <c r="AW1335" s="30"/>
      <c r="AX1335" s="30"/>
    </row>
    <row r="1336" ht="15.75" customHeight="1">
      <c r="A1336" s="30"/>
      <c r="B1336" s="30"/>
      <c r="C1336" s="31"/>
      <c r="D1336" s="31"/>
      <c r="E1336" s="31"/>
      <c r="F1336" s="30"/>
      <c r="G1336" s="30"/>
      <c r="H1336" s="30"/>
      <c r="I1336" s="30"/>
      <c r="J1336" s="30"/>
      <c r="K1336" s="30"/>
      <c r="L1336" s="30"/>
      <c r="M1336" s="30"/>
      <c r="N1336" s="30"/>
      <c r="O1336" s="30"/>
      <c r="P1336" s="30"/>
      <c r="Q1336" s="30"/>
      <c r="R1336" s="30"/>
      <c r="S1336" s="30"/>
      <c r="T1336" s="30"/>
      <c r="U1336" s="30"/>
      <c r="V1336" s="30"/>
      <c r="W1336" s="30"/>
      <c r="X1336" s="30"/>
      <c r="Y1336" s="30"/>
      <c r="Z1336" s="30"/>
      <c r="AA1336" s="30"/>
      <c r="AB1336" s="30"/>
      <c r="AC1336" s="30"/>
      <c r="AD1336" s="30"/>
      <c r="AE1336" s="30"/>
      <c r="AF1336" s="30"/>
      <c r="AG1336" s="30"/>
      <c r="AH1336" s="30"/>
      <c r="AI1336" s="30"/>
      <c r="AJ1336" s="30"/>
      <c r="AK1336" s="30"/>
      <c r="AL1336" s="30"/>
      <c r="AM1336" s="30"/>
      <c r="AN1336" s="30"/>
      <c r="AO1336" s="30"/>
      <c r="AP1336" s="30"/>
      <c r="AQ1336" s="30"/>
      <c r="AR1336" s="30"/>
      <c r="AS1336" s="30"/>
      <c r="AT1336" s="30"/>
      <c r="AU1336" s="30"/>
      <c r="AV1336" s="30"/>
      <c r="AW1336" s="30"/>
      <c r="AX1336" s="30"/>
    </row>
    <row r="1337" ht="15.75" customHeight="1">
      <c r="A1337" s="30"/>
      <c r="B1337" s="30"/>
      <c r="C1337" s="31"/>
      <c r="D1337" s="31"/>
      <c r="E1337" s="31"/>
      <c r="F1337" s="30"/>
      <c r="G1337" s="30"/>
      <c r="H1337" s="30"/>
      <c r="I1337" s="30"/>
      <c r="J1337" s="30"/>
      <c r="K1337" s="30"/>
      <c r="L1337" s="30"/>
      <c r="M1337" s="30"/>
      <c r="N1337" s="30"/>
      <c r="O1337" s="30"/>
      <c r="P1337" s="30"/>
      <c r="Q1337" s="30"/>
      <c r="R1337" s="30"/>
      <c r="S1337" s="30"/>
      <c r="T1337" s="30"/>
      <c r="U1337" s="30"/>
      <c r="V1337" s="30"/>
      <c r="W1337" s="30"/>
      <c r="X1337" s="30"/>
      <c r="Y1337" s="30"/>
      <c r="Z1337" s="30"/>
      <c r="AA1337" s="30"/>
      <c r="AB1337" s="30"/>
      <c r="AC1337" s="30"/>
      <c r="AD1337" s="30"/>
      <c r="AE1337" s="30"/>
      <c r="AF1337" s="30"/>
      <c r="AG1337" s="30"/>
      <c r="AH1337" s="30"/>
      <c r="AI1337" s="30"/>
      <c r="AJ1337" s="30"/>
      <c r="AK1337" s="30"/>
      <c r="AL1337" s="30"/>
      <c r="AM1337" s="30"/>
      <c r="AN1337" s="30"/>
      <c r="AO1337" s="30"/>
      <c r="AP1337" s="30"/>
      <c r="AQ1337" s="30"/>
      <c r="AR1337" s="30"/>
      <c r="AS1337" s="30"/>
      <c r="AT1337" s="30"/>
      <c r="AU1337" s="30"/>
      <c r="AV1337" s="30"/>
      <c r="AW1337" s="30"/>
      <c r="AX1337" s="30"/>
    </row>
    <row r="1338" ht="15.75" customHeight="1">
      <c r="A1338" s="30"/>
      <c r="B1338" s="30"/>
      <c r="C1338" s="31"/>
      <c r="D1338" s="31"/>
      <c r="E1338" s="31"/>
      <c r="F1338" s="30"/>
      <c r="G1338" s="30"/>
      <c r="H1338" s="30"/>
      <c r="I1338" s="30"/>
      <c r="J1338" s="30"/>
      <c r="K1338" s="30"/>
      <c r="L1338" s="30"/>
      <c r="M1338" s="30"/>
      <c r="N1338" s="30"/>
      <c r="O1338" s="30"/>
      <c r="P1338" s="30"/>
      <c r="Q1338" s="30"/>
      <c r="R1338" s="30"/>
      <c r="S1338" s="30"/>
      <c r="T1338" s="30"/>
      <c r="U1338" s="30"/>
      <c r="V1338" s="30"/>
      <c r="W1338" s="30"/>
      <c r="X1338" s="30"/>
      <c r="Y1338" s="30"/>
      <c r="Z1338" s="30"/>
      <c r="AA1338" s="30"/>
      <c r="AB1338" s="30"/>
      <c r="AC1338" s="30"/>
      <c r="AD1338" s="30"/>
      <c r="AE1338" s="30"/>
      <c r="AF1338" s="30"/>
      <c r="AG1338" s="30"/>
      <c r="AH1338" s="30"/>
      <c r="AI1338" s="30"/>
      <c r="AJ1338" s="30"/>
      <c r="AK1338" s="30"/>
      <c r="AL1338" s="30"/>
      <c r="AM1338" s="30"/>
      <c r="AN1338" s="30"/>
      <c r="AO1338" s="30"/>
      <c r="AP1338" s="30"/>
      <c r="AQ1338" s="30"/>
      <c r="AR1338" s="30"/>
      <c r="AS1338" s="30"/>
      <c r="AT1338" s="30"/>
      <c r="AU1338" s="30"/>
      <c r="AV1338" s="30"/>
      <c r="AW1338" s="30"/>
      <c r="AX1338" s="30"/>
    </row>
    <row r="1339" ht="15.75" customHeight="1">
      <c r="A1339" s="30"/>
      <c r="B1339" s="30"/>
      <c r="C1339" s="31"/>
      <c r="D1339" s="31"/>
      <c r="E1339" s="31"/>
      <c r="F1339" s="30"/>
      <c r="G1339" s="30"/>
      <c r="H1339" s="30"/>
      <c r="I1339" s="30"/>
      <c r="J1339" s="30"/>
      <c r="K1339" s="30"/>
      <c r="L1339" s="30"/>
      <c r="M1339" s="30"/>
      <c r="N1339" s="30"/>
      <c r="O1339" s="30"/>
      <c r="P1339" s="30"/>
      <c r="Q1339" s="30"/>
      <c r="R1339" s="30"/>
      <c r="S1339" s="30"/>
      <c r="T1339" s="30"/>
      <c r="U1339" s="30"/>
      <c r="V1339" s="30"/>
      <c r="W1339" s="30"/>
      <c r="X1339" s="30"/>
      <c r="Y1339" s="30"/>
      <c r="Z1339" s="30"/>
      <c r="AA1339" s="30"/>
      <c r="AB1339" s="30"/>
      <c r="AC1339" s="30"/>
      <c r="AD1339" s="30"/>
      <c r="AE1339" s="30"/>
      <c r="AF1339" s="30"/>
      <c r="AG1339" s="30"/>
      <c r="AH1339" s="30"/>
      <c r="AI1339" s="30"/>
      <c r="AJ1339" s="30"/>
      <c r="AK1339" s="30"/>
      <c r="AL1339" s="30"/>
      <c r="AM1339" s="30"/>
      <c r="AN1339" s="30"/>
      <c r="AO1339" s="30"/>
      <c r="AP1339" s="30"/>
      <c r="AQ1339" s="30"/>
      <c r="AR1339" s="30"/>
      <c r="AS1339" s="30"/>
      <c r="AT1339" s="30"/>
      <c r="AU1339" s="30"/>
      <c r="AV1339" s="30"/>
      <c r="AW1339" s="30"/>
      <c r="AX1339" s="30"/>
    </row>
    <row r="1340" ht="15.75" customHeight="1">
      <c r="A1340" s="30"/>
      <c r="B1340" s="30"/>
      <c r="C1340" s="31"/>
      <c r="D1340" s="31"/>
      <c r="E1340" s="31"/>
      <c r="F1340" s="30"/>
      <c r="G1340" s="30"/>
      <c r="H1340" s="30"/>
      <c r="I1340" s="30"/>
      <c r="J1340" s="30"/>
      <c r="K1340" s="30"/>
      <c r="L1340" s="30"/>
      <c r="M1340" s="30"/>
      <c r="N1340" s="30"/>
      <c r="O1340" s="30"/>
      <c r="P1340" s="30"/>
      <c r="Q1340" s="30"/>
      <c r="R1340" s="30"/>
      <c r="S1340" s="30"/>
      <c r="T1340" s="30"/>
      <c r="U1340" s="30"/>
      <c r="V1340" s="30"/>
      <c r="W1340" s="30"/>
      <c r="X1340" s="30"/>
      <c r="Y1340" s="30"/>
      <c r="Z1340" s="30"/>
      <c r="AA1340" s="30"/>
      <c r="AB1340" s="30"/>
      <c r="AC1340" s="30"/>
      <c r="AD1340" s="30"/>
      <c r="AE1340" s="30"/>
      <c r="AF1340" s="30"/>
      <c r="AG1340" s="30"/>
      <c r="AH1340" s="30"/>
      <c r="AI1340" s="30"/>
      <c r="AJ1340" s="30"/>
      <c r="AK1340" s="30"/>
      <c r="AL1340" s="30"/>
      <c r="AM1340" s="30"/>
      <c r="AN1340" s="30"/>
      <c r="AO1340" s="30"/>
      <c r="AP1340" s="30"/>
      <c r="AQ1340" s="30"/>
      <c r="AR1340" s="30"/>
      <c r="AS1340" s="30"/>
      <c r="AT1340" s="30"/>
      <c r="AU1340" s="30"/>
      <c r="AV1340" s="30"/>
      <c r="AW1340" s="30"/>
      <c r="AX1340" s="30"/>
    </row>
    <row r="1341" ht="15.75" customHeight="1">
      <c r="A1341" s="30"/>
      <c r="B1341" s="30"/>
      <c r="C1341" s="31"/>
      <c r="D1341" s="31"/>
      <c r="E1341" s="31"/>
      <c r="F1341" s="30"/>
      <c r="G1341" s="30"/>
      <c r="H1341" s="30"/>
      <c r="I1341" s="30"/>
      <c r="J1341" s="30"/>
      <c r="K1341" s="30"/>
      <c r="L1341" s="30"/>
      <c r="M1341" s="30"/>
      <c r="N1341" s="30"/>
      <c r="O1341" s="30"/>
      <c r="P1341" s="30"/>
      <c r="Q1341" s="30"/>
      <c r="R1341" s="30"/>
      <c r="S1341" s="30"/>
      <c r="T1341" s="30"/>
      <c r="U1341" s="30"/>
      <c r="V1341" s="30"/>
      <c r="W1341" s="30"/>
      <c r="X1341" s="30"/>
      <c r="Y1341" s="30"/>
      <c r="Z1341" s="30"/>
      <c r="AA1341" s="30"/>
      <c r="AB1341" s="30"/>
      <c r="AC1341" s="30"/>
      <c r="AD1341" s="30"/>
      <c r="AE1341" s="30"/>
      <c r="AF1341" s="30"/>
      <c r="AG1341" s="30"/>
      <c r="AH1341" s="30"/>
      <c r="AI1341" s="30"/>
      <c r="AJ1341" s="30"/>
      <c r="AK1341" s="30"/>
      <c r="AL1341" s="30"/>
      <c r="AM1341" s="30"/>
      <c r="AN1341" s="30"/>
      <c r="AO1341" s="30"/>
      <c r="AP1341" s="30"/>
      <c r="AQ1341" s="30"/>
      <c r="AR1341" s="30"/>
      <c r="AS1341" s="30"/>
      <c r="AT1341" s="30"/>
      <c r="AU1341" s="30"/>
      <c r="AV1341" s="30"/>
      <c r="AW1341" s="30"/>
      <c r="AX1341" s="30"/>
    </row>
    <row r="1342" ht="15.75" customHeight="1">
      <c r="A1342" s="30"/>
      <c r="B1342" s="30"/>
      <c r="C1342" s="31"/>
      <c r="D1342" s="31"/>
      <c r="E1342" s="31"/>
      <c r="F1342" s="30"/>
      <c r="G1342" s="30"/>
      <c r="H1342" s="30"/>
      <c r="I1342" s="30"/>
      <c r="J1342" s="30"/>
      <c r="K1342" s="30"/>
      <c r="L1342" s="30"/>
      <c r="M1342" s="30"/>
      <c r="N1342" s="30"/>
      <c r="O1342" s="30"/>
      <c r="P1342" s="30"/>
      <c r="Q1342" s="30"/>
      <c r="R1342" s="30"/>
      <c r="S1342" s="30"/>
      <c r="T1342" s="30"/>
      <c r="U1342" s="30"/>
      <c r="V1342" s="30"/>
      <c r="W1342" s="30"/>
      <c r="X1342" s="30"/>
      <c r="Y1342" s="30"/>
      <c r="Z1342" s="30"/>
      <c r="AA1342" s="30"/>
      <c r="AB1342" s="30"/>
      <c r="AC1342" s="30"/>
      <c r="AD1342" s="30"/>
      <c r="AE1342" s="30"/>
      <c r="AF1342" s="30"/>
      <c r="AG1342" s="30"/>
      <c r="AH1342" s="30"/>
      <c r="AI1342" s="30"/>
      <c r="AJ1342" s="30"/>
      <c r="AK1342" s="30"/>
      <c r="AL1342" s="30"/>
      <c r="AM1342" s="30"/>
      <c r="AN1342" s="30"/>
      <c r="AO1342" s="30"/>
      <c r="AP1342" s="30"/>
      <c r="AQ1342" s="30"/>
      <c r="AR1342" s="30"/>
      <c r="AS1342" s="30"/>
      <c r="AT1342" s="30"/>
      <c r="AU1342" s="30"/>
      <c r="AV1342" s="30"/>
      <c r="AW1342" s="30"/>
      <c r="AX1342" s="30"/>
    </row>
    <row r="1343" ht="15.75" customHeight="1">
      <c r="A1343" s="30"/>
      <c r="B1343" s="30"/>
      <c r="C1343" s="31"/>
      <c r="D1343" s="31"/>
      <c r="E1343" s="31"/>
      <c r="F1343" s="30"/>
      <c r="G1343" s="30"/>
      <c r="H1343" s="30"/>
      <c r="I1343" s="30"/>
      <c r="J1343" s="30"/>
      <c r="K1343" s="30"/>
      <c r="L1343" s="30"/>
      <c r="M1343" s="30"/>
      <c r="N1343" s="30"/>
      <c r="O1343" s="30"/>
      <c r="P1343" s="30"/>
      <c r="Q1343" s="30"/>
      <c r="R1343" s="30"/>
      <c r="S1343" s="30"/>
      <c r="T1343" s="30"/>
      <c r="U1343" s="30"/>
      <c r="V1343" s="30"/>
      <c r="W1343" s="30"/>
      <c r="X1343" s="30"/>
      <c r="Y1343" s="30"/>
      <c r="Z1343" s="30"/>
      <c r="AA1343" s="30"/>
      <c r="AB1343" s="30"/>
      <c r="AC1343" s="30"/>
      <c r="AD1343" s="30"/>
      <c r="AE1343" s="30"/>
      <c r="AF1343" s="30"/>
      <c r="AG1343" s="30"/>
      <c r="AH1343" s="30"/>
      <c r="AI1343" s="30"/>
      <c r="AJ1343" s="30"/>
      <c r="AK1343" s="30"/>
      <c r="AL1343" s="30"/>
      <c r="AM1343" s="30"/>
      <c r="AN1343" s="30"/>
      <c r="AO1343" s="30"/>
      <c r="AP1343" s="30"/>
      <c r="AQ1343" s="30"/>
      <c r="AR1343" s="30"/>
      <c r="AS1343" s="30"/>
      <c r="AT1343" s="30"/>
      <c r="AU1343" s="30"/>
      <c r="AV1343" s="30"/>
      <c r="AW1343" s="30"/>
      <c r="AX1343" s="30"/>
    </row>
    <row r="1344" ht="15.75" customHeight="1">
      <c r="A1344" s="30"/>
      <c r="B1344" s="30"/>
      <c r="C1344" s="31"/>
      <c r="D1344" s="31"/>
      <c r="E1344" s="31"/>
      <c r="F1344" s="30"/>
      <c r="G1344" s="30"/>
      <c r="H1344" s="30"/>
      <c r="I1344" s="30"/>
      <c r="J1344" s="30"/>
      <c r="K1344" s="30"/>
      <c r="L1344" s="30"/>
      <c r="M1344" s="30"/>
      <c r="N1344" s="30"/>
      <c r="O1344" s="30"/>
      <c r="P1344" s="30"/>
      <c r="Q1344" s="30"/>
      <c r="R1344" s="30"/>
      <c r="S1344" s="30"/>
      <c r="T1344" s="30"/>
      <c r="U1344" s="30"/>
      <c r="V1344" s="30"/>
      <c r="W1344" s="30"/>
      <c r="X1344" s="30"/>
      <c r="Y1344" s="30"/>
      <c r="Z1344" s="30"/>
      <c r="AA1344" s="30"/>
      <c r="AB1344" s="30"/>
      <c r="AC1344" s="30"/>
      <c r="AD1344" s="30"/>
      <c r="AE1344" s="30"/>
      <c r="AF1344" s="30"/>
      <c r="AG1344" s="30"/>
      <c r="AH1344" s="30"/>
      <c r="AI1344" s="30"/>
      <c r="AJ1344" s="30"/>
      <c r="AK1344" s="30"/>
      <c r="AL1344" s="30"/>
      <c r="AM1344" s="30"/>
      <c r="AN1344" s="30"/>
      <c r="AO1344" s="30"/>
      <c r="AP1344" s="30"/>
      <c r="AQ1344" s="30"/>
      <c r="AR1344" s="30"/>
      <c r="AS1344" s="30"/>
      <c r="AT1344" s="30"/>
      <c r="AU1344" s="30"/>
      <c r="AV1344" s="30"/>
      <c r="AW1344" s="30"/>
      <c r="AX1344" s="30"/>
    </row>
    <row r="1345" ht="15.75" customHeight="1">
      <c r="A1345" s="30"/>
      <c r="B1345" s="30"/>
      <c r="C1345" s="31"/>
      <c r="D1345" s="31"/>
      <c r="E1345" s="31"/>
      <c r="F1345" s="30"/>
      <c r="G1345" s="30"/>
      <c r="H1345" s="30"/>
      <c r="I1345" s="30"/>
      <c r="J1345" s="30"/>
      <c r="K1345" s="30"/>
      <c r="L1345" s="30"/>
      <c r="M1345" s="30"/>
      <c r="N1345" s="30"/>
      <c r="O1345" s="30"/>
      <c r="P1345" s="30"/>
      <c r="Q1345" s="30"/>
      <c r="R1345" s="30"/>
      <c r="S1345" s="30"/>
      <c r="T1345" s="30"/>
      <c r="U1345" s="30"/>
      <c r="V1345" s="30"/>
      <c r="W1345" s="30"/>
      <c r="X1345" s="30"/>
      <c r="Y1345" s="30"/>
      <c r="Z1345" s="30"/>
      <c r="AA1345" s="30"/>
      <c r="AB1345" s="30"/>
      <c r="AC1345" s="30"/>
      <c r="AD1345" s="30"/>
      <c r="AE1345" s="30"/>
      <c r="AF1345" s="30"/>
      <c r="AG1345" s="30"/>
      <c r="AH1345" s="30"/>
      <c r="AI1345" s="30"/>
      <c r="AJ1345" s="30"/>
      <c r="AK1345" s="30"/>
      <c r="AL1345" s="30"/>
      <c r="AM1345" s="30"/>
      <c r="AN1345" s="30"/>
      <c r="AO1345" s="30"/>
      <c r="AP1345" s="30"/>
      <c r="AQ1345" s="30"/>
      <c r="AR1345" s="30"/>
      <c r="AS1345" s="30"/>
      <c r="AT1345" s="30"/>
      <c r="AU1345" s="30"/>
      <c r="AV1345" s="30"/>
      <c r="AW1345" s="30"/>
      <c r="AX1345" s="30"/>
    </row>
    <row r="1346" ht="15.75" customHeight="1">
      <c r="A1346" s="30"/>
      <c r="B1346" s="30"/>
      <c r="C1346" s="31"/>
      <c r="D1346" s="31"/>
      <c r="E1346" s="31"/>
      <c r="F1346" s="30"/>
      <c r="G1346" s="30"/>
      <c r="H1346" s="30"/>
      <c r="I1346" s="30"/>
      <c r="J1346" s="30"/>
      <c r="K1346" s="30"/>
      <c r="L1346" s="30"/>
      <c r="M1346" s="30"/>
      <c r="N1346" s="30"/>
      <c r="O1346" s="30"/>
      <c r="P1346" s="30"/>
      <c r="Q1346" s="30"/>
      <c r="R1346" s="30"/>
      <c r="S1346" s="30"/>
      <c r="T1346" s="30"/>
      <c r="U1346" s="30"/>
      <c r="V1346" s="30"/>
      <c r="W1346" s="30"/>
      <c r="X1346" s="30"/>
      <c r="Y1346" s="30"/>
      <c r="Z1346" s="30"/>
      <c r="AA1346" s="30"/>
      <c r="AB1346" s="30"/>
      <c r="AC1346" s="30"/>
      <c r="AD1346" s="30"/>
      <c r="AE1346" s="30"/>
      <c r="AF1346" s="30"/>
      <c r="AG1346" s="30"/>
      <c r="AH1346" s="30"/>
      <c r="AI1346" s="30"/>
      <c r="AJ1346" s="30"/>
      <c r="AK1346" s="30"/>
      <c r="AL1346" s="30"/>
      <c r="AM1346" s="30"/>
      <c r="AN1346" s="30"/>
      <c r="AO1346" s="30"/>
      <c r="AP1346" s="30"/>
      <c r="AQ1346" s="30"/>
      <c r="AR1346" s="30"/>
      <c r="AS1346" s="30"/>
      <c r="AT1346" s="30"/>
      <c r="AU1346" s="30"/>
      <c r="AV1346" s="30"/>
      <c r="AW1346" s="30"/>
      <c r="AX1346" s="30"/>
    </row>
    <row r="1347" ht="15.75" customHeight="1">
      <c r="A1347" s="30"/>
      <c r="B1347" s="30"/>
      <c r="C1347" s="31"/>
      <c r="D1347" s="31"/>
      <c r="E1347" s="31"/>
      <c r="F1347" s="30"/>
      <c r="G1347" s="30"/>
      <c r="H1347" s="30"/>
      <c r="I1347" s="30"/>
      <c r="J1347" s="30"/>
      <c r="K1347" s="30"/>
      <c r="L1347" s="30"/>
      <c r="M1347" s="30"/>
      <c r="N1347" s="30"/>
      <c r="O1347" s="30"/>
      <c r="P1347" s="30"/>
      <c r="Q1347" s="30"/>
      <c r="R1347" s="30"/>
      <c r="S1347" s="30"/>
      <c r="T1347" s="30"/>
      <c r="U1347" s="30"/>
      <c r="V1347" s="30"/>
      <c r="W1347" s="30"/>
      <c r="X1347" s="30"/>
      <c r="Y1347" s="30"/>
      <c r="Z1347" s="30"/>
      <c r="AA1347" s="30"/>
      <c r="AB1347" s="30"/>
      <c r="AC1347" s="30"/>
      <c r="AD1347" s="30"/>
      <c r="AE1347" s="30"/>
      <c r="AF1347" s="30"/>
      <c r="AG1347" s="30"/>
      <c r="AH1347" s="30"/>
      <c r="AI1347" s="30"/>
      <c r="AJ1347" s="30"/>
      <c r="AK1347" s="30"/>
      <c r="AL1347" s="30"/>
      <c r="AM1347" s="30"/>
      <c r="AN1347" s="30"/>
      <c r="AO1347" s="30"/>
      <c r="AP1347" s="30"/>
      <c r="AQ1347" s="30"/>
      <c r="AR1347" s="30"/>
      <c r="AS1347" s="30"/>
      <c r="AT1347" s="30"/>
      <c r="AU1347" s="30"/>
      <c r="AV1347" s="30"/>
      <c r="AW1347" s="30"/>
      <c r="AX1347" s="30"/>
    </row>
    <row r="1348" ht="15.75" customHeight="1">
      <c r="A1348" s="30"/>
      <c r="B1348" s="30"/>
      <c r="C1348" s="31"/>
      <c r="D1348" s="31"/>
      <c r="E1348" s="31"/>
      <c r="F1348" s="30"/>
      <c r="G1348" s="30"/>
      <c r="H1348" s="30"/>
      <c r="I1348" s="30"/>
      <c r="J1348" s="30"/>
      <c r="K1348" s="30"/>
      <c r="L1348" s="30"/>
      <c r="M1348" s="30"/>
      <c r="N1348" s="30"/>
      <c r="O1348" s="30"/>
      <c r="P1348" s="30"/>
      <c r="Q1348" s="30"/>
      <c r="R1348" s="30"/>
      <c r="S1348" s="30"/>
      <c r="T1348" s="30"/>
      <c r="U1348" s="30"/>
      <c r="V1348" s="30"/>
      <c r="W1348" s="30"/>
      <c r="X1348" s="30"/>
      <c r="Y1348" s="30"/>
      <c r="Z1348" s="30"/>
      <c r="AA1348" s="30"/>
      <c r="AB1348" s="30"/>
      <c r="AC1348" s="30"/>
      <c r="AD1348" s="30"/>
      <c r="AE1348" s="30"/>
      <c r="AF1348" s="30"/>
      <c r="AG1348" s="30"/>
      <c r="AH1348" s="30"/>
      <c r="AI1348" s="30"/>
      <c r="AJ1348" s="30"/>
      <c r="AK1348" s="30"/>
      <c r="AL1348" s="30"/>
      <c r="AM1348" s="30"/>
      <c r="AN1348" s="30"/>
      <c r="AO1348" s="30"/>
      <c r="AP1348" s="30"/>
      <c r="AQ1348" s="30"/>
      <c r="AR1348" s="30"/>
      <c r="AS1348" s="30"/>
      <c r="AT1348" s="30"/>
      <c r="AU1348" s="30"/>
      <c r="AV1348" s="30"/>
      <c r="AW1348" s="30"/>
      <c r="AX1348" s="30"/>
    </row>
    <row r="1349" ht="15.75" customHeight="1">
      <c r="A1349" s="30"/>
      <c r="B1349" s="30"/>
      <c r="C1349" s="31"/>
      <c r="D1349" s="31"/>
      <c r="E1349" s="31"/>
      <c r="F1349" s="30"/>
      <c r="G1349" s="30"/>
      <c r="H1349" s="30"/>
      <c r="I1349" s="30"/>
      <c r="J1349" s="30"/>
      <c r="K1349" s="30"/>
      <c r="L1349" s="30"/>
      <c r="M1349" s="30"/>
      <c r="N1349" s="30"/>
      <c r="O1349" s="30"/>
      <c r="P1349" s="30"/>
      <c r="Q1349" s="30"/>
      <c r="R1349" s="30"/>
      <c r="S1349" s="30"/>
      <c r="T1349" s="30"/>
      <c r="U1349" s="30"/>
      <c r="V1349" s="30"/>
      <c r="W1349" s="30"/>
      <c r="X1349" s="30"/>
      <c r="Y1349" s="30"/>
      <c r="Z1349" s="30"/>
      <c r="AA1349" s="30"/>
      <c r="AB1349" s="30"/>
      <c r="AC1349" s="30"/>
      <c r="AD1349" s="30"/>
      <c r="AE1349" s="30"/>
      <c r="AF1349" s="30"/>
      <c r="AG1349" s="30"/>
      <c r="AH1349" s="30"/>
      <c r="AI1349" s="30"/>
      <c r="AJ1349" s="30"/>
      <c r="AK1349" s="30"/>
      <c r="AL1349" s="30"/>
      <c r="AM1349" s="30"/>
      <c r="AN1349" s="30"/>
      <c r="AO1349" s="30"/>
      <c r="AP1349" s="30"/>
      <c r="AQ1349" s="30"/>
      <c r="AR1349" s="30"/>
      <c r="AS1349" s="30"/>
      <c r="AT1349" s="30"/>
      <c r="AU1349" s="30"/>
      <c r="AV1349" s="30"/>
      <c r="AW1349" s="30"/>
      <c r="AX1349" s="30"/>
    </row>
    <row r="1350" ht="15.75" customHeight="1">
      <c r="A1350" s="30"/>
      <c r="B1350" s="30"/>
      <c r="C1350" s="31"/>
      <c r="D1350" s="31"/>
      <c r="E1350" s="31"/>
      <c r="F1350" s="30"/>
      <c r="G1350" s="30"/>
      <c r="H1350" s="30"/>
      <c r="I1350" s="30"/>
      <c r="J1350" s="30"/>
      <c r="K1350" s="30"/>
      <c r="L1350" s="30"/>
      <c r="M1350" s="30"/>
      <c r="N1350" s="30"/>
      <c r="O1350" s="30"/>
      <c r="P1350" s="30"/>
      <c r="Q1350" s="30"/>
      <c r="R1350" s="30"/>
      <c r="S1350" s="30"/>
      <c r="T1350" s="30"/>
      <c r="U1350" s="30"/>
      <c r="V1350" s="30"/>
      <c r="W1350" s="30"/>
      <c r="X1350" s="30"/>
      <c r="Y1350" s="30"/>
      <c r="Z1350" s="30"/>
      <c r="AA1350" s="30"/>
      <c r="AB1350" s="30"/>
      <c r="AC1350" s="30"/>
      <c r="AD1350" s="30"/>
      <c r="AE1350" s="30"/>
      <c r="AF1350" s="30"/>
      <c r="AG1350" s="30"/>
      <c r="AH1350" s="30"/>
      <c r="AI1350" s="30"/>
      <c r="AJ1350" s="30"/>
      <c r="AK1350" s="30"/>
      <c r="AL1350" s="30"/>
      <c r="AM1350" s="30"/>
      <c r="AN1350" s="30"/>
      <c r="AO1350" s="30"/>
      <c r="AP1350" s="30"/>
      <c r="AQ1350" s="30"/>
      <c r="AR1350" s="30"/>
      <c r="AS1350" s="30"/>
      <c r="AT1350" s="30"/>
      <c r="AU1350" s="30"/>
      <c r="AV1350" s="30"/>
      <c r="AW1350" s="30"/>
      <c r="AX1350" s="30"/>
    </row>
    <row r="1351" ht="15.75" customHeight="1">
      <c r="A1351" s="30"/>
      <c r="B1351" s="30"/>
      <c r="C1351" s="31"/>
      <c r="D1351" s="31"/>
      <c r="E1351" s="31"/>
      <c r="F1351" s="30"/>
      <c r="G1351" s="30"/>
      <c r="H1351" s="30"/>
      <c r="I1351" s="30"/>
      <c r="J1351" s="30"/>
      <c r="K1351" s="30"/>
      <c r="L1351" s="30"/>
      <c r="M1351" s="30"/>
      <c r="N1351" s="30"/>
      <c r="O1351" s="30"/>
      <c r="P1351" s="30"/>
      <c r="Q1351" s="30"/>
      <c r="R1351" s="30"/>
      <c r="S1351" s="30"/>
      <c r="T1351" s="30"/>
      <c r="U1351" s="30"/>
      <c r="V1351" s="30"/>
      <c r="W1351" s="30"/>
      <c r="X1351" s="30"/>
      <c r="Y1351" s="30"/>
      <c r="Z1351" s="30"/>
      <c r="AA1351" s="30"/>
      <c r="AB1351" s="30"/>
      <c r="AC1351" s="30"/>
      <c r="AD1351" s="30"/>
      <c r="AE1351" s="30"/>
      <c r="AF1351" s="30"/>
      <c r="AG1351" s="30"/>
      <c r="AH1351" s="30"/>
      <c r="AI1351" s="30"/>
      <c r="AJ1351" s="30"/>
      <c r="AK1351" s="30"/>
      <c r="AL1351" s="30"/>
      <c r="AM1351" s="30"/>
      <c r="AN1351" s="30"/>
      <c r="AO1351" s="30"/>
      <c r="AP1351" s="30"/>
      <c r="AQ1351" s="30"/>
      <c r="AR1351" s="30"/>
      <c r="AS1351" s="30"/>
      <c r="AT1351" s="30"/>
      <c r="AU1351" s="30"/>
      <c r="AV1351" s="30"/>
      <c r="AW1351" s="30"/>
      <c r="AX1351" s="30"/>
    </row>
    <row r="1352" ht="15.75" customHeight="1">
      <c r="A1352" s="30"/>
      <c r="B1352" s="30"/>
      <c r="C1352" s="31"/>
      <c r="D1352" s="31"/>
      <c r="E1352" s="31"/>
      <c r="F1352" s="30"/>
      <c r="G1352" s="30"/>
      <c r="H1352" s="30"/>
      <c r="I1352" s="30"/>
      <c r="J1352" s="30"/>
      <c r="K1352" s="30"/>
      <c r="L1352" s="30"/>
      <c r="M1352" s="30"/>
      <c r="N1352" s="30"/>
      <c r="O1352" s="30"/>
      <c r="P1352" s="30"/>
      <c r="Q1352" s="30"/>
      <c r="R1352" s="30"/>
      <c r="S1352" s="30"/>
      <c r="T1352" s="30"/>
      <c r="U1352" s="30"/>
      <c r="V1352" s="30"/>
      <c r="W1352" s="30"/>
      <c r="X1352" s="30"/>
      <c r="Y1352" s="30"/>
      <c r="Z1352" s="30"/>
      <c r="AA1352" s="30"/>
      <c r="AB1352" s="30"/>
      <c r="AC1352" s="30"/>
      <c r="AD1352" s="30"/>
      <c r="AE1352" s="30"/>
      <c r="AF1352" s="30"/>
      <c r="AG1352" s="30"/>
      <c r="AH1352" s="30"/>
      <c r="AI1352" s="30"/>
      <c r="AJ1352" s="30"/>
      <c r="AK1352" s="30"/>
      <c r="AL1352" s="30"/>
      <c r="AM1352" s="30"/>
      <c r="AN1352" s="30"/>
      <c r="AO1352" s="30"/>
      <c r="AP1352" s="30"/>
      <c r="AQ1352" s="30"/>
      <c r="AR1352" s="30"/>
      <c r="AS1352" s="30"/>
      <c r="AT1352" s="30"/>
      <c r="AU1352" s="30"/>
      <c r="AV1352" s="30"/>
      <c r="AW1352" s="30"/>
      <c r="AX1352" s="30"/>
    </row>
    <row r="1353" ht="15.75" customHeight="1">
      <c r="A1353" s="30"/>
      <c r="B1353" s="30"/>
      <c r="C1353" s="31"/>
      <c r="D1353" s="31"/>
      <c r="E1353" s="31"/>
      <c r="F1353" s="30"/>
      <c r="G1353" s="30"/>
      <c r="H1353" s="30"/>
      <c r="I1353" s="30"/>
      <c r="J1353" s="30"/>
      <c r="K1353" s="30"/>
      <c r="L1353" s="30"/>
      <c r="M1353" s="30"/>
      <c r="N1353" s="30"/>
      <c r="O1353" s="30"/>
      <c r="P1353" s="30"/>
      <c r="Q1353" s="30"/>
      <c r="R1353" s="30"/>
      <c r="S1353" s="30"/>
      <c r="T1353" s="30"/>
      <c r="U1353" s="30"/>
      <c r="V1353" s="30"/>
      <c r="W1353" s="30"/>
      <c r="X1353" s="30"/>
      <c r="Y1353" s="30"/>
      <c r="Z1353" s="30"/>
      <c r="AA1353" s="30"/>
      <c r="AB1353" s="30"/>
      <c r="AC1353" s="30"/>
      <c r="AD1353" s="30"/>
      <c r="AE1353" s="30"/>
      <c r="AF1353" s="30"/>
      <c r="AG1353" s="30"/>
      <c r="AH1353" s="30"/>
      <c r="AI1353" s="30"/>
      <c r="AJ1353" s="30"/>
      <c r="AK1353" s="30"/>
      <c r="AL1353" s="30"/>
      <c r="AM1353" s="30"/>
      <c r="AN1353" s="30"/>
      <c r="AO1353" s="30"/>
      <c r="AP1353" s="30"/>
      <c r="AQ1353" s="30"/>
      <c r="AR1353" s="30"/>
      <c r="AS1353" s="30"/>
      <c r="AT1353" s="30"/>
      <c r="AU1353" s="30"/>
      <c r="AV1353" s="30"/>
      <c r="AW1353" s="30"/>
      <c r="AX1353" s="30"/>
    </row>
  </sheetData>
  <autoFilter ref="$A$1:$A$1353"/>
  <conditionalFormatting sqref="A666">
    <cfRule type="expression" dxfId="0" priority="1" stopIfTrue="1">
      <formula>$A669="begin group"</formula>
    </cfRule>
  </conditionalFormatting>
  <conditionalFormatting sqref="A666">
    <cfRule type="expression" dxfId="1" priority="2" stopIfTrue="1">
      <formula>$A669="begin repeat"</formula>
    </cfRule>
  </conditionalFormatting>
  <conditionalFormatting sqref="A666">
    <cfRule type="expression" dxfId="5" priority="3" stopIfTrue="1">
      <formula>OR(AND(LEFT($A669, 16)="select_multiple ", LEN($A669)&gt;16, NOT(ISNUMBER(SEARCH(" ", $A669, 17)))), AND(LEFT($A669, 11)="select_one ", LEN($A669)&gt;11, NOT(ISNUMBER(SEARCH(" ", $A669, 12)))))</formula>
    </cfRule>
  </conditionalFormatting>
  <conditionalFormatting sqref="A666">
    <cfRule type="expression" dxfId="32" priority="4" stopIfTrue="1">
      <formula>$A669="file"</formula>
    </cfRule>
  </conditionalFormatting>
  <conditionalFormatting sqref="A666">
    <cfRule type="expression" dxfId="7" priority="5" stopIfTrue="1">
      <formula>$A669="note"</formula>
    </cfRule>
  </conditionalFormatting>
  <conditionalFormatting sqref="A666">
    <cfRule type="expression" dxfId="8" priority="6" stopIfTrue="1">
      <formula>$A669="barcode"</formula>
    </cfRule>
  </conditionalFormatting>
  <conditionalFormatting sqref="A666">
    <cfRule type="expression" dxfId="9" priority="7" stopIfTrue="1">
      <formula>OR($A669="geopoint", $A669="geoshape", $A669="geotrace")</formula>
    </cfRule>
  </conditionalFormatting>
  <conditionalFormatting sqref="A666">
    <cfRule type="expression" dxfId="11" priority="8" stopIfTrue="1">
      <formula>OR($A669="date", $A669="datetime", $A669="time")</formula>
    </cfRule>
  </conditionalFormatting>
  <conditionalFormatting sqref="A666">
    <cfRule type="expression" dxfId="12" priority="9" stopIfTrue="1">
      <formula>$A669="image"</formula>
    </cfRule>
  </conditionalFormatting>
  <conditionalFormatting sqref="A666">
    <cfRule type="expression" dxfId="13" priority="10" stopIfTrue="1">
      <formula>OR($A669="audio", $A669="video")</formula>
    </cfRule>
  </conditionalFormatting>
  <conditionalFormatting sqref="A666">
    <cfRule type="expression" dxfId="31" priority="11" stopIfTrue="1">
      <formula>$A669="enumerator"</formula>
    </cfRule>
  </conditionalFormatting>
  <conditionalFormatting sqref="A666">
    <cfRule type="expression" dxfId="2" priority="12" stopIfTrue="1">
      <formula>$A669="text"</formula>
    </cfRule>
  </conditionalFormatting>
  <conditionalFormatting sqref="A666">
    <cfRule type="expression" dxfId="3" priority="13" stopIfTrue="1">
      <formula>$A669="integer"</formula>
    </cfRule>
  </conditionalFormatting>
  <conditionalFormatting sqref="A666">
    <cfRule type="expression" dxfId="4" priority="14" stopIfTrue="1">
      <formula>$A669="decimal"</formula>
    </cfRule>
  </conditionalFormatting>
  <conditionalFormatting sqref="B1:C1353 D1:E1353 J1:J1353 M1:N1353 O1:O705 F10:H874 T21 A84 A109:A112 A116 I116 K116:L116 P116:AX116 A347:A351 I347:I351 K347:L351 P347:AX351 A354:A361 I354:I361 K354:L361 P354:AX361 O707:O1353">
    <cfRule type="expression" dxfId="0" priority="15" stopIfTrue="1">
      <formula>$A1="begin group"</formula>
    </cfRule>
  </conditionalFormatting>
  <conditionalFormatting sqref="B1:C1353 D1:E1353 M1:N1353 O1:O705 U1:U1353 F10:H874 T21 A84 A109:A112 A116 I116:L116 P116:T116 V116:AX116 A347:A351 I347:L351 P347:T351 V347:AX351 A354:A361 I354:L361 P354:T361 V354:AX361 T456 O707:O1353">
    <cfRule type="expression" dxfId="1" priority="16" stopIfTrue="1">
      <formula>$A1="begin repeat"</formula>
    </cfRule>
  </conditionalFormatting>
  <conditionalFormatting sqref="B1:F1353 J1:J1353 G10:H874 T21 A84 A109:A112 A116 I116 K116:AX116 A347:A351 I347:I351 K347:AX351 A354:A361 I354:I361 K354:AX361">
    <cfRule type="expression" dxfId="31" priority="17" stopIfTrue="1">
      <formula>$A1="enumerator"</formula>
    </cfRule>
  </conditionalFormatting>
  <conditionalFormatting sqref="B1:F1353 J1:J1353 G10:H874 T21 A84 A109:A112 A116 I116 K116:AX116 A347:A351 I347:I351 K347:AX351 A354:A361 I354:I361 K354:AX361">
    <cfRule type="expression" dxfId="2" priority="18" stopIfTrue="1">
      <formula>$A1="text"</formula>
    </cfRule>
  </conditionalFormatting>
  <conditionalFormatting sqref="B1:F1353 K1:K705 L1:L1353 G10:H874 T21 A84 A109:A112 A116 I116:J116 M116:AX116 A347:A351 I347:J351 M347:AX351 A354:A361 I354:J361 M354:AX361 O706 K707:K1353">
    <cfRule type="expression" dxfId="3" priority="19" stopIfTrue="1">
      <formula>$A1="integer"</formula>
    </cfRule>
  </conditionalFormatting>
  <conditionalFormatting sqref="B1:F1353 K1:K705 L1:L1353 G10:H874 T21 A84 A109:A112 A116 I116:J116 M116:AX116 A347:A351 I347:J351 M347:AX351 A354:A361 I354:J361 M354:AX361 O706 K707:K1353">
    <cfRule type="expression" dxfId="4" priority="20" stopIfTrue="1">
      <formula>$A1="decimal"</formula>
    </cfRule>
  </conditionalFormatting>
  <conditionalFormatting sqref="B1:C1353 D1:E1353 J1:J1353 F10:H874 T21 A84 A109:A112 A116 I116 K116:AX116 A347:A351 I347:I351 K347:AX351 A354:A361 I354:I361 K354:AX361">
    <cfRule type="expression" dxfId="5" priority="21" stopIfTrue="1">
      <formula>OR(AND(LEFT($A1, 16)="select_multiple ", LEN($A1)&gt;16, NOT(ISNUMBER(SEARCH(" ", $A1, 17)))), AND(LEFT($A1, 11)="select_one ", LEN($A1)&gt;11, NOT(ISNUMBER(SEARCH(" ", $A1, 12)))))</formula>
    </cfRule>
  </conditionalFormatting>
  <conditionalFormatting sqref="B1:B1353 C1:E1 J1:J1353 T21 A84 C84:C85 C98:C99 A109:A112 C109:E112 C118 C253:C254 C290 C471 C641 C813">
    <cfRule type="expression" dxfId="6" priority="22" stopIfTrue="1">
      <formula>OR($A1="audio audit", $A1="text audit", $A1="speed violations count", $A1="speed violations list", $A1="speed violations audit")</formula>
    </cfRule>
  </conditionalFormatting>
  <conditionalFormatting sqref="B1:C1353 D1:E1353 F10:H874 T21 A84 A109:A112 A116 I116:AX116 A347:A351 I347:AX351 A354:A361 I354:AX361">
    <cfRule type="expression" dxfId="32" priority="23" stopIfTrue="1">
      <formula>$A1="file"</formula>
    </cfRule>
  </conditionalFormatting>
  <conditionalFormatting sqref="B1:C1353 D1:E1353 F10:H874 T21 A84 A109:A112 A116 I116:AX116 A347:A351 I347:AX351 A354:A361 I354:AX361">
    <cfRule type="expression" dxfId="7" priority="24" stopIfTrue="1">
      <formula>$A1="note"</formula>
    </cfRule>
  </conditionalFormatting>
  <conditionalFormatting sqref="B1:C1353 D1:E1353 F10:H874 T21 A84 A109:A112 A116 I116:AX116 A347:A351 I347:AX351 A354:A361 I354:AX361">
    <cfRule type="expression" dxfId="8" priority="25" stopIfTrue="1">
      <formula>$A1="barcode"</formula>
    </cfRule>
  </conditionalFormatting>
  <conditionalFormatting sqref="B1:C1353 D1:E1353 F10:H874 T21 A84 A109:A112 A116 I116:AX116 A347:A351 I347:AX351 A354:A361 I354:AX361">
    <cfRule type="expression" dxfId="9" priority="26" stopIfTrue="1">
      <formula>OR($A1="geopoint", $A1="geoshape", $A1="geotrace")</formula>
    </cfRule>
  </conditionalFormatting>
  <conditionalFormatting sqref="B1:B1353 C1:E1 T1:T1353 A84 C84:C85 C98:C99 A109:A112 C109:E112 C118 C253:C254 C290 C471 C641 C813">
    <cfRule type="expression" dxfId="10" priority="27" stopIfTrue="1">
      <formula>OR($A1="calculate", $A1="calculate_here")</formula>
    </cfRule>
  </conditionalFormatting>
  <conditionalFormatting sqref="B1:C1353 D1:E1353 J1:J1353 F10:H874 T21 A84 A109:A112 A116 I116 K116:AX116 A347:A351 I347:I351 K347:AX351 A354:A361 I354:I361 K354:AX361">
    <cfRule type="expression" dxfId="11" priority="28" stopIfTrue="1">
      <formula>OR($A1="date", $A1="datetime", $A1="time")</formula>
    </cfRule>
  </conditionalFormatting>
  <conditionalFormatting sqref="B1:C1353 D1:E1353 J1:J1353 F10:H874 T21 A84 A109:A112 A116 I116 K116:AX116 A347:A351 I347:I351 K347:AX351 A354:A361 I354:I361 K354:AX361">
    <cfRule type="expression" dxfId="12" priority="29" stopIfTrue="1">
      <formula>$A1="image"</formula>
    </cfRule>
  </conditionalFormatting>
  <conditionalFormatting sqref="B1:C1353 D1:E1353 F10:H874 T21 A84 A109:A112 A116 I116:AX116 A347:A351 I347:AX351 A354:A361 I354:AX361">
    <cfRule type="expression" dxfId="13" priority="30" stopIfTrue="1">
      <formula>OR($A1="audio", $A1="video")</formula>
    </cfRule>
  </conditionalFormatting>
  <conditionalFormatting sqref="A1:AC1353 AD116:AX116 AD347:AX351 AD354:AX361">
    <cfRule type="expression" dxfId="33" priority="31" stopIfTrue="1">
      <formula>$A1="file"</formula>
    </cfRule>
  </conditionalFormatting>
  <conditionalFormatting sqref="A1:AC1353 AD116:AX116 AD347:AX351 AD354:AX361">
    <cfRule type="expression" dxfId="34" priority="32" stopIfTrue="1">
      <formula>$A1="enumerator"</formula>
    </cfRule>
  </conditionalFormatting>
  <conditionalFormatting sqref="A1:AC1353 AD116:AX116 AD347:AX351 AD354:AX361">
    <cfRule type="expression" dxfId="35" priority="33" stopIfTrue="1">
      <formula>OR(AND(LEFT($A1, 14)="sensor_stream ", LEN($A1)&gt;14, NOT(ISNUMBER(SEARCH(" ", $A1, 15)))), AND(LEFT($A1, 17)="sensor_statistic ", LEN($A1)&gt;17, NOT(ISNUMBER(SEARCH(" ", $A1, 18)))))</formula>
    </cfRule>
  </conditionalFormatting>
  <conditionalFormatting sqref="A1:AC1353 AD116:AX116 AD347:AX351 AD354:AX361">
    <cfRule type="expression" dxfId="14" priority="34" stopIfTrue="1">
      <formula>$A1="comments"</formula>
    </cfRule>
  </conditionalFormatting>
  <conditionalFormatting sqref="A1:AC1353 AD116:AX116 AD347:AX351 AD354:AX361">
    <cfRule type="expression" dxfId="15" priority="35" stopIfTrue="1">
      <formula>OR($A1="audio", $A1="video")</formula>
    </cfRule>
  </conditionalFormatting>
  <conditionalFormatting sqref="A1:AC1353 AD116:AX116 AD347:AX351 AD354:AX361">
    <cfRule type="expression" dxfId="16" priority="36" stopIfTrue="1">
      <formula>$A1="image"</formula>
    </cfRule>
  </conditionalFormatting>
  <conditionalFormatting sqref="A1:AC1353 AD116:AX116 AD347:AX351 AD354:AX361">
    <cfRule type="expression" dxfId="17" priority="37" stopIfTrue="1">
      <formula>OR($A1="date", $A1="datetime", $A1="time")</formula>
    </cfRule>
  </conditionalFormatting>
  <conditionalFormatting sqref="A1:AC1353 AD116:AX116 AD347:AX351 AD354:AX361">
    <cfRule type="expression" dxfId="18" priority="38" stopIfTrue="1">
      <formula>OR($A1="calculate", $A1="calculate_here")</formula>
    </cfRule>
  </conditionalFormatting>
  <conditionalFormatting sqref="A1:AC1353 AD116:AX116 AD347:AX351 AD354:AX361">
    <cfRule type="expression" dxfId="19" priority="39" stopIfTrue="1">
      <formula>$A1="note"</formula>
    </cfRule>
  </conditionalFormatting>
  <conditionalFormatting sqref="A1:AC1353 AD116:AX116 AD347:AX351 AD354:AX361">
    <cfRule type="expression" dxfId="20" priority="40" stopIfTrue="1">
      <formula>$A1="barcode"</formula>
    </cfRule>
  </conditionalFormatting>
  <conditionalFormatting sqref="A1:AC1353 AD116:AX116 AD347:AX351 AD354:AX361">
    <cfRule type="expression" dxfId="21" priority="41" stopIfTrue="1">
      <formula>OR($A1="geopoint", $A1="geoshape", $A1="geotrace")</formula>
    </cfRule>
  </conditionalFormatting>
  <conditionalFormatting sqref="A1:AC1353 AD116:AX116 AD347:AX351 AD354:AX361">
    <cfRule type="expression" dxfId="22" priority="42" stopIfTrue="1">
      <formula>OR($A1="audio audit", $A1="text audit", $A1="speed violations count", $A1="speed violations list", $A1="speed violations audit")</formula>
    </cfRule>
  </conditionalFormatting>
  <conditionalFormatting sqref="A1:AC1353 AD116:AX116 AD347:AX351 AD354:AX361">
    <cfRule type="expression" dxfId="23" priority="43" stopIfTrue="1">
      <formula>OR($A1="username", $A1="phonenumber", $A1="start", $A1="end", $A1="deviceid", $A1="subscriberid", $A1="simserial", $A1="caseid")</formula>
    </cfRule>
  </conditionalFormatting>
  <conditionalFormatting sqref="A1:AC1353 AD116:AX116 AD347:AX351 AD354:AX361">
    <cfRule type="expression" dxfId="24" priority="44" stopIfTrue="1">
      <formula>OR(AND(LEFT($A1, 16)="select_multiple ", LEN($A1)&gt;16, NOT(ISNUMBER(SEARCH(" ", $A1, 17)))), AND(LEFT($A1, 11)="select_one ", LEN($A1)&gt;11, NOT(ISNUMBER(SEARCH(" ", $A1, 12)))))</formula>
    </cfRule>
  </conditionalFormatting>
  <conditionalFormatting sqref="A1:AC1353 AD116:AX116 AD347:AX351 AD354:AX361">
    <cfRule type="expression" dxfId="25" priority="45" stopIfTrue="1">
      <formula>$A1="decimal"</formula>
    </cfRule>
  </conditionalFormatting>
  <conditionalFormatting sqref="A1:AC1353 AD116:AX116 AD347:AX351 AD354:AX361">
    <cfRule type="expression" dxfId="26" priority="46" stopIfTrue="1">
      <formula>$A1="integer"</formula>
    </cfRule>
  </conditionalFormatting>
  <conditionalFormatting sqref="A1:AC1353 AD116:AX116 AD347:AX351 AD354:AX361">
    <cfRule type="expression" dxfId="27" priority="47" stopIfTrue="1">
      <formula>$A1="text"</formula>
    </cfRule>
  </conditionalFormatting>
  <conditionalFormatting sqref="A1:AC1353 AD116:AX116 AD347:AX351 AD354:AX361">
    <cfRule type="expression" dxfId="28" priority="48" stopIfTrue="1">
      <formula>$A1="end repeat"</formula>
    </cfRule>
  </conditionalFormatting>
  <conditionalFormatting sqref="A1:AC1353 AD116:AX116 AD347:AX351 AD354:AX361">
    <cfRule type="expression" dxfId="28" priority="49" stopIfTrue="1">
      <formula>$A1="begin repeat"</formula>
    </cfRule>
  </conditionalFormatting>
  <conditionalFormatting sqref="A1:AC1353 AD116:AX116 AD347:AX351 AD354:AX361">
    <cfRule type="expression" dxfId="29" priority="50" stopIfTrue="1">
      <formula>$A1="end group"</formula>
    </cfRule>
  </conditionalFormatting>
  <conditionalFormatting sqref="A1:AC1353 AD116:AX116 AD347:AX351 AD354:AX361">
    <cfRule type="expression" dxfId="29" priority="51" stopIfTrue="1">
      <formula>$A1="begin group"</formula>
    </cfRule>
  </conditionalFormatting>
  <conditionalFormatting sqref="B1:B1353 C1:E1 T21 A84 C84:C85 C98:C99 A109:A112 C109:E112 C118 C253:C254 C290 C471 C641 C813">
    <cfRule type="expression" dxfId="30" priority="52" stopIfTrue="1">
      <formula>$A1="comments"</formula>
    </cfRule>
  </conditionalFormatting>
  <conditionalFormatting sqref="B1:B1353 C1:E1 J1:J1353 T21 A84 C84:C85 C98:C99 A109:A112 C109:E112 C118 C253:C254 C290 C471 C641 C813">
    <cfRule type="expression" dxfId="36" priority="53"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2" t="s">
        <v>1</v>
      </c>
      <c r="B1" s="4" t="s">
        <v>4</v>
      </c>
      <c r="C1" s="8" t="s">
        <v>7</v>
      </c>
      <c r="D1" s="10" t="s">
        <v>9</v>
      </c>
      <c r="E1" s="10" t="s">
        <v>10</v>
      </c>
      <c r="F1" s="10" t="s">
        <v>11</v>
      </c>
      <c r="G1" s="4" t="s">
        <v>12</v>
      </c>
      <c r="H1" s="13" t="s">
        <v>13</v>
      </c>
      <c r="I1" s="15" t="s">
        <v>15</v>
      </c>
      <c r="J1" s="15" t="s">
        <v>17</v>
      </c>
      <c r="K1" s="17"/>
      <c r="L1" s="17"/>
      <c r="M1" s="17"/>
      <c r="N1" s="17"/>
      <c r="O1" s="17"/>
      <c r="P1" s="17"/>
      <c r="Q1" s="17"/>
      <c r="R1" s="17"/>
      <c r="S1" s="17"/>
      <c r="T1" s="17"/>
      <c r="U1" s="17"/>
      <c r="V1" s="17"/>
      <c r="W1" s="17"/>
      <c r="X1" s="17"/>
      <c r="Y1" s="17"/>
      <c r="Z1" s="17"/>
      <c r="AA1" s="17"/>
      <c r="AB1" s="17"/>
      <c r="AC1" s="17"/>
      <c r="AD1" s="17"/>
      <c r="AE1" s="17"/>
      <c r="AF1" s="17"/>
    </row>
    <row r="2" ht="15.75" customHeight="1">
      <c r="A2" s="23" t="s">
        <v>36</v>
      </c>
      <c r="B2" s="25">
        <v>1.0</v>
      </c>
      <c r="C2" s="27" t="s">
        <v>47</v>
      </c>
      <c r="D2" s="28" t="s">
        <v>48</v>
      </c>
      <c r="E2" s="28" t="s">
        <v>49</v>
      </c>
      <c r="F2" s="27"/>
      <c r="G2" s="27"/>
      <c r="H2" s="29"/>
      <c r="I2" s="29"/>
      <c r="J2" s="29"/>
      <c r="K2" s="29"/>
      <c r="L2" s="29"/>
      <c r="M2" s="29"/>
      <c r="N2" s="29"/>
      <c r="O2" s="29"/>
      <c r="P2" s="29"/>
      <c r="Q2" s="29"/>
      <c r="R2" s="29"/>
      <c r="S2" s="29"/>
      <c r="T2" s="29"/>
      <c r="U2" s="29"/>
      <c r="V2" s="29"/>
      <c r="W2" s="29"/>
      <c r="X2" s="29"/>
      <c r="Y2" s="29"/>
      <c r="Z2" s="29"/>
      <c r="AA2" s="29"/>
      <c r="AB2" s="29"/>
      <c r="AC2" s="29"/>
      <c r="AD2" s="29"/>
      <c r="AE2" s="29"/>
      <c r="AF2" s="29"/>
    </row>
    <row r="3" ht="15.75" customHeight="1">
      <c r="A3" s="36" t="s">
        <v>36</v>
      </c>
      <c r="B3" s="38">
        <v>0.0</v>
      </c>
      <c r="C3" s="39" t="s">
        <v>55</v>
      </c>
      <c r="D3" s="40" t="s">
        <v>56</v>
      </c>
      <c r="E3" s="40" t="s">
        <v>57</v>
      </c>
      <c r="F3" s="39"/>
      <c r="G3" s="39"/>
      <c r="H3" s="41"/>
      <c r="I3" s="41"/>
      <c r="J3" s="41"/>
      <c r="K3" s="41"/>
      <c r="L3" s="41"/>
      <c r="M3" s="41"/>
      <c r="N3" s="41"/>
      <c r="O3" s="41"/>
      <c r="P3" s="41"/>
      <c r="Q3" s="41"/>
      <c r="R3" s="41"/>
      <c r="S3" s="41"/>
      <c r="T3" s="41"/>
      <c r="U3" s="41"/>
      <c r="V3" s="41"/>
      <c r="W3" s="41"/>
      <c r="X3" s="41"/>
      <c r="Y3" s="41"/>
      <c r="Z3" s="41"/>
      <c r="AA3" s="41"/>
      <c r="AB3" s="41"/>
      <c r="AC3" s="41"/>
      <c r="AD3" s="41"/>
      <c r="AE3" s="41"/>
      <c r="AF3" s="41"/>
    </row>
    <row r="4" ht="15.75" customHeight="1">
      <c r="A4" s="36"/>
      <c r="B4" s="39"/>
      <c r="C4" s="39"/>
      <c r="D4" s="39"/>
      <c r="E4" s="39"/>
      <c r="F4" s="39"/>
      <c r="G4" s="39"/>
      <c r="H4" s="41"/>
      <c r="I4" s="41"/>
      <c r="J4" s="41"/>
      <c r="K4" s="41"/>
      <c r="L4" s="41"/>
      <c r="M4" s="41"/>
      <c r="N4" s="41"/>
      <c r="O4" s="41"/>
      <c r="P4" s="41"/>
      <c r="Q4" s="41"/>
      <c r="R4" s="41"/>
      <c r="S4" s="41"/>
      <c r="T4" s="41"/>
      <c r="U4" s="41"/>
      <c r="V4" s="41"/>
      <c r="W4" s="41"/>
      <c r="X4" s="41"/>
      <c r="Y4" s="41"/>
      <c r="Z4" s="41"/>
      <c r="AA4" s="41"/>
      <c r="AB4" s="41"/>
      <c r="AC4" s="41"/>
      <c r="AD4" s="41"/>
      <c r="AE4" s="41"/>
      <c r="AF4" s="41"/>
    </row>
    <row r="5" ht="15.75" customHeight="1">
      <c r="A5" s="45" t="s">
        <v>68</v>
      </c>
      <c r="B5" s="46">
        <v>3.0</v>
      </c>
      <c r="C5" s="48" t="s">
        <v>69</v>
      </c>
      <c r="D5" s="50" t="s">
        <v>71</v>
      </c>
      <c r="E5" s="50" t="s">
        <v>73</v>
      </c>
      <c r="F5" s="51"/>
      <c r="G5" s="52">
        <v>3.0</v>
      </c>
      <c r="H5" s="51"/>
      <c r="I5" s="51"/>
      <c r="J5" s="51"/>
      <c r="K5" s="51"/>
      <c r="L5" s="51"/>
      <c r="M5" s="51"/>
      <c r="N5" s="51"/>
      <c r="O5" s="51"/>
      <c r="P5" s="51"/>
      <c r="Q5" s="51"/>
      <c r="R5" s="51"/>
      <c r="S5" s="51"/>
      <c r="T5" s="51"/>
      <c r="U5" s="51"/>
      <c r="V5" s="51"/>
      <c r="W5" s="51"/>
      <c r="X5" s="51"/>
      <c r="Y5" s="51"/>
      <c r="Z5" s="51"/>
      <c r="AA5" s="51"/>
      <c r="AB5" s="51"/>
      <c r="AC5" s="51"/>
      <c r="AD5" s="51"/>
      <c r="AE5" s="51"/>
      <c r="AF5" s="51"/>
    </row>
    <row r="6" ht="15.75" customHeight="1">
      <c r="A6" s="23" t="s">
        <v>68</v>
      </c>
      <c r="B6" s="54">
        <v>5.0</v>
      </c>
      <c r="C6" s="55" t="s">
        <v>86</v>
      </c>
      <c r="D6" s="56" t="s">
        <v>89</v>
      </c>
      <c r="E6" s="56" t="s">
        <v>91</v>
      </c>
      <c r="F6" s="29"/>
      <c r="G6" s="57">
        <v>5.0</v>
      </c>
      <c r="H6" s="29"/>
      <c r="I6" s="29"/>
      <c r="J6" s="29"/>
      <c r="K6" s="29"/>
      <c r="L6" s="29"/>
      <c r="M6" s="29"/>
      <c r="N6" s="29"/>
      <c r="O6" s="29"/>
      <c r="P6" s="29"/>
      <c r="Q6" s="29"/>
      <c r="R6" s="29"/>
      <c r="S6" s="29"/>
      <c r="T6" s="29"/>
      <c r="U6" s="29"/>
      <c r="V6" s="29"/>
      <c r="W6" s="29"/>
      <c r="X6" s="29"/>
      <c r="Y6" s="29"/>
      <c r="Z6" s="29"/>
      <c r="AA6" s="29"/>
      <c r="AB6" s="29"/>
      <c r="AC6" s="29"/>
      <c r="AD6" s="29"/>
      <c r="AE6" s="29"/>
      <c r="AF6" s="29"/>
    </row>
    <row r="7" ht="15.75" customHeight="1">
      <c r="A7" s="36"/>
      <c r="B7" s="39"/>
      <c r="C7" s="39"/>
      <c r="D7" s="39"/>
      <c r="E7" s="39"/>
      <c r="F7" s="39"/>
      <c r="G7" s="39"/>
      <c r="H7" s="41"/>
      <c r="I7" s="41"/>
      <c r="J7" s="41"/>
      <c r="K7" s="41"/>
      <c r="L7" s="41"/>
      <c r="M7" s="41"/>
      <c r="N7" s="41"/>
      <c r="O7" s="41"/>
      <c r="P7" s="41"/>
      <c r="Q7" s="41"/>
      <c r="R7" s="41"/>
      <c r="S7" s="41"/>
      <c r="T7" s="41"/>
      <c r="U7" s="41"/>
      <c r="V7" s="41"/>
      <c r="W7" s="41"/>
      <c r="X7" s="41"/>
      <c r="Y7" s="41"/>
      <c r="Z7" s="41"/>
      <c r="AA7" s="41"/>
      <c r="AB7" s="41"/>
      <c r="AC7" s="41"/>
      <c r="AD7" s="41"/>
      <c r="AE7" s="41"/>
      <c r="AF7" s="41"/>
    </row>
    <row r="8" ht="15.75" customHeight="1">
      <c r="A8" s="23" t="s">
        <v>112</v>
      </c>
      <c r="B8" s="25">
        <v>1.0</v>
      </c>
      <c r="C8" s="61" t="s">
        <v>47</v>
      </c>
      <c r="D8" s="62" t="s">
        <v>48</v>
      </c>
      <c r="E8" s="62" t="s">
        <v>49</v>
      </c>
      <c r="F8" s="29"/>
      <c r="G8" s="29"/>
      <c r="H8" s="29"/>
      <c r="I8" s="29"/>
      <c r="J8" s="29"/>
      <c r="K8" s="29"/>
      <c r="L8" s="29"/>
      <c r="M8" s="29"/>
      <c r="N8" s="29"/>
      <c r="O8" s="29"/>
      <c r="P8" s="29"/>
      <c r="Q8" s="29"/>
      <c r="R8" s="29"/>
      <c r="S8" s="29"/>
      <c r="T8" s="29"/>
      <c r="U8" s="29"/>
      <c r="V8" s="29"/>
      <c r="W8" s="29"/>
      <c r="X8" s="29"/>
      <c r="Y8" s="29"/>
      <c r="Z8" s="29"/>
      <c r="AA8" s="29"/>
      <c r="AB8" s="29"/>
      <c r="AC8" s="29"/>
      <c r="AD8" s="29"/>
      <c r="AE8" s="29"/>
      <c r="AF8" s="29"/>
    </row>
    <row r="9" ht="15.75" customHeight="1">
      <c r="A9" s="23" t="s">
        <v>112</v>
      </c>
      <c r="B9" s="25">
        <v>0.0</v>
      </c>
      <c r="C9" s="61" t="s">
        <v>55</v>
      </c>
      <c r="D9" s="62" t="s">
        <v>56</v>
      </c>
      <c r="E9" s="62" t="s">
        <v>115</v>
      </c>
      <c r="F9" s="29"/>
      <c r="G9" s="29"/>
      <c r="H9" s="29"/>
      <c r="I9" s="29"/>
      <c r="J9" s="29"/>
      <c r="K9" s="29"/>
      <c r="L9" s="29"/>
      <c r="M9" s="29"/>
      <c r="N9" s="29"/>
      <c r="O9" s="29"/>
      <c r="P9" s="29"/>
      <c r="Q9" s="29"/>
      <c r="R9" s="29"/>
      <c r="S9" s="29"/>
      <c r="T9" s="29"/>
      <c r="U9" s="29"/>
      <c r="V9" s="29"/>
      <c r="W9" s="29"/>
      <c r="X9" s="29"/>
      <c r="Y9" s="29"/>
      <c r="Z9" s="29"/>
      <c r="AA9" s="29"/>
      <c r="AB9" s="29"/>
      <c r="AC9" s="29"/>
      <c r="AD9" s="29"/>
      <c r="AE9" s="29"/>
      <c r="AF9" s="29"/>
    </row>
    <row r="10" ht="15.75" customHeight="1">
      <c r="A10" s="36" t="s">
        <v>112</v>
      </c>
      <c r="B10" s="38">
        <v>-999.0</v>
      </c>
      <c r="C10" s="62" t="s">
        <v>120</v>
      </c>
      <c r="D10" s="62" t="s">
        <v>121</v>
      </c>
      <c r="E10" s="62" t="s">
        <v>123</v>
      </c>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row>
    <row r="11" ht="15.75" customHeight="1">
      <c r="A11" s="36"/>
      <c r="B11" s="39"/>
      <c r="C11" s="39"/>
      <c r="D11" s="39"/>
      <c r="E11" s="39"/>
      <c r="F11" s="39"/>
      <c r="G11" s="39"/>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row>
    <row r="12" ht="15.75" customHeight="1">
      <c r="A12" s="66" t="s">
        <v>133</v>
      </c>
      <c r="B12" s="40" t="s">
        <v>134</v>
      </c>
      <c r="C12" s="40" t="s">
        <v>135</v>
      </c>
      <c r="D12" s="40" t="s">
        <v>135</v>
      </c>
      <c r="E12" s="40" t="s">
        <v>135</v>
      </c>
      <c r="F12" s="40"/>
      <c r="G12" s="40"/>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row>
    <row r="13" ht="15.75" customHeight="1">
      <c r="A13" s="66"/>
      <c r="B13" s="40"/>
      <c r="C13" s="40"/>
      <c r="D13" s="40"/>
      <c r="E13" s="40"/>
      <c r="F13" s="40"/>
      <c r="G13" s="40"/>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row>
    <row r="14" ht="15.75" customHeight="1">
      <c r="A14" s="66" t="s">
        <v>140</v>
      </c>
      <c r="B14" s="40" t="s">
        <v>142</v>
      </c>
      <c r="C14" s="40" t="s">
        <v>143</v>
      </c>
      <c r="D14" s="40" t="s">
        <v>143</v>
      </c>
      <c r="E14" s="40" t="s">
        <v>143</v>
      </c>
      <c r="F14" s="40"/>
      <c r="G14" s="40"/>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row>
    <row r="15" ht="15.75" customHeight="1">
      <c r="A15" s="36"/>
      <c r="B15" s="39"/>
      <c r="C15" s="39"/>
      <c r="D15" s="39"/>
      <c r="E15" s="39"/>
      <c r="F15" s="39"/>
      <c r="G15" s="39"/>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row>
    <row r="16" ht="15.75" customHeight="1">
      <c r="A16" s="66" t="s">
        <v>147</v>
      </c>
      <c r="B16" s="40" t="s">
        <v>148</v>
      </c>
      <c r="C16" s="40" t="s">
        <v>149</v>
      </c>
      <c r="D16" s="40" t="s">
        <v>149</v>
      </c>
      <c r="E16" s="77" t="s">
        <v>149</v>
      </c>
      <c r="F16" s="39"/>
      <c r="G16" s="39"/>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row>
    <row r="17" ht="15.75" customHeight="1">
      <c r="A17" s="36"/>
      <c r="B17" s="39"/>
      <c r="C17" s="39"/>
      <c r="D17" s="39"/>
      <c r="E17" s="39"/>
      <c r="F17" s="39"/>
      <c r="G17" s="39"/>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row>
    <row r="18" ht="15.75" customHeight="1">
      <c r="A18" s="66" t="s">
        <v>153</v>
      </c>
      <c r="B18" s="40" t="s">
        <v>154</v>
      </c>
      <c r="C18" s="40" t="s">
        <v>155</v>
      </c>
      <c r="D18" s="40" t="s">
        <v>155</v>
      </c>
      <c r="E18" s="40" t="s">
        <v>155</v>
      </c>
      <c r="F18" s="39"/>
      <c r="G18" s="39"/>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row>
    <row r="19" ht="15.75"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row>
    <row r="20" ht="15.75" customHeight="1">
      <c r="A20" s="88" t="s">
        <v>165</v>
      </c>
      <c r="B20" s="90">
        <v>1.0</v>
      </c>
      <c r="C20" s="28" t="s">
        <v>167</v>
      </c>
      <c r="D20" s="28" t="s">
        <v>168</v>
      </c>
      <c r="E20" s="92" t="s">
        <v>168</v>
      </c>
      <c r="F20" s="27"/>
      <c r="G20" s="25">
        <v>1.0</v>
      </c>
      <c r="H20" s="93">
        <v>2.0</v>
      </c>
      <c r="I20" s="29"/>
      <c r="J20" s="29"/>
      <c r="K20" s="29"/>
      <c r="L20" s="29"/>
      <c r="M20" s="29"/>
      <c r="N20" s="29"/>
      <c r="O20" s="29"/>
      <c r="P20" s="29"/>
      <c r="Q20" s="29"/>
      <c r="R20" s="29"/>
      <c r="S20" s="29"/>
      <c r="T20" s="29"/>
      <c r="U20" s="29"/>
      <c r="V20" s="29"/>
      <c r="W20" s="29"/>
      <c r="X20" s="29"/>
      <c r="Y20" s="29"/>
      <c r="Z20" s="29"/>
      <c r="AA20" s="29"/>
      <c r="AB20" s="29"/>
      <c r="AC20" s="29"/>
      <c r="AD20" s="29"/>
      <c r="AE20" s="29"/>
      <c r="AF20" s="29"/>
    </row>
    <row r="21" ht="15.75" customHeight="1">
      <c r="A21" s="88" t="s">
        <v>165</v>
      </c>
      <c r="B21" s="90">
        <v>2.0</v>
      </c>
      <c r="C21" s="28" t="s">
        <v>176</v>
      </c>
      <c r="D21" s="28" t="s">
        <v>177</v>
      </c>
      <c r="E21" s="92" t="s">
        <v>177</v>
      </c>
      <c r="F21" s="27"/>
      <c r="G21" s="27"/>
      <c r="H21" s="93">
        <v>2.0</v>
      </c>
      <c r="I21" s="93">
        <v>1.0</v>
      </c>
      <c r="J21" s="29"/>
      <c r="K21" s="29"/>
      <c r="L21" s="29"/>
      <c r="M21" s="29"/>
      <c r="N21" s="29"/>
      <c r="O21" s="29"/>
      <c r="P21" s="29"/>
      <c r="Q21" s="29"/>
      <c r="R21" s="29"/>
      <c r="S21" s="29"/>
      <c r="T21" s="29"/>
      <c r="U21" s="29"/>
      <c r="V21" s="29"/>
      <c r="W21" s="29"/>
      <c r="X21" s="29"/>
      <c r="Y21" s="29"/>
      <c r="Z21" s="29"/>
      <c r="AA21" s="29"/>
      <c r="AB21" s="29"/>
      <c r="AC21" s="29"/>
      <c r="AD21" s="29"/>
      <c r="AE21" s="29"/>
      <c r="AF21" s="29"/>
    </row>
    <row r="22" ht="15.75" customHeight="1">
      <c r="A22" s="88" t="s">
        <v>165</v>
      </c>
      <c r="B22" s="94">
        <v>3.0</v>
      </c>
      <c r="C22" s="95" t="s">
        <v>186</v>
      </c>
      <c r="D22" s="95" t="s">
        <v>186</v>
      </c>
      <c r="E22" s="95" t="s">
        <v>186</v>
      </c>
      <c r="F22" s="96"/>
      <c r="G22" s="96"/>
      <c r="H22" s="97">
        <v>2.0</v>
      </c>
      <c r="I22" s="29"/>
      <c r="J22" s="57">
        <v>1.0</v>
      </c>
      <c r="K22" s="29"/>
      <c r="L22" s="29"/>
      <c r="M22" s="29"/>
      <c r="N22" s="29"/>
      <c r="O22" s="29"/>
      <c r="P22" s="29"/>
      <c r="Q22" s="29"/>
      <c r="R22" s="29"/>
      <c r="S22" s="29"/>
      <c r="T22" s="29"/>
      <c r="U22" s="29"/>
      <c r="V22" s="29"/>
      <c r="W22" s="29"/>
      <c r="X22" s="29"/>
      <c r="Y22" s="29"/>
      <c r="Z22" s="29"/>
      <c r="AA22" s="29"/>
      <c r="AB22" s="29"/>
      <c r="AC22" s="29"/>
      <c r="AD22" s="29"/>
      <c r="AE22" s="29"/>
      <c r="AF22" s="29"/>
    </row>
    <row r="23" ht="15.75" customHeight="1">
      <c r="A23" s="66" t="s">
        <v>165</v>
      </c>
      <c r="B23" s="98">
        <v>0.0</v>
      </c>
      <c r="C23" s="40" t="s">
        <v>200</v>
      </c>
      <c r="D23" s="99" t="s">
        <v>201</v>
      </c>
      <c r="E23" s="40" t="s">
        <v>202</v>
      </c>
      <c r="F23" s="39"/>
      <c r="G23" s="39" t="s">
        <v>47</v>
      </c>
      <c r="H23" s="100">
        <v>2.0</v>
      </c>
      <c r="I23" s="41"/>
      <c r="J23" s="41"/>
      <c r="K23" s="41"/>
      <c r="L23" s="41"/>
      <c r="M23" s="41"/>
      <c r="N23" s="41"/>
      <c r="O23" s="41"/>
      <c r="P23" s="41"/>
      <c r="Q23" s="41"/>
      <c r="R23" s="41"/>
      <c r="S23" s="41"/>
      <c r="T23" s="41"/>
      <c r="U23" s="41"/>
      <c r="V23" s="41"/>
      <c r="W23" s="41"/>
      <c r="X23" s="41"/>
      <c r="Y23" s="41"/>
      <c r="Z23" s="41"/>
      <c r="AA23" s="41"/>
      <c r="AB23" s="41"/>
      <c r="AC23" s="41"/>
      <c r="AD23" s="41"/>
      <c r="AE23" s="41"/>
      <c r="AF23" s="41"/>
    </row>
    <row r="24" ht="15.75" customHeight="1">
      <c r="A24" s="101"/>
      <c r="B24" s="102"/>
      <c r="C24" s="101"/>
      <c r="D24" s="101"/>
      <c r="E24" s="101"/>
      <c r="F24" s="29"/>
      <c r="G24" s="29"/>
      <c r="H24" s="93"/>
      <c r="I24" s="29"/>
      <c r="J24" s="29"/>
      <c r="K24" s="29"/>
      <c r="L24" s="29"/>
      <c r="M24" s="29"/>
      <c r="N24" s="29"/>
      <c r="O24" s="29"/>
      <c r="P24" s="29"/>
      <c r="Q24" s="29"/>
      <c r="R24" s="29"/>
      <c r="S24" s="29"/>
      <c r="T24" s="29"/>
      <c r="U24" s="29"/>
      <c r="V24" s="29"/>
      <c r="W24" s="29"/>
      <c r="X24" s="29"/>
      <c r="Y24" s="29"/>
      <c r="Z24" s="29"/>
      <c r="AA24" s="29"/>
      <c r="AB24" s="29"/>
      <c r="AC24" s="29"/>
      <c r="AD24" s="29"/>
      <c r="AE24" s="29"/>
      <c r="AF24" s="29"/>
    </row>
    <row r="25" ht="15.75" customHeight="1">
      <c r="A25" s="57" t="s">
        <v>209</v>
      </c>
      <c r="B25" s="97">
        <v>1.0</v>
      </c>
      <c r="C25" s="103" t="s">
        <v>210</v>
      </c>
      <c r="D25" s="103" t="s">
        <v>212</v>
      </c>
      <c r="E25" s="103" t="s">
        <v>212</v>
      </c>
      <c r="F25" s="29"/>
      <c r="G25" s="29"/>
      <c r="H25" s="93"/>
      <c r="I25" s="29"/>
      <c r="J25" s="29"/>
      <c r="K25" s="29"/>
      <c r="L25" s="29"/>
      <c r="M25" s="29"/>
      <c r="N25" s="29"/>
      <c r="O25" s="29"/>
      <c r="P25" s="29"/>
      <c r="Q25" s="29"/>
      <c r="R25" s="29"/>
      <c r="S25" s="29"/>
      <c r="T25" s="29"/>
      <c r="U25" s="29"/>
      <c r="V25" s="29"/>
      <c r="W25" s="29"/>
      <c r="X25" s="29"/>
      <c r="Y25" s="29"/>
      <c r="Z25" s="29"/>
      <c r="AA25" s="29"/>
      <c r="AB25" s="29"/>
      <c r="AC25" s="29"/>
      <c r="AD25" s="29"/>
      <c r="AE25" s="29"/>
      <c r="AF25" s="29"/>
    </row>
    <row r="26" ht="15.75" customHeight="1">
      <c r="A26" s="57" t="s">
        <v>209</v>
      </c>
      <c r="B26" s="97">
        <v>2.0</v>
      </c>
      <c r="C26" s="103" t="s">
        <v>220</v>
      </c>
      <c r="D26" s="103" t="s">
        <v>221</v>
      </c>
      <c r="E26" s="103" t="s">
        <v>221</v>
      </c>
      <c r="F26" s="29"/>
      <c r="G26" s="29"/>
      <c r="H26" s="93"/>
      <c r="I26" s="29"/>
      <c r="J26" s="29"/>
      <c r="K26" s="29"/>
      <c r="L26" s="29"/>
      <c r="M26" s="29"/>
      <c r="N26" s="29"/>
      <c r="O26" s="29"/>
      <c r="P26" s="29"/>
      <c r="Q26" s="29"/>
      <c r="R26" s="29"/>
      <c r="S26" s="29"/>
      <c r="T26" s="29"/>
      <c r="U26" s="29"/>
      <c r="V26" s="29"/>
      <c r="W26" s="29"/>
      <c r="X26" s="29"/>
      <c r="Y26" s="29"/>
      <c r="Z26" s="29"/>
      <c r="AA26" s="29"/>
      <c r="AB26" s="29"/>
      <c r="AC26" s="29"/>
      <c r="AD26" s="29"/>
      <c r="AE26" s="29"/>
      <c r="AF26" s="29"/>
    </row>
    <row r="27" ht="15.75" customHeight="1">
      <c r="A27" s="57"/>
      <c r="B27" s="97"/>
      <c r="C27" s="57"/>
      <c r="D27" s="57"/>
      <c r="E27" s="57"/>
      <c r="F27" s="29"/>
      <c r="G27" s="29"/>
      <c r="H27" s="93"/>
      <c r="I27" s="29"/>
      <c r="J27" s="29"/>
      <c r="K27" s="29"/>
      <c r="L27" s="29"/>
      <c r="M27" s="29"/>
      <c r="N27" s="29"/>
      <c r="O27" s="29"/>
      <c r="P27" s="29"/>
      <c r="Q27" s="29"/>
      <c r="R27" s="29"/>
      <c r="S27" s="29"/>
      <c r="T27" s="29"/>
      <c r="U27" s="29"/>
      <c r="V27" s="29"/>
      <c r="W27" s="29"/>
      <c r="X27" s="29"/>
      <c r="Y27" s="29"/>
      <c r="Z27" s="29"/>
      <c r="AA27" s="29"/>
      <c r="AB27" s="29"/>
      <c r="AC27" s="29"/>
      <c r="AD27" s="29"/>
      <c r="AE27" s="29"/>
      <c r="AF27" s="29"/>
    </row>
    <row r="28" ht="15.75" customHeight="1">
      <c r="A28" s="57" t="s">
        <v>230</v>
      </c>
      <c r="B28" s="97" t="s">
        <v>231</v>
      </c>
      <c r="C28" s="57" t="s">
        <v>232</v>
      </c>
      <c r="D28" s="57" t="s">
        <v>232</v>
      </c>
      <c r="E28" s="57" t="s">
        <v>232</v>
      </c>
      <c r="F28" s="29"/>
      <c r="G28" s="29"/>
      <c r="H28" s="93"/>
      <c r="I28" s="29"/>
      <c r="J28" s="29"/>
      <c r="K28" s="29"/>
      <c r="L28" s="29"/>
      <c r="M28" s="29"/>
      <c r="N28" s="29"/>
      <c r="O28" s="29"/>
      <c r="P28" s="29"/>
      <c r="Q28" s="29"/>
      <c r="R28" s="29"/>
      <c r="S28" s="29"/>
      <c r="T28" s="29"/>
      <c r="U28" s="29"/>
      <c r="V28" s="29"/>
      <c r="W28" s="29"/>
      <c r="X28" s="29"/>
      <c r="Y28" s="29"/>
      <c r="Z28" s="29"/>
      <c r="AA28" s="29"/>
      <c r="AB28" s="29"/>
      <c r="AC28" s="29"/>
      <c r="AD28" s="29"/>
      <c r="AE28" s="29"/>
      <c r="AF28" s="29"/>
    </row>
    <row r="29" ht="15.75" customHeight="1">
      <c r="A29" s="57"/>
      <c r="B29" s="97"/>
      <c r="C29" s="57"/>
      <c r="D29" s="57"/>
      <c r="E29" s="57"/>
      <c r="F29" s="29"/>
      <c r="G29" s="29"/>
      <c r="H29" s="93"/>
      <c r="I29" s="29"/>
      <c r="J29" s="29"/>
      <c r="K29" s="29"/>
      <c r="L29" s="29"/>
      <c r="M29" s="29"/>
      <c r="N29" s="29"/>
      <c r="O29" s="29"/>
      <c r="P29" s="29"/>
      <c r="Q29" s="29"/>
      <c r="R29" s="29"/>
      <c r="S29" s="29"/>
      <c r="T29" s="29"/>
      <c r="U29" s="29"/>
      <c r="V29" s="29"/>
      <c r="W29" s="29"/>
      <c r="X29" s="29"/>
      <c r="Y29" s="29"/>
      <c r="Z29" s="29"/>
      <c r="AA29" s="29"/>
      <c r="AB29" s="29"/>
      <c r="AC29" s="29"/>
      <c r="AD29" s="29"/>
      <c r="AE29" s="29"/>
      <c r="AF29" s="29"/>
    </row>
    <row r="30" ht="15.75" customHeight="1">
      <c r="A30" s="109" t="s">
        <v>239</v>
      </c>
      <c r="B30" s="110">
        <v>1.0</v>
      </c>
      <c r="C30" s="111" t="s">
        <v>245</v>
      </c>
      <c r="D30" s="112" t="s">
        <v>246</v>
      </c>
      <c r="E30" s="112" t="s">
        <v>249</v>
      </c>
      <c r="F30" s="113"/>
      <c r="G30" s="113"/>
      <c r="H30" s="51"/>
      <c r="I30" s="51"/>
      <c r="J30" s="51"/>
      <c r="K30" s="51"/>
      <c r="L30" s="51"/>
      <c r="M30" s="51"/>
      <c r="N30" s="51"/>
      <c r="O30" s="51"/>
      <c r="P30" s="51"/>
      <c r="Q30" s="51"/>
      <c r="R30" s="51"/>
      <c r="S30" s="51"/>
      <c r="T30" s="51"/>
      <c r="U30" s="51"/>
      <c r="V30" s="51"/>
      <c r="W30" s="51"/>
      <c r="X30" s="51"/>
      <c r="Y30" s="51"/>
      <c r="Z30" s="51"/>
      <c r="AA30" s="51"/>
      <c r="AB30" s="51"/>
      <c r="AC30" s="51"/>
      <c r="AD30" s="51"/>
      <c r="AE30" s="29"/>
      <c r="AF30" s="29"/>
    </row>
    <row r="31" ht="15.75" customHeight="1">
      <c r="A31" s="66" t="s">
        <v>239</v>
      </c>
      <c r="B31" s="98">
        <v>0.0</v>
      </c>
      <c r="C31" s="114" t="s">
        <v>255</v>
      </c>
      <c r="D31" s="114" t="s">
        <v>256</v>
      </c>
      <c r="E31" s="114" t="s">
        <v>258</v>
      </c>
      <c r="F31" s="39"/>
      <c r="G31" s="39"/>
      <c r="H31" s="41"/>
      <c r="I31" s="41"/>
      <c r="J31" s="41"/>
      <c r="K31" s="41"/>
      <c r="L31" s="41"/>
      <c r="M31" s="41"/>
      <c r="N31" s="41"/>
      <c r="O31" s="41"/>
      <c r="P31" s="41"/>
      <c r="Q31" s="41"/>
      <c r="R31" s="41"/>
      <c r="S31" s="41"/>
      <c r="T31" s="41"/>
      <c r="U31" s="41"/>
      <c r="V31" s="41"/>
      <c r="W31" s="41"/>
      <c r="X31" s="41"/>
      <c r="Y31" s="41"/>
      <c r="Z31" s="41"/>
      <c r="AA31" s="41"/>
      <c r="AB31" s="41"/>
      <c r="AC31" s="41"/>
      <c r="AD31" s="41"/>
      <c r="AE31" s="29"/>
      <c r="AF31" s="29"/>
    </row>
    <row r="32" ht="15.75" customHeight="1">
      <c r="A32" s="57"/>
      <c r="B32" s="97"/>
      <c r="C32" s="57"/>
      <c r="D32" s="57"/>
      <c r="E32" s="57"/>
      <c r="F32" s="29"/>
      <c r="G32" s="29"/>
      <c r="H32" s="93"/>
      <c r="I32" s="29"/>
      <c r="J32" s="29"/>
      <c r="K32" s="29"/>
      <c r="L32" s="29"/>
      <c r="M32" s="29"/>
      <c r="N32" s="29"/>
      <c r="O32" s="29"/>
      <c r="P32" s="29"/>
      <c r="Q32" s="29"/>
      <c r="R32" s="29"/>
      <c r="S32" s="29"/>
      <c r="T32" s="29"/>
      <c r="U32" s="29"/>
      <c r="V32" s="29"/>
      <c r="W32" s="29"/>
      <c r="X32" s="29"/>
      <c r="Y32" s="29"/>
      <c r="Z32" s="29"/>
      <c r="AA32" s="29"/>
      <c r="AB32" s="29"/>
      <c r="AC32" s="29"/>
      <c r="AD32" s="29"/>
      <c r="AE32" s="29"/>
      <c r="AF32" s="29"/>
    </row>
    <row r="33" ht="15.75" customHeight="1">
      <c r="A33" s="109" t="s">
        <v>268</v>
      </c>
      <c r="B33" s="110">
        <v>1.0</v>
      </c>
      <c r="C33" s="115" t="s">
        <v>269</v>
      </c>
      <c r="D33" s="115" t="s">
        <v>270</v>
      </c>
      <c r="E33" s="115" t="s">
        <v>271</v>
      </c>
      <c r="F33" s="113"/>
      <c r="G33" s="113"/>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row>
    <row r="34" ht="15.75" customHeight="1">
      <c r="A34" s="88" t="s">
        <v>268</v>
      </c>
      <c r="B34" s="90">
        <v>2.0</v>
      </c>
      <c r="C34" s="28" t="s">
        <v>280</v>
      </c>
      <c r="D34" s="28" t="s">
        <v>282</v>
      </c>
      <c r="E34" s="28" t="s">
        <v>283</v>
      </c>
      <c r="F34" s="27"/>
      <c r="G34" s="27"/>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ht="15.75" customHeight="1">
      <c r="A35" s="88" t="s">
        <v>268</v>
      </c>
      <c r="B35" s="90">
        <v>3.0</v>
      </c>
      <c r="C35" s="28" t="s">
        <v>287</v>
      </c>
      <c r="D35" s="28" t="s">
        <v>290</v>
      </c>
      <c r="E35" s="28" t="s">
        <v>291</v>
      </c>
      <c r="F35" s="27"/>
      <c r="G35" s="27"/>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row>
    <row r="36" ht="15.75" customHeight="1">
      <c r="A36" s="88" t="s">
        <v>268</v>
      </c>
      <c r="B36" s="90">
        <v>4.0</v>
      </c>
      <c r="C36" s="28" t="s">
        <v>295</v>
      </c>
      <c r="D36" s="28" t="s">
        <v>296</v>
      </c>
      <c r="E36" s="28" t="s">
        <v>297</v>
      </c>
      <c r="F36" s="27"/>
      <c r="G36" s="27"/>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row>
    <row r="37" ht="15.75" customHeight="1">
      <c r="A37" s="88" t="s">
        <v>268</v>
      </c>
      <c r="B37" s="90">
        <v>5.0</v>
      </c>
      <c r="C37" s="28" t="s">
        <v>305</v>
      </c>
      <c r="D37" s="28" t="s">
        <v>306</v>
      </c>
      <c r="E37" s="28" t="s">
        <v>307</v>
      </c>
      <c r="F37" s="27"/>
      <c r="G37" s="27"/>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row>
    <row r="38" ht="15.75" customHeight="1">
      <c r="A38" s="88" t="s">
        <v>268</v>
      </c>
      <c r="B38" s="90">
        <v>6.0</v>
      </c>
      <c r="C38" s="28" t="s">
        <v>315</v>
      </c>
      <c r="D38" s="28" t="s">
        <v>316</v>
      </c>
      <c r="E38" s="92" t="s">
        <v>317</v>
      </c>
      <c r="F38" s="27"/>
      <c r="G38" s="27"/>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ht="15.75" customHeight="1">
      <c r="A39" s="88" t="s">
        <v>268</v>
      </c>
      <c r="B39" s="90">
        <v>7.0</v>
      </c>
      <c r="C39" s="28" t="s">
        <v>326</v>
      </c>
      <c r="D39" s="28" t="s">
        <v>326</v>
      </c>
      <c r="E39" s="28" t="s">
        <v>327</v>
      </c>
      <c r="F39" s="27"/>
      <c r="G39" s="27"/>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row>
    <row r="40" ht="15.75" customHeight="1">
      <c r="A40" s="88" t="s">
        <v>268</v>
      </c>
      <c r="B40" s="90">
        <v>8.0</v>
      </c>
      <c r="C40" s="28" t="s">
        <v>329</v>
      </c>
      <c r="D40" s="28" t="s">
        <v>331</v>
      </c>
      <c r="E40" s="28" t="s">
        <v>332</v>
      </c>
      <c r="F40" s="27"/>
      <c r="G40" s="27"/>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row>
    <row r="41" ht="15.75" customHeight="1">
      <c r="A41" s="88" t="s">
        <v>268</v>
      </c>
      <c r="B41" s="90">
        <v>9.0</v>
      </c>
      <c r="C41" s="28" t="s">
        <v>335</v>
      </c>
      <c r="D41" s="28" t="s">
        <v>336</v>
      </c>
      <c r="E41" s="92" t="s">
        <v>337</v>
      </c>
      <c r="F41" s="27"/>
      <c r="G41" s="27"/>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row>
    <row r="42" ht="15.75" customHeight="1">
      <c r="A42" s="88" t="s">
        <v>268</v>
      </c>
      <c r="B42" s="90">
        <v>10.0</v>
      </c>
      <c r="C42" s="28" t="s">
        <v>340</v>
      </c>
      <c r="D42" s="28" t="s">
        <v>341</v>
      </c>
      <c r="E42" s="28" t="s">
        <v>342</v>
      </c>
      <c r="F42" s="27"/>
      <c r="G42" s="27"/>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row>
    <row r="43" ht="15.75" customHeight="1">
      <c r="A43" s="88" t="s">
        <v>268</v>
      </c>
      <c r="B43" s="90">
        <v>11.0</v>
      </c>
      <c r="C43" s="28" t="s">
        <v>347</v>
      </c>
      <c r="D43" s="28" t="s">
        <v>348</v>
      </c>
      <c r="E43" s="28" t="s">
        <v>349</v>
      </c>
      <c r="F43" s="27"/>
      <c r="G43" s="27"/>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ht="15.75" customHeight="1">
      <c r="A44" s="88" t="s">
        <v>268</v>
      </c>
      <c r="B44" s="90">
        <v>13.0</v>
      </c>
      <c r="C44" s="28" t="s">
        <v>351</v>
      </c>
      <c r="D44" s="28" t="s">
        <v>352</v>
      </c>
      <c r="E44" s="28" t="s">
        <v>353</v>
      </c>
      <c r="F44" s="27"/>
      <c r="G44" s="27"/>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row>
    <row r="45" ht="15.75" customHeight="1">
      <c r="A45" s="88" t="s">
        <v>268</v>
      </c>
      <c r="B45" s="90">
        <v>14.0</v>
      </c>
      <c r="C45" s="28" t="s">
        <v>361</v>
      </c>
      <c r="D45" s="28" t="s">
        <v>362</v>
      </c>
      <c r="E45" s="28" t="s">
        <v>364</v>
      </c>
      <c r="F45" s="27"/>
      <c r="G45" s="27"/>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row>
    <row r="46" ht="15.75" customHeight="1">
      <c r="A46" s="66" t="s">
        <v>268</v>
      </c>
      <c r="B46" s="98">
        <v>-99.0</v>
      </c>
      <c r="C46" s="40" t="s">
        <v>374</v>
      </c>
      <c r="D46" s="40" t="s">
        <v>375</v>
      </c>
      <c r="E46" s="40" t="s">
        <v>376</v>
      </c>
      <c r="F46" s="39"/>
      <c r="G46" s="39"/>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row>
    <row r="47" ht="15.75" customHeight="1">
      <c r="A47" s="57"/>
      <c r="B47" s="97"/>
      <c r="C47" s="57"/>
      <c r="D47" s="57"/>
      <c r="E47" s="57"/>
      <c r="F47" s="29"/>
      <c r="G47" s="29"/>
      <c r="H47" s="93"/>
      <c r="I47" s="29"/>
      <c r="J47" s="29"/>
      <c r="K47" s="29"/>
      <c r="L47" s="29"/>
      <c r="M47" s="29"/>
      <c r="N47" s="29"/>
      <c r="O47" s="29"/>
      <c r="P47" s="29"/>
      <c r="Q47" s="29"/>
      <c r="R47" s="29"/>
      <c r="S47" s="29"/>
      <c r="T47" s="29"/>
      <c r="U47" s="29"/>
      <c r="V47" s="29"/>
      <c r="W47" s="29"/>
      <c r="X47" s="29"/>
      <c r="Y47" s="29"/>
      <c r="Z47" s="29"/>
      <c r="AA47" s="29"/>
      <c r="AB47" s="29"/>
      <c r="AC47" s="29"/>
      <c r="AD47" s="29"/>
      <c r="AE47" s="29"/>
      <c r="AF47" s="29"/>
    </row>
    <row r="48" ht="15.75" customHeight="1">
      <c r="A48" s="109" t="s">
        <v>385</v>
      </c>
      <c r="B48" s="110">
        <v>0.0</v>
      </c>
      <c r="C48" s="115" t="s">
        <v>389</v>
      </c>
      <c r="D48" s="115" t="s">
        <v>390</v>
      </c>
      <c r="E48" s="115" t="s">
        <v>391</v>
      </c>
      <c r="F48" s="113"/>
      <c r="G48" s="113"/>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row>
    <row r="49" ht="15.75" customHeight="1">
      <c r="A49" s="88" t="s">
        <v>385</v>
      </c>
      <c r="B49" s="90">
        <v>1.0</v>
      </c>
      <c r="C49" s="28" t="s">
        <v>398</v>
      </c>
      <c r="D49" s="28" t="s">
        <v>400</v>
      </c>
      <c r="E49" s="92" t="s">
        <v>401</v>
      </c>
      <c r="F49" s="27"/>
      <c r="G49" s="27"/>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row>
    <row r="50" ht="15.75" customHeight="1">
      <c r="A50" s="88" t="s">
        <v>385</v>
      </c>
      <c r="B50" s="90">
        <v>2.0</v>
      </c>
      <c r="C50" s="28" t="s">
        <v>405</v>
      </c>
      <c r="D50" s="28" t="s">
        <v>406</v>
      </c>
      <c r="E50" s="28" t="s">
        <v>407</v>
      </c>
      <c r="F50" s="27"/>
      <c r="G50" s="27"/>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row>
    <row r="51" ht="15.75" customHeight="1">
      <c r="A51" s="66" t="s">
        <v>385</v>
      </c>
      <c r="B51" s="98">
        <v>-999.0</v>
      </c>
      <c r="C51" s="40" t="s">
        <v>120</v>
      </c>
      <c r="D51" s="40" t="s">
        <v>121</v>
      </c>
      <c r="E51" s="40" t="s">
        <v>123</v>
      </c>
      <c r="F51" s="39"/>
      <c r="G51" s="39"/>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row>
    <row r="52" ht="15.75" customHeight="1">
      <c r="A52" s="57"/>
      <c r="B52" s="97"/>
      <c r="C52" s="57"/>
      <c r="D52" s="57"/>
      <c r="E52" s="57"/>
      <c r="F52" s="29"/>
      <c r="G52" s="29"/>
      <c r="H52" s="93"/>
      <c r="I52" s="29"/>
      <c r="J52" s="29"/>
      <c r="K52" s="29"/>
      <c r="L52" s="29"/>
      <c r="M52" s="29"/>
      <c r="N52" s="29"/>
      <c r="O52" s="29"/>
      <c r="P52" s="29"/>
      <c r="Q52" s="29"/>
      <c r="R52" s="29"/>
      <c r="S52" s="29"/>
      <c r="T52" s="29"/>
      <c r="U52" s="29"/>
      <c r="V52" s="29"/>
      <c r="W52" s="29"/>
      <c r="X52" s="29"/>
      <c r="Y52" s="29"/>
      <c r="Z52" s="29"/>
      <c r="AA52" s="29"/>
      <c r="AB52" s="29"/>
      <c r="AC52" s="29"/>
      <c r="AD52" s="29"/>
      <c r="AE52" s="29"/>
      <c r="AF52" s="29"/>
    </row>
    <row r="53" ht="15.75" customHeight="1">
      <c r="A53" s="109" t="s">
        <v>420</v>
      </c>
      <c r="B53" s="110">
        <v>1.0</v>
      </c>
      <c r="C53" s="111" t="s">
        <v>421</v>
      </c>
      <c r="D53" s="112" t="s">
        <v>422</v>
      </c>
      <c r="E53" s="112" t="s">
        <v>423</v>
      </c>
      <c r="F53" s="113"/>
      <c r="G53" s="113"/>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row>
    <row r="54" ht="15.75" customHeight="1">
      <c r="A54" s="88" t="s">
        <v>420</v>
      </c>
      <c r="B54" s="90">
        <v>2.0</v>
      </c>
      <c r="C54" s="120" t="s">
        <v>426</v>
      </c>
      <c r="D54" s="114" t="s">
        <v>429</v>
      </c>
      <c r="E54" s="114" t="s">
        <v>430</v>
      </c>
      <c r="F54" s="27"/>
      <c r="G54" s="27"/>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row>
    <row r="55" ht="15.75" customHeight="1">
      <c r="A55" s="88" t="s">
        <v>420</v>
      </c>
      <c r="B55" s="90">
        <v>3.0</v>
      </c>
      <c r="C55" s="120" t="s">
        <v>435</v>
      </c>
      <c r="D55" s="114" t="s">
        <v>435</v>
      </c>
      <c r="E55" s="114" t="s">
        <v>437</v>
      </c>
      <c r="F55" s="27"/>
      <c r="G55" s="27"/>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row>
    <row r="56" ht="15.75" customHeight="1">
      <c r="A56" s="88" t="s">
        <v>420</v>
      </c>
      <c r="B56" s="90">
        <v>4.0</v>
      </c>
      <c r="C56" s="101" t="s">
        <v>442</v>
      </c>
      <c r="D56" s="101" t="s">
        <v>443</v>
      </c>
      <c r="E56" s="125" t="s">
        <v>446</v>
      </c>
      <c r="F56" s="27"/>
      <c r="G56" s="27"/>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row>
    <row r="57" ht="15.75" customHeight="1">
      <c r="A57" s="88" t="s">
        <v>420</v>
      </c>
      <c r="B57" s="90">
        <v>5.0</v>
      </c>
      <c r="C57" s="101" t="s">
        <v>455</v>
      </c>
      <c r="D57" s="101" t="s">
        <v>456</v>
      </c>
      <c r="E57" s="125" t="s">
        <v>457</v>
      </c>
      <c r="F57" s="27"/>
      <c r="G57" s="27"/>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row>
    <row r="58" ht="15.75" customHeight="1">
      <c r="A58" s="88" t="s">
        <v>420</v>
      </c>
      <c r="B58" s="90">
        <v>6.0</v>
      </c>
      <c r="C58" s="101" t="s">
        <v>459</v>
      </c>
      <c r="D58" s="101" t="s">
        <v>460</v>
      </c>
      <c r="E58" s="125" t="s">
        <v>461</v>
      </c>
      <c r="F58" s="27"/>
      <c r="G58" s="27"/>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row>
    <row r="59" ht="15.75" customHeight="1">
      <c r="A59" s="88" t="s">
        <v>420</v>
      </c>
      <c r="B59" s="90">
        <v>7.0</v>
      </c>
      <c r="C59" s="101" t="s">
        <v>471</v>
      </c>
      <c r="D59" s="101" t="s">
        <v>473</v>
      </c>
      <c r="E59" s="125" t="s">
        <v>476</v>
      </c>
      <c r="F59" s="27"/>
      <c r="G59" s="27"/>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row>
    <row r="60" ht="15.75" customHeight="1">
      <c r="A60" s="88" t="s">
        <v>420</v>
      </c>
      <c r="B60" s="90">
        <v>8.0</v>
      </c>
      <c r="C60" s="101" t="s">
        <v>482</v>
      </c>
      <c r="D60" s="101" t="s">
        <v>483</v>
      </c>
      <c r="E60" s="125" t="s">
        <v>484</v>
      </c>
      <c r="F60" s="27"/>
      <c r="G60" s="27"/>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row>
    <row r="61" ht="15.75" customHeight="1">
      <c r="A61" s="66" t="s">
        <v>420</v>
      </c>
      <c r="B61" s="98">
        <v>-777.0</v>
      </c>
      <c r="C61" s="99" t="s">
        <v>491</v>
      </c>
      <c r="D61" s="99" t="s">
        <v>492</v>
      </c>
      <c r="E61" s="40" t="s">
        <v>493</v>
      </c>
      <c r="F61" s="39"/>
      <c r="G61" s="39"/>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row>
    <row r="62" ht="15.75" customHeight="1">
      <c r="A62" s="57"/>
      <c r="B62" s="97"/>
      <c r="C62" s="57"/>
      <c r="D62" s="57"/>
      <c r="E62" s="57"/>
      <c r="F62" s="29"/>
      <c r="G62" s="29"/>
      <c r="H62" s="93"/>
      <c r="I62" s="29"/>
      <c r="J62" s="29"/>
      <c r="K62" s="29"/>
      <c r="L62" s="29"/>
      <c r="M62" s="29"/>
      <c r="N62" s="29"/>
      <c r="O62" s="29"/>
      <c r="P62" s="29"/>
      <c r="Q62" s="29"/>
      <c r="R62" s="29"/>
      <c r="S62" s="29"/>
      <c r="T62" s="29"/>
      <c r="U62" s="29"/>
      <c r="V62" s="29"/>
      <c r="W62" s="29"/>
      <c r="X62" s="29"/>
      <c r="Y62" s="29"/>
      <c r="Z62" s="29"/>
      <c r="AA62" s="29"/>
      <c r="AB62" s="29"/>
      <c r="AC62" s="29"/>
      <c r="AD62" s="29"/>
      <c r="AE62" s="29"/>
      <c r="AF62" s="29"/>
    </row>
    <row r="63" ht="15.75" customHeight="1">
      <c r="A63" s="88" t="s">
        <v>505</v>
      </c>
      <c r="B63" s="88">
        <v>1.0</v>
      </c>
      <c r="C63" s="88" t="s">
        <v>508</v>
      </c>
      <c r="D63" s="88" t="s">
        <v>509</v>
      </c>
      <c r="E63" s="88" t="s">
        <v>510</v>
      </c>
      <c r="F63" s="113"/>
      <c r="G63" s="113"/>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row>
    <row r="64" ht="15.75" customHeight="1">
      <c r="A64" s="88" t="s">
        <v>505</v>
      </c>
      <c r="B64" s="88">
        <v>2.0</v>
      </c>
      <c r="C64" s="88" t="s">
        <v>517</v>
      </c>
      <c r="D64" s="88" t="s">
        <v>518</v>
      </c>
      <c r="E64" s="88" t="s">
        <v>519</v>
      </c>
      <c r="F64" s="27"/>
      <c r="G64" s="27"/>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row>
    <row r="65" ht="15.75" customHeight="1">
      <c r="A65" s="88" t="s">
        <v>505</v>
      </c>
      <c r="B65" s="88">
        <v>3.0</v>
      </c>
      <c r="C65" s="88" t="s">
        <v>525</v>
      </c>
      <c r="D65" s="88" t="s">
        <v>526</v>
      </c>
      <c r="E65" s="88" t="s">
        <v>527</v>
      </c>
      <c r="F65" s="39"/>
      <c r="G65" s="39"/>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row>
    <row r="66" ht="15.75" customHeight="1">
      <c r="A66" s="88"/>
      <c r="B66" s="88"/>
      <c r="C66" s="88"/>
      <c r="D66" s="88"/>
      <c r="E66" s="88"/>
      <c r="F66" s="29"/>
      <c r="G66" s="29"/>
      <c r="H66" s="93"/>
      <c r="I66" s="29"/>
      <c r="J66" s="29"/>
      <c r="K66" s="29"/>
      <c r="L66" s="29"/>
      <c r="M66" s="29"/>
      <c r="N66" s="29"/>
      <c r="O66" s="29"/>
      <c r="P66" s="29"/>
      <c r="Q66" s="29"/>
      <c r="R66" s="29"/>
      <c r="S66" s="29"/>
      <c r="T66" s="29"/>
      <c r="U66" s="29"/>
      <c r="V66" s="29"/>
      <c r="W66" s="29"/>
      <c r="X66" s="29"/>
      <c r="Y66" s="29"/>
      <c r="Z66" s="29"/>
      <c r="AA66" s="29"/>
      <c r="AB66" s="29"/>
      <c r="AC66" s="29"/>
      <c r="AD66" s="29"/>
      <c r="AE66" s="29"/>
      <c r="AF66" s="29"/>
    </row>
    <row r="67" ht="15.75" customHeight="1">
      <c r="A67" s="88" t="s">
        <v>540</v>
      </c>
      <c r="B67" s="88">
        <v>1.0</v>
      </c>
      <c r="C67" s="88" t="s">
        <v>541</v>
      </c>
      <c r="D67" s="88" t="s">
        <v>541</v>
      </c>
      <c r="E67" s="88" t="s">
        <v>545</v>
      </c>
      <c r="F67" s="113"/>
      <c r="G67" s="113"/>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row>
    <row r="68" ht="15.75" customHeight="1">
      <c r="A68" s="88" t="s">
        <v>540</v>
      </c>
      <c r="B68" s="88">
        <v>2.0</v>
      </c>
      <c r="C68" s="88" t="s">
        <v>552</v>
      </c>
      <c r="D68" s="88" t="s">
        <v>553</v>
      </c>
      <c r="E68" s="88" t="s">
        <v>554</v>
      </c>
      <c r="F68" s="27"/>
      <c r="G68" s="27"/>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row>
    <row r="69" ht="15.75" customHeight="1">
      <c r="A69" s="88" t="s">
        <v>540</v>
      </c>
      <c r="B69" s="88">
        <v>3.0</v>
      </c>
      <c r="C69" s="88" t="s">
        <v>560</v>
      </c>
      <c r="D69" s="88" t="s">
        <v>561</v>
      </c>
      <c r="E69" s="88" t="s">
        <v>562</v>
      </c>
      <c r="F69" s="39"/>
      <c r="G69" s="39"/>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row>
    <row r="70" ht="15.75" customHeight="1">
      <c r="A70" s="88"/>
      <c r="B70" s="88"/>
      <c r="C70" s="88"/>
      <c r="D70" s="88"/>
      <c r="E70" s="88"/>
      <c r="F70" s="39"/>
      <c r="G70" s="39"/>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row>
    <row r="71" ht="15.75" customHeight="1">
      <c r="A71" s="99"/>
      <c r="B71" s="99"/>
      <c r="C71" s="40"/>
      <c r="D71" s="40"/>
      <c r="E71" s="40"/>
      <c r="F71" s="39"/>
      <c r="G71" s="39"/>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row>
    <row r="72" ht="15.75" customHeight="1">
      <c r="A72" s="101"/>
      <c r="B72" s="101"/>
      <c r="C72" s="101"/>
      <c r="D72" s="101"/>
      <c r="E72" s="101"/>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row>
    <row r="73" ht="15.75" customHeight="1">
      <c r="A73" s="136" t="s">
        <v>584</v>
      </c>
      <c r="B73" s="137">
        <v>1.0</v>
      </c>
      <c r="C73" s="138" t="s">
        <v>585</v>
      </c>
      <c r="D73" s="138" t="s">
        <v>588</v>
      </c>
      <c r="E73" s="138" t="s">
        <v>589</v>
      </c>
      <c r="F73" s="139"/>
      <c r="G73" s="13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row>
    <row r="74" ht="15.75" customHeight="1">
      <c r="A74" s="88" t="s">
        <v>584</v>
      </c>
      <c r="B74" s="90">
        <v>2.0</v>
      </c>
      <c r="C74" s="28" t="s">
        <v>593</v>
      </c>
      <c r="D74" s="28" t="s">
        <v>594</v>
      </c>
      <c r="E74" s="92" t="s">
        <v>596</v>
      </c>
      <c r="F74" s="27"/>
      <c r="G74" s="27"/>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row>
    <row r="75" ht="15.75" customHeight="1">
      <c r="A75" s="88" t="s">
        <v>584</v>
      </c>
      <c r="B75" s="90">
        <v>3.0</v>
      </c>
      <c r="C75" s="28" t="s">
        <v>603</v>
      </c>
      <c r="D75" s="28" t="s">
        <v>605</v>
      </c>
      <c r="E75" s="92" t="s">
        <v>608</v>
      </c>
      <c r="F75" s="27"/>
      <c r="G75" s="27"/>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row>
    <row r="76" ht="15.75" customHeight="1">
      <c r="A76" s="88" t="s">
        <v>584</v>
      </c>
      <c r="B76" s="90">
        <v>4.0</v>
      </c>
      <c r="C76" s="28" t="s">
        <v>611</v>
      </c>
      <c r="D76" s="28" t="s">
        <v>612</v>
      </c>
      <c r="E76" s="92" t="s">
        <v>613</v>
      </c>
      <c r="F76" s="140"/>
      <c r="G76" s="140"/>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row>
    <row r="77" ht="15.75" customHeight="1">
      <c r="A77" s="88" t="s">
        <v>584</v>
      </c>
      <c r="B77" s="90">
        <v>5.0</v>
      </c>
      <c r="C77" s="28" t="s">
        <v>618</v>
      </c>
      <c r="D77" s="28" t="s">
        <v>619</v>
      </c>
      <c r="E77" s="92" t="s">
        <v>620</v>
      </c>
      <c r="F77" s="140"/>
      <c r="G77" s="27"/>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row>
    <row r="78" ht="15.75" customHeight="1">
      <c r="A78" s="88" t="s">
        <v>584</v>
      </c>
      <c r="B78" s="90">
        <v>6.0</v>
      </c>
      <c r="C78" s="28" t="s">
        <v>634</v>
      </c>
      <c r="D78" s="28" t="s">
        <v>635</v>
      </c>
      <c r="E78" s="92" t="s">
        <v>635</v>
      </c>
      <c r="F78" s="140"/>
      <c r="G78" s="140"/>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row>
    <row r="79" ht="15.75" customHeight="1">
      <c r="A79" s="88" t="s">
        <v>584</v>
      </c>
      <c r="B79" s="90">
        <v>-777.0</v>
      </c>
      <c r="C79" s="28" t="s">
        <v>491</v>
      </c>
      <c r="D79" s="28" t="s">
        <v>492</v>
      </c>
      <c r="E79" s="28" t="s">
        <v>493</v>
      </c>
      <c r="F79" s="27"/>
      <c r="G79" s="27"/>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row>
    <row r="80" ht="15.75" customHeight="1">
      <c r="A80" s="88" t="s">
        <v>584</v>
      </c>
      <c r="B80" s="90">
        <v>0.0</v>
      </c>
      <c r="C80" s="28" t="s">
        <v>200</v>
      </c>
      <c r="D80" s="28" t="s">
        <v>201</v>
      </c>
      <c r="E80" s="28" t="s">
        <v>202</v>
      </c>
      <c r="F80" s="27"/>
      <c r="G80" s="27"/>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row>
    <row r="81" ht="15.75" customHeight="1">
      <c r="A81" s="101"/>
      <c r="B81" s="101"/>
      <c r="C81" s="101"/>
      <c r="D81" s="101"/>
      <c r="E81" s="101"/>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row>
    <row r="82" ht="15.75" customHeight="1">
      <c r="A82" s="109" t="s">
        <v>662</v>
      </c>
      <c r="B82" s="110">
        <v>0.0</v>
      </c>
      <c r="C82" s="115" t="s">
        <v>663</v>
      </c>
      <c r="D82" s="115" t="s">
        <v>664</v>
      </c>
      <c r="E82" s="115" t="s">
        <v>666</v>
      </c>
      <c r="F82" s="113"/>
      <c r="G82" s="113"/>
      <c r="H82" s="51"/>
      <c r="I82" s="51"/>
      <c r="J82" s="51"/>
      <c r="K82" s="51"/>
      <c r="L82" s="51"/>
      <c r="M82" s="51"/>
      <c r="N82" s="51"/>
      <c r="O82" s="51"/>
      <c r="P82" s="51"/>
      <c r="Q82" s="51"/>
      <c r="R82" s="51"/>
      <c r="S82" s="51"/>
      <c r="T82" s="51"/>
      <c r="U82" s="51"/>
      <c r="V82" s="51"/>
      <c r="W82" s="51"/>
      <c r="X82" s="51"/>
      <c r="Y82" s="51"/>
      <c r="Z82" s="51"/>
      <c r="AA82" s="51"/>
      <c r="AB82" s="29"/>
      <c r="AC82" s="29"/>
      <c r="AD82" s="29"/>
      <c r="AE82" s="29"/>
      <c r="AF82" s="29"/>
    </row>
    <row r="83" ht="15.75" customHeight="1">
      <c r="A83" s="88" t="s">
        <v>662</v>
      </c>
      <c r="B83" s="90">
        <v>1.0</v>
      </c>
      <c r="C83" s="28" t="s">
        <v>675</v>
      </c>
      <c r="D83" s="28" t="s">
        <v>676</v>
      </c>
      <c r="E83" s="28" t="s">
        <v>677</v>
      </c>
      <c r="F83" s="27"/>
      <c r="G83" s="27"/>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row>
    <row r="84" ht="15.75" customHeight="1">
      <c r="A84" s="88" t="s">
        <v>662</v>
      </c>
      <c r="B84" s="90">
        <v>2.0</v>
      </c>
      <c r="C84" s="28" t="s">
        <v>686</v>
      </c>
      <c r="D84" s="28" t="s">
        <v>688</v>
      </c>
      <c r="E84" s="92" t="s">
        <v>689</v>
      </c>
      <c r="F84" s="27"/>
      <c r="G84" s="27"/>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row>
    <row r="85" ht="15.75" customHeight="1">
      <c r="A85" s="66" t="s">
        <v>662</v>
      </c>
      <c r="B85" s="98">
        <v>3.0</v>
      </c>
      <c r="C85" s="40" t="s">
        <v>692</v>
      </c>
      <c r="D85" s="28" t="s">
        <v>693</v>
      </c>
      <c r="E85" s="28" t="s">
        <v>694</v>
      </c>
      <c r="F85" s="39"/>
      <c r="G85" s="39"/>
      <c r="H85" s="41"/>
      <c r="I85" s="41"/>
      <c r="J85" s="41"/>
      <c r="K85" s="41"/>
      <c r="L85" s="41"/>
      <c r="M85" s="41"/>
      <c r="N85" s="41"/>
      <c r="O85" s="41"/>
      <c r="P85" s="41"/>
      <c r="Q85" s="41"/>
      <c r="R85" s="41"/>
      <c r="S85" s="41"/>
      <c r="T85" s="41"/>
      <c r="U85" s="41"/>
      <c r="V85" s="41"/>
      <c r="W85" s="41"/>
      <c r="X85" s="41"/>
      <c r="Y85" s="41"/>
      <c r="Z85" s="41"/>
      <c r="AA85" s="41"/>
      <c r="AB85" s="29"/>
      <c r="AC85" s="29"/>
      <c r="AD85" s="29"/>
      <c r="AE85" s="29"/>
      <c r="AF85" s="29"/>
    </row>
    <row r="86" ht="15.75" customHeight="1">
      <c r="A86" s="101"/>
      <c r="B86" s="101"/>
      <c r="C86" s="101"/>
      <c r="D86" s="101"/>
      <c r="E86" s="101"/>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row>
    <row r="87" ht="15.75" customHeight="1">
      <c r="A87" s="109" t="s">
        <v>268</v>
      </c>
      <c r="B87" s="110">
        <v>1.0</v>
      </c>
      <c r="C87" s="115" t="s">
        <v>269</v>
      </c>
      <c r="D87" s="115" t="s">
        <v>270</v>
      </c>
      <c r="E87" s="115" t="s">
        <v>271</v>
      </c>
      <c r="F87" s="113"/>
      <c r="G87" s="113"/>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row>
    <row r="88" ht="15.75" customHeight="1">
      <c r="A88" s="88" t="s">
        <v>268</v>
      </c>
      <c r="B88" s="90">
        <v>2.0</v>
      </c>
      <c r="C88" s="28" t="s">
        <v>280</v>
      </c>
      <c r="D88" s="28" t="s">
        <v>282</v>
      </c>
      <c r="E88" s="92" t="s">
        <v>283</v>
      </c>
      <c r="F88" s="27"/>
      <c r="G88" s="27"/>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row>
    <row r="89" ht="15.75" customHeight="1">
      <c r="A89" s="88" t="s">
        <v>268</v>
      </c>
      <c r="B89" s="90">
        <v>3.0</v>
      </c>
      <c r="C89" s="28" t="s">
        <v>287</v>
      </c>
      <c r="D89" s="28" t="s">
        <v>290</v>
      </c>
      <c r="E89" s="28" t="s">
        <v>291</v>
      </c>
      <c r="F89" s="27"/>
      <c r="G89" s="27"/>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row>
    <row r="90" ht="15.75" customHeight="1">
      <c r="A90" s="88" t="s">
        <v>268</v>
      </c>
      <c r="B90" s="90">
        <v>4.0</v>
      </c>
      <c r="C90" s="28" t="s">
        <v>295</v>
      </c>
      <c r="D90" s="28" t="s">
        <v>296</v>
      </c>
      <c r="E90" s="28" t="s">
        <v>297</v>
      </c>
      <c r="F90" s="27"/>
      <c r="G90" s="27"/>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row>
    <row r="91" ht="15.75" customHeight="1">
      <c r="A91" s="88" t="s">
        <v>268</v>
      </c>
      <c r="B91" s="90">
        <v>5.0</v>
      </c>
      <c r="C91" s="28" t="s">
        <v>305</v>
      </c>
      <c r="D91" s="28" t="s">
        <v>306</v>
      </c>
      <c r="E91" s="92" t="s">
        <v>307</v>
      </c>
      <c r="F91" s="27"/>
      <c r="G91" s="27"/>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row>
    <row r="92" ht="15.75" customHeight="1">
      <c r="A92" s="88" t="s">
        <v>268</v>
      </c>
      <c r="B92" s="90">
        <v>6.0</v>
      </c>
      <c r="C92" s="28" t="s">
        <v>315</v>
      </c>
      <c r="D92" s="28" t="s">
        <v>316</v>
      </c>
      <c r="E92" s="92" t="s">
        <v>317</v>
      </c>
      <c r="F92" s="140"/>
      <c r="G92" s="27"/>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row>
    <row r="93" ht="15.75" customHeight="1">
      <c r="A93" s="88" t="s">
        <v>268</v>
      </c>
      <c r="B93" s="90">
        <v>7.0</v>
      </c>
      <c r="C93" s="28" t="s">
        <v>326</v>
      </c>
      <c r="D93" s="28" t="s">
        <v>326</v>
      </c>
      <c r="E93" s="28" t="s">
        <v>327</v>
      </c>
      <c r="F93" s="27"/>
      <c r="G93" s="27"/>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row>
    <row r="94" ht="15.75" customHeight="1">
      <c r="A94" s="88" t="s">
        <v>268</v>
      </c>
      <c r="B94" s="90">
        <v>8.0</v>
      </c>
      <c r="C94" s="28" t="s">
        <v>329</v>
      </c>
      <c r="D94" s="28" t="s">
        <v>331</v>
      </c>
      <c r="E94" s="92" t="s">
        <v>332</v>
      </c>
      <c r="F94" s="27"/>
      <c r="G94" s="27"/>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row>
    <row r="95" ht="15.75" customHeight="1">
      <c r="A95" s="88" t="s">
        <v>268</v>
      </c>
      <c r="B95" s="90">
        <v>9.0</v>
      </c>
      <c r="C95" s="28" t="s">
        <v>335</v>
      </c>
      <c r="D95" s="28" t="s">
        <v>336</v>
      </c>
      <c r="E95" s="92" t="s">
        <v>337</v>
      </c>
      <c r="F95" s="140"/>
      <c r="G95" s="27"/>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row>
    <row r="96" ht="15.75" customHeight="1">
      <c r="A96" s="88" t="s">
        <v>268</v>
      </c>
      <c r="B96" s="90">
        <v>10.0</v>
      </c>
      <c r="C96" s="28" t="s">
        <v>340</v>
      </c>
      <c r="D96" s="28" t="s">
        <v>341</v>
      </c>
      <c r="E96" s="92" t="s">
        <v>342</v>
      </c>
      <c r="F96" s="27"/>
      <c r="G96" s="27"/>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row>
    <row r="97" ht="15.75" customHeight="1">
      <c r="A97" s="88" t="s">
        <v>268</v>
      </c>
      <c r="B97" s="90">
        <v>11.0</v>
      </c>
      <c r="C97" s="28" t="s">
        <v>347</v>
      </c>
      <c r="D97" s="28" t="s">
        <v>348</v>
      </c>
      <c r="E97" s="28" t="s">
        <v>349</v>
      </c>
      <c r="F97" s="27"/>
      <c r="G97" s="27"/>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row>
    <row r="98" ht="15.75" customHeight="1">
      <c r="A98" s="88" t="s">
        <v>268</v>
      </c>
      <c r="B98" s="90">
        <v>13.0</v>
      </c>
      <c r="C98" s="28" t="s">
        <v>351</v>
      </c>
      <c r="D98" s="28" t="s">
        <v>352</v>
      </c>
      <c r="E98" s="92" t="s">
        <v>353</v>
      </c>
      <c r="F98" s="27"/>
      <c r="G98" s="27"/>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row>
    <row r="99" ht="15.75" customHeight="1">
      <c r="A99" s="88" t="s">
        <v>268</v>
      </c>
      <c r="B99" s="90">
        <v>14.0</v>
      </c>
      <c r="C99" s="28" t="s">
        <v>361</v>
      </c>
      <c r="D99" s="28" t="s">
        <v>362</v>
      </c>
      <c r="E99" s="28" t="s">
        <v>364</v>
      </c>
      <c r="F99" s="27"/>
      <c r="G99" s="27"/>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row>
    <row r="100" ht="15.75" customHeight="1">
      <c r="A100" s="66" t="s">
        <v>268</v>
      </c>
      <c r="B100" s="98">
        <v>-99.0</v>
      </c>
      <c r="C100" s="40" t="s">
        <v>374</v>
      </c>
      <c r="D100" s="40" t="s">
        <v>375</v>
      </c>
      <c r="E100" s="77" t="s">
        <v>376</v>
      </c>
      <c r="F100" s="39"/>
      <c r="G100" s="39"/>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row>
    <row r="101" ht="15.75" customHeight="1">
      <c r="A101" s="101"/>
      <c r="B101" s="102"/>
      <c r="C101" s="101"/>
      <c r="D101" s="101"/>
      <c r="E101" s="151"/>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row>
    <row r="102" ht="15.75" customHeight="1">
      <c r="A102" s="109" t="s">
        <v>833</v>
      </c>
      <c r="B102" s="110">
        <v>0.0</v>
      </c>
      <c r="C102" s="115" t="s">
        <v>200</v>
      </c>
      <c r="D102" s="115" t="s">
        <v>201</v>
      </c>
      <c r="E102" s="152" t="s">
        <v>835</v>
      </c>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row>
    <row r="103" ht="15.75" customHeight="1">
      <c r="A103" s="88" t="s">
        <v>833</v>
      </c>
      <c r="B103" s="90">
        <v>1.0</v>
      </c>
      <c r="C103" s="28" t="s">
        <v>846</v>
      </c>
      <c r="D103" s="28" t="s">
        <v>847</v>
      </c>
      <c r="E103" s="92" t="s">
        <v>848</v>
      </c>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row>
    <row r="104" ht="15.75" customHeight="1">
      <c r="A104" s="88" t="s">
        <v>833</v>
      </c>
      <c r="B104" s="90">
        <v>2.0</v>
      </c>
      <c r="C104" s="28" t="s">
        <v>859</v>
      </c>
      <c r="D104" s="28" t="s">
        <v>861</v>
      </c>
      <c r="E104" s="92" t="s">
        <v>862</v>
      </c>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row>
    <row r="105" ht="15.75" customHeight="1">
      <c r="A105" s="88" t="s">
        <v>833</v>
      </c>
      <c r="B105" s="90">
        <v>3.0</v>
      </c>
      <c r="C105" s="28" t="s">
        <v>870</v>
      </c>
      <c r="D105" s="28" t="s">
        <v>872</v>
      </c>
      <c r="E105" s="28" t="s">
        <v>873</v>
      </c>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row>
    <row r="106" ht="15.75" customHeight="1">
      <c r="A106" s="88" t="s">
        <v>833</v>
      </c>
      <c r="B106" s="90">
        <v>4.0</v>
      </c>
      <c r="C106" s="28" t="s">
        <v>879</v>
      </c>
      <c r="D106" s="28" t="s">
        <v>880</v>
      </c>
      <c r="E106" s="92" t="s">
        <v>881</v>
      </c>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row>
    <row r="107" ht="15.75" customHeight="1">
      <c r="A107" s="88" t="s">
        <v>833</v>
      </c>
      <c r="B107" s="90">
        <v>5.0</v>
      </c>
      <c r="C107" s="28" t="s">
        <v>887</v>
      </c>
      <c r="D107" s="28" t="s">
        <v>888</v>
      </c>
      <c r="E107" s="92" t="s">
        <v>889</v>
      </c>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row>
    <row r="108" ht="15.75" customHeight="1">
      <c r="A108" s="66" t="s">
        <v>833</v>
      </c>
      <c r="B108" s="98">
        <v>6.0</v>
      </c>
      <c r="C108" s="40" t="s">
        <v>894</v>
      </c>
      <c r="D108" s="40" t="s">
        <v>896</v>
      </c>
      <c r="E108" s="40" t="s">
        <v>897</v>
      </c>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row>
    <row r="109" ht="15.75" customHeight="1">
      <c r="A109" s="101"/>
      <c r="B109" s="102"/>
      <c r="C109" s="101"/>
      <c r="D109" s="101"/>
      <c r="E109" s="151"/>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row>
    <row r="110" ht="15.75" customHeight="1">
      <c r="A110" s="109" t="s">
        <v>911</v>
      </c>
      <c r="B110" s="110">
        <v>1.0</v>
      </c>
      <c r="C110" s="115" t="s">
        <v>912</v>
      </c>
      <c r="D110" s="115" t="s">
        <v>912</v>
      </c>
      <c r="E110" s="115" t="s">
        <v>912</v>
      </c>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row>
    <row r="111" ht="15.75" customHeight="1">
      <c r="A111" s="88" t="s">
        <v>911</v>
      </c>
      <c r="B111" s="90">
        <v>2.0</v>
      </c>
      <c r="C111" s="28" t="s">
        <v>913</v>
      </c>
      <c r="D111" s="28" t="s">
        <v>913</v>
      </c>
      <c r="E111" s="28" t="s">
        <v>913</v>
      </c>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row>
    <row r="112" ht="15.75" customHeight="1">
      <c r="A112" s="88" t="s">
        <v>911</v>
      </c>
      <c r="B112" s="90">
        <v>3.0</v>
      </c>
      <c r="C112" s="28" t="s">
        <v>919</v>
      </c>
      <c r="D112" s="28" t="s">
        <v>919</v>
      </c>
      <c r="E112" s="28" t="s">
        <v>919</v>
      </c>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row>
    <row r="113" ht="15.75" customHeight="1">
      <c r="A113" s="88" t="s">
        <v>911</v>
      </c>
      <c r="B113" s="90">
        <v>4.0</v>
      </c>
      <c r="C113" s="28" t="s">
        <v>924</v>
      </c>
      <c r="D113" s="28" t="s">
        <v>924</v>
      </c>
      <c r="E113" s="28" t="s">
        <v>924</v>
      </c>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row>
    <row r="114" ht="15.75" customHeight="1">
      <c r="A114" s="88" t="s">
        <v>911</v>
      </c>
      <c r="B114" s="90">
        <v>5.0</v>
      </c>
      <c r="C114" s="28" t="s">
        <v>928</v>
      </c>
      <c r="D114" s="28" t="s">
        <v>928</v>
      </c>
      <c r="E114" s="28" t="s">
        <v>928</v>
      </c>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row>
    <row r="115" ht="15.75" customHeight="1">
      <c r="A115" s="88" t="s">
        <v>911</v>
      </c>
      <c r="B115" s="90">
        <v>6.0</v>
      </c>
      <c r="C115" s="28" t="s">
        <v>929</v>
      </c>
      <c r="D115" s="28" t="s">
        <v>929</v>
      </c>
      <c r="E115" s="28" t="s">
        <v>929</v>
      </c>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row>
    <row r="116" ht="15.75" customHeight="1">
      <c r="A116" s="88" t="s">
        <v>911</v>
      </c>
      <c r="B116" s="90">
        <v>7.0</v>
      </c>
      <c r="C116" s="28" t="s">
        <v>934</v>
      </c>
      <c r="D116" s="28" t="s">
        <v>934</v>
      </c>
      <c r="E116" s="28" t="s">
        <v>934</v>
      </c>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row>
    <row r="117" ht="15.75" customHeight="1">
      <c r="A117" s="66" t="s">
        <v>911</v>
      </c>
      <c r="B117" s="98">
        <v>8.0</v>
      </c>
      <c r="C117" s="40" t="s">
        <v>935</v>
      </c>
      <c r="D117" s="40" t="s">
        <v>935</v>
      </c>
      <c r="E117" s="40" t="s">
        <v>935</v>
      </c>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row>
    <row r="118" ht="15.75" customHeight="1">
      <c r="A118" s="101"/>
      <c r="B118" s="102"/>
      <c r="C118" s="101"/>
      <c r="D118" s="101"/>
      <c r="E118" s="151"/>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row>
    <row r="119" ht="15.75" customHeight="1">
      <c r="A119" s="155" t="s">
        <v>948</v>
      </c>
      <c r="B119" s="156" t="s">
        <v>952</v>
      </c>
      <c r="C119" s="156" t="s">
        <v>955</v>
      </c>
      <c r="D119" s="156" t="s">
        <v>955</v>
      </c>
      <c r="E119" s="156" t="s">
        <v>955</v>
      </c>
      <c r="F119" s="157"/>
      <c r="G119" s="157"/>
      <c r="H119" s="158"/>
      <c r="I119" s="158"/>
      <c r="J119" s="158"/>
      <c r="K119" s="158"/>
      <c r="L119" s="158"/>
      <c r="M119" s="158"/>
      <c r="N119" s="158"/>
      <c r="O119" s="158"/>
      <c r="P119" s="158"/>
      <c r="Q119" s="158"/>
      <c r="R119" s="158"/>
      <c r="S119" s="158"/>
      <c r="T119" s="158"/>
      <c r="U119" s="158"/>
      <c r="V119" s="158"/>
      <c r="W119" s="158"/>
      <c r="X119" s="158"/>
      <c r="Y119" s="158"/>
      <c r="Z119" s="158"/>
      <c r="AA119" s="158"/>
      <c r="AB119" s="158"/>
      <c r="AC119" s="158"/>
      <c r="AD119" s="158"/>
      <c r="AE119" s="158"/>
      <c r="AF119" s="158"/>
    </row>
    <row r="120" ht="15.75" customHeight="1">
      <c r="A120" s="155" t="s">
        <v>948</v>
      </c>
      <c r="B120" s="97">
        <v>-777.0</v>
      </c>
      <c r="C120" s="57" t="s">
        <v>491</v>
      </c>
      <c r="D120" s="28" t="s">
        <v>492</v>
      </c>
      <c r="E120" s="28" t="s">
        <v>963</v>
      </c>
      <c r="F120" s="29"/>
      <c r="G120" s="93"/>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row>
    <row r="121" ht="15.75" customHeight="1">
      <c r="A121" s="101"/>
      <c r="B121" s="102"/>
      <c r="C121" s="101"/>
      <c r="D121" s="101"/>
      <c r="E121" s="101"/>
      <c r="F121" s="29"/>
      <c r="G121" s="93"/>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row>
    <row r="122" ht="15.75" customHeight="1">
      <c r="A122" s="109" t="s">
        <v>973</v>
      </c>
      <c r="B122" s="110">
        <v>0.0</v>
      </c>
      <c r="C122" s="115" t="s">
        <v>200</v>
      </c>
      <c r="D122" s="115" t="s">
        <v>201</v>
      </c>
      <c r="E122" s="115" t="s">
        <v>202</v>
      </c>
      <c r="F122" s="113"/>
      <c r="G122" s="160">
        <v>1.0</v>
      </c>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row>
    <row r="123" ht="15.75" customHeight="1">
      <c r="A123" s="88" t="s">
        <v>973</v>
      </c>
      <c r="B123" s="90">
        <v>1.0</v>
      </c>
      <c r="C123" s="28" t="s">
        <v>985</v>
      </c>
      <c r="D123" s="28" t="s">
        <v>985</v>
      </c>
      <c r="E123" s="28" t="s">
        <v>987</v>
      </c>
      <c r="F123" s="27"/>
      <c r="G123" s="95">
        <v>2.0</v>
      </c>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row>
    <row r="124" ht="15.75" customHeight="1">
      <c r="A124" s="88" t="s">
        <v>973</v>
      </c>
      <c r="B124" s="90">
        <v>2.0</v>
      </c>
      <c r="C124" s="28" t="s">
        <v>992</v>
      </c>
      <c r="D124" s="28" t="s">
        <v>994</v>
      </c>
      <c r="E124" s="28" t="s">
        <v>995</v>
      </c>
      <c r="F124" s="27"/>
      <c r="G124" s="27"/>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row>
    <row r="125" ht="15.75" customHeight="1">
      <c r="A125" s="88" t="s">
        <v>973</v>
      </c>
      <c r="B125" s="90">
        <v>3.0</v>
      </c>
      <c r="C125" s="28" t="s">
        <v>1001</v>
      </c>
      <c r="D125" s="28" t="s">
        <v>1003</v>
      </c>
      <c r="E125" s="28" t="s">
        <v>1001</v>
      </c>
      <c r="F125" s="27"/>
      <c r="G125" s="27"/>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row>
    <row r="126" ht="15.75" customHeight="1">
      <c r="A126" s="88" t="s">
        <v>973</v>
      </c>
      <c r="B126" s="90">
        <v>4.0</v>
      </c>
      <c r="C126" s="28" t="s">
        <v>1008</v>
      </c>
      <c r="D126" s="28" t="s">
        <v>1008</v>
      </c>
      <c r="E126" s="28" t="s">
        <v>1008</v>
      </c>
      <c r="F126" s="27"/>
      <c r="G126" s="27"/>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row>
    <row r="127" ht="15.75" customHeight="1">
      <c r="A127" s="88" t="s">
        <v>973</v>
      </c>
      <c r="B127" s="90">
        <v>5.0</v>
      </c>
      <c r="C127" s="28" t="s">
        <v>1015</v>
      </c>
      <c r="D127" s="28" t="s">
        <v>1016</v>
      </c>
      <c r="E127" s="28" t="s">
        <v>1018</v>
      </c>
      <c r="F127" s="27"/>
      <c r="G127" s="27"/>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row>
    <row r="128" ht="15.75" customHeight="1">
      <c r="A128" s="88" t="s">
        <v>973</v>
      </c>
      <c r="B128" s="90">
        <v>6.0</v>
      </c>
      <c r="C128" s="28" t="s">
        <v>1023</v>
      </c>
      <c r="D128" s="28" t="s">
        <v>1025</v>
      </c>
      <c r="E128" s="92" t="s">
        <v>1028</v>
      </c>
      <c r="F128" s="27"/>
      <c r="G128" s="27"/>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row>
    <row r="129" ht="15.75" customHeight="1">
      <c r="A129" s="88" t="s">
        <v>973</v>
      </c>
      <c r="B129" s="90">
        <v>7.0</v>
      </c>
      <c r="C129" s="28" t="s">
        <v>1038</v>
      </c>
      <c r="D129" s="28" t="s">
        <v>1039</v>
      </c>
      <c r="E129" s="28" t="s">
        <v>1038</v>
      </c>
      <c r="F129" s="27"/>
      <c r="G129" s="27"/>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row>
    <row r="130" ht="15.75" customHeight="1">
      <c r="A130" s="88" t="s">
        <v>973</v>
      </c>
      <c r="B130" s="90">
        <v>8.0</v>
      </c>
      <c r="C130" s="28" t="s">
        <v>1041</v>
      </c>
      <c r="D130" s="28" t="s">
        <v>1041</v>
      </c>
      <c r="E130" s="28" t="s">
        <v>1041</v>
      </c>
      <c r="F130" s="27"/>
      <c r="G130" s="27"/>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row>
    <row r="131" ht="15.75" customHeight="1">
      <c r="A131" s="88" t="s">
        <v>973</v>
      </c>
      <c r="B131" s="90">
        <v>9.0</v>
      </c>
      <c r="C131" s="28" t="s">
        <v>1051</v>
      </c>
      <c r="D131" s="28" t="s">
        <v>1051</v>
      </c>
      <c r="E131" s="28" t="s">
        <v>1051</v>
      </c>
      <c r="F131" s="27"/>
      <c r="G131" s="27"/>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row>
    <row r="132" ht="15.75" customHeight="1">
      <c r="A132" s="88" t="s">
        <v>973</v>
      </c>
      <c r="B132" s="90">
        <v>10.0</v>
      </c>
      <c r="C132" s="28" t="s">
        <v>1053</v>
      </c>
      <c r="D132" s="28" t="s">
        <v>1055</v>
      </c>
      <c r="E132" s="28" t="s">
        <v>1057</v>
      </c>
      <c r="F132" s="27"/>
      <c r="G132" s="27"/>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row>
    <row r="133" ht="15.75" customHeight="1">
      <c r="A133" s="88" t="s">
        <v>973</v>
      </c>
      <c r="B133" s="90">
        <v>11.0</v>
      </c>
      <c r="C133" s="28" t="s">
        <v>1062</v>
      </c>
      <c r="D133" s="28" t="s">
        <v>1064</v>
      </c>
      <c r="E133" s="28" t="s">
        <v>1062</v>
      </c>
      <c r="F133" s="27"/>
      <c r="G133" s="27"/>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row>
    <row r="134" ht="15.75" customHeight="1">
      <c r="A134" s="88" t="s">
        <v>973</v>
      </c>
      <c r="B134" s="90">
        <v>12.0</v>
      </c>
      <c r="C134" s="28" t="s">
        <v>1065</v>
      </c>
      <c r="D134" s="28" t="s">
        <v>1065</v>
      </c>
      <c r="E134" s="28" t="s">
        <v>1065</v>
      </c>
      <c r="F134" s="27"/>
      <c r="G134" s="27"/>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row>
    <row r="135" ht="15.75" customHeight="1">
      <c r="A135" s="88" t="s">
        <v>973</v>
      </c>
      <c r="B135" s="90">
        <v>13.0</v>
      </c>
      <c r="C135" s="28" t="s">
        <v>1074</v>
      </c>
      <c r="D135" s="28" t="s">
        <v>1075</v>
      </c>
      <c r="E135" s="28" t="s">
        <v>1074</v>
      </c>
      <c r="F135" s="27"/>
      <c r="G135" s="27"/>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row>
    <row r="136" ht="15.75" customHeight="1">
      <c r="A136" s="88" t="s">
        <v>973</v>
      </c>
      <c r="B136" s="90">
        <v>14.0</v>
      </c>
      <c r="C136" s="28" t="s">
        <v>1080</v>
      </c>
      <c r="D136" s="28" t="s">
        <v>1080</v>
      </c>
      <c r="E136" s="28" t="s">
        <v>1080</v>
      </c>
      <c r="F136" s="27"/>
      <c r="G136" s="27"/>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row>
    <row r="137" ht="15.75" customHeight="1">
      <c r="A137" s="88" t="s">
        <v>973</v>
      </c>
      <c r="B137" s="90">
        <v>15.0</v>
      </c>
      <c r="C137" s="28" t="s">
        <v>1082</v>
      </c>
      <c r="D137" s="28" t="s">
        <v>1083</v>
      </c>
      <c r="E137" s="28" t="s">
        <v>1082</v>
      </c>
      <c r="F137" s="27"/>
      <c r="G137" s="27"/>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row>
    <row r="138" ht="15.75" customHeight="1">
      <c r="A138" s="88" t="s">
        <v>973</v>
      </c>
      <c r="B138" s="90">
        <v>16.0</v>
      </c>
      <c r="C138" s="28" t="s">
        <v>1087</v>
      </c>
      <c r="D138" s="28" t="s">
        <v>1088</v>
      </c>
      <c r="E138" s="28" t="s">
        <v>1087</v>
      </c>
      <c r="F138" s="27"/>
      <c r="G138" s="27"/>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row>
    <row r="139" ht="15.75" customHeight="1">
      <c r="A139" s="88" t="s">
        <v>973</v>
      </c>
      <c r="B139" s="90">
        <v>17.0</v>
      </c>
      <c r="C139" s="28" t="s">
        <v>1091</v>
      </c>
      <c r="D139" s="28" t="s">
        <v>1092</v>
      </c>
      <c r="E139" s="28" t="s">
        <v>1093</v>
      </c>
      <c r="F139" s="27"/>
      <c r="G139" s="27"/>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row>
    <row r="140" ht="15.75" customHeight="1">
      <c r="A140" s="88" t="s">
        <v>973</v>
      </c>
      <c r="B140" s="90">
        <v>18.0</v>
      </c>
      <c r="C140" s="28" t="s">
        <v>1098</v>
      </c>
      <c r="D140" s="28" t="s">
        <v>1098</v>
      </c>
      <c r="E140" s="28" t="s">
        <v>1099</v>
      </c>
      <c r="F140" s="27"/>
      <c r="G140" s="27"/>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row>
    <row r="141" ht="15.75" customHeight="1">
      <c r="A141" s="88" t="s">
        <v>973</v>
      </c>
      <c r="B141" s="90">
        <v>19.0</v>
      </c>
      <c r="C141" s="28" t="s">
        <v>1102</v>
      </c>
      <c r="D141" s="28" t="s">
        <v>1102</v>
      </c>
      <c r="E141" s="28" t="s">
        <v>1103</v>
      </c>
      <c r="F141" s="27"/>
      <c r="G141" s="27"/>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row>
    <row r="142" ht="15.75" customHeight="1">
      <c r="A142" s="88" t="s">
        <v>973</v>
      </c>
      <c r="B142" s="90">
        <v>20.0</v>
      </c>
      <c r="C142" s="28" t="s">
        <v>1108</v>
      </c>
      <c r="D142" s="28" t="s">
        <v>1109</v>
      </c>
      <c r="E142" s="92" t="s">
        <v>1110</v>
      </c>
      <c r="F142" s="27"/>
      <c r="G142" s="27"/>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row>
    <row r="143" ht="15.75" customHeight="1">
      <c r="A143" s="88" t="s">
        <v>973</v>
      </c>
      <c r="B143" s="90">
        <v>21.0</v>
      </c>
      <c r="C143" s="28" t="s">
        <v>1119</v>
      </c>
      <c r="D143" s="28" t="s">
        <v>1121</v>
      </c>
      <c r="E143" s="28" t="s">
        <v>1123</v>
      </c>
      <c r="F143" s="27"/>
      <c r="G143" s="27"/>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row>
    <row r="144" ht="15.75" customHeight="1">
      <c r="A144" s="88" t="s">
        <v>973</v>
      </c>
      <c r="B144" s="90">
        <v>-777.0</v>
      </c>
      <c r="C144" s="28" t="s">
        <v>491</v>
      </c>
      <c r="D144" s="28" t="s">
        <v>492</v>
      </c>
      <c r="E144" s="28" t="s">
        <v>963</v>
      </c>
      <c r="F144" s="27"/>
      <c r="G144" s="27"/>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row>
    <row r="145" ht="15.75" customHeight="1">
      <c r="A145" s="66" t="s">
        <v>973</v>
      </c>
      <c r="B145" s="98">
        <v>-999.0</v>
      </c>
      <c r="C145" s="40" t="s">
        <v>120</v>
      </c>
      <c r="D145" s="40" t="s">
        <v>121</v>
      </c>
      <c r="E145" s="40" t="s">
        <v>123</v>
      </c>
      <c r="F145" s="39"/>
      <c r="G145" s="39"/>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row>
    <row r="146" ht="15.75" customHeight="1">
      <c r="A146" s="101"/>
      <c r="B146" s="102"/>
      <c r="C146" s="101"/>
      <c r="D146" s="101"/>
      <c r="E146" s="151"/>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row>
    <row r="147" ht="15.75" customHeight="1">
      <c r="A147" s="109" t="s">
        <v>1134</v>
      </c>
      <c r="B147" s="110">
        <v>1.0</v>
      </c>
      <c r="C147" s="115" t="s">
        <v>1135</v>
      </c>
      <c r="D147" s="115" t="s">
        <v>1136</v>
      </c>
      <c r="E147" s="152" t="s">
        <v>1138</v>
      </c>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row>
    <row r="148" ht="15.75" customHeight="1">
      <c r="A148" s="88" t="s">
        <v>1134</v>
      </c>
      <c r="B148" s="90">
        <v>2.0</v>
      </c>
      <c r="C148" s="28" t="s">
        <v>1148</v>
      </c>
      <c r="D148" s="28" t="s">
        <v>1149</v>
      </c>
      <c r="E148" s="92" t="s">
        <v>1151</v>
      </c>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row>
    <row r="149" ht="15.75" customHeight="1">
      <c r="A149" s="88" t="s">
        <v>1134</v>
      </c>
      <c r="B149" s="90">
        <v>3.0</v>
      </c>
      <c r="C149" s="28" t="s">
        <v>1158</v>
      </c>
      <c r="D149" s="28" t="s">
        <v>1159</v>
      </c>
      <c r="E149" s="28" t="s">
        <v>1160</v>
      </c>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row>
    <row r="150" ht="15.75" customHeight="1">
      <c r="A150" s="88" t="s">
        <v>1134</v>
      </c>
      <c r="B150" s="90">
        <v>4.0</v>
      </c>
      <c r="C150" s="28" t="s">
        <v>1169</v>
      </c>
      <c r="D150" s="28" t="s">
        <v>1170</v>
      </c>
      <c r="E150" s="28" t="s">
        <v>1171</v>
      </c>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row>
    <row r="151" ht="15.75" customHeight="1">
      <c r="A151" s="66" t="s">
        <v>1134</v>
      </c>
      <c r="B151" s="98">
        <v>-777.0</v>
      </c>
      <c r="C151" s="40" t="s">
        <v>491</v>
      </c>
      <c r="D151" s="40" t="s">
        <v>492</v>
      </c>
      <c r="E151" s="40" t="s">
        <v>493</v>
      </c>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row>
    <row r="152" ht="15.75" customHeight="1">
      <c r="A152" s="101"/>
      <c r="B152" s="102"/>
      <c r="C152" s="101"/>
      <c r="D152" s="101"/>
      <c r="E152" s="151"/>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row>
    <row r="153" ht="15.75" customHeight="1">
      <c r="A153" s="109" t="s">
        <v>1186</v>
      </c>
      <c r="B153" s="110">
        <v>1.0</v>
      </c>
      <c r="C153" s="115" t="s">
        <v>1187</v>
      </c>
      <c r="D153" s="115" t="s">
        <v>1189</v>
      </c>
      <c r="E153" s="152" t="s">
        <v>1191</v>
      </c>
      <c r="F153" s="113"/>
      <c r="G153" s="113"/>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row>
    <row r="154" ht="15.75" customHeight="1">
      <c r="A154" s="88" t="s">
        <v>1186</v>
      </c>
      <c r="B154" s="90">
        <v>2.0</v>
      </c>
      <c r="C154" s="28" t="s">
        <v>1198</v>
      </c>
      <c r="D154" s="28" t="s">
        <v>1199</v>
      </c>
      <c r="E154" s="28" t="s">
        <v>1200</v>
      </c>
      <c r="F154" s="27"/>
      <c r="G154" s="27"/>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row>
    <row r="155" ht="15.75" customHeight="1">
      <c r="A155" s="88" t="s">
        <v>1186</v>
      </c>
      <c r="B155" s="90">
        <v>3.0</v>
      </c>
      <c r="C155" s="28" t="s">
        <v>1205</v>
      </c>
      <c r="D155" s="28" t="s">
        <v>1206</v>
      </c>
      <c r="E155" s="92" t="s">
        <v>1207</v>
      </c>
      <c r="F155" s="27"/>
      <c r="G155" s="27"/>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row>
    <row r="156" ht="15.75" customHeight="1">
      <c r="A156" s="88" t="s">
        <v>1186</v>
      </c>
      <c r="B156" s="90">
        <v>4.0</v>
      </c>
      <c r="C156" s="28" t="s">
        <v>1216</v>
      </c>
      <c r="D156" s="28" t="s">
        <v>1218</v>
      </c>
      <c r="E156" s="92" t="s">
        <v>1220</v>
      </c>
      <c r="F156" s="27"/>
      <c r="G156" s="27"/>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row>
    <row r="157" ht="15.75" customHeight="1">
      <c r="A157" s="88" t="s">
        <v>1186</v>
      </c>
      <c r="B157" s="90">
        <v>5.0</v>
      </c>
      <c r="C157" s="28" t="s">
        <v>1223</v>
      </c>
      <c r="D157" s="28" t="s">
        <v>1224</v>
      </c>
      <c r="E157" s="28" t="s">
        <v>1225</v>
      </c>
      <c r="F157" s="27"/>
      <c r="G157" s="27"/>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row>
    <row r="158" ht="15.75" customHeight="1">
      <c r="A158" s="88" t="s">
        <v>1186</v>
      </c>
      <c r="B158" s="90">
        <v>6.0</v>
      </c>
      <c r="C158" s="28" t="s">
        <v>1235</v>
      </c>
      <c r="D158" s="28" t="s">
        <v>1236</v>
      </c>
      <c r="E158" s="28" t="s">
        <v>1237</v>
      </c>
      <c r="F158" s="27"/>
      <c r="G158" s="27"/>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row>
    <row r="159" ht="15.75" customHeight="1">
      <c r="A159" s="88" t="s">
        <v>1186</v>
      </c>
      <c r="B159" s="90">
        <v>7.0</v>
      </c>
      <c r="C159" s="28" t="s">
        <v>1242</v>
      </c>
      <c r="D159" s="28" t="s">
        <v>1243</v>
      </c>
      <c r="E159" s="28" t="s">
        <v>1244</v>
      </c>
      <c r="F159" s="27"/>
      <c r="G159" s="27"/>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row>
    <row r="160" ht="15.75" customHeight="1">
      <c r="A160" s="88" t="s">
        <v>1186</v>
      </c>
      <c r="B160" s="90">
        <v>8.0</v>
      </c>
      <c r="C160" s="28" t="s">
        <v>1254</v>
      </c>
      <c r="D160" s="28" t="s">
        <v>1255</v>
      </c>
      <c r="E160" s="92" t="s">
        <v>1257</v>
      </c>
      <c r="F160" s="27"/>
      <c r="G160" s="27"/>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row>
    <row r="161" ht="15.75" customHeight="1">
      <c r="A161" s="88" t="s">
        <v>1186</v>
      </c>
      <c r="B161" s="90">
        <v>9.0</v>
      </c>
      <c r="C161" s="28" t="s">
        <v>1264</v>
      </c>
      <c r="D161" s="28" t="s">
        <v>1266</v>
      </c>
      <c r="E161" s="28" t="s">
        <v>1267</v>
      </c>
      <c r="F161" s="27"/>
      <c r="G161" s="27"/>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row>
    <row r="162" ht="15.75" customHeight="1">
      <c r="A162" s="66" t="s">
        <v>1186</v>
      </c>
      <c r="B162" s="98">
        <v>-777.0</v>
      </c>
      <c r="C162" s="40" t="s">
        <v>491</v>
      </c>
      <c r="D162" s="40" t="s">
        <v>492</v>
      </c>
      <c r="E162" s="40" t="s">
        <v>493</v>
      </c>
      <c r="F162" s="39"/>
      <c r="G162" s="39"/>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row>
    <row r="163" ht="15.75" customHeight="1">
      <c r="A163" s="101"/>
      <c r="B163" s="102"/>
      <c r="C163" s="101"/>
      <c r="D163" s="101"/>
      <c r="E163" s="151"/>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row>
    <row r="164" ht="15.75" customHeight="1">
      <c r="A164" s="109" t="s">
        <v>1277</v>
      </c>
      <c r="B164" s="110">
        <v>1.0</v>
      </c>
      <c r="C164" s="115" t="s">
        <v>1278</v>
      </c>
      <c r="D164" s="115" t="s">
        <v>1279</v>
      </c>
      <c r="E164" s="152" t="s">
        <v>1280</v>
      </c>
      <c r="F164" s="113"/>
      <c r="G164" s="172"/>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row>
    <row r="165" ht="15.75" customHeight="1">
      <c r="A165" s="88" t="s">
        <v>1277</v>
      </c>
      <c r="B165" s="90">
        <v>2.0</v>
      </c>
      <c r="C165" s="28" t="s">
        <v>1294</v>
      </c>
      <c r="D165" s="28" t="s">
        <v>1295</v>
      </c>
      <c r="E165" s="92" t="s">
        <v>1296</v>
      </c>
      <c r="F165" s="140"/>
      <c r="G165" s="27"/>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row>
    <row r="166" ht="15.75" customHeight="1">
      <c r="A166" s="88" t="s">
        <v>1277</v>
      </c>
      <c r="B166" s="90">
        <v>3.0</v>
      </c>
      <c r="C166" s="28" t="s">
        <v>1298</v>
      </c>
      <c r="D166" s="28" t="s">
        <v>880</v>
      </c>
      <c r="E166" s="92" t="s">
        <v>1299</v>
      </c>
      <c r="F166" s="140"/>
      <c r="G166" s="27"/>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row>
    <row r="167" ht="15.75" customHeight="1">
      <c r="A167" s="66" t="s">
        <v>1277</v>
      </c>
      <c r="B167" s="98">
        <v>4.0</v>
      </c>
      <c r="C167" s="40" t="s">
        <v>1306</v>
      </c>
      <c r="D167" s="40" t="s">
        <v>1308</v>
      </c>
      <c r="E167" s="77" t="s">
        <v>1309</v>
      </c>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row>
    <row r="168" ht="15.75" customHeight="1">
      <c r="A168" s="101"/>
      <c r="B168" s="102"/>
      <c r="C168" s="101"/>
      <c r="D168" s="101"/>
      <c r="E168" s="151"/>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row>
    <row r="169" ht="15.75" customHeight="1">
      <c r="A169" s="109" t="s">
        <v>1327</v>
      </c>
      <c r="B169" s="110">
        <v>1.0</v>
      </c>
      <c r="C169" s="115" t="s">
        <v>1332</v>
      </c>
      <c r="D169" s="115" t="s">
        <v>1332</v>
      </c>
      <c r="E169" s="115" t="s">
        <v>1334</v>
      </c>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29"/>
      <c r="AF169" s="29"/>
    </row>
    <row r="170" ht="15.75" customHeight="1">
      <c r="A170" s="88" t="s">
        <v>1327</v>
      </c>
      <c r="B170" s="90">
        <v>2.0</v>
      </c>
      <c r="C170" s="28" t="s">
        <v>1337</v>
      </c>
      <c r="D170" s="28" t="s">
        <v>1338</v>
      </c>
      <c r="E170" s="28" t="s">
        <v>1339</v>
      </c>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row>
    <row r="171" ht="15.75" customHeight="1">
      <c r="A171" s="88" t="s">
        <v>1327</v>
      </c>
      <c r="B171" s="90">
        <v>3.0</v>
      </c>
      <c r="C171" s="28" t="s">
        <v>1342</v>
      </c>
      <c r="D171" s="28" t="s">
        <v>1342</v>
      </c>
      <c r="E171" s="28" t="s">
        <v>1343</v>
      </c>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row>
    <row r="172" ht="15.75" customHeight="1">
      <c r="A172" s="88" t="s">
        <v>1327</v>
      </c>
      <c r="B172" s="90">
        <v>4.0</v>
      </c>
      <c r="C172" s="28" t="s">
        <v>1349</v>
      </c>
      <c r="D172" s="28" t="s">
        <v>1350</v>
      </c>
      <c r="E172" s="28" t="s">
        <v>1351</v>
      </c>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row>
    <row r="173" ht="15.75" customHeight="1">
      <c r="A173" s="88" t="s">
        <v>1327</v>
      </c>
      <c r="B173" s="90">
        <v>5.0</v>
      </c>
      <c r="C173" s="28" t="s">
        <v>1357</v>
      </c>
      <c r="D173" s="28" t="s">
        <v>1358</v>
      </c>
      <c r="E173" s="28" t="s">
        <v>1359</v>
      </c>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row>
    <row r="174" ht="15.75" customHeight="1">
      <c r="A174" s="88" t="s">
        <v>1327</v>
      </c>
      <c r="B174" s="90">
        <v>6.0</v>
      </c>
      <c r="C174" s="28" t="s">
        <v>1364</v>
      </c>
      <c r="D174" s="28" t="s">
        <v>1365</v>
      </c>
      <c r="E174" s="28" t="s">
        <v>1366</v>
      </c>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row>
    <row r="175" ht="15.75" customHeight="1">
      <c r="A175" s="88" t="s">
        <v>1327</v>
      </c>
      <c r="B175" s="90">
        <v>7.0</v>
      </c>
      <c r="C175" s="28" t="s">
        <v>1327</v>
      </c>
      <c r="D175" s="28" t="s">
        <v>1375</v>
      </c>
      <c r="E175" s="28" t="s">
        <v>1377</v>
      </c>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row>
    <row r="176" ht="15.75" customHeight="1">
      <c r="A176" s="88" t="s">
        <v>1327</v>
      </c>
      <c r="B176" s="90">
        <v>8.0</v>
      </c>
      <c r="C176" s="28" t="s">
        <v>1382</v>
      </c>
      <c r="D176" s="28" t="s">
        <v>1383</v>
      </c>
      <c r="E176" s="28" t="s">
        <v>1382</v>
      </c>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row>
    <row r="177" ht="15.75" customHeight="1">
      <c r="A177" s="88" t="s">
        <v>1327</v>
      </c>
      <c r="B177" s="90">
        <v>9.0</v>
      </c>
      <c r="C177" s="28" t="s">
        <v>1387</v>
      </c>
      <c r="D177" s="28" t="s">
        <v>1388</v>
      </c>
      <c r="E177" s="28" t="s">
        <v>1389</v>
      </c>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row>
    <row r="178" ht="15.75" customHeight="1">
      <c r="A178" s="88" t="s">
        <v>1327</v>
      </c>
      <c r="B178" s="90">
        <v>10.0</v>
      </c>
      <c r="C178" s="28" t="s">
        <v>1400</v>
      </c>
      <c r="D178" s="28" t="s">
        <v>1401</v>
      </c>
      <c r="E178" s="28" t="s">
        <v>1402</v>
      </c>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row>
    <row r="179" ht="15.75" customHeight="1">
      <c r="A179" s="88" t="s">
        <v>1327</v>
      </c>
      <c r="B179" s="90">
        <v>11.0</v>
      </c>
      <c r="C179" s="28" t="s">
        <v>1410</v>
      </c>
      <c r="D179" s="28" t="s">
        <v>1412</v>
      </c>
      <c r="E179" s="28" t="s">
        <v>1413</v>
      </c>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row>
    <row r="180" ht="15.75" customHeight="1">
      <c r="A180" s="66" t="s">
        <v>1327</v>
      </c>
      <c r="B180" s="98">
        <v>-777.0</v>
      </c>
      <c r="C180" s="40" t="s">
        <v>1420</v>
      </c>
      <c r="D180" s="40" t="s">
        <v>1422</v>
      </c>
      <c r="E180" s="40" t="s">
        <v>1423</v>
      </c>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29"/>
      <c r="AF180" s="29"/>
    </row>
    <row r="181" ht="15.75" customHeight="1">
      <c r="A181" s="101"/>
      <c r="B181" s="102"/>
      <c r="C181" s="101"/>
      <c r="D181" s="101"/>
      <c r="E181" s="151"/>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row>
    <row r="182" ht="15.75" customHeight="1">
      <c r="A182" s="109" t="s">
        <v>1441</v>
      </c>
      <c r="B182" s="110">
        <v>0.0</v>
      </c>
      <c r="C182" s="115" t="s">
        <v>200</v>
      </c>
      <c r="D182" s="115" t="s">
        <v>201</v>
      </c>
      <c r="E182" s="115" t="s">
        <v>202</v>
      </c>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29"/>
      <c r="AF182" s="29"/>
    </row>
    <row r="183" ht="15.75" customHeight="1">
      <c r="A183" s="88" t="s">
        <v>1441</v>
      </c>
      <c r="B183" s="90">
        <v>1.0</v>
      </c>
      <c r="C183" s="28" t="s">
        <v>1460</v>
      </c>
      <c r="D183" s="28" t="s">
        <v>1462</v>
      </c>
      <c r="E183" s="28" t="s">
        <v>1464</v>
      </c>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row>
    <row r="184" ht="15.75" customHeight="1">
      <c r="A184" s="88" t="s">
        <v>1441</v>
      </c>
      <c r="B184" s="90">
        <v>2.0</v>
      </c>
      <c r="C184" s="28" t="s">
        <v>1476</v>
      </c>
      <c r="D184" s="28" t="s">
        <v>1478</v>
      </c>
      <c r="E184" s="28" t="s">
        <v>1479</v>
      </c>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row>
    <row r="185" ht="15.75" customHeight="1">
      <c r="A185" s="88" t="s">
        <v>1441</v>
      </c>
      <c r="B185" s="90">
        <v>3.0</v>
      </c>
      <c r="C185" s="28" t="s">
        <v>1494</v>
      </c>
      <c r="D185" s="28" t="s">
        <v>1496</v>
      </c>
      <c r="E185" s="28" t="s">
        <v>1499</v>
      </c>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row>
    <row r="186" ht="15.75" customHeight="1">
      <c r="A186" s="88" t="s">
        <v>1441</v>
      </c>
      <c r="B186" s="90">
        <v>4.0</v>
      </c>
      <c r="C186" s="28" t="s">
        <v>1507</v>
      </c>
      <c r="D186" s="28" t="s">
        <v>1509</v>
      </c>
      <c r="E186" s="28" t="s">
        <v>1511</v>
      </c>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row>
    <row r="187" ht="15.75" customHeight="1">
      <c r="A187" s="88" t="s">
        <v>1441</v>
      </c>
      <c r="B187" s="90">
        <v>5.0</v>
      </c>
      <c r="C187" s="28" t="s">
        <v>1516</v>
      </c>
      <c r="D187" s="28" t="s">
        <v>1517</v>
      </c>
      <c r="E187" s="28" t="s">
        <v>1519</v>
      </c>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row>
    <row r="188" ht="15.75" customHeight="1">
      <c r="A188" s="88" t="s">
        <v>1441</v>
      </c>
      <c r="B188" s="90">
        <v>6.0</v>
      </c>
      <c r="C188" s="28" t="s">
        <v>1524</v>
      </c>
      <c r="D188" s="28" t="s">
        <v>1525</v>
      </c>
      <c r="E188" s="28" t="s">
        <v>1526</v>
      </c>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row>
    <row r="189" ht="15.75" customHeight="1">
      <c r="A189" s="88" t="s">
        <v>1441</v>
      </c>
      <c r="B189" s="90">
        <v>7.0</v>
      </c>
      <c r="C189" s="28" t="s">
        <v>1538</v>
      </c>
      <c r="D189" s="28" t="s">
        <v>1538</v>
      </c>
      <c r="E189" s="28" t="s">
        <v>1546</v>
      </c>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row>
    <row r="190" ht="15.75" customHeight="1">
      <c r="A190" s="88" t="s">
        <v>1441</v>
      </c>
      <c r="B190" s="90">
        <v>8.0</v>
      </c>
      <c r="C190" s="28" t="s">
        <v>1553</v>
      </c>
      <c r="D190" s="28" t="s">
        <v>1554</v>
      </c>
      <c r="E190" s="28" t="s">
        <v>1555</v>
      </c>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row>
    <row r="191" ht="15.75" customHeight="1">
      <c r="A191" s="88" t="s">
        <v>1441</v>
      </c>
      <c r="B191" s="90">
        <v>9.0</v>
      </c>
      <c r="C191" s="28" t="s">
        <v>1569</v>
      </c>
      <c r="D191" s="28" t="s">
        <v>1569</v>
      </c>
      <c r="E191" s="28" t="s">
        <v>1571</v>
      </c>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row>
    <row r="192" ht="15.75" customHeight="1">
      <c r="A192" s="88" t="s">
        <v>1441</v>
      </c>
      <c r="B192" s="90">
        <v>10.0</v>
      </c>
      <c r="C192" s="28" t="s">
        <v>1580</v>
      </c>
      <c r="D192" s="28" t="s">
        <v>1580</v>
      </c>
      <c r="E192" s="28" t="s">
        <v>1582</v>
      </c>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row>
    <row r="193" ht="15.75" customHeight="1">
      <c r="A193" s="88" t="s">
        <v>1441</v>
      </c>
      <c r="B193" s="90">
        <v>11.0</v>
      </c>
      <c r="C193" s="28" t="s">
        <v>1589</v>
      </c>
      <c r="D193" s="28" t="s">
        <v>1590</v>
      </c>
      <c r="E193" s="28" t="s">
        <v>1591</v>
      </c>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row>
    <row r="194" ht="15.75" customHeight="1">
      <c r="A194" s="88" t="s">
        <v>1441</v>
      </c>
      <c r="B194" s="90">
        <v>12.0</v>
      </c>
      <c r="C194" s="28" t="s">
        <v>1604</v>
      </c>
      <c r="D194" s="28" t="s">
        <v>1606</v>
      </c>
      <c r="E194" s="28" t="s">
        <v>1608</v>
      </c>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row>
    <row r="195" ht="15.75" customHeight="1">
      <c r="A195" s="88" t="s">
        <v>1441</v>
      </c>
      <c r="B195" s="90">
        <v>13.0</v>
      </c>
      <c r="C195" s="28" t="s">
        <v>1619</v>
      </c>
      <c r="D195" s="28" t="s">
        <v>1620</v>
      </c>
      <c r="E195" s="28" t="s">
        <v>1621</v>
      </c>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row>
    <row r="196" ht="15.75" customHeight="1">
      <c r="A196" s="88" t="s">
        <v>1441</v>
      </c>
      <c r="B196" s="90">
        <v>14.0</v>
      </c>
      <c r="C196" s="28" t="s">
        <v>1625</v>
      </c>
      <c r="D196" s="28" t="s">
        <v>1628</v>
      </c>
      <c r="E196" s="28" t="s">
        <v>1630</v>
      </c>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row>
    <row r="197" ht="15.75" customHeight="1">
      <c r="A197" s="88" t="s">
        <v>1441</v>
      </c>
      <c r="B197" s="90">
        <v>15.0</v>
      </c>
      <c r="C197" s="28" t="s">
        <v>1643</v>
      </c>
      <c r="D197" s="28" t="s">
        <v>1645</v>
      </c>
      <c r="E197" s="28" t="s">
        <v>1646</v>
      </c>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row>
    <row r="198" ht="15.75" customHeight="1">
      <c r="A198" s="88" t="s">
        <v>1441</v>
      </c>
      <c r="B198" s="90">
        <v>16.0</v>
      </c>
      <c r="C198" s="28" t="s">
        <v>1662</v>
      </c>
      <c r="D198" s="28" t="s">
        <v>1664</v>
      </c>
      <c r="E198" s="28" t="s">
        <v>1665</v>
      </c>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row>
    <row r="199" ht="15.75" customHeight="1">
      <c r="A199" s="88" t="s">
        <v>1441</v>
      </c>
      <c r="B199" s="90">
        <v>17.0</v>
      </c>
      <c r="C199" s="28" t="s">
        <v>1674</v>
      </c>
      <c r="D199" s="28" t="s">
        <v>1676</v>
      </c>
      <c r="E199" s="28" t="s">
        <v>1678</v>
      </c>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row>
    <row r="200" ht="15.75" customHeight="1">
      <c r="A200" s="88" t="s">
        <v>1441</v>
      </c>
      <c r="B200" s="90">
        <v>18.0</v>
      </c>
      <c r="C200" s="28" t="s">
        <v>1685</v>
      </c>
      <c r="D200" s="28" t="s">
        <v>1686</v>
      </c>
      <c r="E200" s="28" t="s">
        <v>1687</v>
      </c>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row>
    <row r="201" ht="15.75" customHeight="1">
      <c r="A201" s="88" t="s">
        <v>1441</v>
      </c>
      <c r="B201" s="90">
        <v>19.0</v>
      </c>
      <c r="C201" s="28" t="s">
        <v>1695</v>
      </c>
      <c r="D201" s="28" t="s">
        <v>1696</v>
      </c>
      <c r="E201" s="28" t="s">
        <v>1697</v>
      </c>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row>
    <row r="202" ht="15.75" customHeight="1">
      <c r="A202" s="88" t="s">
        <v>1441</v>
      </c>
      <c r="B202" s="90">
        <v>20.0</v>
      </c>
      <c r="C202" s="28" t="s">
        <v>1705</v>
      </c>
      <c r="D202" s="28" t="s">
        <v>1706</v>
      </c>
      <c r="E202" s="28" t="s">
        <v>1707</v>
      </c>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row>
    <row r="203" ht="15.75" customHeight="1">
      <c r="A203" s="88" t="s">
        <v>1441</v>
      </c>
      <c r="B203" s="90">
        <v>21.0</v>
      </c>
      <c r="C203" s="28" t="s">
        <v>1711</v>
      </c>
      <c r="D203" s="28" t="s">
        <v>1712</v>
      </c>
      <c r="E203" s="28" t="s">
        <v>1714</v>
      </c>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row>
    <row r="204" ht="15.75" customHeight="1">
      <c r="A204" s="88" t="s">
        <v>1441</v>
      </c>
      <c r="B204" s="90">
        <v>22.0</v>
      </c>
      <c r="C204" s="28" t="s">
        <v>1720</v>
      </c>
      <c r="D204" s="28" t="s">
        <v>1721</v>
      </c>
      <c r="E204" s="28" t="s">
        <v>1722</v>
      </c>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row>
    <row r="205" ht="15.75" customHeight="1">
      <c r="A205" s="88" t="s">
        <v>1441</v>
      </c>
      <c r="B205" s="90">
        <v>23.0</v>
      </c>
      <c r="C205" s="28" t="s">
        <v>1727</v>
      </c>
      <c r="D205" s="28" t="s">
        <v>1728</v>
      </c>
      <c r="E205" s="28" t="s">
        <v>1729</v>
      </c>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row>
    <row r="206" ht="15.75" customHeight="1">
      <c r="A206" s="88" t="s">
        <v>1441</v>
      </c>
      <c r="B206" s="90">
        <v>24.0</v>
      </c>
      <c r="C206" s="28" t="s">
        <v>1734</v>
      </c>
      <c r="D206" s="28" t="s">
        <v>1735</v>
      </c>
      <c r="E206" s="28" t="s">
        <v>1737</v>
      </c>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row>
    <row r="207" ht="15.75" customHeight="1">
      <c r="A207" s="66" t="s">
        <v>1441</v>
      </c>
      <c r="B207" s="98">
        <v>-777.0</v>
      </c>
      <c r="C207" s="40" t="s">
        <v>491</v>
      </c>
      <c r="D207" s="40" t="s">
        <v>492</v>
      </c>
      <c r="E207" s="40" t="s">
        <v>493</v>
      </c>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29"/>
      <c r="AF207" s="29"/>
    </row>
    <row r="208" ht="15.75" customHeight="1">
      <c r="A208" s="101"/>
      <c r="B208" s="102"/>
      <c r="C208" s="101"/>
      <c r="D208" s="101"/>
      <c r="E208" s="151"/>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row>
    <row r="209" ht="15.75" customHeight="1">
      <c r="A209" s="109" t="s">
        <v>1757</v>
      </c>
      <c r="B209" s="110">
        <v>1.0</v>
      </c>
      <c r="C209" s="115" t="s">
        <v>1758</v>
      </c>
      <c r="D209" s="115" t="s">
        <v>1759</v>
      </c>
      <c r="E209" s="115" t="s">
        <v>1760</v>
      </c>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29"/>
      <c r="AF209" s="29"/>
    </row>
    <row r="210" ht="15.75" customHeight="1">
      <c r="A210" s="88" t="s">
        <v>1757</v>
      </c>
      <c r="B210" s="90">
        <v>2.0</v>
      </c>
      <c r="C210" s="28" t="s">
        <v>1770</v>
      </c>
      <c r="D210" s="28" t="s">
        <v>1771</v>
      </c>
      <c r="E210" s="28" t="s">
        <v>1772</v>
      </c>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row>
    <row r="211" ht="15.75" customHeight="1">
      <c r="A211" s="88" t="s">
        <v>1757</v>
      </c>
      <c r="B211" s="90">
        <v>3.0</v>
      </c>
      <c r="C211" s="28" t="s">
        <v>1779</v>
      </c>
      <c r="D211" s="28" t="s">
        <v>1779</v>
      </c>
      <c r="E211" s="28" t="s">
        <v>1780</v>
      </c>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row>
    <row r="212" ht="15.75" customHeight="1">
      <c r="A212" s="88" t="s">
        <v>1757</v>
      </c>
      <c r="B212" s="90">
        <v>4.0</v>
      </c>
      <c r="C212" s="28" t="s">
        <v>1783</v>
      </c>
      <c r="D212" s="28" t="s">
        <v>1784</v>
      </c>
      <c r="E212" s="28" t="s">
        <v>1786</v>
      </c>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row>
    <row r="213" ht="15.75" customHeight="1">
      <c r="A213" s="88" t="s">
        <v>1757</v>
      </c>
      <c r="B213" s="90">
        <v>5.0</v>
      </c>
      <c r="C213" s="28" t="s">
        <v>1794</v>
      </c>
      <c r="D213" s="28" t="s">
        <v>1796</v>
      </c>
      <c r="E213" s="28" t="s">
        <v>1799</v>
      </c>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row>
    <row r="214" ht="15.75" customHeight="1">
      <c r="A214" s="88" t="s">
        <v>1757</v>
      </c>
      <c r="B214" s="90">
        <v>6.0</v>
      </c>
      <c r="C214" s="28" t="s">
        <v>1804</v>
      </c>
      <c r="D214" s="28" t="s">
        <v>1805</v>
      </c>
      <c r="E214" s="28" t="s">
        <v>1806</v>
      </c>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row>
    <row r="215" ht="15.75" customHeight="1">
      <c r="A215" s="88" t="s">
        <v>1757</v>
      </c>
      <c r="B215" s="90">
        <v>7.0</v>
      </c>
      <c r="C215" s="28" t="s">
        <v>1814</v>
      </c>
      <c r="D215" s="28" t="s">
        <v>1815</v>
      </c>
      <c r="E215" s="28" t="s">
        <v>1816</v>
      </c>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row>
    <row r="216" ht="15.75" customHeight="1">
      <c r="A216" s="88" t="s">
        <v>1757</v>
      </c>
      <c r="B216" s="90">
        <v>8.0</v>
      </c>
      <c r="C216" s="28" t="s">
        <v>1824</v>
      </c>
      <c r="D216" s="28" t="s">
        <v>1826</v>
      </c>
      <c r="E216" s="28" t="s">
        <v>1828</v>
      </c>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row>
    <row r="217" ht="15.75" customHeight="1">
      <c r="A217" s="88" t="s">
        <v>1757</v>
      </c>
      <c r="B217" s="90">
        <v>9.0</v>
      </c>
      <c r="C217" s="28" t="s">
        <v>1837</v>
      </c>
      <c r="D217" s="28" t="s">
        <v>1838</v>
      </c>
      <c r="E217" s="28" t="s">
        <v>1840</v>
      </c>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row>
    <row r="218" ht="15.75" customHeight="1">
      <c r="A218" s="88" t="s">
        <v>1757</v>
      </c>
      <c r="B218" s="90">
        <v>10.0</v>
      </c>
      <c r="C218" s="28" t="s">
        <v>1841</v>
      </c>
      <c r="D218" s="28" t="s">
        <v>1843</v>
      </c>
      <c r="E218" s="28" t="s">
        <v>1845</v>
      </c>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row>
    <row r="219" ht="15.75" customHeight="1">
      <c r="A219" s="88" t="s">
        <v>1757</v>
      </c>
      <c r="B219" s="90">
        <v>11.0</v>
      </c>
      <c r="C219" s="28" t="s">
        <v>1850</v>
      </c>
      <c r="D219" s="28" t="s">
        <v>1852</v>
      </c>
      <c r="E219" s="28" t="s">
        <v>1854</v>
      </c>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row>
    <row r="220" ht="15.75" customHeight="1">
      <c r="A220" s="88" t="s">
        <v>1757</v>
      </c>
      <c r="B220" s="90">
        <v>12.0</v>
      </c>
      <c r="C220" s="28" t="s">
        <v>1859</v>
      </c>
      <c r="D220" s="28" t="s">
        <v>1860</v>
      </c>
      <c r="E220" s="28" t="s">
        <v>1861</v>
      </c>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row>
    <row r="221" ht="15.75" customHeight="1">
      <c r="A221" s="66" t="s">
        <v>1757</v>
      </c>
      <c r="B221" s="98">
        <v>0.0</v>
      </c>
      <c r="C221" s="40" t="s">
        <v>200</v>
      </c>
      <c r="D221" s="40" t="s">
        <v>201</v>
      </c>
      <c r="E221" s="40" t="s">
        <v>202</v>
      </c>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29"/>
      <c r="AF221" s="29"/>
    </row>
    <row r="222" ht="15.75" customHeight="1">
      <c r="A222" s="66"/>
      <c r="B222" s="40"/>
      <c r="C222" s="40"/>
      <c r="D222" s="40"/>
      <c r="E222" s="40"/>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29"/>
      <c r="AF222" s="29"/>
    </row>
    <row r="223" ht="15.75" customHeight="1">
      <c r="A223" s="88" t="s">
        <v>1884</v>
      </c>
      <c r="B223" s="90">
        <v>1.0</v>
      </c>
      <c r="C223" s="155" t="s">
        <v>1885</v>
      </c>
      <c r="D223" s="156" t="s">
        <v>1886</v>
      </c>
      <c r="E223" s="156" t="s">
        <v>1887</v>
      </c>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row>
    <row r="224" ht="15.75" customHeight="1">
      <c r="A224" s="88" t="s">
        <v>1884</v>
      </c>
      <c r="B224" s="90">
        <v>2.0</v>
      </c>
      <c r="C224" s="28" t="s">
        <v>1895</v>
      </c>
      <c r="D224" s="28" t="s">
        <v>1896</v>
      </c>
      <c r="E224" s="28" t="s">
        <v>1897</v>
      </c>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row>
    <row r="225" ht="15.75" customHeight="1">
      <c r="A225" s="88" t="s">
        <v>1884</v>
      </c>
      <c r="B225" s="90">
        <v>3.0</v>
      </c>
      <c r="C225" s="28" t="s">
        <v>1902</v>
      </c>
      <c r="D225" s="28" t="s">
        <v>1904</v>
      </c>
      <c r="E225" s="28" t="s">
        <v>1906</v>
      </c>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row>
    <row r="226" ht="15.75" customHeight="1">
      <c r="A226" s="88" t="s">
        <v>1884</v>
      </c>
      <c r="B226" s="90">
        <v>4.0</v>
      </c>
      <c r="C226" s="28" t="s">
        <v>1911</v>
      </c>
      <c r="D226" s="28" t="s">
        <v>1915</v>
      </c>
      <c r="E226" s="28" t="s">
        <v>1918</v>
      </c>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row>
    <row r="227" ht="15.75" customHeight="1">
      <c r="A227" s="88" t="s">
        <v>1884</v>
      </c>
      <c r="B227" s="90">
        <v>5.0</v>
      </c>
      <c r="C227" s="28" t="s">
        <v>1927</v>
      </c>
      <c r="D227" s="28" t="s">
        <v>1928</v>
      </c>
      <c r="E227" s="28" t="s">
        <v>1929</v>
      </c>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row>
    <row r="228" ht="15.75" customHeight="1">
      <c r="A228" s="88" t="s">
        <v>1884</v>
      </c>
      <c r="B228" s="90">
        <v>6.0</v>
      </c>
      <c r="C228" s="28" t="s">
        <v>1934</v>
      </c>
      <c r="D228" s="28" t="s">
        <v>1935</v>
      </c>
      <c r="E228" s="28" t="s">
        <v>1936</v>
      </c>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row>
    <row r="229" ht="15.75" customHeight="1">
      <c r="A229" s="88" t="s">
        <v>1884</v>
      </c>
      <c r="B229" s="90">
        <v>7.0</v>
      </c>
      <c r="C229" s="28" t="s">
        <v>1941</v>
      </c>
      <c r="D229" s="28" t="s">
        <v>1942</v>
      </c>
      <c r="E229" s="28" t="s">
        <v>1943</v>
      </c>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row>
    <row r="230" ht="15.75" customHeight="1">
      <c r="A230" s="66" t="s">
        <v>1884</v>
      </c>
      <c r="B230" s="98">
        <v>0.0</v>
      </c>
      <c r="C230" s="40" t="s">
        <v>200</v>
      </c>
      <c r="D230" s="40" t="s">
        <v>201</v>
      </c>
      <c r="E230" s="40" t="s">
        <v>202</v>
      </c>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29"/>
      <c r="AF230" s="29"/>
    </row>
    <row r="231" ht="15.75" customHeight="1">
      <c r="A231" s="101"/>
      <c r="B231" s="102"/>
      <c r="C231" s="101"/>
      <c r="D231" s="101"/>
      <c r="E231" s="151"/>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row>
    <row r="232" ht="15.75" customHeight="1">
      <c r="A232" s="109" t="s">
        <v>1967</v>
      </c>
      <c r="B232" s="110">
        <v>1.0</v>
      </c>
      <c r="C232" s="115" t="s">
        <v>1968</v>
      </c>
      <c r="D232" s="115" t="s">
        <v>1969</v>
      </c>
      <c r="E232" s="115" t="s">
        <v>1970</v>
      </c>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29"/>
      <c r="AF232" s="29"/>
    </row>
    <row r="233" ht="15.75" customHeight="1">
      <c r="A233" s="88" t="s">
        <v>1967</v>
      </c>
      <c r="B233" s="90">
        <v>2.0</v>
      </c>
      <c r="C233" s="28" t="s">
        <v>1979</v>
      </c>
      <c r="D233" s="28" t="s">
        <v>1981</v>
      </c>
      <c r="E233" s="28" t="s">
        <v>1984</v>
      </c>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row>
    <row r="234" ht="15.75" customHeight="1">
      <c r="A234" s="88" t="s">
        <v>1967</v>
      </c>
      <c r="B234" s="90">
        <v>3.0</v>
      </c>
      <c r="C234" s="28" t="s">
        <v>1989</v>
      </c>
      <c r="D234" s="28" t="s">
        <v>1990</v>
      </c>
      <c r="E234" s="28" t="s">
        <v>1991</v>
      </c>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row>
    <row r="235" ht="15.75" customHeight="1">
      <c r="A235" s="88" t="s">
        <v>1967</v>
      </c>
      <c r="B235" s="90">
        <v>4.0</v>
      </c>
      <c r="C235" s="28" t="s">
        <v>1997</v>
      </c>
      <c r="D235" s="28" t="s">
        <v>1998</v>
      </c>
      <c r="E235" s="28" t="s">
        <v>1999</v>
      </c>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row>
    <row r="236" ht="15.75" customHeight="1">
      <c r="A236" s="88" t="s">
        <v>1967</v>
      </c>
      <c r="B236" s="90">
        <v>5.0</v>
      </c>
      <c r="C236" s="28" t="s">
        <v>2004</v>
      </c>
      <c r="D236" s="28" t="s">
        <v>2005</v>
      </c>
      <c r="E236" s="28" t="s">
        <v>2007</v>
      </c>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row>
    <row r="237" ht="15.75" customHeight="1">
      <c r="A237" s="88" t="s">
        <v>1967</v>
      </c>
      <c r="B237" s="90">
        <v>6.0</v>
      </c>
      <c r="C237" s="28" t="s">
        <v>2014</v>
      </c>
      <c r="D237" s="28" t="s">
        <v>2015</v>
      </c>
      <c r="E237" s="28" t="s">
        <v>2016</v>
      </c>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row>
    <row r="238" ht="15.75" customHeight="1">
      <c r="A238" s="88" t="s">
        <v>1967</v>
      </c>
      <c r="B238" s="90">
        <v>7.0</v>
      </c>
      <c r="C238" s="28" t="s">
        <v>2026</v>
      </c>
      <c r="D238" s="28" t="s">
        <v>2027</v>
      </c>
      <c r="E238" s="28" t="s">
        <v>2029</v>
      </c>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row>
    <row r="239" ht="15.75" customHeight="1">
      <c r="A239" s="88" t="s">
        <v>1967</v>
      </c>
      <c r="B239" s="90">
        <v>8.0</v>
      </c>
      <c r="C239" s="28" t="s">
        <v>2038</v>
      </c>
      <c r="D239" s="28" t="s">
        <v>2038</v>
      </c>
      <c r="E239" s="28" t="s">
        <v>2039</v>
      </c>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row>
    <row r="240" ht="15.75" customHeight="1">
      <c r="A240" s="88" t="s">
        <v>1967</v>
      </c>
      <c r="B240" s="90">
        <v>9.0</v>
      </c>
      <c r="C240" s="28" t="s">
        <v>2044</v>
      </c>
      <c r="D240" s="28" t="s">
        <v>2045</v>
      </c>
      <c r="E240" s="28" t="s">
        <v>2048</v>
      </c>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row>
    <row r="241" ht="15.75" customHeight="1">
      <c r="A241" s="88" t="s">
        <v>1967</v>
      </c>
      <c r="B241" s="90">
        <v>10.0</v>
      </c>
      <c r="C241" s="28" t="s">
        <v>2056</v>
      </c>
      <c r="D241" s="28" t="s">
        <v>2058</v>
      </c>
      <c r="E241" s="28" t="s">
        <v>2060</v>
      </c>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row>
    <row r="242" ht="15.75" customHeight="1">
      <c r="A242" s="88" t="s">
        <v>1967</v>
      </c>
      <c r="B242" s="90">
        <v>11.0</v>
      </c>
      <c r="C242" s="28" t="s">
        <v>2068</v>
      </c>
      <c r="D242" s="28" t="s">
        <v>2069</v>
      </c>
      <c r="E242" s="28" t="s">
        <v>2070</v>
      </c>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row>
    <row r="243" ht="15.75" customHeight="1">
      <c r="A243" s="88" t="s">
        <v>1967</v>
      </c>
      <c r="B243" s="90">
        <v>12.0</v>
      </c>
      <c r="C243" s="28" t="s">
        <v>2078</v>
      </c>
      <c r="D243" s="28" t="s">
        <v>2079</v>
      </c>
      <c r="E243" s="28" t="s">
        <v>2080</v>
      </c>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row>
    <row r="244" ht="15.75" customHeight="1">
      <c r="A244" s="66" t="s">
        <v>1967</v>
      </c>
      <c r="B244" s="98">
        <v>-777.0</v>
      </c>
      <c r="C244" s="40" t="s">
        <v>491</v>
      </c>
      <c r="D244" s="40" t="s">
        <v>492</v>
      </c>
      <c r="E244" s="40" t="s">
        <v>2087</v>
      </c>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29"/>
      <c r="AF244" s="29"/>
    </row>
    <row r="245" ht="15.75" customHeight="1">
      <c r="A245" s="101"/>
      <c r="B245" s="102"/>
      <c r="C245" s="101"/>
      <c r="D245" s="101"/>
      <c r="E245" s="151"/>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row>
    <row r="246" ht="15.75" customHeight="1">
      <c r="A246" s="109" t="s">
        <v>2104</v>
      </c>
      <c r="B246" s="209">
        <v>0.0</v>
      </c>
      <c r="C246" s="210" t="s">
        <v>2105</v>
      </c>
      <c r="D246" s="211" t="s">
        <v>2106</v>
      </c>
      <c r="E246" s="211" t="s">
        <v>2107</v>
      </c>
      <c r="F246" s="212"/>
      <c r="G246" s="213">
        <v>0.0</v>
      </c>
      <c r="H246" s="212"/>
      <c r="I246" s="212"/>
      <c r="J246" s="212"/>
      <c r="K246" s="212"/>
      <c r="L246" s="212"/>
      <c r="M246" s="212"/>
      <c r="N246" s="212"/>
      <c r="O246" s="212"/>
      <c r="P246" s="212"/>
      <c r="Q246" s="212"/>
      <c r="R246" s="212"/>
      <c r="S246" s="212"/>
      <c r="T246" s="212"/>
      <c r="U246" s="212"/>
      <c r="V246" s="212"/>
      <c r="W246" s="212"/>
      <c r="X246" s="212"/>
      <c r="Y246" s="212"/>
      <c r="Z246" s="212"/>
      <c r="AA246" s="212"/>
      <c r="AB246" s="212"/>
      <c r="AC246" s="212"/>
      <c r="AD246" s="212"/>
      <c r="AE246" s="212"/>
      <c r="AF246" s="212"/>
    </row>
    <row r="247" ht="15.75" customHeight="1">
      <c r="A247" s="109" t="s">
        <v>2104</v>
      </c>
      <c r="B247" s="110">
        <v>1.0</v>
      </c>
      <c r="C247" s="115" t="s">
        <v>2119</v>
      </c>
      <c r="D247" s="115" t="s">
        <v>2120</v>
      </c>
      <c r="E247" s="152" t="s">
        <v>2121</v>
      </c>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29"/>
      <c r="AF247" s="29"/>
    </row>
    <row r="248" ht="15.75" customHeight="1">
      <c r="A248" s="88" t="s">
        <v>2104</v>
      </c>
      <c r="B248" s="90">
        <v>2.0</v>
      </c>
      <c r="C248" s="28" t="s">
        <v>2126</v>
      </c>
      <c r="D248" s="28" t="s">
        <v>2127</v>
      </c>
      <c r="E248" s="28" t="s">
        <v>2128</v>
      </c>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row>
    <row r="249" ht="15.75" customHeight="1">
      <c r="A249" s="88" t="s">
        <v>2104</v>
      </c>
      <c r="B249" s="90">
        <v>3.0</v>
      </c>
      <c r="C249" s="28" t="s">
        <v>2137</v>
      </c>
      <c r="D249" s="28" t="s">
        <v>2138</v>
      </c>
      <c r="E249" s="28" t="s">
        <v>2139</v>
      </c>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row>
    <row r="250" ht="15.75" customHeight="1">
      <c r="A250" s="88" t="s">
        <v>2104</v>
      </c>
      <c r="B250" s="90">
        <v>4.0</v>
      </c>
      <c r="C250" s="40" t="s">
        <v>2142</v>
      </c>
      <c r="D250" s="40" t="s">
        <v>2143</v>
      </c>
      <c r="E250" s="40" t="s">
        <v>2144</v>
      </c>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row>
    <row r="251" ht="15.75" customHeight="1">
      <c r="A251" s="88" t="s">
        <v>2104</v>
      </c>
      <c r="B251" s="90">
        <v>5.0</v>
      </c>
      <c r="C251" s="215" t="s">
        <v>2152</v>
      </c>
      <c r="D251" s="114" t="s">
        <v>2153</v>
      </c>
      <c r="E251" s="114" t="s">
        <v>2154</v>
      </c>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row>
    <row r="252" ht="15.75" customHeight="1">
      <c r="A252" s="88" t="s">
        <v>2104</v>
      </c>
      <c r="B252" s="90">
        <v>6.0</v>
      </c>
      <c r="C252" s="216" t="s">
        <v>2155</v>
      </c>
      <c r="D252" s="101" t="s">
        <v>2156</v>
      </c>
      <c r="E252" s="151" t="s">
        <v>2156</v>
      </c>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row>
    <row r="253" ht="15.75" customHeight="1">
      <c r="A253" s="66" t="s">
        <v>2104</v>
      </c>
      <c r="B253" s="98">
        <v>-777.0</v>
      </c>
      <c r="C253" s="40" t="s">
        <v>2164</v>
      </c>
      <c r="D253" s="40" t="s">
        <v>492</v>
      </c>
      <c r="E253" s="40" t="s">
        <v>2166</v>
      </c>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29"/>
      <c r="AF253" s="29"/>
    </row>
    <row r="254" ht="15.75" customHeight="1">
      <c r="A254" s="101"/>
      <c r="B254" s="102"/>
      <c r="C254" s="101"/>
      <c r="D254" s="101"/>
      <c r="E254" s="151"/>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row>
    <row r="255" ht="15.75" customHeight="1">
      <c r="A255" s="109" t="s">
        <v>2197</v>
      </c>
      <c r="B255" s="110">
        <v>1.0</v>
      </c>
      <c r="C255" s="115" t="s">
        <v>2198</v>
      </c>
      <c r="D255" s="115" t="s">
        <v>2199</v>
      </c>
      <c r="E255" s="152" t="s">
        <v>2200</v>
      </c>
      <c r="F255" s="172"/>
      <c r="G255" s="172"/>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row>
    <row r="256" ht="15.75" customHeight="1">
      <c r="A256" s="88" t="s">
        <v>2197</v>
      </c>
      <c r="B256" s="90">
        <v>2.0</v>
      </c>
      <c r="C256" s="28" t="s">
        <v>2126</v>
      </c>
      <c r="D256" s="28" t="s">
        <v>2127</v>
      </c>
      <c r="E256" s="92" t="s">
        <v>2205</v>
      </c>
      <c r="F256" s="140"/>
      <c r="G256" s="27"/>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row>
    <row r="257" ht="15.75" customHeight="1">
      <c r="A257" s="88" t="s">
        <v>2197</v>
      </c>
      <c r="B257" s="90">
        <v>3.0</v>
      </c>
      <c r="C257" s="28" t="s">
        <v>2137</v>
      </c>
      <c r="D257" s="28" t="s">
        <v>2138</v>
      </c>
      <c r="E257" s="92" t="s">
        <v>2210</v>
      </c>
      <c r="F257" s="27"/>
      <c r="G257" s="27"/>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row>
    <row r="258" ht="15.75" customHeight="1">
      <c r="A258" s="66" t="s">
        <v>2197</v>
      </c>
      <c r="B258" s="98">
        <v>-777.0</v>
      </c>
      <c r="C258" s="40" t="s">
        <v>2164</v>
      </c>
      <c r="D258" s="40" t="s">
        <v>492</v>
      </c>
      <c r="E258" s="77" t="s">
        <v>2166</v>
      </c>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row>
    <row r="259" ht="15.75" customHeight="1">
      <c r="A259" s="101"/>
      <c r="B259" s="102"/>
      <c r="C259" s="101"/>
      <c r="D259" s="101"/>
      <c r="E259" s="101"/>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row>
    <row r="260" ht="15.75" customHeight="1">
      <c r="A260" s="109" t="s">
        <v>2221</v>
      </c>
      <c r="B260" s="110">
        <v>0.0</v>
      </c>
      <c r="C260" s="115" t="s">
        <v>200</v>
      </c>
      <c r="D260" s="115" t="s">
        <v>201</v>
      </c>
      <c r="E260" s="115" t="s">
        <v>202</v>
      </c>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29"/>
      <c r="AF260" s="29"/>
    </row>
    <row r="261" ht="15.75" customHeight="1">
      <c r="A261" s="88" t="s">
        <v>2221</v>
      </c>
      <c r="B261" s="90">
        <v>1.0</v>
      </c>
      <c r="C261" s="28" t="s">
        <v>2236</v>
      </c>
      <c r="D261" s="28" t="s">
        <v>2238</v>
      </c>
      <c r="E261" s="28" t="s">
        <v>2239</v>
      </c>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row>
    <row r="262" ht="15.75" customHeight="1">
      <c r="A262" s="88" t="s">
        <v>2221</v>
      </c>
      <c r="B262" s="90">
        <v>2.0</v>
      </c>
      <c r="C262" s="28" t="s">
        <v>2243</v>
      </c>
      <c r="D262" s="28" t="s">
        <v>2245</v>
      </c>
      <c r="E262" s="92" t="s">
        <v>2248</v>
      </c>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row>
    <row r="263" ht="15.75" customHeight="1">
      <c r="A263" s="88" t="s">
        <v>2221</v>
      </c>
      <c r="B263" s="90">
        <v>3.0</v>
      </c>
      <c r="C263" s="28" t="s">
        <v>2256</v>
      </c>
      <c r="D263" s="28" t="s">
        <v>2257</v>
      </c>
      <c r="E263" s="28" t="s">
        <v>2258</v>
      </c>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row>
    <row r="264" ht="15.75" customHeight="1">
      <c r="A264" s="88" t="s">
        <v>2221</v>
      </c>
      <c r="B264" s="90">
        <v>4.0</v>
      </c>
      <c r="C264" s="28" t="s">
        <v>2268</v>
      </c>
      <c r="D264" s="28" t="s">
        <v>2269</v>
      </c>
      <c r="E264" s="92" t="s">
        <v>2270</v>
      </c>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row>
    <row r="265" ht="15.75" customHeight="1">
      <c r="A265" s="88" t="s">
        <v>2221</v>
      </c>
      <c r="B265" s="90">
        <v>5.0</v>
      </c>
      <c r="C265" s="28" t="s">
        <v>2282</v>
      </c>
      <c r="D265" s="28" t="s">
        <v>2284</v>
      </c>
      <c r="E265" s="28" t="s">
        <v>2286</v>
      </c>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row>
    <row r="266" ht="15.75" customHeight="1">
      <c r="A266" s="88" t="s">
        <v>2221</v>
      </c>
      <c r="B266" s="90">
        <v>6.0</v>
      </c>
      <c r="C266" s="28" t="s">
        <v>2294</v>
      </c>
      <c r="D266" s="28" t="s">
        <v>2295</v>
      </c>
      <c r="E266" s="28" t="s">
        <v>2296</v>
      </c>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row>
    <row r="267" ht="15.75" customHeight="1">
      <c r="A267" s="88" t="s">
        <v>2221</v>
      </c>
      <c r="B267" s="90">
        <v>7.0</v>
      </c>
      <c r="C267" s="28" t="s">
        <v>2299</v>
      </c>
      <c r="D267" s="28" t="s">
        <v>2301</v>
      </c>
      <c r="E267" s="28" t="s">
        <v>2303</v>
      </c>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row>
    <row r="268" ht="15.75" customHeight="1">
      <c r="A268" s="88" t="s">
        <v>2221</v>
      </c>
      <c r="B268" s="90">
        <v>8.0</v>
      </c>
      <c r="C268" s="28" t="s">
        <v>2308</v>
      </c>
      <c r="D268" s="28" t="s">
        <v>2310</v>
      </c>
      <c r="E268" s="92" t="s">
        <v>2311</v>
      </c>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row>
    <row r="269" ht="15.75" customHeight="1">
      <c r="A269" s="88" t="s">
        <v>2221</v>
      </c>
      <c r="B269" s="90">
        <v>9.0</v>
      </c>
      <c r="C269" s="28" t="s">
        <v>2317</v>
      </c>
      <c r="D269" s="28" t="s">
        <v>2318</v>
      </c>
      <c r="E269" s="28" t="s">
        <v>2319</v>
      </c>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row>
    <row r="270" ht="15.75" customHeight="1">
      <c r="A270" s="88" t="s">
        <v>2221</v>
      </c>
      <c r="B270" s="90">
        <v>10.0</v>
      </c>
      <c r="C270" s="28" t="s">
        <v>2327</v>
      </c>
      <c r="D270" s="28" t="s">
        <v>2328</v>
      </c>
      <c r="E270" s="28" t="s">
        <v>2330</v>
      </c>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row>
    <row r="271" ht="15.75" customHeight="1">
      <c r="A271" s="88" t="s">
        <v>2221</v>
      </c>
      <c r="B271" s="90">
        <v>11.0</v>
      </c>
      <c r="C271" s="28" t="s">
        <v>2332</v>
      </c>
      <c r="D271" s="28" t="s">
        <v>2333</v>
      </c>
      <c r="E271" s="92" t="s">
        <v>2334</v>
      </c>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row>
    <row r="272" ht="15.75" customHeight="1">
      <c r="A272" s="88" t="s">
        <v>2221</v>
      </c>
      <c r="B272" s="90">
        <v>12.0</v>
      </c>
      <c r="C272" s="28" t="s">
        <v>2339</v>
      </c>
      <c r="D272" s="28" t="s">
        <v>2340</v>
      </c>
      <c r="E272" s="92" t="s">
        <v>2341</v>
      </c>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row>
    <row r="273" ht="15.75" customHeight="1">
      <c r="A273" s="66" t="s">
        <v>2221</v>
      </c>
      <c r="B273" s="98">
        <v>-777.0</v>
      </c>
      <c r="C273" s="40" t="s">
        <v>491</v>
      </c>
      <c r="D273" s="40" t="s">
        <v>492</v>
      </c>
      <c r="E273" s="40" t="s">
        <v>2166</v>
      </c>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29"/>
      <c r="AF273" s="29"/>
    </row>
    <row r="274" ht="15.75" customHeight="1">
      <c r="A274" s="66"/>
      <c r="B274" s="40"/>
      <c r="C274" s="40"/>
      <c r="D274" s="40"/>
      <c r="E274" s="40"/>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29"/>
      <c r="AF274" s="29"/>
    </row>
    <row r="275" ht="15.75" customHeight="1">
      <c r="A275" s="88" t="s">
        <v>2353</v>
      </c>
      <c r="B275" s="90">
        <v>1.0</v>
      </c>
      <c r="C275" s="28" t="s">
        <v>2354</v>
      </c>
      <c r="D275" s="28" t="s">
        <v>2356</v>
      </c>
      <c r="E275" s="28" t="s">
        <v>2358</v>
      </c>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row>
    <row r="276" ht="15.75" customHeight="1">
      <c r="A276" s="88" t="s">
        <v>2353</v>
      </c>
      <c r="B276" s="90">
        <v>2.0</v>
      </c>
      <c r="C276" s="28" t="s">
        <v>2361</v>
      </c>
      <c r="D276" s="28" t="s">
        <v>2362</v>
      </c>
      <c r="E276" s="28" t="s">
        <v>2363</v>
      </c>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row>
    <row r="277" ht="15.75" customHeight="1">
      <c r="A277" s="88" t="s">
        <v>2353</v>
      </c>
      <c r="B277" s="90">
        <v>3.0</v>
      </c>
      <c r="C277" s="28" t="s">
        <v>2370</v>
      </c>
      <c r="D277" s="28" t="s">
        <v>2372</v>
      </c>
      <c r="E277" s="28" t="s">
        <v>2373</v>
      </c>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row>
    <row r="278" ht="15.75" customHeight="1">
      <c r="A278" s="88" t="s">
        <v>2353</v>
      </c>
      <c r="B278" s="90">
        <v>4.0</v>
      </c>
      <c r="C278" s="28" t="s">
        <v>2374</v>
      </c>
      <c r="D278" s="28" t="s">
        <v>2375</v>
      </c>
      <c r="E278" s="28" t="s">
        <v>2376</v>
      </c>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row>
    <row r="279" ht="15.75" customHeight="1">
      <c r="A279" s="88" t="s">
        <v>2353</v>
      </c>
      <c r="B279" s="90">
        <v>5.0</v>
      </c>
      <c r="C279" s="28" t="s">
        <v>2381</v>
      </c>
      <c r="D279" s="28" t="s">
        <v>2382</v>
      </c>
      <c r="E279" s="28" t="s">
        <v>2383</v>
      </c>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row>
    <row r="280" ht="15.75" customHeight="1">
      <c r="A280" s="66" t="s">
        <v>2353</v>
      </c>
      <c r="B280" s="98">
        <v>0.0</v>
      </c>
      <c r="C280" s="40" t="s">
        <v>200</v>
      </c>
      <c r="D280" s="40" t="s">
        <v>201</v>
      </c>
      <c r="E280" s="40" t="s">
        <v>202</v>
      </c>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29"/>
      <c r="AF280" s="29"/>
    </row>
    <row r="281" ht="15.75" customHeight="1">
      <c r="A281" s="66"/>
      <c r="B281" s="40"/>
      <c r="C281" s="40"/>
      <c r="D281" s="40"/>
      <c r="E281" s="40"/>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29"/>
      <c r="AF281" s="29"/>
    </row>
    <row r="282" ht="15.75" customHeight="1">
      <c r="A282" s="88" t="s">
        <v>2395</v>
      </c>
      <c r="B282" s="90">
        <v>1.0</v>
      </c>
      <c r="C282" s="28" t="s">
        <v>2396</v>
      </c>
      <c r="D282" s="28" t="s">
        <v>2398</v>
      </c>
      <c r="E282" s="28" t="s">
        <v>2400</v>
      </c>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row>
    <row r="283" ht="15.75" customHeight="1">
      <c r="A283" s="88" t="s">
        <v>2395</v>
      </c>
      <c r="B283" s="90">
        <v>2.0</v>
      </c>
      <c r="C283" s="28" t="s">
        <v>2406</v>
      </c>
      <c r="D283" s="28" t="s">
        <v>2407</v>
      </c>
      <c r="E283" s="28" t="s">
        <v>2408</v>
      </c>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row>
    <row r="284" ht="15.75" customHeight="1">
      <c r="A284" s="88" t="s">
        <v>2395</v>
      </c>
      <c r="B284" s="90">
        <v>3.0</v>
      </c>
      <c r="C284" s="28" t="s">
        <v>2411</v>
      </c>
      <c r="D284" s="28" t="s">
        <v>2413</v>
      </c>
      <c r="E284" s="92" t="s">
        <v>2414</v>
      </c>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row>
    <row r="285" ht="15.75" customHeight="1">
      <c r="A285" s="88" t="s">
        <v>2395</v>
      </c>
      <c r="B285" s="90">
        <v>4.0</v>
      </c>
      <c r="C285" s="28" t="s">
        <v>2418</v>
      </c>
      <c r="D285" s="28" t="s">
        <v>2419</v>
      </c>
      <c r="E285" s="28" t="s">
        <v>2420</v>
      </c>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row>
    <row r="286" ht="15.75" customHeight="1">
      <c r="A286" s="88" t="s">
        <v>2395</v>
      </c>
      <c r="B286" s="90">
        <v>5.0</v>
      </c>
      <c r="C286" s="28" t="s">
        <v>2421</v>
      </c>
      <c r="D286" s="28" t="s">
        <v>2422</v>
      </c>
      <c r="E286" s="28" t="s">
        <v>2423</v>
      </c>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row>
    <row r="287" ht="15.75" customHeight="1">
      <c r="A287" s="88" t="s">
        <v>2395</v>
      </c>
      <c r="B287" s="90">
        <v>6.0</v>
      </c>
      <c r="C287" s="28" t="s">
        <v>2424</v>
      </c>
      <c r="D287" s="28" t="s">
        <v>2425</v>
      </c>
      <c r="E287" s="28" t="s">
        <v>2427</v>
      </c>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row>
    <row r="288" ht="15.75" customHeight="1">
      <c r="A288" s="66" t="s">
        <v>2395</v>
      </c>
      <c r="B288" s="98">
        <v>0.0</v>
      </c>
      <c r="C288" s="40" t="s">
        <v>200</v>
      </c>
      <c r="D288" s="40" t="s">
        <v>201</v>
      </c>
      <c r="E288" s="40" t="s">
        <v>202</v>
      </c>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29"/>
      <c r="AF288" s="29"/>
    </row>
    <row r="289" ht="15.75" customHeight="1">
      <c r="A289" s="101"/>
      <c r="B289" s="102"/>
      <c r="C289" s="101"/>
      <c r="D289" s="101"/>
      <c r="E289" s="151"/>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row>
    <row r="290" ht="15.75" customHeight="1">
      <c r="A290" s="109" t="s">
        <v>2437</v>
      </c>
      <c r="B290" s="110">
        <v>0.0</v>
      </c>
      <c r="C290" s="115" t="s">
        <v>200</v>
      </c>
      <c r="D290" s="115" t="s">
        <v>201</v>
      </c>
      <c r="E290" s="115" t="s">
        <v>202</v>
      </c>
      <c r="F290" s="113"/>
      <c r="G290" s="113"/>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row>
    <row r="291" ht="15.75" customHeight="1">
      <c r="A291" s="88" t="s">
        <v>2437</v>
      </c>
      <c r="B291" s="90">
        <v>1.0</v>
      </c>
      <c r="C291" s="28" t="s">
        <v>2445</v>
      </c>
      <c r="D291" s="28" t="s">
        <v>2445</v>
      </c>
      <c r="E291" s="92" t="s">
        <v>2445</v>
      </c>
      <c r="F291" s="140"/>
      <c r="G291" s="27"/>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row>
    <row r="292" ht="15.75" customHeight="1">
      <c r="A292" s="88" t="s">
        <v>2437</v>
      </c>
      <c r="B292" s="90">
        <v>2.0</v>
      </c>
      <c r="C292" s="28" t="s">
        <v>2450</v>
      </c>
      <c r="D292" s="28" t="s">
        <v>2450</v>
      </c>
      <c r="E292" s="28" t="s">
        <v>2450</v>
      </c>
      <c r="F292" s="27"/>
      <c r="G292" s="27"/>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row>
    <row r="293" ht="15.75" customHeight="1">
      <c r="A293" s="88" t="s">
        <v>2437</v>
      </c>
      <c r="B293" s="90">
        <v>3.0</v>
      </c>
      <c r="C293" s="28" t="s">
        <v>2455</v>
      </c>
      <c r="D293" s="28" t="s">
        <v>2455</v>
      </c>
      <c r="E293" s="28" t="s">
        <v>2455</v>
      </c>
      <c r="F293" s="27"/>
      <c r="G293" s="27"/>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row>
    <row r="294" ht="15.75" customHeight="1">
      <c r="A294" s="88" t="s">
        <v>2437</v>
      </c>
      <c r="B294" s="90">
        <v>4.0</v>
      </c>
      <c r="C294" s="28" t="s">
        <v>2462</v>
      </c>
      <c r="D294" s="28" t="s">
        <v>2462</v>
      </c>
      <c r="E294" s="92" t="s">
        <v>2462</v>
      </c>
      <c r="F294" s="27"/>
      <c r="G294" s="27"/>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row>
    <row r="295" ht="15.75" customHeight="1">
      <c r="A295" s="88" t="s">
        <v>2437</v>
      </c>
      <c r="B295" s="90">
        <v>5.0</v>
      </c>
      <c r="C295" s="28" t="s">
        <v>2464</v>
      </c>
      <c r="D295" s="28" t="s">
        <v>2464</v>
      </c>
      <c r="E295" s="92" t="s">
        <v>2464</v>
      </c>
      <c r="F295" s="140"/>
      <c r="G295" s="140"/>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row>
    <row r="296" ht="15.75" customHeight="1">
      <c r="A296" s="66" t="s">
        <v>2437</v>
      </c>
      <c r="B296" s="98">
        <v>6.0</v>
      </c>
      <c r="C296" s="40" t="s">
        <v>2469</v>
      </c>
      <c r="D296" s="40" t="s">
        <v>2469</v>
      </c>
      <c r="E296" s="40" t="s">
        <v>2469</v>
      </c>
      <c r="F296" s="39"/>
      <c r="G296" s="39"/>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row>
    <row r="297" ht="15.75" customHeight="1">
      <c r="A297" s="66" t="s">
        <v>2437</v>
      </c>
      <c r="B297" s="98">
        <v>7.0</v>
      </c>
      <c r="C297" s="40" t="s">
        <v>2474</v>
      </c>
      <c r="D297" s="40" t="s">
        <v>2474</v>
      </c>
      <c r="E297" s="77" t="s">
        <v>2474</v>
      </c>
      <c r="F297" s="39"/>
      <c r="G297" s="39"/>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row>
    <row r="298" ht="15.75" customHeight="1">
      <c r="A298" s="88" t="s">
        <v>2437</v>
      </c>
      <c r="B298" s="90">
        <v>8.0</v>
      </c>
      <c r="C298" s="28" t="s">
        <v>2475</v>
      </c>
      <c r="D298" s="28" t="s">
        <v>2475</v>
      </c>
      <c r="E298" s="28" t="s">
        <v>2475</v>
      </c>
      <c r="F298" s="27"/>
      <c r="G298" s="27"/>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row>
    <row r="299" ht="15.75" customHeight="1">
      <c r="A299" s="88" t="s">
        <v>2437</v>
      </c>
      <c r="B299" s="90">
        <v>9.0</v>
      </c>
      <c r="C299" s="28" t="s">
        <v>2483</v>
      </c>
      <c r="D299" s="28" t="s">
        <v>2483</v>
      </c>
      <c r="E299" s="28" t="s">
        <v>2483</v>
      </c>
      <c r="F299" s="27"/>
      <c r="G299" s="27"/>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row>
    <row r="300" ht="15.75" customHeight="1">
      <c r="A300" s="88" t="s">
        <v>2437</v>
      </c>
      <c r="B300" s="90">
        <v>10.0</v>
      </c>
      <c r="C300" s="28" t="s">
        <v>2488</v>
      </c>
      <c r="D300" s="28" t="s">
        <v>2488</v>
      </c>
      <c r="E300" s="28" t="s">
        <v>2488</v>
      </c>
      <c r="F300" s="27"/>
      <c r="G300" s="27"/>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row>
    <row r="301" ht="15.75" customHeight="1">
      <c r="A301" s="88" t="s">
        <v>2437</v>
      </c>
      <c r="B301" s="90">
        <v>11.0</v>
      </c>
      <c r="C301" s="28" t="s">
        <v>2490</v>
      </c>
      <c r="D301" s="28" t="s">
        <v>2490</v>
      </c>
      <c r="E301" s="216" t="s">
        <v>2490</v>
      </c>
      <c r="F301" s="27"/>
      <c r="G301" s="27"/>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row>
    <row r="302" ht="15.75" customHeight="1">
      <c r="A302" s="88" t="s">
        <v>2437</v>
      </c>
      <c r="B302" s="90">
        <v>12.0</v>
      </c>
      <c r="C302" s="28" t="s">
        <v>2499</v>
      </c>
      <c r="D302" s="28" t="s">
        <v>2499</v>
      </c>
      <c r="E302" s="28" t="s">
        <v>2499</v>
      </c>
      <c r="F302" s="27"/>
      <c r="G302" s="27"/>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row>
    <row r="303" ht="15.75" customHeight="1">
      <c r="A303" s="66" t="s">
        <v>2437</v>
      </c>
      <c r="B303" s="98">
        <v>13.0</v>
      </c>
      <c r="C303" s="40" t="s">
        <v>2507</v>
      </c>
      <c r="D303" s="40" t="s">
        <v>2507</v>
      </c>
      <c r="E303" s="77" t="s">
        <v>2507</v>
      </c>
      <c r="F303" s="41"/>
      <c r="G303" s="39"/>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row>
    <row r="304" ht="15.75" customHeight="1">
      <c r="A304" s="66" t="s">
        <v>2437</v>
      </c>
      <c r="B304" s="98">
        <v>14.0</v>
      </c>
      <c r="C304" s="40" t="s">
        <v>2524</v>
      </c>
      <c r="D304" s="40" t="s">
        <v>2524</v>
      </c>
      <c r="E304" s="40" t="s">
        <v>2524</v>
      </c>
      <c r="F304" s="39"/>
      <c r="G304" s="39"/>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row>
    <row r="305" ht="15.75" customHeight="1">
      <c r="A305" s="88" t="s">
        <v>2437</v>
      </c>
      <c r="B305" s="90">
        <v>15.0</v>
      </c>
      <c r="C305" s="28" t="s">
        <v>2530</v>
      </c>
      <c r="D305" s="28" t="s">
        <v>2530</v>
      </c>
      <c r="E305" s="92" t="s">
        <v>2530</v>
      </c>
      <c r="F305" s="27"/>
      <c r="G305" s="27"/>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row>
    <row r="306" ht="15.75" customHeight="1">
      <c r="A306" s="88" t="s">
        <v>2437</v>
      </c>
      <c r="B306" s="90">
        <v>16.0</v>
      </c>
      <c r="C306" s="28" t="s">
        <v>2538</v>
      </c>
      <c r="D306" s="28" t="s">
        <v>2538</v>
      </c>
      <c r="E306" s="28" t="s">
        <v>2538</v>
      </c>
      <c r="F306" s="27"/>
      <c r="G306" s="27"/>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row>
    <row r="307" ht="15.75" customHeight="1">
      <c r="A307" s="88" t="s">
        <v>2437</v>
      </c>
      <c r="B307" s="90">
        <v>17.0</v>
      </c>
      <c r="C307" s="28" t="s">
        <v>2547</v>
      </c>
      <c r="D307" s="28" t="s">
        <v>2547</v>
      </c>
      <c r="E307" s="28" t="s">
        <v>2547</v>
      </c>
      <c r="F307" s="27"/>
      <c r="G307" s="27"/>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row>
    <row r="308" ht="15.75" customHeight="1">
      <c r="A308" s="88" t="s">
        <v>2437</v>
      </c>
      <c r="B308" s="90">
        <v>18.0</v>
      </c>
      <c r="C308" s="28" t="s">
        <v>2558</v>
      </c>
      <c r="D308" s="28" t="s">
        <v>2558</v>
      </c>
      <c r="E308" s="92" t="s">
        <v>2558</v>
      </c>
      <c r="F308" s="140"/>
      <c r="G308" s="140"/>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row>
    <row r="309" ht="15.75" customHeight="1">
      <c r="A309" s="66" t="s">
        <v>2437</v>
      </c>
      <c r="B309" s="98">
        <v>19.0</v>
      </c>
      <c r="C309" s="40" t="s">
        <v>2572</v>
      </c>
      <c r="D309" s="40" t="s">
        <v>2572</v>
      </c>
      <c r="E309" s="40" t="s">
        <v>2572</v>
      </c>
      <c r="F309" s="39"/>
      <c r="G309" s="39"/>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row>
    <row r="310" ht="15.75" customHeight="1">
      <c r="A310" s="66" t="s">
        <v>2437</v>
      </c>
      <c r="B310" s="98">
        <v>20.0</v>
      </c>
      <c r="C310" s="40" t="s">
        <v>2575</v>
      </c>
      <c r="D310" s="40" t="s">
        <v>2575</v>
      </c>
      <c r="E310" s="40" t="s">
        <v>2575</v>
      </c>
      <c r="F310" s="39"/>
      <c r="G310" s="39"/>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row>
    <row r="311" ht="15.75" customHeight="1">
      <c r="A311" s="88" t="s">
        <v>2437</v>
      </c>
      <c r="B311" s="90">
        <v>21.0</v>
      </c>
      <c r="C311" s="28" t="s">
        <v>2584</v>
      </c>
      <c r="D311" s="28" t="s">
        <v>2584</v>
      </c>
      <c r="E311" s="28" t="s">
        <v>2584</v>
      </c>
      <c r="F311" s="27"/>
      <c r="G311" s="27"/>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row>
    <row r="312" ht="15.75" customHeight="1">
      <c r="A312" s="88" t="s">
        <v>2437</v>
      </c>
      <c r="B312" s="90">
        <v>22.0</v>
      </c>
      <c r="C312" s="28" t="s">
        <v>2599</v>
      </c>
      <c r="D312" s="28" t="s">
        <v>2599</v>
      </c>
      <c r="E312" s="28" t="s">
        <v>2599</v>
      </c>
      <c r="F312" s="27"/>
      <c r="G312" s="27"/>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row>
    <row r="313" ht="15.75" customHeight="1">
      <c r="A313" s="88" t="s">
        <v>2437</v>
      </c>
      <c r="B313" s="90">
        <v>23.0</v>
      </c>
      <c r="C313" s="28" t="s">
        <v>2601</v>
      </c>
      <c r="D313" s="28" t="s">
        <v>2601</v>
      </c>
      <c r="E313" s="216" t="s">
        <v>2601</v>
      </c>
      <c r="F313" s="27"/>
      <c r="G313" s="27"/>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row>
    <row r="314" ht="15.75" customHeight="1">
      <c r="A314" s="66" t="s">
        <v>2437</v>
      </c>
      <c r="B314" s="98">
        <v>24.0</v>
      </c>
      <c r="C314" s="40" t="s">
        <v>2604</v>
      </c>
      <c r="D314" s="40" t="s">
        <v>2604</v>
      </c>
      <c r="E314" s="40" t="s">
        <v>2604</v>
      </c>
      <c r="F314" s="39"/>
      <c r="G314" s="39"/>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row>
    <row r="315" ht="15.75" customHeight="1">
      <c r="A315" s="66" t="s">
        <v>2437</v>
      </c>
      <c r="B315" s="98">
        <v>25.0</v>
      </c>
      <c r="C315" s="40" t="s">
        <v>2611</v>
      </c>
      <c r="D315" s="40" t="s">
        <v>2611</v>
      </c>
      <c r="E315" s="40" t="s">
        <v>2611</v>
      </c>
      <c r="F315" s="39"/>
      <c r="G315" s="39"/>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row>
    <row r="316" ht="15.75" customHeight="1">
      <c r="A316" s="88" t="s">
        <v>2437</v>
      </c>
      <c r="B316" s="90">
        <v>26.0</v>
      </c>
      <c r="C316" s="28" t="s">
        <v>2619</v>
      </c>
      <c r="D316" s="28" t="s">
        <v>2619</v>
      </c>
      <c r="E316" s="28" t="s">
        <v>2619</v>
      </c>
      <c r="F316" s="27"/>
      <c r="G316" s="27"/>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row>
    <row r="317" ht="15.75" customHeight="1">
      <c r="A317" s="88" t="s">
        <v>2437</v>
      </c>
      <c r="B317" s="90">
        <v>27.0</v>
      </c>
      <c r="C317" s="28" t="s">
        <v>2620</v>
      </c>
      <c r="D317" s="28" t="s">
        <v>2620</v>
      </c>
      <c r="E317" s="216" t="s">
        <v>2620</v>
      </c>
      <c r="F317" s="140"/>
      <c r="G317" s="140"/>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row>
    <row r="318" ht="15.75" customHeight="1">
      <c r="A318" s="88" t="s">
        <v>2437</v>
      </c>
      <c r="B318" s="90">
        <v>28.0</v>
      </c>
      <c r="C318" s="28" t="s">
        <v>2627</v>
      </c>
      <c r="D318" s="28" t="s">
        <v>2627</v>
      </c>
      <c r="E318" s="28" t="s">
        <v>2627</v>
      </c>
      <c r="F318" s="27"/>
      <c r="G318" s="27"/>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row>
    <row r="319" ht="15.75" customHeight="1">
      <c r="A319" s="88" t="s">
        <v>2437</v>
      </c>
      <c r="B319" s="90">
        <v>29.0</v>
      </c>
      <c r="C319" s="28" t="s">
        <v>2634</v>
      </c>
      <c r="D319" s="28" t="s">
        <v>2634</v>
      </c>
      <c r="E319" s="92" t="s">
        <v>2634</v>
      </c>
      <c r="F319" s="140"/>
      <c r="G319" s="27"/>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row>
    <row r="320" ht="15.75" customHeight="1">
      <c r="A320" s="88" t="s">
        <v>2437</v>
      </c>
      <c r="B320" s="90">
        <v>30.0</v>
      </c>
      <c r="C320" s="28" t="s">
        <v>2639</v>
      </c>
      <c r="D320" s="28" t="s">
        <v>2639</v>
      </c>
      <c r="E320" s="92" t="s">
        <v>2639</v>
      </c>
      <c r="F320" s="140"/>
      <c r="G320" s="140"/>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row>
    <row r="321" ht="15.75" customHeight="1">
      <c r="A321" s="88" t="s">
        <v>2437</v>
      </c>
      <c r="B321" s="90">
        <v>31.0</v>
      </c>
      <c r="C321" s="28" t="s">
        <v>2644</v>
      </c>
      <c r="D321" s="28" t="s">
        <v>2644</v>
      </c>
      <c r="E321" s="216" t="s">
        <v>2644</v>
      </c>
      <c r="F321" s="27"/>
      <c r="G321" s="27"/>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row>
    <row r="322" ht="15.75" customHeight="1">
      <c r="A322" s="66" t="s">
        <v>2437</v>
      </c>
      <c r="B322" s="98">
        <v>32.0</v>
      </c>
      <c r="C322" s="40" t="s">
        <v>2649</v>
      </c>
      <c r="D322" s="40" t="s">
        <v>2649</v>
      </c>
      <c r="E322" s="40" t="s">
        <v>2649</v>
      </c>
      <c r="F322" s="39"/>
      <c r="G322" s="39"/>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row>
    <row r="323" ht="15.75" customHeight="1">
      <c r="A323" s="66" t="s">
        <v>2437</v>
      </c>
      <c r="B323" s="98">
        <v>33.0</v>
      </c>
      <c r="C323" s="40" t="s">
        <v>2653</v>
      </c>
      <c r="D323" s="40" t="s">
        <v>2653</v>
      </c>
      <c r="E323" s="77" t="s">
        <v>2653</v>
      </c>
      <c r="F323" s="39"/>
      <c r="G323" s="39"/>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row>
    <row r="324" ht="15.75" customHeight="1">
      <c r="A324" s="88" t="s">
        <v>2437</v>
      </c>
      <c r="B324" s="90">
        <v>34.0</v>
      </c>
      <c r="C324" s="28" t="s">
        <v>2655</v>
      </c>
      <c r="D324" s="28" t="s">
        <v>2655</v>
      </c>
      <c r="E324" s="92" t="s">
        <v>2655</v>
      </c>
      <c r="F324" s="27"/>
      <c r="G324" s="27"/>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row>
    <row r="325" ht="15.75" customHeight="1">
      <c r="A325" s="88" t="s">
        <v>2437</v>
      </c>
      <c r="B325" s="90">
        <v>35.0</v>
      </c>
      <c r="C325" s="28" t="s">
        <v>2656</v>
      </c>
      <c r="D325" s="28" t="s">
        <v>2656</v>
      </c>
      <c r="E325" s="28" t="s">
        <v>2656</v>
      </c>
      <c r="F325" s="27"/>
      <c r="G325" s="27"/>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row>
    <row r="326" ht="15.75" customHeight="1">
      <c r="A326" s="88" t="s">
        <v>2437</v>
      </c>
      <c r="B326" s="90">
        <v>36.0</v>
      </c>
      <c r="C326" s="28" t="s">
        <v>2661</v>
      </c>
      <c r="D326" s="28" t="s">
        <v>2661</v>
      </c>
      <c r="E326" s="28" t="s">
        <v>2661</v>
      </c>
      <c r="F326" s="27"/>
      <c r="G326" s="27"/>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row>
    <row r="327" ht="15.75" customHeight="1">
      <c r="A327" s="88" t="s">
        <v>2437</v>
      </c>
      <c r="B327" s="90">
        <v>37.0</v>
      </c>
      <c r="C327" s="28" t="s">
        <v>2662</v>
      </c>
      <c r="D327" s="28" t="s">
        <v>2662</v>
      </c>
      <c r="E327" s="28" t="s">
        <v>2662</v>
      </c>
      <c r="F327" s="27"/>
      <c r="G327" s="27"/>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row>
    <row r="328" ht="15.75" customHeight="1">
      <c r="A328" s="88" t="s">
        <v>2437</v>
      </c>
      <c r="B328" s="90">
        <v>38.0</v>
      </c>
      <c r="C328" s="28" t="s">
        <v>2667</v>
      </c>
      <c r="D328" s="28" t="s">
        <v>2667</v>
      </c>
      <c r="E328" s="28" t="s">
        <v>2667</v>
      </c>
      <c r="F328" s="27"/>
      <c r="G328" s="27"/>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row>
    <row r="329" ht="15.75" customHeight="1">
      <c r="A329" s="88" t="s">
        <v>2437</v>
      </c>
      <c r="B329" s="90">
        <v>39.0</v>
      </c>
      <c r="C329" s="28" t="s">
        <v>2669</v>
      </c>
      <c r="D329" s="28" t="s">
        <v>2669</v>
      </c>
      <c r="E329" s="92" t="s">
        <v>2669</v>
      </c>
      <c r="F329" s="140"/>
      <c r="G329" s="140"/>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row>
    <row r="330" ht="15.75" customHeight="1">
      <c r="A330" s="88" t="s">
        <v>2437</v>
      </c>
      <c r="B330" s="90">
        <v>40.0</v>
      </c>
      <c r="C330" s="28" t="s">
        <v>2670</v>
      </c>
      <c r="D330" s="28" t="s">
        <v>2670</v>
      </c>
      <c r="E330" s="28" t="s">
        <v>2670</v>
      </c>
      <c r="F330" s="27"/>
      <c r="G330" s="27"/>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row>
    <row r="331" ht="15.75" customHeight="1">
      <c r="A331" s="66" t="s">
        <v>2437</v>
      </c>
      <c r="B331" s="98">
        <v>41.0</v>
      </c>
      <c r="C331" s="40" t="s">
        <v>2676</v>
      </c>
      <c r="D331" s="40" t="s">
        <v>2676</v>
      </c>
      <c r="E331" s="40" t="s">
        <v>2676</v>
      </c>
      <c r="F331" s="39"/>
      <c r="G331" s="39"/>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row>
    <row r="332" ht="15.75" customHeight="1">
      <c r="A332" s="66" t="s">
        <v>2437</v>
      </c>
      <c r="B332" s="98">
        <v>42.0</v>
      </c>
      <c r="C332" s="40" t="s">
        <v>2678</v>
      </c>
      <c r="D332" s="40" t="s">
        <v>2678</v>
      </c>
      <c r="E332" s="40" t="s">
        <v>2678</v>
      </c>
      <c r="F332" s="39"/>
      <c r="G332" s="39"/>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row>
    <row r="333" ht="15.75" customHeight="1">
      <c r="A333" s="101"/>
      <c r="B333" s="102"/>
      <c r="C333" s="101"/>
      <c r="D333" s="101"/>
      <c r="E333" s="151"/>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row>
    <row r="334" ht="15.75" customHeight="1">
      <c r="A334" s="101"/>
      <c r="B334" s="102"/>
      <c r="C334" s="101"/>
      <c r="D334" s="101"/>
      <c r="E334" s="151"/>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row>
    <row r="335" ht="15.75" customHeight="1">
      <c r="A335" s="109" t="s">
        <v>2682</v>
      </c>
      <c r="B335" s="110">
        <v>0.0</v>
      </c>
      <c r="C335" s="115" t="s">
        <v>200</v>
      </c>
      <c r="D335" s="115" t="s">
        <v>201</v>
      </c>
      <c r="E335" s="115" t="s">
        <v>202</v>
      </c>
      <c r="F335" s="113"/>
      <c r="G335" s="160">
        <v>0.0</v>
      </c>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row>
    <row r="336" ht="15.75" customHeight="1">
      <c r="A336" s="88" t="s">
        <v>2682</v>
      </c>
      <c r="B336" s="90">
        <v>2.0</v>
      </c>
      <c r="C336" s="28" t="s">
        <v>992</v>
      </c>
      <c r="D336" s="28" t="s">
        <v>994</v>
      </c>
      <c r="E336" s="28" t="s">
        <v>995</v>
      </c>
      <c r="F336" s="27"/>
      <c r="G336" s="25">
        <v>1.0</v>
      </c>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row>
    <row r="337" ht="15.75" customHeight="1">
      <c r="A337" s="88" t="s">
        <v>2682</v>
      </c>
      <c r="B337" s="90">
        <v>3.0</v>
      </c>
      <c r="C337" s="28" t="s">
        <v>1001</v>
      </c>
      <c r="D337" s="28" t="s">
        <v>1003</v>
      </c>
      <c r="E337" s="28" t="s">
        <v>1001</v>
      </c>
      <c r="F337" s="27"/>
      <c r="G337" s="25">
        <v>2.0</v>
      </c>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row>
    <row r="338" ht="15.75" customHeight="1">
      <c r="A338" s="88" t="s">
        <v>2682</v>
      </c>
      <c r="B338" s="90">
        <v>4.0</v>
      </c>
      <c r="C338" s="28" t="s">
        <v>1008</v>
      </c>
      <c r="D338" s="28" t="s">
        <v>1008</v>
      </c>
      <c r="E338" s="28" t="s">
        <v>1008</v>
      </c>
      <c r="F338" s="27"/>
      <c r="G338" s="25">
        <v>3.0</v>
      </c>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row>
    <row r="339" ht="15.75" customHeight="1">
      <c r="A339" s="88" t="s">
        <v>2682</v>
      </c>
      <c r="B339" s="90">
        <v>5.0</v>
      </c>
      <c r="C339" s="28" t="s">
        <v>1015</v>
      </c>
      <c r="D339" s="28" t="s">
        <v>1016</v>
      </c>
      <c r="E339" s="28" t="s">
        <v>1018</v>
      </c>
      <c r="F339" s="27"/>
      <c r="G339" s="25">
        <v>4.0</v>
      </c>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row>
    <row r="340" ht="15.75" customHeight="1">
      <c r="A340" s="88" t="s">
        <v>2682</v>
      </c>
      <c r="B340" s="90">
        <v>6.0</v>
      </c>
      <c r="C340" s="28" t="s">
        <v>1023</v>
      </c>
      <c r="D340" s="28" t="s">
        <v>1025</v>
      </c>
      <c r="E340" s="92" t="s">
        <v>1028</v>
      </c>
      <c r="F340" s="27"/>
      <c r="G340" s="25">
        <v>5.0</v>
      </c>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row>
    <row r="341" ht="15.75" customHeight="1">
      <c r="A341" s="88" t="s">
        <v>2682</v>
      </c>
      <c r="B341" s="90">
        <v>7.0</v>
      </c>
      <c r="C341" s="28" t="s">
        <v>1038</v>
      </c>
      <c r="D341" s="28" t="s">
        <v>1039</v>
      </c>
      <c r="E341" s="28" t="s">
        <v>1038</v>
      </c>
      <c r="F341" s="27"/>
      <c r="G341" s="25">
        <v>6.0</v>
      </c>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row>
    <row r="342" ht="15.75" customHeight="1">
      <c r="A342" s="88" t="s">
        <v>2682</v>
      </c>
      <c r="B342" s="90">
        <v>8.0</v>
      </c>
      <c r="C342" s="28" t="s">
        <v>1041</v>
      </c>
      <c r="D342" s="28" t="s">
        <v>1041</v>
      </c>
      <c r="E342" s="28" t="s">
        <v>1041</v>
      </c>
      <c r="F342" s="27"/>
      <c r="G342" s="25">
        <v>7.0</v>
      </c>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row>
    <row r="343" ht="15.75" customHeight="1">
      <c r="A343" s="88" t="s">
        <v>2682</v>
      </c>
      <c r="B343" s="90">
        <v>9.0</v>
      </c>
      <c r="C343" s="28" t="s">
        <v>1051</v>
      </c>
      <c r="D343" s="28" t="s">
        <v>1051</v>
      </c>
      <c r="E343" s="28" t="s">
        <v>1051</v>
      </c>
      <c r="F343" s="27"/>
      <c r="G343" s="25">
        <v>8.0</v>
      </c>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row>
    <row r="344" ht="15.75" customHeight="1">
      <c r="A344" s="88" t="s">
        <v>2682</v>
      </c>
      <c r="B344" s="90">
        <v>10.0</v>
      </c>
      <c r="C344" s="28" t="s">
        <v>1053</v>
      </c>
      <c r="D344" s="28" t="s">
        <v>1055</v>
      </c>
      <c r="E344" s="28" t="s">
        <v>1057</v>
      </c>
      <c r="F344" s="27"/>
      <c r="G344" s="25">
        <v>9.0</v>
      </c>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row>
    <row r="345" ht="15.75" customHeight="1">
      <c r="A345" s="88" t="s">
        <v>2682</v>
      </c>
      <c r="B345" s="90">
        <v>11.0</v>
      </c>
      <c r="C345" s="28" t="s">
        <v>1062</v>
      </c>
      <c r="D345" s="28" t="s">
        <v>1064</v>
      </c>
      <c r="E345" s="28" t="s">
        <v>1062</v>
      </c>
      <c r="F345" s="27"/>
      <c r="G345" s="25">
        <v>10.0</v>
      </c>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row>
    <row r="346" ht="15.75" customHeight="1">
      <c r="A346" s="88" t="s">
        <v>2682</v>
      </c>
      <c r="B346" s="90">
        <v>12.0</v>
      </c>
      <c r="C346" s="28" t="s">
        <v>1065</v>
      </c>
      <c r="D346" s="28" t="s">
        <v>1065</v>
      </c>
      <c r="E346" s="28" t="s">
        <v>1065</v>
      </c>
      <c r="F346" s="27"/>
      <c r="G346" s="25">
        <v>11.0</v>
      </c>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row>
    <row r="347" ht="15.75" customHeight="1">
      <c r="A347" s="88" t="s">
        <v>2682</v>
      </c>
      <c r="B347" s="90">
        <v>13.0</v>
      </c>
      <c r="C347" s="28" t="s">
        <v>1074</v>
      </c>
      <c r="D347" s="28" t="s">
        <v>1075</v>
      </c>
      <c r="E347" s="28" t="s">
        <v>1074</v>
      </c>
      <c r="F347" s="27"/>
      <c r="G347" s="25">
        <v>12.0</v>
      </c>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row>
    <row r="348" ht="15.75" customHeight="1">
      <c r="A348" s="88" t="s">
        <v>2682</v>
      </c>
      <c r="B348" s="90">
        <v>14.0</v>
      </c>
      <c r="C348" s="28" t="s">
        <v>1080</v>
      </c>
      <c r="D348" s="28" t="s">
        <v>1080</v>
      </c>
      <c r="E348" s="28" t="s">
        <v>1080</v>
      </c>
      <c r="F348" s="27"/>
      <c r="G348" s="25">
        <v>13.0</v>
      </c>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row>
    <row r="349" ht="15.75" customHeight="1">
      <c r="A349" s="88" t="s">
        <v>2682</v>
      </c>
      <c r="B349" s="90">
        <v>15.0</v>
      </c>
      <c r="C349" s="28" t="s">
        <v>1082</v>
      </c>
      <c r="D349" s="28" t="s">
        <v>1083</v>
      </c>
      <c r="E349" s="28" t="s">
        <v>1082</v>
      </c>
      <c r="F349" s="27"/>
      <c r="G349" s="25">
        <v>14.0</v>
      </c>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row>
    <row r="350" ht="15.75" customHeight="1">
      <c r="A350" s="88" t="s">
        <v>2682</v>
      </c>
      <c r="B350" s="90">
        <v>16.0</v>
      </c>
      <c r="C350" s="28" t="s">
        <v>1087</v>
      </c>
      <c r="D350" s="28" t="s">
        <v>1088</v>
      </c>
      <c r="E350" s="28" t="s">
        <v>1087</v>
      </c>
      <c r="F350" s="27"/>
      <c r="G350" s="25">
        <v>15.0</v>
      </c>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row>
    <row r="351" ht="15.75" customHeight="1">
      <c r="A351" s="88" t="s">
        <v>2682</v>
      </c>
      <c r="B351" s="90">
        <v>17.0</v>
      </c>
      <c r="C351" s="28" t="s">
        <v>1091</v>
      </c>
      <c r="D351" s="28" t="s">
        <v>1092</v>
      </c>
      <c r="E351" s="28" t="s">
        <v>1093</v>
      </c>
      <c r="F351" s="27"/>
      <c r="G351" s="25">
        <v>16.0</v>
      </c>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row>
    <row r="352" ht="15.75" customHeight="1">
      <c r="A352" s="88" t="s">
        <v>2682</v>
      </c>
      <c r="B352" s="90">
        <v>18.0</v>
      </c>
      <c r="C352" s="28" t="s">
        <v>1098</v>
      </c>
      <c r="D352" s="28" t="s">
        <v>1098</v>
      </c>
      <c r="E352" s="28" t="s">
        <v>1099</v>
      </c>
      <c r="F352" s="27"/>
      <c r="G352" s="25">
        <v>17.0</v>
      </c>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row>
    <row r="353" ht="15.75" customHeight="1">
      <c r="A353" s="88" t="s">
        <v>2682</v>
      </c>
      <c r="B353" s="90">
        <v>19.0</v>
      </c>
      <c r="C353" s="28" t="s">
        <v>1102</v>
      </c>
      <c r="D353" s="28" t="s">
        <v>1102</v>
      </c>
      <c r="E353" s="28" t="s">
        <v>1103</v>
      </c>
      <c r="F353" s="27"/>
      <c r="G353" s="25">
        <v>18.0</v>
      </c>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row>
    <row r="354" ht="15.75" customHeight="1">
      <c r="A354" s="88" t="s">
        <v>2682</v>
      </c>
      <c r="B354" s="90">
        <v>20.0</v>
      </c>
      <c r="C354" s="28" t="s">
        <v>1108</v>
      </c>
      <c r="D354" s="28" t="s">
        <v>1109</v>
      </c>
      <c r="E354" s="92" t="s">
        <v>1110</v>
      </c>
      <c r="F354" s="27"/>
      <c r="G354" s="25">
        <v>19.0</v>
      </c>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row>
    <row r="355" ht="15.75" customHeight="1">
      <c r="A355" s="88" t="s">
        <v>2682</v>
      </c>
      <c r="B355" s="90">
        <v>21.0</v>
      </c>
      <c r="C355" s="28" t="s">
        <v>1119</v>
      </c>
      <c r="D355" s="28" t="s">
        <v>1121</v>
      </c>
      <c r="E355" s="28" t="s">
        <v>1123</v>
      </c>
      <c r="F355" s="27"/>
      <c r="G355" s="25">
        <v>20.0</v>
      </c>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row>
    <row r="356" ht="15.75" customHeight="1">
      <c r="A356" s="88" t="s">
        <v>2682</v>
      </c>
      <c r="B356" s="90">
        <v>-777.0</v>
      </c>
      <c r="C356" s="28" t="s">
        <v>491</v>
      </c>
      <c r="D356" s="28" t="s">
        <v>492</v>
      </c>
      <c r="E356" s="28" t="s">
        <v>963</v>
      </c>
      <c r="F356" s="27"/>
      <c r="G356" s="25">
        <v>-777.0</v>
      </c>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row>
    <row r="357" ht="15.75" customHeight="1">
      <c r="A357" s="66" t="s">
        <v>2682</v>
      </c>
      <c r="B357" s="98">
        <v>-999.0</v>
      </c>
      <c r="C357" s="40" t="s">
        <v>120</v>
      </c>
      <c r="D357" s="40" t="s">
        <v>121</v>
      </c>
      <c r="E357" s="40" t="s">
        <v>123</v>
      </c>
      <c r="F357" s="39"/>
      <c r="G357" s="38">
        <v>-999.0</v>
      </c>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row>
    <row r="358" ht="15.75" customHeight="1">
      <c r="A358" s="101"/>
      <c r="B358" s="102"/>
      <c r="C358" s="101"/>
      <c r="D358" s="101"/>
      <c r="E358" s="151"/>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row>
    <row r="359" ht="15.75" customHeight="1">
      <c r="A359" s="109" t="s">
        <v>2772</v>
      </c>
      <c r="B359" s="110">
        <v>1.0</v>
      </c>
      <c r="C359" s="115" t="s">
        <v>2773</v>
      </c>
      <c r="D359" s="210" t="s">
        <v>2773</v>
      </c>
      <c r="E359" s="210" t="s">
        <v>2776</v>
      </c>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row>
    <row r="360" ht="15.75" customHeight="1">
      <c r="A360" s="88" t="s">
        <v>2772</v>
      </c>
      <c r="B360" s="90">
        <v>2.0</v>
      </c>
      <c r="C360" s="28" t="s">
        <v>2783</v>
      </c>
      <c r="D360" s="101" t="s">
        <v>2784</v>
      </c>
      <c r="E360" s="101" t="s">
        <v>2783</v>
      </c>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row>
    <row r="361" ht="15.75" customHeight="1">
      <c r="A361" s="88" t="s">
        <v>2772</v>
      </c>
      <c r="B361" s="90">
        <v>3.0</v>
      </c>
      <c r="C361" s="28" t="s">
        <v>2789</v>
      </c>
      <c r="D361" s="101" t="s">
        <v>2790</v>
      </c>
      <c r="E361" s="101" t="s">
        <v>2791</v>
      </c>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row>
    <row r="362" ht="15.75" customHeight="1">
      <c r="A362" s="66" t="s">
        <v>2772</v>
      </c>
      <c r="B362" s="98">
        <v>4.0</v>
      </c>
      <c r="C362" s="40" t="s">
        <v>2796</v>
      </c>
      <c r="D362" s="99" t="s">
        <v>2797</v>
      </c>
      <c r="E362" s="99" t="s">
        <v>2798</v>
      </c>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row>
    <row r="363" ht="15.75" customHeight="1">
      <c r="A363" s="66" t="s">
        <v>2772</v>
      </c>
      <c r="B363" s="98">
        <v>-777.0</v>
      </c>
      <c r="C363" s="40" t="s">
        <v>491</v>
      </c>
      <c r="D363" s="40" t="s">
        <v>492</v>
      </c>
      <c r="E363" s="40" t="s">
        <v>2087</v>
      </c>
      <c r="F363" s="39"/>
      <c r="G363" s="39"/>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row>
    <row r="364" ht="15.75" customHeight="1">
      <c r="A364" s="101"/>
      <c r="B364" s="102"/>
      <c r="C364" s="101"/>
      <c r="D364" s="101"/>
      <c r="E364" s="151"/>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row>
    <row r="365" ht="15.75" customHeight="1">
      <c r="A365" s="109" t="s">
        <v>2813</v>
      </c>
      <c r="B365" s="110">
        <v>1.0</v>
      </c>
      <c r="C365" s="115" t="s">
        <v>2814</v>
      </c>
      <c r="D365" s="115" t="s">
        <v>2815</v>
      </c>
      <c r="E365" s="115" t="s">
        <v>2816</v>
      </c>
      <c r="F365" s="113"/>
      <c r="G365" s="113"/>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row>
    <row r="366" ht="15.75" customHeight="1">
      <c r="A366" s="88" t="s">
        <v>2813</v>
      </c>
      <c r="B366" s="90">
        <v>2.0</v>
      </c>
      <c r="C366" s="28" t="s">
        <v>2819</v>
      </c>
      <c r="D366" s="28" t="s">
        <v>2821</v>
      </c>
      <c r="E366" s="92" t="s">
        <v>2823</v>
      </c>
      <c r="F366" s="27"/>
      <c r="G366" s="27"/>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row>
    <row r="367" ht="15.75" customHeight="1">
      <c r="A367" s="88" t="s">
        <v>2813</v>
      </c>
      <c r="B367" s="90">
        <v>3.0</v>
      </c>
      <c r="C367" s="28" t="s">
        <v>2825</v>
      </c>
      <c r="D367" s="28" t="s">
        <v>2827</v>
      </c>
      <c r="E367" s="92" t="s">
        <v>2829</v>
      </c>
      <c r="F367" s="27"/>
      <c r="G367" s="27"/>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row>
    <row r="368" ht="15.75" customHeight="1">
      <c r="A368" s="88" t="s">
        <v>2813</v>
      </c>
      <c r="B368" s="247">
        <v>4.0</v>
      </c>
      <c r="C368" s="125" t="s">
        <v>2835</v>
      </c>
      <c r="D368" s="101" t="s">
        <v>2836</v>
      </c>
      <c r="E368" s="151" t="s">
        <v>2837</v>
      </c>
      <c r="F368" s="96"/>
      <c r="G368" s="96"/>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row>
    <row r="369" ht="15.75" customHeight="1">
      <c r="A369" s="66" t="s">
        <v>2813</v>
      </c>
      <c r="B369" s="98">
        <v>-777.0</v>
      </c>
      <c r="C369" s="40" t="s">
        <v>491</v>
      </c>
      <c r="D369" s="40" t="s">
        <v>492</v>
      </c>
      <c r="E369" s="40" t="s">
        <v>493</v>
      </c>
      <c r="F369" s="39"/>
      <c r="G369" s="39"/>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row>
    <row r="370" ht="15.75" customHeight="1">
      <c r="A370" s="66"/>
      <c r="B370" s="40"/>
      <c r="C370" s="40"/>
      <c r="D370" s="40"/>
      <c r="E370" s="40"/>
      <c r="F370" s="39"/>
      <c r="G370" s="39"/>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row>
    <row r="371" ht="15.75" customHeight="1">
      <c r="A371" s="88" t="s">
        <v>2851</v>
      </c>
      <c r="B371" s="90">
        <v>0.0</v>
      </c>
      <c r="C371" s="28" t="s">
        <v>200</v>
      </c>
      <c r="D371" s="28" t="s">
        <v>201</v>
      </c>
      <c r="E371" s="28" t="s">
        <v>202</v>
      </c>
      <c r="F371" s="27"/>
      <c r="G371" s="27"/>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row>
    <row r="372" ht="15.75" customHeight="1">
      <c r="A372" s="88" t="s">
        <v>2851</v>
      </c>
      <c r="B372" s="90">
        <v>1.0</v>
      </c>
      <c r="C372" s="28" t="s">
        <v>2859</v>
      </c>
      <c r="D372" s="28" t="s">
        <v>2860</v>
      </c>
      <c r="E372" s="92" t="s">
        <v>2862</v>
      </c>
      <c r="F372" s="27"/>
      <c r="G372" s="27"/>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row>
    <row r="373" ht="15.75" customHeight="1">
      <c r="A373" s="88" t="s">
        <v>2851</v>
      </c>
      <c r="B373" s="90">
        <v>2.0</v>
      </c>
      <c r="C373" s="28" t="s">
        <v>2870</v>
      </c>
      <c r="D373" s="28" t="s">
        <v>2871</v>
      </c>
      <c r="E373" s="28" t="s">
        <v>2872</v>
      </c>
      <c r="F373" s="27"/>
      <c r="G373" s="27"/>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row>
    <row r="374" ht="15.75" customHeight="1">
      <c r="A374" s="88" t="s">
        <v>2851</v>
      </c>
      <c r="B374" s="90">
        <v>3.0</v>
      </c>
      <c r="C374" s="28" t="s">
        <v>2878</v>
      </c>
      <c r="D374" s="28" t="s">
        <v>2879</v>
      </c>
      <c r="E374" s="92" t="s">
        <v>2880</v>
      </c>
      <c r="F374" s="27"/>
      <c r="G374" s="27"/>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row>
    <row r="375" ht="15.75" customHeight="1">
      <c r="A375" s="88" t="s">
        <v>2851</v>
      </c>
      <c r="B375" s="90">
        <v>4.0</v>
      </c>
      <c r="C375" s="28" t="s">
        <v>2884</v>
      </c>
      <c r="D375" s="28" t="s">
        <v>2885</v>
      </c>
      <c r="E375" s="92" t="s">
        <v>2887</v>
      </c>
      <c r="F375" s="27"/>
      <c r="G375" s="27"/>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row>
    <row r="376" ht="15.75" customHeight="1">
      <c r="A376" s="88" t="s">
        <v>2851</v>
      </c>
      <c r="B376" s="90">
        <v>5.0</v>
      </c>
      <c r="C376" s="28" t="s">
        <v>2891</v>
      </c>
      <c r="D376" s="28" t="s">
        <v>2892</v>
      </c>
      <c r="E376" s="92" t="s">
        <v>2893</v>
      </c>
      <c r="F376" s="27"/>
      <c r="G376" s="27"/>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row>
    <row r="377" ht="15.75" customHeight="1">
      <c r="A377" s="66" t="s">
        <v>2851</v>
      </c>
      <c r="B377" s="98">
        <v>6.0</v>
      </c>
      <c r="C377" s="40" t="s">
        <v>2899</v>
      </c>
      <c r="D377" s="40" t="s">
        <v>2900</v>
      </c>
      <c r="E377" s="77" t="s">
        <v>2901</v>
      </c>
      <c r="F377" s="39"/>
      <c r="G377" s="39"/>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row>
    <row r="378" ht="15.75" customHeight="1">
      <c r="A378" s="66" t="s">
        <v>2851</v>
      </c>
      <c r="B378" s="98">
        <v>-777.0</v>
      </c>
      <c r="C378" s="40" t="s">
        <v>491</v>
      </c>
      <c r="D378" s="40" t="s">
        <v>492</v>
      </c>
      <c r="E378" s="40" t="s">
        <v>2087</v>
      </c>
      <c r="F378" s="39"/>
      <c r="G378" s="39"/>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row>
    <row r="379" ht="15.75" customHeight="1">
      <c r="A379" s="66" t="s">
        <v>2851</v>
      </c>
      <c r="B379" s="98">
        <v>-999.0</v>
      </c>
      <c r="C379" s="40" t="s">
        <v>120</v>
      </c>
      <c r="D379" s="40" t="s">
        <v>121</v>
      </c>
      <c r="E379" s="40" t="s">
        <v>123</v>
      </c>
      <c r="F379" s="39"/>
      <c r="G379" s="39"/>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row>
    <row r="380" ht="15.75" customHeight="1">
      <c r="A380" s="66"/>
      <c r="B380" s="40"/>
      <c r="C380" s="40"/>
      <c r="D380" s="40"/>
      <c r="E380" s="40"/>
      <c r="F380" s="39"/>
      <c r="G380" s="39"/>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row>
    <row r="381" ht="15.75" customHeight="1">
      <c r="A381" s="88" t="s">
        <v>1967</v>
      </c>
      <c r="B381" s="90">
        <v>1.0</v>
      </c>
      <c r="C381" s="28" t="s">
        <v>1968</v>
      </c>
      <c r="D381" s="28" t="s">
        <v>1969</v>
      </c>
      <c r="E381" s="28" t="s">
        <v>1970</v>
      </c>
      <c r="F381" s="27"/>
      <c r="G381" s="27"/>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row>
    <row r="382" ht="15.75" customHeight="1">
      <c r="A382" s="88" t="s">
        <v>1967</v>
      </c>
      <c r="B382" s="90">
        <v>2.0</v>
      </c>
      <c r="C382" s="28" t="s">
        <v>1979</v>
      </c>
      <c r="D382" s="28" t="s">
        <v>1981</v>
      </c>
      <c r="E382" s="28" t="s">
        <v>1984</v>
      </c>
      <c r="F382" s="27"/>
      <c r="G382" s="27"/>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row>
    <row r="383" ht="15.75" customHeight="1">
      <c r="A383" s="88" t="s">
        <v>1967</v>
      </c>
      <c r="B383" s="90">
        <v>3.0</v>
      </c>
      <c r="C383" s="28" t="s">
        <v>1989</v>
      </c>
      <c r="D383" s="28" t="s">
        <v>1990</v>
      </c>
      <c r="E383" s="92" t="s">
        <v>1991</v>
      </c>
      <c r="F383" s="27"/>
      <c r="G383" s="27"/>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row>
    <row r="384" ht="15.75" customHeight="1">
      <c r="A384" s="88" t="s">
        <v>1967</v>
      </c>
      <c r="B384" s="90">
        <v>4.0</v>
      </c>
      <c r="C384" s="28" t="s">
        <v>1997</v>
      </c>
      <c r="D384" s="28" t="s">
        <v>1998</v>
      </c>
      <c r="E384" s="28" t="s">
        <v>1999</v>
      </c>
      <c r="F384" s="27"/>
      <c r="G384" s="27"/>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row>
    <row r="385" ht="15.75" customHeight="1">
      <c r="A385" s="88" t="s">
        <v>1967</v>
      </c>
      <c r="B385" s="90">
        <v>5.0</v>
      </c>
      <c r="C385" s="28" t="s">
        <v>2004</v>
      </c>
      <c r="D385" s="28" t="s">
        <v>2005</v>
      </c>
      <c r="E385" s="28" t="s">
        <v>2007</v>
      </c>
      <c r="F385" s="27"/>
      <c r="G385" s="27"/>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row>
    <row r="386" ht="15.75" customHeight="1">
      <c r="A386" s="88" t="s">
        <v>1967</v>
      </c>
      <c r="B386" s="90">
        <v>6.0</v>
      </c>
      <c r="C386" s="28" t="s">
        <v>2014</v>
      </c>
      <c r="D386" s="28" t="s">
        <v>2015</v>
      </c>
      <c r="E386" s="92" t="s">
        <v>2016</v>
      </c>
      <c r="F386" s="27"/>
      <c r="G386" s="27"/>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row>
    <row r="387" ht="15.75" customHeight="1">
      <c r="A387" s="88" t="s">
        <v>1967</v>
      </c>
      <c r="B387" s="90">
        <v>7.0</v>
      </c>
      <c r="C387" s="28" t="s">
        <v>2026</v>
      </c>
      <c r="D387" s="28" t="s">
        <v>2922</v>
      </c>
      <c r="E387" s="28" t="s">
        <v>2029</v>
      </c>
      <c r="F387" s="27"/>
      <c r="G387" s="27"/>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row>
    <row r="388" ht="15.75" customHeight="1">
      <c r="A388" s="88" t="s">
        <v>1967</v>
      </c>
      <c r="B388" s="90">
        <v>8.0</v>
      </c>
      <c r="C388" s="28" t="s">
        <v>2038</v>
      </c>
      <c r="D388" s="28" t="s">
        <v>2038</v>
      </c>
      <c r="E388" s="28" t="s">
        <v>2039</v>
      </c>
      <c r="F388" s="27"/>
      <c r="G388" s="27"/>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row>
    <row r="389" ht="15.75" customHeight="1">
      <c r="A389" s="88" t="s">
        <v>1967</v>
      </c>
      <c r="B389" s="90">
        <v>9.0</v>
      </c>
      <c r="C389" s="28" t="s">
        <v>2044</v>
      </c>
      <c r="D389" s="28" t="s">
        <v>2045</v>
      </c>
      <c r="E389" s="92" t="s">
        <v>2048</v>
      </c>
      <c r="F389" s="27"/>
      <c r="G389" s="27"/>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row>
    <row r="390" ht="15.75" customHeight="1">
      <c r="A390" s="88" t="s">
        <v>1967</v>
      </c>
      <c r="B390" s="90">
        <v>10.0</v>
      </c>
      <c r="C390" s="28" t="s">
        <v>2056</v>
      </c>
      <c r="D390" s="28" t="s">
        <v>2058</v>
      </c>
      <c r="E390" s="28" t="s">
        <v>2060</v>
      </c>
      <c r="F390" s="27"/>
      <c r="G390" s="27"/>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row>
    <row r="391" ht="15.75" customHeight="1">
      <c r="A391" s="88" t="s">
        <v>1967</v>
      </c>
      <c r="B391" s="90">
        <v>11.0</v>
      </c>
      <c r="C391" s="28" t="s">
        <v>2068</v>
      </c>
      <c r="D391" s="28" t="s">
        <v>2069</v>
      </c>
      <c r="E391" s="92" t="s">
        <v>2070</v>
      </c>
      <c r="F391" s="27"/>
      <c r="G391" s="27"/>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row>
    <row r="392" ht="15.75" customHeight="1">
      <c r="A392" s="88" t="s">
        <v>1967</v>
      </c>
      <c r="B392" s="90">
        <v>12.0</v>
      </c>
      <c r="C392" s="28" t="s">
        <v>2078</v>
      </c>
      <c r="D392" s="28" t="s">
        <v>2079</v>
      </c>
      <c r="E392" s="28" t="s">
        <v>2080</v>
      </c>
      <c r="F392" s="27"/>
      <c r="G392" s="27"/>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row>
    <row r="393" ht="15.75" customHeight="1">
      <c r="A393" s="66" t="s">
        <v>1967</v>
      </c>
      <c r="B393" s="98">
        <v>-777.0</v>
      </c>
      <c r="C393" s="40" t="s">
        <v>491</v>
      </c>
      <c r="D393" s="40" t="s">
        <v>492</v>
      </c>
      <c r="E393" s="40" t="s">
        <v>2087</v>
      </c>
      <c r="F393" s="39"/>
      <c r="G393" s="39"/>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row>
    <row r="394" ht="15.75" customHeight="1">
      <c r="A394" s="66"/>
      <c r="B394" s="40"/>
      <c r="C394" s="40"/>
      <c r="D394" s="40"/>
      <c r="E394" s="40"/>
      <c r="F394" s="39"/>
      <c r="G394" s="39"/>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row>
    <row r="395" ht="15.75" customHeight="1">
      <c r="A395" s="88" t="s">
        <v>2945</v>
      </c>
      <c r="B395" s="90">
        <v>1.0</v>
      </c>
      <c r="C395" s="28" t="s">
        <v>2946</v>
      </c>
      <c r="D395" s="28" t="s">
        <v>2947</v>
      </c>
      <c r="E395" s="92" t="s">
        <v>2948</v>
      </c>
      <c r="F395" s="27"/>
      <c r="G395" s="27"/>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row>
    <row r="396" ht="15.75" customHeight="1">
      <c r="A396" s="88" t="s">
        <v>2945</v>
      </c>
      <c r="B396" s="90">
        <v>2.0</v>
      </c>
      <c r="C396" s="28" t="s">
        <v>2954</v>
      </c>
      <c r="D396" s="28" t="s">
        <v>2955</v>
      </c>
      <c r="E396" s="92" t="s">
        <v>2956</v>
      </c>
      <c r="F396" s="27"/>
      <c r="G396" s="27"/>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row>
    <row r="397" ht="15.75" customHeight="1">
      <c r="A397" s="88" t="s">
        <v>2945</v>
      </c>
      <c r="B397" s="90">
        <v>3.0</v>
      </c>
      <c r="C397" s="28" t="s">
        <v>2964</v>
      </c>
      <c r="D397" s="28" t="s">
        <v>2965</v>
      </c>
      <c r="E397" s="92" t="s">
        <v>2966</v>
      </c>
      <c r="F397" s="27"/>
      <c r="G397" s="27"/>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row>
    <row r="398" ht="15.75" customHeight="1">
      <c r="A398" s="88" t="s">
        <v>2945</v>
      </c>
      <c r="B398" s="90">
        <v>4.0</v>
      </c>
      <c r="C398" s="28" t="s">
        <v>2971</v>
      </c>
      <c r="D398" s="28" t="s">
        <v>2972</v>
      </c>
      <c r="E398" s="92" t="s">
        <v>2973</v>
      </c>
      <c r="F398" s="140"/>
      <c r="G398" s="27"/>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row>
    <row r="399" ht="15.75" customHeight="1">
      <c r="A399" s="88" t="s">
        <v>2945</v>
      </c>
      <c r="B399" s="90">
        <v>5.0</v>
      </c>
      <c r="C399" s="28" t="s">
        <v>2979</v>
      </c>
      <c r="D399" s="28" t="s">
        <v>2980</v>
      </c>
      <c r="E399" s="28" t="s">
        <v>2981</v>
      </c>
      <c r="F399" s="27"/>
      <c r="G399" s="27"/>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row>
    <row r="400" ht="15.75" customHeight="1">
      <c r="A400" s="66" t="s">
        <v>2945</v>
      </c>
      <c r="B400" s="98">
        <v>-777.0</v>
      </c>
      <c r="C400" s="40" t="s">
        <v>491</v>
      </c>
      <c r="D400" s="40" t="s">
        <v>492</v>
      </c>
      <c r="E400" s="40" t="s">
        <v>2087</v>
      </c>
      <c r="F400" s="39"/>
      <c r="G400" s="39"/>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row>
    <row r="401" ht="15.75" customHeight="1">
      <c r="A401" s="66"/>
      <c r="B401" s="40"/>
      <c r="C401" s="40"/>
      <c r="D401" s="40"/>
      <c r="E401" s="40"/>
      <c r="F401" s="39"/>
      <c r="G401" s="39"/>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row>
    <row r="402" ht="15.75" customHeight="1">
      <c r="A402" s="66"/>
      <c r="B402" s="40"/>
      <c r="C402" s="40"/>
      <c r="D402" s="40"/>
      <c r="E402" s="40"/>
      <c r="F402" s="39"/>
      <c r="G402" s="39"/>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row>
    <row r="403" ht="15.75" customHeight="1">
      <c r="A403" s="88" t="s">
        <v>3005</v>
      </c>
      <c r="B403" s="90">
        <v>1.0</v>
      </c>
      <c r="C403" s="28" t="s">
        <v>3006</v>
      </c>
      <c r="D403" s="28" t="s">
        <v>3007</v>
      </c>
      <c r="E403" s="28" t="s">
        <v>3008</v>
      </c>
      <c r="F403" s="27"/>
      <c r="G403" s="27"/>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row>
    <row r="404" ht="15.75" customHeight="1">
      <c r="A404" s="88" t="s">
        <v>3005</v>
      </c>
      <c r="B404" s="90">
        <v>2.0</v>
      </c>
      <c r="C404" s="28" t="s">
        <v>3013</v>
      </c>
      <c r="D404" s="28" t="s">
        <v>3014</v>
      </c>
      <c r="E404" s="92" t="s">
        <v>3015</v>
      </c>
      <c r="F404" s="140"/>
      <c r="G404" s="27"/>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row>
    <row r="405" ht="15.75" customHeight="1">
      <c r="A405" s="88" t="s">
        <v>3005</v>
      </c>
      <c r="B405" s="90">
        <v>3.0</v>
      </c>
      <c r="C405" s="28" t="s">
        <v>3016</v>
      </c>
      <c r="D405" s="28" t="s">
        <v>3017</v>
      </c>
      <c r="E405" s="92" t="s">
        <v>3018</v>
      </c>
      <c r="F405" s="140"/>
      <c r="G405" s="27"/>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row>
    <row r="406" ht="15.75" customHeight="1">
      <c r="A406" s="66" t="s">
        <v>3005</v>
      </c>
      <c r="B406" s="98">
        <v>4.0</v>
      </c>
      <c r="C406" s="40" t="s">
        <v>3027</v>
      </c>
      <c r="D406" s="40" t="s">
        <v>3028</v>
      </c>
      <c r="E406" s="77" t="s">
        <v>3029</v>
      </c>
      <c r="F406" s="39"/>
      <c r="G406" s="39"/>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row>
    <row r="407" ht="15.75" customHeight="1">
      <c r="A407" s="66"/>
      <c r="B407" s="40"/>
      <c r="C407" s="40"/>
      <c r="D407" s="40"/>
      <c r="E407" s="40"/>
      <c r="F407" s="39"/>
      <c r="G407" s="39"/>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row>
    <row r="408" ht="15.75" customHeight="1">
      <c r="A408" s="88" t="s">
        <v>3034</v>
      </c>
      <c r="B408" s="90">
        <v>1.0</v>
      </c>
      <c r="C408" s="28" t="s">
        <v>3035</v>
      </c>
      <c r="D408" s="28" t="s">
        <v>3036</v>
      </c>
      <c r="E408" s="28" t="s">
        <v>3037</v>
      </c>
      <c r="F408" s="27"/>
      <c r="G408" s="27"/>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row>
    <row r="409" ht="15.75" customHeight="1">
      <c r="A409" s="88" t="s">
        <v>3034</v>
      </c>
      <c r="B409" s="90">
        <v>2.0</v>
      </c>
      <c r="C409" s="28" t="s">
        <v>3044</v>
      </c>
      <c r="D409" s="28" t="s">
        <v>3046</v>
      </c>
      <c r="E409" s="92" t="s">
        <v>3047</v>
      </c>
      <c r="F409" s="140"/>
      <c r="G409" s="140"/>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row>
    <row r="410" ht="15.75" customHeight="1">
      <c r="A410" s="88" t="s">
        <v>3034</v>
      </c>
      <c r="B410" s="90">
        <v>3.0</v>
      </c>
      <c r="C410" s="28" t="s">
        <v>3048</v>
      </c>
      <c r="D410" s="28" t="s">
        <v>3049</v>
      </c>
      <c r="E410" s="92" t="s">
        <v>3050</v>
      </c>
      <c r="F410" s="27"/>
      <c r="G410" s="27"/>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row>
    <row r="411" ht="15.75" customHeight="1">
      <c r="A411" s="88" t="s">
        <v>3034</v>
      </c>
      <c r="B411" s="90">
        <v>4.0</v>
      </c>
      <c r="C411" s="28" t="s">
        <v>3052</v>
      </c>
      <c r="D411" s="28" t="s">
        <v>3053</v>
      </c>
      <c r="E411" s="28" t="s">
        <v>3054</v>
      </c>
      <c r="F411" s="27"/>
      <c r="G411" s="27"/>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row>
    <row r="412" ht="15.75" customHeight="1">
      <c r="A412" s="88" t="s">
        <v>3034</v>
      </c>
      <c r="B412" s="90">
        <v>5.0</v>
      </c>
      <c r="C412" s="28" t="s">
        <v>3059</v>
      </c>
      <c r="D412" s="92" t="s">
        <v>3060</v>
      </c>
      <c r="E412" s="28"/>
      <c r="F412" s="27"/>
      <c r="G412" s="27"/>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row>
    <row r="413" ht="15.75" customHeight="1">
      <c r="A413" s="88" t="s">
        <v>3034</v>
      </c>
      <c r="B413" s="90">
        <v>8.0</v>
      </c>
      <c r="C413" s="28" t="s">
        <v>3068</v>
      </c>
      <c r="D413" s="28" t="s">
        <v>3069</v>
      </c>
      <c r="E413" s="92" t="s">
        <v>3071</v>
      </c>
      <c r="F413" s="140"/>
      <c r="G413" s="27"/>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row>
    <row r="414" ht="15.75" customHeight="1">
      <c r="A414" s="66" t="s">
        <v>3034</v>
      </c>
      <c r="B414" s="98">
        <v>-777.0</v>
      </c>
      <c r="C414" s="40" t="s">
        <v>3076</v>
      </c>
      <c r="D414" s="40" t="s">
        <v>3078</v>
      </c>
      <c r="E414" s="40" t="s">
        <v>2087</v>
      </c>
      <c r="F414" s="39"/>
      <c r="G414" s="39"/>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row>
    <row r="415" ht="15.75" customHeight="1">
      <c r="A415" s="66"/>
      <c r="B415" s="40"/>
      <c r="C415" s="40"/>
      <c r="D415" s="40"/>
      <c r="E415" s="40"/>
      <c r="F415" s="39"/>
      <c r="G415" s="39"/>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row>
    <row r="416" ht="15.75" customHeight="1">
      <c r="A416" s="88" t="s">
        <v>3091</v>
      </c>
      <c r="B416" s="90">
        <v>0.0</v>
      </c>
      <c r="C416" s="28" t="s">
        <v>3092</v>
      </c>
      <c r="D416" s="28" t="s">
        <v>3093</v>
      </c>
      <c r="E416" s="92" t="s">
        <v>3094</v>
      </c>
      <c r="F416" s="27"/>
      <c r="G416" s="27"/>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row>
    <row r="417" ht="15.75" customHeight="1">
      <c r="A417" s="88" t="s">
        <v>3091</v>
      </c>
      <c r="B417" s="90">
        <v>1.0</v>
      </c>
      <c r="C417" s="28" t="s">
        <v>3102</v>
      </c>
      <c r="D417" s="28" t="s">
        <v>3104</v>
      </c>
      <c r="E417" s="92" t="s">
        <v>3106</v>
      </c>
      <c r="F417" s="140"/>
      <c r="G417" s="27"/>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row>
    <row r="418" ht="15.75" customHeight="1">
      <c r="A418" s="88" t="s">
        <v>3091</v>
      </c>
      <c r="B418" s="90">
        <v>2.0</v>
      </c>
      <c r="C418" s="28" t="s">
        <v>3112</v>
      </c>
      <c r="D418" s="28" t="s">
        <v>3113</v>
      </c>
      <c r="E418" s="92" t="s">
        <v>3114</v>
      </c>
      <c r="F418" s="27"/>
      <c r="G418" s="27"/>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row>
    <row r="419" ht="15.75" customHeight="1">
      <c r="A419" s="88" t="s">
        <v>3091</v>
      </c>
      <c r="B419" s="90">
        <v>3.0</v>
      </c>
      <c r="C419" s="28" t="s">
        <v>3119</v>
      </c>
      <c r="D419" s="28" t="s">
        <v>3120</v>
      </c>
      <c r="E419" s="92" t="s">
        <v>3121</v>
      </c>
      <c r="F419" s="27"/>
      <c r="G419" s="27"/>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row>
    <row r="420" ht="15.75" customHeight="1">
      <c r="A420" s="88" t="s">
        <v>3091</v>
      </c>
      <c r="B420" s="90">
        <v>4.0</v>
      </c>
      <c r="C420" s="28" t="s">
        <v>3126</v>
      </c>
      <c r="D420" s="28" t="s">
        <v>3127</v>
      </c>
      <c r="E420" s="28" t="s">
        <v>3128</v>
      </c>
      <c r="F420" s="27"/>
      <c r="G420" s="27"/>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row>
    <row r="421" ht="15.75" customHeight="1">
      <c r="A421" s="88" t="s">
        <v>3091</v>
      </c>
      <c r="B421" s="90">
        <v>5.0</v>
      </c>
      <c r="C421" s="28" t="s">
        <v>3136</v>
      </c>
      <c r="D421" s="28" t="s">
        <v>3137</v>
      </c>
      <c r="E421" s="92" t="s">
        <v>3138</v>
      </c>
      <c r="F421" s="140"/>
      <c r="G421" s="27"/>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row>
    <row r="422" ht="15.75" customHeight="1">
      <c r="A422" s="88" t="s">
        <v>3091</v>
      </c>
      <c r="B422" s="90">
        <v>6.0</v>
      </c>
      <c r="C422" s="28" t="s">
        <v>3150</v>
      </c>
      <c r="D422" s="28" t="s">
        <v>3151</v>
      </c>
      <c r="E422" s="28" t="s">
        <v>3152</v>
      </c>
      <c r="F422" s="27"/>
      <c r="G422" s="27"/>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row>
    <row r="423" ht="15.75" customHeight="1">
      <c r="A423" s="66" t="s">
        <v>3091</v>
      </c>
      <c r="B423" s="98">
        <v>7.0</v>
      </c>
      <c r="C423" s="40" t="s">
        <v>3159</v>
      </c>
      <c r="D423" s="40" t="s">
        <v>3162</v>
      </c>
      <c r="E423" s="77" t="s">
        <v>3164</v>
      </c>
      <c r="F423" s="39"/>
      <c r="G423" s="39"/>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row>
    <row r="424" ht="15.75" customHeight="1">
      <c r="A424" s="101"/>
      <c r="B424" s="102"/>
      <c r="C424" s="101"/>
      <c r="D424" s="101"/>
      <c r="E424" s="151"/>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row>
    <row r="425" ht="15.75" customHeight="1">
      <c r="A425" s="88" t="s">
        <v>505</v>
      </c>
      <c r="B425" s="88">
        <v>1.0</v>
      </c>
      <c r="C425" s="88" t="s">
        <v>508</v>
      </c>
      <c r="D425" s="88" t="s">
        <v>509</v>
      </c>
      <c r="E425" s="88" t="s">
        <v>510</v>
      </c>
      <c r="F425" s="113"/>
      <c r="G425" s="113"/>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row>
    <row r="426" ht="15.75" customHeight="1">
      <c r="A426" s="88" t="s">
        <v>505</v>
      </c>
      <c r="B426" s="88">
        <v>2.0</v>
      </c>
      <c r="C426" s="88" t="s">
        <v>517</v>
      </c>
      <c r="D426" s="88" t="s">
        <v>518</v>
      </c>
      <c r="E426" s="88" t="s">
        <v>519</v>
      </c>
      <c r="F426" s="27"/>
      <c r="G426" s="27"/>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row>
    <row r="427" ht="15.75" customHeight="1">
      <c r="A427" s="88" t="s">
        <v>505</v>
      </c>
      <c r="B427" s="88">
        <v>3.0</v>
      </c>
      <c r="C427" s="88" t="s">
        <v>525</v>
      </c>
      <c r="D427" s="88" t="s">
        <v>526</v>
      </c>
      <c r="E427" s="88" t="s">
        <v>527</v>
      </c>
      <c r="F427" s="39"/>
      <c r="G427" s="39"/>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row>
    <row r="428" ht="15.75" customHeight="1">
      <c r="A428" s="88"/>
      <c r="B428" s="88"/>
      <c r="C428" s="88"/>
      <c r="D428" s="88"/>
      <c r="E428" s="88"/>
      <c r="F428" s="39"/>
      <c r="G428" s="39"/>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row>
    <row r="429" ht="15.75" customHeight="1">
      <c r="A429" s="88" t="s">
        <v>540</v>
      </c>
      <c r="B429" s="88">
        <v>1.0</v>
      </c>
      <c r="C429" s="88" t="s">
        <v>541</v>
      </c>
      <c r="D429" s="88" t="s">
        <v>541</v>
      </c>
      <c r="E429" s="88" t="s">
        <v>545</v>
      </c>
      <c r="F429" s="27"/>
      <c r="G429" s="27"/>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row>
    <row r="430" ht="15.75" customHeight="1">
      <c r="A430" s="88" t="s">
        <v>540</v>
      </c>
      <c r="B430" s="88">
        <v>2.0</v>
      </c>
      <c r="C430" s="88" t="s">
        <v>552</v>
      </c>
      <c r="D430" s="88" t="s">
        <v>553</v>
      </c>
      <c r="E430" s="88" t="s">
        <v>554</v>
      </c>
      <c r="F430" s="27"/>
      <c r="G430" s="27"/>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row>
    <row r="431" ht="15.75" customHeight="1">
      <c r="A431" s="88" t="s">
        <v>540</v>
      </c>
      <c r="B431" s="88">
        <v>3.0</v>
      </c>
      <c r="C431" s="88" t="s">
        <v>560</v>
      </c>
      <c r="D431" s="88" t="s">
        <v>561</v>
      </c>
      <c r="E431" s="88" t="s">
        <v>562</v>
      </c>
      <c r="F431" s="39"/>
      <c r="G431" s="39"/>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row>
    <row r="432" ht="15.75" customHeight="1">
      <c r="A432" s="88"/>
      <c r="B432" s="88"/>
      <c r="C432" s="88"/>
      <c r="D432" s="88"/>
      <c r="E432" s="88"/>
      <c r="F432" s="39"/>
      <c r="G432" s="39"/>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row>
    <row r="433" ht="15.75" customHeight="1">
      <c r="A433" s="88" t="s">
        <v>3206</v>
      </c>
      <c r="B433" s="88">
        <v>1.0</v>
      </c>
      <c r="C433" s="88" t="s">
        <v>3207</v>
      </c>
      <c r="D433" s="88" t="s">
        <v>3208</v>
      </c>
      <c r="E433" s="88" t="s">
        <v>3209</v>
      </c>
      <c r="F433" s="27"/>
      <c r="G433" s="27"/>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row>
    <row r="434" ht="15.75" customHeight="1">
      <c r="A434" s="88" t="s">
        <v>3206</v>
      </c>
      <c r="B434" s="88">
        <v>2.0</v>
      </c>
      <c r="C434" s="88" t="s">
        <v>3211</v>
      </c>
      <c r="D434" s="88" t="s">
        <v>3212</v>
      </c>
      <c r="E434" s="88" t="s">
        <v>3213</v>
      </c>
      <c r="F434" s="27"/>
      <c r="G434" s="27"/>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row>
    <row r="435" ht="15.75" customHeight="1">
      <c r="A435" s="88" t="s">
        <v>3206</v>
      </c>
      <c r="B435" s="88">
        <v>3.0</v>
      </c>
      <c r="C435" s="88" t="s">
        <v>3216</v>
      </c>
      <c r="D435" s="88" t="s">
        <v>3217</v>
      </c>
      <c r="E435" s="88" t="s">
        <v>3218</v>
      </c>
      <c r="F435" s="39"/>
      <c r="G435" s="39"/>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row>
    <row r="436" ht="15.75" customHeight="1">
      <c r="A436" s="88"/>
      <c r="B436" s="88"/>
      <c r="C436" s="88"/>
      <c r="D436" s="88"/>
      <c r="E436" s="88"/>
      <c r="F436" s="39"/>
      <c r="G436" s="39"/>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row>
    <row r="437" ht="15.75" customHeight="1">
      <c r="A437" s="88" t="s">
        <v>3227</v>
      </c>
      <c r="B437" s="88">
        <v>1.0</v>
      </c>
      <c r="C437" s="88" t="s">
        <v>3230</v>
      </c>
      <c r="D437" s="88" t="s">
        <v>3231</v>
      </c>
      <c r="E437" s="88" t="s">
        <v>3232</v>
      </c>
      <c r="F437" s="27"/>
      <c r="G437" s="27"/>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row>
    <row r="438" ht="15.75" customHeight="1">
      <c r="A438" s="88" t="s">
        <v>3227</v>
      </c>
      <c r="B438" s="88">
        <v>2.0</v>
      </c>
      <c r="C438" s="88" t="s">
        <v>3234</v>
      </c>
      <c r="D438" s="88" t="s">
        <v>3235</v>
      </c>
      <c r="E438" s="88" t="s">
        <v>3236</v>
      </c>
      <c r="F438" s="27"/>
      <c r="G438" s="27"/>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row>
    <row r="439" ht="15.75" customHeight="1">
      <c r="A439" s="88" t="s">
        <v>3227</v>
      </c>
      <c r="B439" s="88">
        <v>3.0</v>
      </c>
      <c r="C439" s="88" t="s">
        <v>3241</v>
      </c>
      <c r="D439" s="88" t="s">
        <v>3242</v>
      </c>
      <c r="E439" s="88" t="s">
        <v>3243</v>
      </c>
      <c r="F439" s="27"/>
      <c r="G439" s="27"/>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row>
    <row r="440" ht="15.75" customHeight="1">
      <c r="A440" s="88" t="s">
        <v>3227</v>
      </c>
      <c r="B440" s="88">
        <v>4.0</v>
      </c>
      <c r="C440" s="88" t="s">
        <v>3249</v>
      </c>
      <c r="D440" s="88" t="s">
        <v>3250</v>
      </c>
      <c r="E440" s="88" t="s">
        <v>3251</v>
      </c>
      <c r="F440" s="41"/>
      <c r="G440" s="39"/>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row>
    <row r="441" ht="15.75" customHeight="1">
      <c r="A441" s="88"/>
      <c r="B441" s="88"/>
      <c r="C441" s="88"/>
      <c r="D441" s="88"/>
      <c r="E441" s="88"/>
      <c r="F441" s="39"/>
      <c r="G441" s="39"/>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row>
    <row r="442" ht="15.75" customHeight="1">
      <c r="A442" s="88" t="s">
        <v>3262</v>
      </c>
      <c r="B442" s="88">
        <v>1.0</v>
      </c>
      <c r="C442" s="88" t="s">
        <v>3263</v>
      </c>
      <c r="D442" s="88" t="s">
        <v>3264</v>
      </c>
      <c r="E442" s="88" t="s">
        <v>3267</v>
      </c>
      <c r="F442" s="27"/>
      <c r="G442" s="27"/>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row>
    <row r="443" ht="15.75" customHeight="1">
      <c r="A443" s="88" t="s">
        <v>3262</v>
      </c>
      <c r="B443" s="88">
        <v>2.0</v>
      </c>
      <c r="C443" s="88" t="s">
        <v>3279</v>
      </c>
      <c r="D443" s="88" t="s">
        <v>3280</v>
      </c>
      <c r="E443" s="88" t="s">
        <v>3282</v>
      </c>
      <c r="F443" s="39"/>
      <c r="G443" s="39"/>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row>
    <row r="444" ht="15.75" customHeight="1">
      <c r="A444" s="101"/>
      <c r="B444" s="102"/>
      <c r="C444" s="101"/>
      <c r="D444" s="101"/>
      <c r="E444" s="151"/>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row>
    <row r="445" ht="15.75" customHeight="1">
      <c r="A445" s="109" t="s">
        <v>3290</v>
      </c>
      <c r="B445" s="110">
        <v>1.0</v>
      </c>
      <c r="C445" s="115" t="s">
        <v>3292</v>
      </c>
      <c r="D445" s="115" t="s">
        <v>3295</v>
      </c>
      <c r="E445" s="115" t="s">
        <v>3296</v>
      </c>
      <c r="F445" s="113"/>
      <c r="G445" s="113"/>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row>
    <row r="446" ht="15.75" customHeight="1">
      <c r="A446" s="88" t="s">
        <v>3290</v>
      </c>
      <c r="B446" s="90">
        <v>2.0</v>
      </c>
      <c r="C446" s="28" t="s">
        <v>3302</v>
      </c>
      <c r="D446" s="28" t="s">
        <v>3303</v>
      </c>
      <c r="E446" s="28" t="s">
        <v>3304</v>
      </c>
      <c r="F446" s="27"/>
      <c r="G446" s="27"/>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row>
    <row r="447" ht="15.75" customHeight="1">
      <c r="A447" s="88" t="s">
        <v>3290</v>
      </c>
      <c r="B447" s="90">
        <v>3.0</v>
      </c>
      <c r="C447" s="28" t="s">
        <v>3316</v>
      </c>
      <c r="D447" s="28" t="s">
        <v>3317</v>
      </c>
      <c r="E447" s="92" t="s">
        <v>3318</v>
      </c>
      <c r="F447" s="27"/>
      <c r="G447" s="27"/>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row>
    <row r="448" ht="15.75" customHeight="1">
      <c r="A448" s="88" t="s">
        <v>3290</v>
      </c>
      <c r="B448" s="90">
        <v>-777.0</v>
      </c>
      <c r="C448" s="28" t="s">
        <v>491</v>
      </c>
      <c r="D448" s="28" t="s">
        <v>492</v>
      </c>
      <c r="E448" s="28" t="s">
        <v>493</v>
      </c>
      <c r="F448" s="27"/>
      <c r="G448" s="27"/>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row>
    <row r="449" ht="15.75" customHeight="1">
      <c r="A449" s="66" t="s">
        <v>3290</v>
      </c>
      <c r="B449" s="98">
        <v>0.0</v>
      </c>
      <c r="C449" s="40" t="s">
        <v>200</v>
      </c>
      <c r="D449" s="40" t="s">
        <v>201</v>
      </c>
      <c r="E449" s="40" t="s">
        <v>202</v>
      </c>
      <c r="F449" s="39"/>
      <c r="G449" s="39"/>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row>
    <row r="450" ht="15.75" customHeight="1">
      <c r="A450" s="101"/>
      <c r="B450" s="102"/>
      <c r="C450" s="101"/>
      <c r="D450" s="101"/>
      <c r="E450" s="151"/>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row>
    <row r="451" ht="15.75" customHeight="1">
      <c r="A451" s="109" t="s">
        <v>3350</v>
      </c>
      <c r="B451" s="110">
        <v>0.0</v>
      </c>
      <c r="C451" s="115" t="s">
        <v>3353</v>
      </c>
      <c r="D451" s="115" t="s">
        <v>3354</v>
      </c>
      <c r="E451" s="152" t="s">
        <v>3355</v>
      </c>
      <c r="F451" s="113"/>
      <c r="G451" s="113"/>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row>
    <row r="452" ht="15.75" customHeight="1">
      <c r="A452" s="88" t="s">
        <v>3350</v>
      </c>
      <c r="B452" s="90">
        <v>1.0</v>
      </c>
      <c r="C452" s="28" t="s">
        <v>3364</v>
      </c>
      <c r="D452" s="28" t="s">
        <v>3366</v>
      </c>
      <c r="E452" s="28" t="s">
        <v>3368</v>
      </c>
      <c r="F452" s="27"/>
      <c r="G452" s="27"/>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row>
    <row r="453" ht="15.75" customHeight="1">
      <c r="A453" s="66" t="s">
        <v>3350</v>
      </c>
      <c r="B453" s="98">
        <v>2.0</v>
      </c>
      <c r="C453" s="40" t="s">
        <v>3379</v>
      </c>
      <c r="D453" s="40" t="s">
        <v>3380</v>
      </c>
      <c r="E453" s="40" t="s">
        <v>3381</v>
      </c>
      <c r="F453" s="39"/>
      <c r="G453" s="39"/>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row>
    <row r="454" ht="15.75" customHeight="1">
      <c r="A454" s="101"/>
      <c r="B454" s="102"/>
      <c r="C454" s="101"/>
      <c r="D454" s="101"/>
      <c r="E454" s="151"/>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row>
    <row r="455" ht="15.75" customHeight="1">
      <c r="A455" s="101"/>
      <c r="B455" s="102"/>
      <c r="C455" s="101"/>
      <c r="D455" s="101"/>
      <c r="E455" s="151"/>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row>
    <row r="456" ht="15.75" customHeight="1">
      <c r="A456" s="66"/>
      <c r="B456" s="40"/>
      <c r="C456" s="40"/>
      <c r="D456" s="40"/>
      <c r="E456" s="40"/>
      <c r="F456" s="39"/>
      <c r="G456" s="39"/>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row>
    <row r="457" ht="15.75" customHeight="1">
      <c r="A457" s="88" t="s">
        <v>3422</v>
      </c>
      <c r="B457" s="90">
        <v>1.0</v>
      </c>
      <c r="C457" s="28" t="s">
        <v>3423</v>
      </c>
      <c r="D457" s="28" t="s">
        <v>3424</v>
      </c>
      <c r="E457" s="28" t="s">
        <v>3425</v>
      </c>
      <c r="F457" s="27"/>
      <c r="G457" s="27"/>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row>
    <row r="458" ht="15.75" customHeight="1">
      <c r="A458" s="88" t="s">
        <v>3422</v>
      </c>
      <c r="B458" s="90">
        <v>2.0</v>
      </c>
      <c r="C458" s="28" t="s">
        <v>3433</v>
      </c>
      <c r="D458" s="28" t="s">
        <v>3434</v>
      </c>
      <c r="E458" s="92" t="s">
        <v>3435</v>
      </c>
      <c r="F458" s="27"/>
      <c r="G458" s="27"/>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row>
    <row r="459" ht="15.75" customHeight="1">
      <c r="A459" s="88" t="s">
        <v>3422</v>
      </c>
      <c r="B459" s="90">
        <v>3.0</v>
      </c>
      <c r="C459" s="28" t="s">
        <v>3441</v>
      </c>
      <c r="D459" s="28" t="s">
        <v>3442</v>
      </c>
      <c r="E459" s="92" t="s">
        <v>3443</v>
      </c>
      <c r="F459" s="140"/>
      <c r="G459" s="27"/>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row>
    <row r="460" ht="15.75" customHeight="1">
      <c r="A460" s="88" t="s">
        <v>3422</v>
      </c>
      <c r="B460" s="90">
        <v>4.0</v>
      </c>
      <c r="C460" s="28" t="s">
        <v>3448</v>
      </c>
      <c r="D460" s="28" t="s">
        <v>3449</v>
      </c>
      <c r="E460" s="28" t="s">
        <v>3450</v>
      </c>
      <c r="F460" s="27"/>
      <c r="G460" s="27"/>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row>
    <row r="461" ht="15.75" customHeight="1">
      <c r="A461" s="66" t="s">
        <v>3422</v>
      </c>
      <c r="B461" s="98">
        <v>5.0</v>
      </c>
      <c r="C461" s="40" t="s">
        <v>3462</v>
      </c>
      <c r="D461" s="40" t="s">
        <v>3463</v>
      </c>
      <c r="E461" s="40" t="s">
        <v>3464</v>
      </c>
      <c r="F461" s="39"/>
      <c r="G461" s="39"/>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row>
    <row r="462" ht="15.75" customHeight="1">
      <c r="A462" s="66"/>
      <c r="B462" s="40"/>
      <c r="C462" s="40"/>
      <c r="D462" s="40"/>
      <c r="E462" s="40"/>
      <c r="F462" s="39"/>
      <c r="G462" s="39"/>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row>
    <row r="463" ht="15.75" customHeight="1">
      <c r="A463" s="88" t="s">
        <v>3578</v>
      </c>
      <c r="B463" s="90">
        <v>1.0</v>
      </c>
      <c r="C463" s="28" t="s">
        <v>3579</v>
      </c>
      <c r="D463" s="28" t="s">
        <v>3582</v>
      </c>
      <c r="E463" s="92" t="s">
        <v>3585</v>
      </c>
      <c r="F463" s="27"/>
      <c r="G463" s="27"/>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row>
    <row r="464" ht="15.75" customHeight="1">
      <c r="A464" s="88" t="s">
        <v>3578</v>
      </c>
      <c r="B464" s="90">
        <v>2.0</v>
      </c>
      <c r="C464" s="28" t="s">
        <v>3596</v>
      </c>
      <c r="D464" s="28" t="s">
        <v>3597</v>
      </c>
      <c r="E464" s="28" t="s">
        <v>3598</v>
      </c>
      <c r="F464" s="27"/>
      <c r="G464" s="27"/>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row>
    <row r="465" ht="15.75" customHeight="1">
      <c r="A465" s="88" t="s">
        <v>3578</v>
      </c>
      <c r="B465" s="90">
        <v>3.0</v>
      </c>
      <c r="C465" s="28" t="s">
        <v>3612</v>
      </c>
      <c r="D465" s="28" t="s">
        <v>3614</v>
      </c>
      <c r="E465" s="92" t="s">
        <v>3616</v>
      </c>
      <c r="F465" s="27"/>
      <c r="G465" s="27"/>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row>
    <row r="466" ht="15.75" customHeight="1">
      <c r="A466" s="88" t="s">
        <v>3578</v>
      </c>
      <c r="B466" s="90">
        <v>4.0</v>
      </c>
      <c r="C466" s="28" t="s">
        <v>3619</v>
      </c>
      <c r="D466" s="28" t="s">
        <v>3620</v>
      </c>
      <c r="E466" s="28" t="s">
        <v>3621</v>
      </c>
      <c r="F466" s="27"/>
      <c r="G466" s="27"/>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row>
    <row r="467" ht="15.75" customHeight="1">
      <c r="A467" s="66" t="s">
        <v>3578</v>
      </c>
      <c r="B467" s="98">
        <v>5.0</v>
      </c>
      <c r="C467" s="40" t="s">
        <v>3625</v>
      </c>
      <c r="D467" s="40" t="s">
        <v>3626</v>
      </c>
      <c r="E467" s="40" t="s">
        <v>3628</v>
      </c>
      <c r="F467" s="39"/>
      <c r="G467" s="39"/>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row>
    <row r="468" ht="15.75" customHeight="1">
      <c r="A468" s="101"/>
      <c r="B468" s="102"/>
      <c r="C468" s="101"/>
      <c r="D468" s="101"/>
      <c r="E468" s="151"/>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row>
    <row r="469" ht="15.75" customHeight="1">
      <c r="A469" s="109" t="s">
        <v>3643</v>
      </c>
      <c r="B469" s="110">
        <v>1.0</v>
      </c>
      <c r="C469" s="115" t="s">
        <v>3644</v>
      </c>
      <c r="D469" s="115" t="s">
        <v>3646</v>
      </c>
      <c r="E469" s="152" t="s">
        <v>3648</v>
      </c>
      <c r="F469" s="113"/>
      <c r="G469" s="113"/>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row>
    <row r="470" ht="15.75" customHeight="1">
      <c r="A470" s="88" t="s">
        <v>3643</v>
      </c>
      <c r="B470" s="90">
        <v>2.0</v>
      </c>
      <c r="C470" s="28" t="s">
        <v>3654</v>
      </c>
      <c r="D470" s="28" t="s">
        <v>3656</v>
      </c>
      <c r="E470" s="92" t="s">
        <v>3659</v>
      </c>
      <c r="F470" s="27"/>
      <c r="G470" s="27"/>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row>
    <row r="471" ht="15.75" customHeight="1">
      <c r="A471" s="88" t="s">
        <v>3643</v>
      </c>
      <c r="B471" s="90">
        <v>3.0</v>
      </c>
      <c r="C471" s="28" t="s">
        <v>3666</v>
      </c>
      <c r="D471" s="28" t="s">
        <v>3668</v>
      </c>
      <c r="E471" s="28" t="s">
        <v>3670</v>
      </c>
      <c r="F471" s="27"/>
      <c r="G471" s="27"/>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row>
    <row r="472" ht="15.75" customHeight="1">
      <c r="A472" s="66" t="s">
        <v>3643</v>
      </c>
      <c r="B472" s="98">
        <v>4.0</v>
      </c>
      <c r="C472" s="40" t="s">
        <v>3672</v>
      </c>
      <c r="D472" s="40" t="s">
        <v>3674</v>
      </c>
      <c r="E472" s="40" t="s">
        <v>3676</v>
      </c>
      <c r="F472" s="39"/>
      <c r="G472" s="39"/>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row>
    <row r="473" ht="15.75" customHeight="1">
      <c r="A473" s="101"/>
      <c r="B473" s="102"/>
      <c r="C473" s="101"/>
      <c r="D473" s="101"/>
      <c r="E473" s="151"/>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row>
    <row r="474" ht="15.75" customHeight="1">
      <c r="A474" s="109" t="s">
        <v>3688</v>
      </c>
      <c r="B474" s="110">
        <v>1.0</v>
      </c>
      <c r="C474" s="115" t="s">
        <v>3689</v>
      </c>
      <c r="D474" s="115" t="s">
        <v>3690</v>
      </c>
      <c r="E474" s="152" t="s">
        <v>3691</v>
      </c>
      <c r="F474" s="113"/>
      <c r="G474" s="113"/>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row>
    <row r="475" ht="15.75" customHeight="1">
      <c r="A475" s="88" t="s">
        <v>3688</v>
      </c>
      <c r="B475" s="90">
        <v>2.0</v>
      </c>
      <c r="C475" s="28" t="s">
        <v>3700</v>
      </c>
      <c r="D475" s="28" t="s">
        <v>3701</v>
      </c>
      <c r="E475" s="92" t="s">
        <v>3702</v>
      </c>
      <c r="F475" s="27"/>
      <c r="G475" s="27"/>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row>
    <row r="476" ht="15.75" customHeight="1">
      <c r="A476" s="88" t="s">
        <v>3688</v>
      </c>
      <c r="B476" s="90">
        <v>3.0</v>
      </c>
      <c r="C476" s="28" t="s">
        <v>3704</v>
      </c>
      <c r="D476" s="28" t="s">
        <v>3705</v>
      </c>
      <c r="E476" s="92" t="s">
        <v>3706</v>
      </c>
      <c r="F476" s="27"/>
      <c r="G476" s="27"/>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row>
    <row r="477" ht="15.75" customHeight="1">
      <c r="A477" s="66" t="s">
        <v>3688</v>
      </c>
      <c r="B477" s="98">
        <v>4.0</v>
      </c>
      <c r="C477" s="40" t="s">
        <v>3718</v>
      </c>
      <c r="D477" s="40" t="s">
        <v>3719</v>
      </c>
      <c r="E477" s="77" t="s">
        <v>3706</v>
      </c>
      <c r="F477" s="39"/>
      <c r="G477" s="39"/>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row>
    <row r="478" ht="15.75" customHeight="1">
      <c r="A478" s="66"/>
      <c r="B478" s="40"/>
      <c r="C478" s="40"/>
      <c r="D478" s="40"/>
      <c r="E478" s="40"/>
      <c r="F478" s="39"/>
      <c r="G478" s="39"/>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row>
    <row r="479" ht="15.75" customHeight="1">
      <c r="A479" s="88" t="s">
        <v>3733</v>
      </c>
      <c r="B479" s="90">
        <v>1.0</v>
      </c>
      <c r="C479" s="28" t="s">
        <v>3736</v>
      </c>
      <c r="D479" s="28" t="s">
        <v>3737</v>
      </c>
      <c r="E479" s="28" t="s">
        <v>3738</v>
      </c>
      <c r="F479" s="27"/>
      <c r="G479" s="27"/>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row>
    <row r="480" ht="15.75" customHeight="1">
      <c r="A480" s="88" t="s">
        <v>3733</v>
      </c>
      <c r="B480" s="90">
        <v>2.0</v>
      </c>
      <c r="C480" s="28" t="s">
        <v>3743</v>
      </c>
      <c r="D480" s="28" t="s">
        <v>3744</v>
      </c>
      <c r="E480" s="28" t="s">
        <v>3745</v>
      </c>
      <c r="F480" s="27"/>
      <c r="G480" s="27"/>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row>
    <row r="481" ht="15.75" customHeight="1">
      <c r="A481" s="66" t="s">
        <v>3733</v>
      </c>
      <c r="B481" s="98">
        <v>3.0</v>
      </c>
      <c r="C481" s="40" t="s">
        <v>3759</v>
      </c>
      <c r="D481" s="40" t="s">
        <v>3761</v>
      </c>
      <c r="E481" s="40" t="s">
        <v>3762</v>
      </c>
      <c r="F481" s="39"/>
      <c r="G481" s="39"/>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row>
    <row r="482" ht="15.75" customHeight="1">
      <c r="A482" s="66"/>
      <c r="B482" s="40"/>
      <c r="C482" s="40"/>
      <c r="D482" s="40"/>
      <c r="E482" s="40"/>
      <c r="F482" s="39"/>
      <c r="G482" s="39"/>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row>
    <row r="483" ht="15.75" customHeight="1">
      <c r="A483" s="88" t="s">
        <v>3778</v>
      </c>
      <c r="B483" s="90">
        <v>1.0</v>
      </c>
      <c r="C483" s="28" t="s">
        <v>3779</v>
      </c>
      <c r="D483" s="28" t="s">
        <v>3780</v>
      </c>
      <c r="E483" s="92" t="s">
        <v>3782</v>
      </c>
      <c r="F483" s="27"/>
      <c r="G483" s="27"/>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row>
    <row r="484" ht="15.75" customHeight="1">
      <c r="A484" s="66" t="s">
        <v>3778</v>
      </c>
      <c r="B484" s="98">
        <v>2.0</v>
      </c>
      <c r="C484" s="40" t="s">
        <v>3789</v>
      </c>
      <c r="D484" s="40" t="s">
        <v>3792</v>
      </c>
      <c r="E484" s="77" t="s">
        <v>3793</v>
      </c>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row>
    <row r="485" ht="15.75" customHeight="1">
      <c r="A485" s="66"/>
      <c r="B485" s="40"/>
      <c r="C485" s="40"/>
      <c r="D485" s="40"/>
      <c r="E485" s="40"/>
      <c r="F485" s="39"/>
      <c r="G485" s="39"/>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row>
    <row r="486" ht="15.75" customHeight="1">
      <c r="A486" s="88" t="s">
        <v>3817</v>
      </c>
      <c r="B486" s="90">
        <v>1.0</v>
      </c>
      <c r="C486" s="28" t="s">
        <v>3818</v>
      </c>
      <c r="D486" s="28" t="s">
        <v>3819</v>
      </c>
      <c r="E486" s="92" t="s">
        <v>3820</v>
      </c>
      <c r="F486" s="140"/>
      <c r="G486" s="140"/>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row>
    <row r="487" ht="15.75" customHeight="1">
      <c r="A487" s="88" t="s">
        <v>3817</v>
      </c>
      <c r="B487" s="90">
        <v>2.0</v>
      </c>
      <c r="C487" s="28" t="s">
        <v>3830</v>
      </c>
      <c r="D487" s="28" t="s">
        <v>3832</v>
      </c>
      <c r="E487" s="92" t="s">
        <v>3833</v>
      </c>
      <c r="F487" s="140"/>
      <c r="G487" s="140"/>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row>
    <row r="488" ht="15.75" customHeight="1">
      <c r="A488" s="66" t="s">
        <v>3817</v>
      </c>
      <c r="B488" s="98">
        <v>3.0</v>
      </c>
      <c r="C488" s="40" t="s">
        <v>3847</v>
      </c>
      <c r="D488" s="40" t="s">
        <v>3848</v>
      </c>
      <c r="E488" s="77" t="s">
        <v>3849</v>
      </c>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row>
    <row r="489" ht="15.75" customHeight="1">
      <c r="A489" s="66"/>
      <c r="B489" s="40"/>
      <c r="C489" s="40"/>
      <c r="D489" s="40"/>
      <c r="E489" s="40"/>
      <c r="F489" s="39"/>
      <c r="G489" s="39"/>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row>
    <row r="490" ht="15.75" customHeight="1">
      <c r="A490" s="88" t="s">
        <v>3855</v>
      </c>
      <c r="B490" s="90">
        <v>1.0</v>
      </c>
      <c r="C490" s="28" t="s">
        <v>3857</v>
      </c>
      <c r="D490" s="28" t="s">
        <v>3858</v>
      </c>
      <c r="E490" s="92" t="s">
        <v>3859</v>
      </c>
      <c r="F490" s="140"/>
      <c r="G490" s="140"/>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row>
    <row r="491" ht="15.75" customHeight="1">
      <c r="A491" s="88" t="s">
        <v>3855</v>
      </c>
      <c r="B491" s="90">
        <v>2.0</v>
      </c>
      <c r="C491" s="28" t="s">
        <v>3863</v>
      </c>
      <c r="D491" s="28" t="s">
        <v>3865</v>
      </c>
      <c r="E491" s="92" t="s">
        <v>3866</v>
      </c>
      <c r="F491" s="140"/>
      <c r="G491" s="140"/>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row>
    <row r="492" ht="15.75" customHeight="1">
      <c r="A492" s="66" t="s">
        <v>3855</v>
      </c>
      <c r="B492" s="98">
        <v>3.0</v>
      </c>
      <c r="C492" s="40" t="s">
        <v>3873</v>
      </c>
      <c r="D492" s="40" t="s">
        <v>3874</v>
      </c>
      <c r="E492" s="77" t="s">
        <v>3875</v>
      </c>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row>
    <row r="493" ht="15.75" customHeight="1">
      <c r="A493" s="66"/>
      <c r="B493" s="40"/>
      <c r="C493" s="40"/>
      <c r="D493" s="40"/>
      <c r="E493" s="40"/>
      <c r="F493" s="39"/>
      <c r="G493" s="39"/>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row>
    <row r="494" ht="15.75" customHeight="1">
      <c r="A494" s="88" t="s">
        <v>3885</v>
      </c>
      <c r="B494" s="90">
        <v>1.0</v>
      </c>
      <c r="C494" s="28" t="s">
        <v>4034</v>
      </c>
      <c r="D494" s="28" t="s">
        <v>4035</v>
      </c>
      <c r="E494" s="92" t="s">
        <v>4036</v>
      </c>
      <c r="F494" s="140"/>
      <c r="G494" s="27"/>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row>
    <row r="495" ht="15.75" customHeight="1">
      <c r="A495" s="88" t="s">
        <v>3885</v>
      </c>
      <c r="B495" s="90">
        <v>2.0</v>
      </c>
      <c r="C495" s="28" t="s">
        <v>4048</v>
      </c>
      <c r="D495" s="28" t="s">
        <v>4049</v>
      </c>
      <c r="E495" s="92" t="s">
        <v>4050</v>
      </c>
      <c r="F495" s="27"/>
      <c r="G495" s="27"/>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row>
    <row r="496" ht="15.75" customHeight="1">
      <c r="A496" s="88" t="s">
        <v>3885</v>
      </c>
      <c r="B496" s="90">
        <v>3.0</v>
      </c>
      <c r="C496" s="28" t="s">
        <v>4055</v>
      </c>
      <c r="D496" s="28" t="s">
        <v>4058</v>
      </c>
      <c r="E496" s="28" t="s">
        <v>4061</v>
      </c>
      <c r="F496" s="27"/>
      <c r="G496" s="27"/>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row>
    <row r="497" ht="15.75" customHeight="1">
      <c r="A497" s="88" t="s">
        <v>3885</v>
      </c>
      <c r="B497" s="90">
        <v>4.0</v>
      </c>
      <c r="C497" s="28" t="s">
        <v>4062</v>
      </c>
      <c r="D497" s="28" t="s">
        <v>4063</v>
      </c>
      <c r="E497" s="28" t="s">
        <v>4064</v>
      </c>
      <c r="F497" s="27"/>
      <c r="G497" s="27"/>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row>
    <row r="498" ht="15.75" customHeight="1">
      <c r="A498" s="66" t="s">
        <v>3885</v>
      </c>
      <c r="B498" s="98">
        <v>5.0</v>
      </c>
      <c r="C498" s="40" t="s">
        <v>4069</v>
      </c>
      <c r="D498" s="40" t="s">
        <v>4070</v>
      </c>
      <c r="E498" s="77" t="s">
        <v>4071</v>
      </c>
      <c r="F498" s="41"/>
      <c r="G498" s="39"/>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row>
    <row r="499" ht="15.75" customHeight="1">
      <c r="A499" s="66"/>
      <c r="B499" s="40"/>
      <c r="C499" s="40"/>
      <c r="D499" s="40"/>
      <c r="E499" s="40"/>
      <c r="F499" s="39"/>
      <c r="G499" s="39"/>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row>
    <row r="500" ht="15.75" customHeight="1">
      <c r="A500" s="88" t="s">
        <v>4096</v>
      </c>
      <c r="B500" s="90">
        <v>1.0</v>
      </c>
      <c r="C500" s="28" t="s">
        <v>4098</v>
      </c>
      <c r="D500" s="28" t="s">
        <v>4099</v>
      </c>
      <c r="E500" s="92" t="s">
        <v>4100</v>
      </c>
      <c r="F500" s="27"/>
      <c r="G500" s="27"/>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row>
    <row r="501" ht="15.75" customHeight="1">
      <c r="A501" s="88" t="s">
        <v>4096</v>
      </c>
      <c r="B501" s="90">
        <v>2.0</v>
      </c>
      <c r="C501" s="28" t="s">
        <v>4112</v>
      </c>
      <c r="D501" s="260" t="s">
        <v>4113</v>
      </c>
      <c r="E501" s="92" t="s">
        <v>4118</v>
      </c>
      <c r="F501" s="27"/>
      <c r="G501" s="27"/>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row>
    <row r="502" ht="15.75" customHeight="1">
      <c r="A502" s="88" t="s">
        <v>4096</v>
      </c>
      <c r="B502" s="90">
        <v>3.0</v>
      </c>
      <c r="C502" s="28" t="s">
        <v>4125</v>
      </c>
      <c r="D502" s="101" t="s">
        <v>4127</v>
      </c>
      <c r="E502" s="92" t="s">
        <v>4129</v>
      </c>
      <c r="F502" s="27"/>
      <c r="G502" s="27"/>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row>
    <row r="503" ht="15.75" customHeight="1">
      <c r="A503" s="88" t="s">
        <v>4096</v>
      </c>
      <c r="B503" s="90">
        <v>4.0</v>
      </c>
      <c r="C503" s="28" t="s">
        <v>4134</v>
      </c>
      <c r="D503" s="101" t="s">
        <v>4135</v>
      </c>
      <c r="E503" s="92" t="s">
        <v>4136</v>
      </c>
      <c r="F503" s="140"/>
      <c r="G503" s="140"/>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row>
    <row r="504" ht="15.75" customHeight="1">
      <c r="A504" s="88" t="s">
        <v>4096</v>
      </c>
      <c r="B504" s="90">
        <v>5.0</v>
      </c>
      <c r="C504" s="28" t="s">
        <v>4144</v>
      </c>
      <c r="D504" s="101" t="s">
        <v>4146</v>
      </c>
      <c r="E504" s="92" t="s">
        <v>4149</v>
      </c>
      <c r="F504" s="27"/>
      <c r="G504" s="27"/>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row>
    <row r="505" ht="15.75" customHeight="1">
      <c r="A505" s="66" t="s">
        <v>4096</v>
      </c>
      <c r="B505" s="98">
        <v>6.0</v>
      </c>
      <c r="C505" s="40" t="s">
        <v>4163</v>
      </c>
      <c r="D505" s="99" t="s">
        <v>4166</v>
      </c>
      <c r="E505" s="77" t="s">
        <v>4167</v>
      </c>
      <c r="F505" s="39"/>
      <c r="G505" s="39"/>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row>
    <row r="506" ht="15.75" customHeight="1">
      <c r="A506" s="66"/>
      <c r="B506" s="40"/>
      <c r="C506" s="40"/>
      <c r="D506" s="40"/>
      <c r="E506" s="40"/>
      <c r="F506" s="39"/>
      <c r="G506" s="39"/>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row>
    <row r="507" ht="15.75" customHeight="1">
      <c r="A507" s="88" t="s">
        <v>4186</v>
      </c>
      <c r="B507" s="90">
        <v>1.0</v>
      </c>
      <c r="C507" s="28" t="s">
        <v>4187</v>
      </c>
      <c r="D507" s="28" t="s">
        <v>4188</v>
      </c>
      <c r="E507" s="92" t="s">
        <v>4189</v>
      </c>
      <c r="F507" s="140"/>
      <c r="G507" s="27"/>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row>
    <row r="508" ht="15.75" customHeight="1">
      <c r="A508" s="88" t="s">
        <v>4186</v>
      </c>
      <c r="B508" s="90">
        <v>2.0</v>
      </c>
      <c r="C508" s="28" t="s">
        <v>4199</v>
      </c>
      <c r="D508" s="28" t="s">
        <v>4201</v>
      </c>
      <c r="E508" s="92" t="s">
        <v>4203</v>
      </c>
      <c r="F508" s="140"/>
      <c r="G508" s="27"/>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row>
    <row r="509" ht="15.75" customHeight="1">
      <c r="A509" s="88" t="s">
        <v>4186</v>
      </c>
      <c r="B509" s="90">
        <v>3.0</v>
      </c>
      <c r="C509" s="28" t="s">
        <v>4207</v>
      </c>
      <c r="D509" s="101" t="s">
        <v>4209</v>
      </c>
      <c r="E509" s="92" t="s">
        <v>4211</v>
      </c>
      <c r="F509" s="140"/>
      <c r="G509" s="27"/>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row>
    <row r="510" ht="15.75" customHeight="1">
      <c r="A510" s="88" t="s">
        <v>4186</v>
      </c>
      <c r="B510" s="90">
        <v>4.0</v>
      </c>
      <c r="C510" s="28" t="s">
        <v>4218</v>
      </c>
      <c r="D510" s="101" t="s">
        <v>4219</v>
      </c>
      <c r="E510" s="92" t="s">
        <v>4220</v>
      </c>
      <c r="F510" s="140"/>
      <c r="G510" s="27"/>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row>
    <row r="511" ht="15.75" customHeight="1">
      <c r="A511" s="88" t="s">
        <v>4186</v>
      </c>
      <c r="B511" s="90">
        <v>5.0</v>
      </c>
      <c r="C511" s="28" t="s">
        <v>4228</v>
      </c>
      <c r="D511" s="101" t="s">
        <v>4146</v>
      </c>
      <c r="E511" s="92" t="s">
        <v>4220</v>
      </c>
      <c r="F511" s="140"/>
      <c r="G511" s="27"/>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row>
    <row r="512" ht="15.75" customHeight="1">
      <c r="A512" s="66" t="s">
        <v>4186</v>
      </c>
      <c r="B512" s="98">
        <v>6.0</v>
      </c>
      <c r="C512" s="40" t="s">
        <v>4236</v>
      </c>
      <c r="D512" s="99" t="s">
        <v>4166</v>
      </c>
      <c r="E512" s="77" t="s">
        <v>4240</v>
      </c>
      <c r="F512" s="41"/>
      <c r="G512" s="39"/>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row>
    <row r="513" ht="15.75" customHeight="1">
      <c r="A513" s="66"/>
      <c r="B513" s="40"/>
      <c r="C513" s="40"/>
      <c r="D513" s="40"/>
      <c r="E513" s="40"/>
      <c r="F513" s="39"/>
      <c r="G513" s="39"/>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row>
    <row r="514" ht="15.75" customHeight="1">
      <c r="A514" s="88" t="s">
        <v>4254</v>
      </c>
      <c r="B514" s="90">
        <v>1.0</v>
      </c>
      <c r="C514" s="28" t="s">
        <v>4255</v>
      </c>
      <c r="D514" s="28" t="s">
        <v>4256</v>
      </c>
      <c r="E514" s="92" t="s">
        <v>4257</v>
      </c>
      <c r="F514" s="140"/>
      <c r="G514" s="140"/>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row>
    <row r="515" ht="15.75" customHeight="1">
      <c r="A515" s="88" t="s">
        <v>4254</v>
      </c>
      <c r="B515" s="90">
        <v>2.0</v>
      </c>
      <c r="C515" s="28" t="s">
        <v>4263</v>
      </c>
      <c r="D515" s="28" t="s">
        <v>4266</v>
      </c>
      <c r="E515" s="92" t="s">
        <v>4267</v>
      </c>
      <c r="F515" s="140"/>
      <c r="G515" s="140"/>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row>
    <row r="516" ht="15.75" customHeight="1">
      <c r="A516" s="88" t="s">
        <v>4254</v>
      </c>
      <c r="B516" s="90">
        <v>3.0</v>
      </c>
      <c r="C516" s="28" t="s">
        <v>4276</v>
      </c>
      <c r="D516" s="28" t="s">
        <v>4277</v>
      </c>
      <c r="E516" s="92" t="s">
        <v>4278</v>
      </c>
      <c r="F516" s="140"/>
      <c r="G516" s="140"/>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row>
    <row r="517" ht="15.75" customHeight="1">
      <c r="A517" s="88" t="s">
        <v>4254</v>
      </c>
      <c r="B517" s="90">
        <v>4.0</v>
      </c>
      <c r="C517" s="28" t="s">
        <v>4287</v>
      </c>
      <c r="D517" s="28" t="s">
        <v>4288</v>
      </c>
      <c r="E517" s="92" t="s">
        <v>4289</v>
      </c>
      <c r="F517" s="140"/>
      <c r="G517" s="140"/>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row>
    <row r="518" ht="15.75" customHeight="1">
      <c r="A518" s="66" t="s">
        <v>4254</v>
      </c>
      <c r="B518" s="98">
        <v>5.0</v>
      </c>
      <c r="C518" s="40" t="s">
        <v>4299</v>
      </c>
      <c r="D518" s="40" t="s">
        <v>4302</v>
      </c>
      <c r="E518" s="77" t="s">
        <v>4305</v>
      </c>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row>
    <row r="519" ht="15.75" customHeight="1">
      <c r="A519" s="66"/>
      <c r="B519" s="40"/>
      <c r="C519" s="40"/>
      <c r="D519" s="40"/>
      <c r="E519" s="40"/>
      <c r="F519" s="39"/>
      <c r="G519" s="39"/>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row>
    <row r="520" ht="15.75" customHeight="1">
      <c r="A520" s="88" t="s">
        <v>4318</v>
      </c>
      <c r="B520" s="90">
        <v>1.0</v>
      </c>
      <c r="C520" s="28" t="s">
        <v>4320</v>
      </c>
      <c r="D520" s="28" t="s">
        <v>4321</v>
      </c>
      <c r="E520" s="92" t="s">
        <v>4322</v>
      </c>
      <c r="F520" s="140"/>
      <c r="G520" s="140"/>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row>
    <row r="521" ht="15.75" customHeight="1">
      <c r="A521" s="88" t="s">
        <v>4318</v>
      </c>
      <c r="B521" s="90">
        <v>2.0</v>
      </c>
      <c r="C521" s="28" t="s">
        <v>4328</v>
      </c>
      <c r="D521" s="28" t="s">
        <v>4329</v>
      </c>
      <c r="E521" s="92" t="s">
        <v>4330</v>
      </c>
      <c r="F521" s="140"/>
      <c r="G521" s="140"/>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row>
    <row r="522" ht="15.75" customHeight="1">
      <c r="A522" s="88" t="s">
        <v>4318</v>
      </c>
      <c r="B522" s="90">
        <v>3.0</v>
      </c>
      <c r="C522" s="28" t="s">
        <v>4337</v>
      </c>
      <c r="D522" s="28" t="s">
        <v>4340</v>
      </c>
      <c r="E522" s="92" t="s">
        <v>4341</v>
      </c>
      <c r="F522" s="140"/>
      <c r="G522" s="140"/>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row>
    <row r="523" ht="15.75" customHeight="1">
      <c r="A523" s="88" t="s">
        <v>4318</v>
      </c>
      <c r="B523" s="90">
        <v>4.0</v>
      </c>
      <c r="C523" s="28" t="s">
        <v>4345</v>
      </c>
      <c r="D523" s="28" t="s">
        <v>4347</v>
      </c>
      <c r="E523" s="92" t="s">
        <v>4348</v>
      </c>
      <c r="F523" s="140"/>
      <c r="G523" s="140"/>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row>
    <row r="524" ht="15.75" customHeight="1">
      <c r="A524" s="66" t="s">
        <v>4318</v>
      </c>
      <c r="B524" s="98">
        <v>5.0</v>
      </c>
      <c r="C524" s="40" t="s">
        <v>4356</v>
      </c>
      <c r="D524" s="40" t="s">
        <v>4357</v>
      </c>
      <c r="E524" s="77" t="s">
        <v>4358</v>
      </c>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row>
    <row r="525" ht="15.75" customHeight="1">
      <c r="A525" s="66"/>
      <c r="B525" s="40"/>
      <c r="C525" s="40"/>
      <c r="D525" s="40"/>
      <c r="E525" s="40"/>
      <c r="F525" s="39"/>
      <c r="G525" s="39"/>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row>
    <row r="526" ht="15.75" customHeight="1">
      <c r="A526" s="88" t="s">
        <v>4372</v>
      </c>
      <c r="B526" s="90">
        <v>1.0</v>
      </c>
      <c r="C526" s="28" t="s">
        <v>4374</v>
      </c>
      <c r="D526" s="28" t="s">
        <v>4376</v>
      </c>
      <c r="E526" s="92" t="s">
        <v>4378</v>
      </c>
      <c r="F526" s="140"/>
      <c r="G526" s="140"/>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row>
    <row r="527" ht="15.75" customHeight="1">
      <c r="A527" s="88" t="s">
        <v>4372</v>
      </c>
      <c r="B527" s="90">
        <v>2.0</v>
      </c>
      <c r="C527" s="28" t="s">
        <v>4383</v>
      </c>
      <c r="D527" s="28" t="s">
        <v>4384</v>
      </c>
      <c r="E527" s="92" t="s">
        <v>4387</v>
      </c>
      <c r="F527" s="140"/>
      <c r="G527" s="140"/>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row>
    <row r="528" ht="15.75" customHeight="1">
      <c r="A528" s="88" t="s">
        <v>4372</v>
      </c>
      <c r="B528" s="90">
        <v>3.0</v>
      </c>
      <c r="C528" s="28" t="s">
        <v>4276</v>
      </c>
      <c r="D528" s="28" t="s">
        <v>4391</v>
      </c>
      <c r="E528" s="92" t="s">
        <v>4278</v>
      </c>
      <c r="F528" s="140"/>
      <c r="G528" s="140"/>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row>
    <row r="529" ht="15.75" customHeight="1">
      <c r="A529" s="88" t="s">
        <v>4372</v>
      </c>
      <c r="B529" s="90">
        <v>4.0</v>
      </c>
      <c r="C529" s="28" t="s">
        <v>4402</v>
      </c>
      <c r="D529" s="28" t="s">
        <v>4403</v>
      </c>
      <c r="E529" s="92" t="s">
        <v>4404</v>
      </c>
      <c r="F529" s="140"/>
      <c r="G529" s="140"/>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row>
    <row r="530" ht="15.75" customHeight="1">
      <c r="A530" s="66" t="s">
        <v>4372</v>
      </c>
      <c r="B530" s="98">
        <v>5.0</v>
      </c>
      <c r="C530" s="40" t="s">
        <v>4409</v>
      </c>
      <c r="D530" s="40" t="s">
        <v>4410</v>
      </c>
      <c r="E530" s="77" t="s">
        <v>4411</v>
      </c>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row>
    <row r="531" ht="15.75" customHeight="1">
      <c r="A531" s="66"/>
      <c r="B531" s="40"/>
      <c r="C531" s="40"/>
      <c r="D531" s="40"/>
      <c r="E531" s="40"/>
      <c r="F531" s="39"/>
      <c r="G531" s="39"/>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row>
    <row r="532" ht="15.75" customHeight="1">
      <c r="A532" s="88" t="s">
        <v>4423</v>
      </c>
      <c r="B532" s="90">
        <v>1.0</v>
      </c>
      <c r="C532" s="28" t="s">
        <v>4425</v>
      </c>
      <c r="D532" s="28" t="s">
        <v>4426</v>
      </c>
      <c r="E532" s="92" t="s">
        <v>4427</v>
      </c>
      <c r="F532" s="140"/>
      <c r="G532" s="140"/>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row>
    <row r="533" ht="15.75" customHeight="1">
      <c r="A533" s="88" t="s">
        <v>4423</v>
      </c>
      <c r="B533" s="90">
        <v>2.0</v>
      </c>
      <c r="C533" s="28" t="s">
        <v>4433</v>
      </c>
      <c r="D533" s="28" t="s">
        <v>4434</v>
      </c>
      <c r="E533" s="92" t="s">
        <v>4435</v>
      </c>
      <c r="F533" s="140"/>
      <c r="G533" s="140"/>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row>
    <row r="534" ht="15.75" customHeight="1">
      <c r="A534" s="88" t="s">
        <v>4423</v>
      </c>
      <c r="B534" s="90">
        <v>3.0</v>
      </c>
      <c r="C534" s="28" t="s">
        <v>4439</v>
      </c>
      <c r="D534" s="28" t="s">
        <v>4440</v>
      </c>
      <c r="E534" s="92" t="s">
        <v>4341</v>
      </c>
      <c r="F534" s="140"/>
      <c r="G534" s="140"/>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row>
    <row r="535" ht="15.75" customHeight="1">
      <c r="A535" s="88" t="s">
        <v>4423</v>
      </c>
      <c r="B535" s="90">
        <v>4.0</v>
      </c>
      <c r="C535" s="28" t="s">
        <v>4448</v>
      </c>
      <c r="D535" s="28" t="s">
        <v>4455</v>
      </c>
      <c r="E535" s="92" t="s">
        <v>4456</v>
      </c>
      <c r="F535" s="140"/>
      <c r="G535" s="140"/>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row>
    <row r="536" ht="15.75" customHeight="1">
      <c r="A536" s="66" t="s">
        <v>4423</v>
      </c>
      <c r="B536" s="98">
        <v>5.0</v>
      </c>
      <c r="C536" s="40" t="s">
        <v>4461</v>
      </c>
      <c r="D536" s="40" t="s">
        <v>4462</v>
      </c>
      <c r="E536" s="77" t="s">
        <v>4463</v>
      </c>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row>
    <row r="537" ht="15.75" customHeight="1">
      <c r="A537" s="66"/>
      <c r="B537" s="40"/>
      <c r="C537" s="40"/>
      <c r="D537" s="40"/>
      <c r="E537" s="40"/>
      <c r="F537" s="39"/>
      <c r="G537" s="39"/>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row>
    <row r="538" ht="15.75" customHeight="1">
      <c r="A538" s="88" t="s">
        <v>4478</v>
      </c>
      <c r="B538" s="90">
        <v>1.0</v>
      </c>
      <c r="C538" s="28" t="s">
        <v>4480</v>
      </c>
      <c r="D538" s="28" t="s">
        <v>4482</v>
      </c>
      <c r="E538" s="28" t="s">
        <v>4485</v>
      </c>
      <c r="F538" s="27"/>
      <c r="G538" s="27"/>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row>
    <row r="539" ht="15.75" customHeight="1">
      <c r="A539" s="88" t="s">
        <v>4478</v>
      </c>
      <c r="B539" s="90">
        <v>2.0</v>
      </c>
      <c r="C539" s="28" t="s">
        <v>4492</v>
      </c>
      <c r="D539" s="28" t="s">
        <v>4492</v>
      </c>
      <c r="E539" s="92" t="s">
        <v>4493</v>
      </c>
      <c r="F539" s="27"/>
      <c r="G539" s="27"/>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row>
    <row r="540" ht="15.75" customHeight="1">
      <c r="A540" s="88" t="s">
        <v>4478</v>
      </c>
      <c r="B540" s="90">
        <v>3.0</v>
      </c>
      <c r="C540" s="28" t="s">
        <v>4505</v>
      </c>
      <c r="D540" s="28" t="s">
        <v>4505</v>
      </c>
      <c r="E540" s="28" t="s">
        <v>4509</v>
      </c>
      <c r="F540" s="27"/>
      <c r="G540" s="27"/>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row>
    <row r="541" ht="15.75" customHeight="1">
      <c r="A541" s="88" t="s">
        <v>4478</v>
      </c>
      <c r="B541" s="90">
        <v>4.0</v>
      </c>
      <c r="C541" s="28" t="s">
        <v>4520</v>
      </c>
      <c r="D541" s="28" t="s">
        <v>4520</v>
      </c>
      <c r="E541" s="28" t="s">
        <v>4521</v>
      </c>
      <c r="F541" s="27"/>
      <c r="G541" s="27"/>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row>
    <row r="542" ht="15.75" customHeight="1">
      <c r="A542" s="88" t="s">
        <v>4478</v>
      </c>
      <c r="B542" s="90">
        <v>5.0</v>
      </c>
      <c r="C542" s="28" t="s">
        <v>4526</v>
      </c>
      <c r="D542" s="28" t="s">
        <v>4526</v>
      </c>
      <c r="E542" s="92" t="s">
        <v>4527</v>
      </c>
      <c r="F542" s="27"/>
      <c r="G542" s="27"/>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row>
    <row r="543" ht="15.75" customHeight="1">
      <c r="A543" s="88" t="s">
        <v>4478</v>
      </c>
      <c r="B543" s="90">
        <v>6.0</v>
      </c>
      <c r="C543" s="28" t="s">
        <v>4532</v>
      </c>
      <c r="D543" s="28" t="s">
        <v>4532</v>
      </c>
      <c r="E543" s="28" t="s">
        <v>4533</v>
      </c>
      <c r="F543" s="27"/>
      <c r="G543" s="27"/>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row>
    <row r="544" ht="15.75" customHeight="1">
      <c r="A544" s="88" t="s">
        <v>4478</v>
      </c>
      <c r="B544" s="90">
        <v>7.0</v>
      </c>
      <c r="C544" s="28" t="s">
        <v>4538</v>
      </c>
      <c r="D544" s="28" t="s">
        <v>4538</v>
      </c>
      <c r="E544" s="92" t="s">
        <v>4539</v>
      </c>
      <c r="F544" s="27"/>
      <c r="G544" s="27"/>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row>
    <row r="545" ht="15.75" customHeight="1">
      <c r="A545" s="88" t="s">
        <v>4478</v>
      </c>
      <c r="B545" s="90">
        <v>8.0</v>
      </c>
      <c r="C545" s="28" t="s">
        <v>4540</v>
      </c>
      <c r="D545" s="28" t="s">
        <v>4540</v>
      </c>
      <c r="E545" s="28" t="s">
        <v>4541</v>
      </c>
      <c r="F545" s="27"/>
      <c r="G545" s="27"/>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row>
    <row r="546" ht="15.75" customHeight="1">
      <c r="A546" s="66" t="s">
        <v>4478</v>
      </c>
      <c r="B546" s="98">
        <v>-777.0</v>
      </c>
      <c r="C546" s="40" t="s">
        <v>491</v>
      </c>
      <c r="D546" s="40" t="s">
        <v>492</v>
      </c>
      <c r="E546" s="40" t="s">
        <v>493</v>
      </c>
      <c r="F546" s="39"/>
      <c r="G546" s="39"/>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row>
    <row r="547" ht="15.75" customHeight="1">
      <c r="A547" s="101"/>
      <c r="B547" s="102"/>
      <c r="C547" s="101"/>
      <c r="D547" s="101"/>
      <c r="E547" s="151"/>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row>
    <row r="548" ht="15.75" customHeight="1">
      <c r="A548" s="109" t="s">
        <v>4558</v>
      </c>
      <c r="B548" s="110">
        <v>0.0</v>
      </c>
      <c r="C548" s="115" t="s">
        <v>200</v>
      </c>
      <c r="D548" s="115" t="s">
        <v>201</v>
      </c>
      <c r="E548" s="115" t="s">
        <v>4559</v>
      </c>
      <c r="F548" s="113"/>
      <c r="G548" s="113"/>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row>
    <row r="549" ht="15.75" customHeight="1">
      <c r="A549" s="88" t="s">
        <v>4558</v>
      </c>
      <c r="B549" s="90">
        <v>1.0</v>
      </c>
      <c r="C549" s="28" t="s">
        <v>4568</v>
      </c>
      <c r="D549" s="28" t="s">
        <v>1206</v>
      </c>
      <c r="E549" s="28" t="s">
        <v>4570</v>
      </c>
      <c r="F549" s="27"/>
      <c r="G549" s="27"/>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row>
    <row r="550" ht="15.75" customHeight="1">
      <c r="A550" s="88" t="s">
        <v>4558</v>
      </c>
      <c r="B550" s="90">
        <v>2.0</v>
      </c>
      <c r="C550" s="28" t="s">
        <v>4575</v>
      </c>
      <c r="D550" s="28" t="s">
        <v>1243</v>
      </c>
      <c r="E550" s="28" t="s">
        <v>4576</v>
      </c>
      <c r="F550" s="27"/>
      <c r="G550" s="27"/>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row>
    <row r="551" ht="15.75" customHeight="1">
      <c r="A551" s="88" t="s">
        <v>4558</v>
      </c>
      <c r="B551" s="90">
        <v>3.0</v>
      </c>
      <c r="C551" s="28" t="s">
        <v>4581</v>
      </c>
      <c r="D551" s="28" t="s">
        <v>4582</v>
      </c>
      <c r="E551" s="92" t="s">
        <v>4583</v>
      </c>
      <c r="F551" s="27"/>
      <c r="G551" s="27"/>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row>
    <row r="552" ht="15.75" customHeight="1">
      <c r="A552" s="88" t="s">
        <v>4558</v>
      </c>
      <c r="B552" s="90">
        <v>4.0</v>
      </c>
      <c r="C552" s="28" t="s">
        <v>4591</v>
      </c>
      <c r="D552" s="28" t="s">
        <v>4591</v>
      </c>
      <c r="E552" s="92" t="s">
        <v>4592</v>
      </c>
      <c r="F552" s="27"/>
      <c r="G552" s="27"/>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row>
    <row r="553" ht="15.75" customHeight="1">
      <c r="A553" s="88" t="s">
        <v>4558</v>
      </c>
      <c r="B553" s="90">
        <v>5.0</v>
      </c>
      <c r="C553" s="28" t="s">
        <v>4597</v>
      </c>
      <c r="D553" s="28" t="s">
        <v>1199</v>
      </c>
      <c r="E553" s="28" t="s">
        <v>4598</v>
      </c>
      <c r="F553" s="27"/>
      <c r="G553" s="27"/>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row>
    <row r="554" ht="15.75" customHeight="1">
      <c r="A554" s="66" t="s">
        <v>4558</v>
      </c>
      <c r="B554" s="98">
        <v>-777.0</v>
      </c>
      <c r="C554" s="40" t="s">
        <v>491</v>
      </c>
      <c r="D554" s="40" t="s">
        <v>492</v>
      </c>
      <c r="E554" s="40" t="s">
        <v>493</v>
      </c>
      <c r="F554" s="39"/>
      <c r="G554" s="39"/>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row>
    <row r="555" ht="15.75" customHeight="1">
      <c r="A555" s="101"/>
      <c r="B555" s="102"/>
      <c r="C555" s="101"/>
      <c r="D555" s="101"/>
      <c r="E555" s="151"/>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row>
    <row r="556" ht="15.75" customHeight="1">
      <c r="A556" s="109" t="s">
        <v>4613</v>
      </c>
      <c r="B556" s="110">
        <v>1.0</v>
      </c>
      <c r="C556" s="115" t="s">
        <v>4615</v>
      </c>
      <c r="D556" s="115" t="s">
        <v>4617</v>
      </c>
      <c r="E556" s="115" t="s">
        <v>4619</v>
      </c>
      <c r="F556" s="262"/>
      <c r="G556" s="262"/>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row>
    <row r="557" ht="15.75" customHeight="1">
      <c r="A557" s="88" t="s">
        <v>4613</v>
      </c>
      <c r="B557" s="90">
        <v>2.0</v>
      </c>
      <c r="C557" s="28" t="s">
        <v>4626</v>
      </c>
      <c r="D557" s="28" t="s">
        <v>4627</v>
      </c>
      <c r="E557" s="28" t="s">
        <v>4628</v>
      </c>
      <c r="F557" s="96"/>
      <c r="G557" s="96"/>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row>
    <row r="558" ht="15.75" customHeight="1">
      <c r="A558" s="88" t="s">
        <v>4613</v>
      </c>
      <c r="B558" s="90">
        <v>3.0</v>
      </c>
      <c r="C558" s="28" t="s">
        <v>4636</v>
      </c>
      <c r="D558" s="28" t="s">
        <v>4520</v>
      </c>
      <c r="E558" s="28" t="s">
        <v>4638</v>
      </c>
      <c r="F558" s="96"/>
      <c r="G558" s="96"/>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row>
    <row r="559" ht="15.75" customHeight="1">
      <c r="A559" s="88" t="s">
        <v>4613</v>
      </c>
      <c r="B559" s="90">
        <v>4.0</v>
      </c>
      <c r="C559" s="28" t="s">
        <v>4639</v>
      </c>
      <c r="D559" s="28" t="s">
        <v>4640</v>
      </c>
      <c r="E559" s="92" t="s">
        <v>4641</v>
      </c>
      <c r="F559" s="96"/>
      <c r="G559" s="96"/>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row>
    <row r="560" ht="15.75" customHeight="1">
      <c r="A560" s="88" t="s">
        <v>4613</v>
      </c>
      <c r="B560" s="90">
        <v>5.0</v>
      </c>
      <c r="C560" s="28" t="s">
        <v>4646</v>
      </c>
      <c r="D560" s="28" t="s">
        <v>4646</v>
      </c>
      <c r="E560" s="28" t="s">
        <v>4647</v>
      </c>
      <c r="F560" s="96"/>
      <c r="G560" s="96"/>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row>
    <row r="561" ht="15.75" customHeight="1">
      <c r="A561" s="88" t="s">
        <v>4613</v>
      </c>
      <c r="B561" s="90">
        <v>6.0</v>
      </c>
      <c r="C561" s="28" t="s">
        <v>4653</v>
      </c>
      <c r="D561" s="28" t="s">
        <v>4653</v>
      </c>
      <c r="E561" s="92" t="s">
        <v>4654</v>
      </c>
      <c r="F561" s="96"/>
      <c r="G561" s="96"/>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row>
    <row r="562" ht="15.75" customHeight="1">
      <c r="A562" s="88" t="s">
        <v>4613</v>
      </c>
      <c r="B562" s="90">
        <v>7.0</v>
      </c>
      <c r="C562" s="28" t="s">
        <v>4660</v>
      </c>
      <c r="D562" s="28" t="s">
        <v>4660</v>
      </c>
      <c r="E562" s="92" t="s">
        <v>4661</v>
      </c>
      <c r="F562" s="27"/>
      <c r="G562" s="27"/>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row>
    <row r="563" ht="15.75" customHeight="1">
      <c r="A563" s="88" t="s">
        <v>4613</v>
      </c>
      <c r="B563" s="90">
        <v>8.0</v>
      </c>
      <c r="C563" s="28" t="s">
        <v>4671</v>
      </c>
      <c r="D563" s="28" t="s">
        <v>4671</v>
      </c>
      <c r="E563" s="28" t="s">
        <v>4673</v>
      </c>
      <c r="F563" s="27"/>
      <c r="G563" s="27"/>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row>
    <row r="564" ht="15.75" customHeight="1">
      <c r="A564" s="88" t="s">
        <v>4613</v>
      </c>
      <c r="B564" s="90">
        <v>9.0</v>
      </c>
      <c r="C564" s="28" t="s">
        <v>4677</v>
      </c>
      <c r="D564" s="28" t="s">
        <v>4540</v>
      </c>
      <c r="E564" s="28" t="s">
        <v>4678</v>
      </c>
      <c r="F564" s="27"/>
      <c r="G564" s="27"/>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row>
    <row r="565" ht="15.75" customHeight="1">
      <c r="A565" s="88" t="s">
        <v>4613</v>
      </c>
      <c r="B565" s="90">
        <v>10.0</v>
      </c>
      <c r="C565" s="28" t="s">
        <v>4683</v>
      </c>
      <c r="D565" s="28" t="s">
        <v>4684</v>
      </c>
      <c r="E565" s="28" t="s">
        <v>4685</v>
      </c>
      <c r="F565" s="27"/>
      <c r="G565" s="27"/>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row>
    <row r="566" ht="15.75" customHeight="1">
      <c r="A566" s="263" t="s">
        <v>4613</v>
      </c>
      <c r="B566" s="247">
        <v>11.0</v>
      </c>
      <c r="C566" s="125" t="s">
        <v>4687</v>
      </c>
      <c r="D566" s="125" t="s">
        <v>4687</v>
      </c>
      <c r="E566" s="125" t="s">
        <v>4687</v>
      </c>
      <c r="F566" s="27"/>
      <c r="G566" s="27"/>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row>
    <row r="567" ht="15.75" customHeight="1">
      <c r="A567" s="263" t="s">
        <v>4613</v>
      </c>
      <c r="B567" s="247">
        <v>12.0</v>
      </c>
      <c r="C567" s="125" t="s">
        <v>4690</v>
      </c>
      <c r="D567" s="125" t="s">
        <v>4690</v>
      </c>
      <c r="E567" s="125" t="s">
        <v>4690</v>
      </c>
      <c r="F567" s="27"/>
      <c r="G567" s="27"/>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row>
    <row r="568" ht="15.75" customHeight="1">
      <c r="A568" s="263" t="s">
        <v>4613</v>
      </c>
      <c r="B568" s="247">
        <v>13.0</v>
      </c>
      <c r="C568" s="125" t="s">
        <v>4692</v>
      </c>
      <c r="D568" s="125" t="s">
        <v>4692</v>
      </c>
      <c r="E568" s="125" t="s">
        <v>4692</v>
      </c>
      <c r="F568" s="27"/>
      <c r="G568" s="27"/>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row>
    <row r="569" ht="15.75" customHeight="1">
      <c r="A569" s="66" t="s">
        <v>4613</v>
      </c>
      <c r="B569" s="98">
        <v>14.0</v>
      </c>
      <c r="C569" s="40" t="s">
        <v>4700</v>
      </c>
      <c r="D569" s="40" t="s">
        <v>4702</v>
      </c>
      <c r="E569" s="28" t="s">
        <v>4704</v>
      </c>
      <c r="F569" s="39"/>
      <c r="G569" s="39"/>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row>
    <row r="570" ht="15.75" customHeight="1">
      <c r="A570" s="66" t="s">
        <v>4613</v>
      </c>
      <c r="B570" s="98">
        <v>-777.0</v>
      </c>
      <c r="C570" s="40" t="s">
        <v>491</v>
      </c>
      <c r="D570" s="40" t="s">
        <v>492</v>
      </c>
      <c r="E570" s="40" t="s">
        <v>493</v>
      </c>
      <c r="F570" s="39"/>
      <c r="G570" s="39"/>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row>
    <row r="571" ht="15.75" customHeight="1">
      <c r="A571" s="101"/>
      <c r="B571" s="102"/>
      <c r="C571" s="101"/>
      <c r="D571" s="101"/>
      <c r="E571" s="151"/>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row>
    <row r="572" ht="15.75" customHeight="1">
      <c r="A572" s="155" t="s">
        <v>4715</v>
      </c>
      <c r="B572" s="110">
        <v>1.0</v>
      </c>
      <c r="C572" s="115" t="s">
        <v>2119</v>
      </c>
      <c r="D572" s="115" t="s">
        <v>2120</v>
      </c>
      <c r="E572" s="152" t="s">
        <v>2200</v>
      </c>
      <c r="F572" s="158"/>
      <c r="G572" s="158"/>
      <c r="H572" s="158"/>
      <c r="I572" s="158"/>
      <c r="J572" s="158"/>
      <c r="K572" s="158"/>
      <c r="L572" s="158"/>
      <c r="M572" s="158"/>
      <c r="N572" s="158"/>
      <c r="O572" s="158"/>
      <c r="P572" s="158"/>
      <c r="Q572" s="158"/>
      <c r="R572" s="158"/>
      <c r="S572" s="158"/>
      <c r="T572" s="158"/>
      <c r="U572" s="158"/>
      <c r="V572" s="158"/>
      <c r="W572" s="158"/>
      <c r="X572" s="158"/>
      <c r="Y572" s="158"/>
      <c r="Z572" s="158"/>
      <c r="AA572" s="158"/>
      <c r="AB572" s="158"/>
      <c r="AC572" s="158"/>
      <c r="AD572" s="158"/>
      <c r="AE572" s="158"/>
      <c r="AF572" s="158"/>
    </row>
    <row r="573" ht="15.75" customHeight="1">
      <c r="A573" s="66" t="s">
        <v>4715</v>
      </c>
      <c r="B573" s="90">
        <v>2.0</v>
      </c>
      <c r="C573" s="28" t="s">
        <v>2126</v>
      </c>
      <c r="D573" s="28" t="s">
        <v>2127</v>
      </c>
      <c r="E573" s="92" t="s">
        <v>2205</v>
      </c>
      <c r="F573" s="29"/>
      <c r="G573" s="39"/>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row>
    <row r="574" ht="15.75" customHeight="1">
      <c r="A574" s="66" t="s">
        <v>4715</v>
      </c>
      <c r="B574" s="90">
        <v>3.0</v>
      </c>
      <c r="C574" s="28" t="s">
        <v>2137</v>
      </c>
      <c r="D574" s="28" t="s">
        <v>2138</v>
      </c>
      <c r="E574" s="92" t="s">
        <v>2210</v>
      </c>
      <c r="F574" s="29"/>
      <c r="G574" s="96"/>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row>
    <row r="575" ht="15.75" customHeight="1">
      <c r="A575" s="66" t="s">
        <v>4715</v>
      </c>
      <c r="B575" s="90">
        <v>4.0</v>
      </c>
      <c r="C575" s="40" t="s">
        <v>2142</v>
      </c>
      <c r="D575" s="40" t="s">
        <v>2143</v>
      </c>
      <c r="E575" s="77" t="s">
        <v>4727</v>
      </c>
      <c r="F575" s="29"/>
      <c r="G575" s="96"/>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row>
    <row r="576" ht="15.75" customHeight="1">
      <c r="A576" s="66" t="s">
        <v>4715</v>
      </c>
      <c r="B576" s="90">
        <v>5.0</v>
      </c>
      <c r="C576" s="215" t="s">
        <v>2152</v>
      </c>
      <c r="D576" s="114" t="s">
        <v>2153</v>
      </c>
      <c r="E576" s="77" t="s">
        <v>2154</v>
      </c>
      <c r="F576" s="29"/>
      <c r="G576" s="96"/>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row>
    <row r="577" ht="15.75" customHeight="1">
      <c r="A577" s="66" t="s">
        <v>4715</v>
      </c>
      <c r="B577" s="90">
        <v>6.0</v>
      </c>
      <c r="C577" s="216" t="s">
        <v>2155</v>
      </c>
      <c r="D577" s="101" t="s">
        <v>2156</v>
      </c>
      <c r="E577" s="151" t="s">
        <v>2156</v>
      </c>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row>
    <row r="578" ht="15.75" customHeight="1">
      <c r="A578" s="66" t="s">
        <v>4715</v>
      </c>
      <c r="B578" s="98">
        <v>-777.0</v>
      </c>
      <c r="C578" s="40" t="s">
        <v>2164</v>
      </c>
      <c r="D578" s="40" t="s">
        <v>492</v>
      </c>
      <c r="E578" s="77" t="s">
        <v>2166</v>
      </c>
      <c r="F578" s="41"/>
      <c r="G578" s="39"/>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row>
    <row r="579" ht="15.75" customHeight="1">
      <c r="A579" s="101"/>
      <c r="B579" s="102"/>
      <c r="C579" s="101"/>
      <c r="D579" s="101"/>
      <c r="E579" s="151"/>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row>
    <row r="580" ht="15.75" customHeight="1">
      <c r="A580" s="109" t="s">
        <v>4764</v>
      </c>
      <c r="B580" s="110">
        <v>0.0</v>
      </c>
      <c r="C580" s="115" t="s">
        <v>4765</v>
      </c>
      <c r="D580" s="115" t="s">
        <v>4766</v>
      </c>
      <c r="E580" s="115" t="s">
        <v>4767</v>
      </c>
      <c r="F580" s="113"/>
      <c r="G580" s="113"/>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row>
    <row r="581" ht="15.75" customHeight="1">
      <c r="A581" s="88" t="s">
        <v>4764</v>
      </c>
      <c r="B581" s="90">
        <v>1.0</v>
      </c>
      <c r="C581" s="28" t="s">
        <v>4776</v>
      </c>
      <c r="D581" s="28" t="s">
        <v>4777</v>
      </c>
      <c r="E581" s="92" t="s">
        <v>4779</v>
      </c>
      <c r="F581" s="27"/>
      <c r="G581" s="27"/>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row>
    <row r="582" ht="15.75" customHeight="1">
      <c r="A582" s="88" t="s">
        <v>4764</v>
      </c>
      <c r="B582" s="90">
        <v>2.0</v>
      </c>
      <c r="C582" s="28" t="s">
        <v>4788</v>
      </c>
      <c r="D582" s="28" t="s">
        <v>4789</v>
      </c>
      <c r="E582" s="92" t="s">
        <v>4790</v>
      </c>
      <c r="F582" s="27"/>
      <c r="G582" s="27"/>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row>
    <row r="583" ht="15.75" customHeight="1">
      <c r="A583" s="88" t="s">
        <v>4764</v>
      </c>
      <c r="B583" s="90">
        <v>3.0</v>
      </c>
      <c r="C583" s="28" t="s">
        <v>4798</v>
      </c>
      <c r="D583" s="28" t="s">
        <v>4799</v>
      </c>
      <c r="E583" s="92" t="s">
        <v>4800</v>
      </c>
      <c r="F583" s="140"/>
      <c r="G583" s="140"/>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row>
    <row r="584" ht="15.75" customHeight="1">
      <c r="A584" s="88" t="s">
        <v>4764</v>
      </c>
      <c r="B584" s="90">
        <v>4.0</v>
      </c>
      <c r="C584" s="28" t="s">
        <v>4810</v>
      </c>
      <c r="D584" s="28" t="s">
        <v>4811</v>
      </c>
      <c r="E584" s="92" t="s">
        <v>4812</v>
      </c>
      <c r="F584" s="27"/>
      <c r="G584" s="27"/>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row>
    <row r="585" ht="15.75" customHeight="1">
      <c r="A585" s="88" t="s">
        <v>4764</v>
      </c>
      <c r="B585" s="90">
        <v>5.0</v>
      </c>
      <c r="C585" s="28" t="s">
        <v>4820</v>
      </c>
      <c r="D585" s="28" t="s">
        <v>4821</v>
      </c>
      <c r="E585" s="92" t="s">
        <v>4822</v>
      </c>
      <c r="F585" s="27"/>
      <c r="G585" s="27"/>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row>
    <row r="586" ht="15.75" customHeight="1">
      <c r="A586" s="88" t="s">
        <v>4764</v>
      </c>
      <c r="B586" s="90">
        <v>6.0</v>
      </c>
      <c r="C586" s="28" t="s">
        <v>4827</v>
      </c>
      <c r="D586" s="28" t="s">
        <v>4828</v>
      </c>
      <c r="E586" s="92" t="s">
        <v>4829</v>
      </c>
      <c r="F586" s="27"/>
      <c r="G586" s="27"/>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row>
    <row r="587" ht="15.75" customHeight="1">
      <c r="A587" s="88" t="s">
        <v>4764</v>
      </c>
      <c r="B587" s="90">
        <v>7.0</v>
      </c>
      <c r="C587" s="28" t="s">
        <v>4834</v>
      </c>
      <c r="D587" s="28" t="s">
        <v>4835</v>
      </c>
      <c r="E587" s="92" t="s">
        <v>4836</v>
      </c>
      <c r="F587" s="27"/>
      <c r="G587" s="27"/>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row>
    <row r="588" ht="15.75" customHeight="1">
      <c r="A588" s="66" t="s">
        <v>4764</v>
      </c>
      <c r="B588" s="98">
        <v>-777.0</v>
      </c>
      <c r="C588" s="40" t="s">
        <v>491</v>
      </c>
      <c r="D588" s="40" t="s">
        <v>492</v>
      </c>
      <c r="E588" s="77" t="s">
        <v>2166</v>
      </c>
      <c r="F588" s="39"/>
      <c r="G588" s="39"/>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row>
    <row r="589" ht="15.75" customHeight="1">
      <c r="A589" s="101"/>
      <c r="B589" s="102"/>
      <c r="C589" s="101"/>
      <c r="D589" s="101"/>
      <c r="E589" s="151"/>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row>
    <row r="590" ht="15.75" customHeight="1">
      <c r="A590" s="109" t="s">
        <v>4852</v>
      </c>
      <c r="B590" s="110">
        <v>1.0</v>
      </c>
      <c r="C590" s="115" t="s">
        <v>4855</v>
      </c>
      <c r="D590" s="115" t="s">
        <v>4857</v>
      </c>
      <c r="E590" s="115" t="s">
        <v>4858</v>
      </c>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29"/>
      <c r="AF590" s="29"/>
    </row>
    <row r="591" ht="15.75" customHeight="1">
      <c r="A591" s="88" t="s">
        <v>4852</v>
      </c>
      <c r="B591" s="90">
        <v>2.0</v>
      </c>
      <c r="C591" s="28" t="s">
        <v>4863</v>
      </c>
      <c r="D591" s="28" t="s">
        <v>4865</v>
      </c>
      <c r="E591" s="92" t="s">
        <v>4867</v>
      </c>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row>
    <row r="592" ht="15.75" customHeight="1">
      <c r="A592" s="88" t="s">
        <v>4852</v>
      </c>
      <c r="B592" s="90">
        <v>3.0</v>
      </c>
      <c r="C592" s="28" t="s">
        <v>4871</v>
      </c>
      <c r="D592" s="28" t="s">
        <v>4873</v>
      </c>
      <c r="E592" s="92" t="s">
        <v>4875</v>
      </c>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row>
    <row r="593" ht="15.75" customHeight="1">
      <c r="A593" s="88" t="s">
        <v>4852</v>
      </c>
      <c r="B593" s="90">
        <v>4.0</v>
      </c>
      <c r="C593" s="28" t="s">
        <v>4882</v>
      </c>
      <c r="D593" s="28" t="s">
        <v>4884</v>
      </c>
      <c r="E593" s="92" t="s">
        <v>4885</v>
      </c>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row>
    <row r="594" ht="15.75" customHeight="1">
      <c r="A594" s="88" t="s">
        <v>4852</v>
      </c>
      <c r="B594" s="90">
        <v>5.0</v>
      </c>
      <c r="C594" s="28" t="s">
        <v>4890</v>
      </c>
      <c r="D594" s="28" t="s">
        <v>4891</v>
      </c>
      <c r="E594" s="28" t="s">
        <v>4892</v>
      </c>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row>
    <row r="595" ht="15.75" customHeight="1">
      <c r="A595" s="88" t="s">
        <v>4852</v>
      </c>
      <c r="B595" s="90">
        <v>6.0</v>
      </c>
      <c r="C595" s="28" t="s">
        <v>4904</v>
      </c>
      <c r="D595" s="28" t="s">
        <v>4905</v>
      </c>
      <c r="E595" s="92" t="s">
        <v>4906</v>
      </c>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row>
    <row r="596" ht="15.75" customHeight="1">
      <c r="A596" s="88" t="s">
        <v>4852</v>
      </c>
      <c r="B596" s="90">
        <v>7.0</v>
      </c>
      <c r="C596" s="28" t="s">
        <v>4911</v>
      </c>
      <c r="D596" s="28" t="s">
        <v>4912</v>
      </c>
      <c r="E596" s="28" t="s">
        <v>4913</v>
      </c>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row>
    <row r="597" ht="15.75" customHeight="1">
      <c r="A597" s="88" t="s">
        <v>4852</v>
      </c>
      <c r="B597" s="90">
        <v>-777.0</v>
      </c>
      <c r="C597" s="28" t="s">
        <v>491</v>
      </c>
      <c r="D597" s="28" t="s">
        <v>492</v>
      </c>
      <c r="E597" s="28" t="s">
        <v>493</v>
      </c>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row>
    <row r="598" ht="15.75" customHeight="1">
      <c r="A598" s="66" t="s">
        <v>4852</v>
      </c>
      <c r="B598" s="98">
        <v>-999.0</v>
      </c>
      <c r="C598" s="40" t="s">
        <v>120</v>
      </c>
      <c r="D598" s="40" t="s">
        <v>4927</v>
      </c>
      <c r="E598" s="40" t="s">
        <v>123</v>
      </c>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29"/>
      <c r="AF598" s="29"/>
    </row>
    <row r="599" ht="15.75" customHeight="1">
      <c r="A599" s="101"/>
      <c r="B599" s="102"/>
      <c r="C599" s="101"/>
      <c r="D599" s="101"/>
      <c r="E599" s="151"/>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row>
    <row r="600" ht="15.75" customHeight="1">
      <c r="A600" s="109" t="s">
        <v>4941</v>
      </c>
      <c r="B600" s="110">
        <v>1.0</v>
      </c>
      <c r="C600" s="115" t="s">
        <v>4944</v>
      </c>
      <c r="D600" s="115" t="s">
        <v>4946</v>
      </c>
      <c r="E600" s="152" t="s">
        <v>4947</v>
      </c>
      <c r="F600" s="113"/>
      <c r="G600" s="113"/>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row>
    <row r="601" ht="15.75" customHeight="1">
      <c r="A601" s="88" t="s">
        <v>4941</v>
      </c>
      <c r="B601" s="90">
        <v>2.0</v>
      </c>
      <c r="C601" s="28" t="s">
        <v>4959</v>
      </c>
      <c r="D601" s="28" t="s">
        <v>4960</v>
      </c>
      <c r="E601" s="92" t="s">
        <v>4961</v>
      </c>
      <c r="F601" s="27"/>
      <c r="G601" s="27"/>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row>
    <row r="602" ht="15.75" customHeight="1">
      <c r="A602" s="66" t="s">
        <v>4941</v>
      </c>
      <c r="B602" s="98">
        <v>3.0</v>
      </c>
      <c r="C602" s="40" t="s">
        <v>4977</v>
      </c>
      <c r="D602" s="40" t="s">
        <v>4978</v>
      </c>
      <c r="E602" s="77" t="s">
        <v>4979</v>
      </c>
      <c r="F602" s="39"/>
      <c r="G602" s="39"/>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row>
    <row r="603" ht="15.75" customHeight="1">
      <c r="A603" s="101"/>
      <c r="B603" s="102"/>
      <c r="C603" s="101"/>
      <c r="D603" s="101"/>
      <c r="E603" s="151"/>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row>
    <row r="604" ht="15.75" customHeight="1">
      <c r="A604" s="265" t="s">
        <v>5031</v>
      </c>
      <c r="B604" s="266">
        <v>1.0</v>
      </c>
      <c r="C604" s="267" t="s">
        <v>5038</v>
      </c>
      <c r="D604" s="265" t="s">
        <v>5039</v>
      </c>
      <c r="E604" s="267" t="s">
        <v>5041</v>
      </c>
      <c r="F604" s="212"/>
      <c r="G604" s="212"/>
      <c r="H604" s="212"/>
      <c r="I604" s="212"/>
      <c r="J604" s="212"/>
      <c r="K604" s="212"/>
      <c r="L604" s="212"/>
      <c r="M604" s="212"/>
      <c r="N604" s="212"/>
      <c r="O604" s="212"/>
      <c r="P604" s="212"/>
      <c r="Q604" s="212"/>
      <c r="R604" s="212"/>
      <c r="S604" s="212"/>
      <c r="T604" s="212"/>
      <c r="U604" s="212"/>
      <c r="V604" s="212"/>
      <c r="W604" s="212"/>
      <c r="X604" s="212"/>
      <c r="Y604" s="212"/>
      <c r="Z604" s="212"/>
      <c r="AA604" s="212"/>
      <c r="AB604" s="212"/>
      <c r="AC604" s="212"/>
      <c r="AD604" s="212"/>
      <c r="AE604" s="212"/>
      <c r="AF604" s="212"/>
    </row>
    <row r="605" ht="15.75" customHeight="1">
      <c r="A605" s="268" t="s">
        <v>5031</v>
      </c>
      <c r="B605" s="269">
        <v>2.0</v>
      </c>
      <c r="C605" s="270" t="s">
        <v>1169</v>
      </c>
      <c r="D605" s="270" t="s">
        <v>1170</v>
      </c>
      <c r="E605" s="270" t="s">
        <v>5048</v>
      </c>
      <c r="F605" s="117"/>
      <c r="G605" s="117"/>
      <c r="H605" s="117"/>
      <c r="I605" s="117"/>
      <c r="J605" s="117"/>
      <c r="K605" s="117"/>
      <c r="L605" s="117"/>
      <c r="M605" s="117"/>
      <c r="N605" s="117"/>
      <c r="O605" s="117"/>
      <c r="P605" s="117"/>
      <c r="Q605" s="117"/>
      <c r="R605" s="117"/>
      <c r="S605" s="117"/>
      <c r="T605" s="117"/>
      <c r="U605" s="117"/>
      <c r="V605" s="117"/>
      <c r="W605" s="117"/>
      <c r="X605" s="117"/>
      <c r="Y605" s="117"/>
      <c r="Z605" s="117"/>
      <c r="AA605" s="117"/>
      <c r="AB605" s="117"/>
      <c r="AC605" s="117"/>
      <c r="AD605" s="117"/>
      <c r="AE605" s="117"/>
      <c r="AF605" s="117"/>
    </row>
    <row r="606" ht="15.75" customHeight="1">
      <c r="A606" s="268" t="s">
        <v>5031</v>
      </c>
      <c r="B606" s="269">
        <v>3.0</v>
      </c>
      <c r="C606" s="270" t="s">
        <v>1158</v>
      </c>
      <c r="D606" s="270" t="s">
        <v>1159</v>
      </c>
      <c r="E606" s="270" t="s">
        <v>5054</v>
      </c>
      <c r="F606" s="117"/>
      <c r="G606" s="117"/>
      <c r="H606" s="117"/>
      <c r="I606" s="117"/>
      <c r="J606" s="117"/>
      <c r="K606" s="117"/>
      <c r="L606" s="117"/>
      <c r="M606" s="117"/>
      <c r="N606" s="117"/>
      <c r="O606" s="117"/>
      <c r="P606" s="117"/>
      <c r="Q606" s="117"/>
      <c r="R606" s="117"/>
      <c r="S606" s="117"/>
      <c r="T606" s="117"/>
      <c r="U606" s="117"/>
      <c r="V606" s="117"/>
      <c r="W606" s="117"/>
      <c r="X606" s="117"/>
      <c r="Y606" s="117"/>
      <c r="Z606" s="117"/>
      <c r="AA606" s="117"/>
      <c r="AB606" s="117"/>
      <c r="AC606" s="117"/>
      <c r="AD606" s="117"/>
      <c r="AE606" s="117"/>
      <c r="AF606" s="117"/>
    </row>
    <row r="607" ht="15.75" customHeight="1">
      <c r="A607" s="268" t="s">
        <v>5031</v>
      </c>
      <c r="B607" s="269">
        <v>4.0</v>
      </c>
      <c r="C607" s="270" t="s">
        <v>5066</v>
      </c>
      <c r="D607" s="270" t="s">
        <v>5067</v>
      </c>
      <c r="E607" s="270" t="s">
        <v>5068</v>
      </c>
      <c r="F607" s="117"/>
      <c r="G607" s="117"/>
      <c r="H607" s="117"/>
      <c r="I607" s="117"/>
      <c r="J607" s="117"/>
      <c r="K607" s="117"/>
      <c r="L607" s="117"/>
      <c r="M607" s="117"/>
      <c r="N607" s="117"/>
      <c r="O607" s="117"/>
      <c r="P607" s="117"/>
      <c r="Q607" s="117"/>
      <c r="R607" s="117"/>
      <c r="S607" s="117"/>
      <c r="T607" s="117"/>
      <c r="U607" s="117"/>
      <c r="V607" s="117"/>
      <c r="W607" s="117"/>
      <c r="X607" s="117"/>
      <c r="Y607" s="117"/>
      <c r="Z607" s="117"/>
      <c r="AA607" s="117"/>
      <c r="AB607" s="117"/>
      <c r="AC607" s="117"/>
      <c r="AD607" s="117"/>
      <c r="AE607" s="117"/>
      <c r="AF607" s="117"/>
    </row>
    <row r="608" ht="15.75" customHeight="1">
      <c r="A608" s="268" t="s">
        <v>5031</v>
      </c>
      <c r="B608" s="269">
        <v>5.0</v>
      </c>
      <c r="C608" s="270" t="s">
        <v>5077</v>
      </c>
      <c r="D608" s="270" t="s">
        <v>5078</v>
      </c>
      <c r="E608" s="271" t="s">
        <v>5080</v>
      </c>
      <c r="F608" s="117"/>
      <c r="G608" s="117"/>
      <c r="H608" s="117"/>
      <c r="I608" s="117"/>
      <c r="J608" s="117"/>
      <c r="K608" s="117"/>
      <c r="L608" s="117"/>
      <c r="M608" s="117"/>
      <c r="N608" s="117"/>
      <c r="O608" s="117"/>
      <c r="P608" s="117"/>
      <c r="Q608" s="117"/>
      <c r="R608" s="117"/>
      <c r="S608" s="117"/>
      <c r="T608" s="117"/>
      <c r="U608" s="117"/>
      <c r="V608" s="117"/>
      <c r="W608" s="117"/>
      <c r="X608" s="117"/>
      <c r="Y608" s="117"/>
      <c r="Z608" s="117"/>
      <c r="AA608" s="117"/>
      <c r="AB608" s="117"/>
      <c r="AC608" s="117"/>
      <c r="AD608" s="117"/>
      <c r="AE608" s="117"/>
      <c r="AF608" s="117"/>
    </row>
    <row r="609" ht="15.75" customHeight="1">
      <c r="A609" s="270" t="s">
        <v>5031</v>
      </c>
      <c r="B609" s="272">
        <v>-777.0</v>
      </c>
      <c r="C609" s="270" t="s">
        <v>491</v>
      </c>
      <c r="D609" s="270" t="s">
        <v>492</v>
      </c>
      <c r="E609" s="270" t="s">
        <v>493</v>
      </c>
      <c r="F609" s="273"/>
      <c r="G609" s="273"/>
      <c r="H609" s="273"/>
      <c r="I609" s="273"/>
      <c r="J609" s="273"/>
      <c r="K609" s="273"/>
      <c r="L609" s="273"/>
      <c r="M609" s="273"/>
      <c r="N609" s="273"/>
      <c r="O609" s="273"/>
      <c r="P609" s="273"/>
      <c r="Q609" s="273"/>
      <c r="R609" s="273"/>
      <c r="S609" s="273"/>
      <c r="T609" s="273"/>
      <c r="U609" s="273"/>
      <c r="V609" s="273"/>
      <c r="W609" s="273"/>
      <c r="X609" s="273"/>
      <c r="Y609" s="273"/>
      <c r="Z609" s="273"/>
      <c r="AA609" s="273"/>
      <c r="AB609" s="273"/>
      <c r="AC609" s="273"/>
      <c r="AD609" s="273"/>
      <c r="AE609" s="273"/>
      <c r="AF609" s="273"/>
    </row>
    <row r="610" ht="15.75" customHeight="1">
      <c r="A610" s="101"/>
      <c r="B610" s="102"/>
      <c r="C610" s="101"/>
      <c r="D610" s="101"/>
      <c r="E610" s="151"/>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row>
    <row r="611" ht="15.75" customHeight="1">
      <c r="A611" s="57" t="s">
        <v>5108</v>
      </c>
      <c r="B611" s="97">
        <v>1.0</v>
      </c>
      <c r="C611" s="270" t="s">
        <v>5112</v>
      </c>
      <c r="D611" s="206" t="s">
        <v>5113</v>
      </c>
      <c r="E611" s="261" t="s">
        <v>5114</v>
      </c>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row>
    <row r="612" ht="15.75" customHeight="1">
      <c r="A612" s="57" t="s">
        <v>5108</v>
      </c>
      <c r="B612" s="97">
        <v>2.0</v>
      </c>
      <c r="C612" s="270" t="s">
        <v>5122</v>
      </c>
      <c r="D612" s="206" t="s">
        <v>5123</v>
      </c>
      <c r="E612" s="261" t="s">
        <v>5124</v>
      </c>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row>
    <row r="613" ht="15.75" customHeight="1">
      <c r="A613" s="57" t="s">
        <v>5108</v>
      </c>
      <c r="B613" s="97">
        <v>3.0</v>
      </c>
      <c r="C613" s="270" t="s">
        <v>5127</v>
      </c>
      <c r="D613" s="206" t="s">
        <v>5128</v>
      </c>
      <c r="E613" s="261" t="s">
        <v>5129</v>
      </c>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row>
    <row r="614" ht="15.75" customHeight="1">
      <c r="A614" s="57" t="s">
        <v>5108</v>
      </c>
      <c r="B614" s="97">
        <v>4.0</v>
      </c>
      <c r="C614" s="270" t="s">
        <v>5135</v>
      </c>
      <c r="D614" s="206" t="s">
        <v>5136</v>
      </c>
      <c r="E614" s="261" t="s">
        <v>5138</v>
      </c>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row>
    <row r="615" ht="15.75" customHeight="1">
      <c r="A615" s="57" t="s">
        <v>5108</v>
      </c>
      <c r="B615" s="97">
        <v>5.0</v>
      </c>
      <c r="C615" s="270" t="s">
        <v>5143</v>
      </c>
      <c r="D615" s="206" t="s">
        <v>5144</v>
      </c>
      <c r="E615" s="261" t="s">
        <v>5145</v>
      </c>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row>
    <row r="616" ht="15.75" customHeight="1">
      <c r="A616" s="57" t="s">
        <v>5108</v>
      </c>
      <c r="B616" s="97">
        <v>6.0</v>
      </c>
      <c r="C616" s="270" t="s">
        <v>1832</v>
      </c>
      <c r="D616" s="261" t="s">
        <v>5157</v>
      </c>
      <c r="E616" s="261" t="s">
        <v>5158</v>
      </c>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row>
    <row r="617" ht="15.75" customHeight="1">
      <c r="A617" s="57" t="s">
        <v>5108</v>
      </c>
      <c r="B617" s="97">
        <v>7.0</v>
      </c>
      <c r="C617" s="270" t="s">
        <v>1844</v>
      </c>
      <c r="D617" s="270" t="s">
        <v>492</v>
      </c>
      <c r="E617" s="270" t="s">
        <v>493</v>
      </c>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row>
    <row r="618" ht="15.75" customHeight="1">
      <c r="A618" s="57" t="s">
        <v>5108</v>
      </c>
      <c r="B618" s="97">
        <v>-777.0</v>
      </c>
      <c r="C618" s="270" t="s">
        <v>491</v>
      </c>
      <c r="D618" s="101"/>
      <c r="E618" s="151"/>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row>
    <row r="619" ht="15.75" customHeight="1">
      <c r="A619" s="101"/>
      <c r="B619" s="102"/>
      <c r="C619" s="101"/>
      <c r="D619" s="101"/>
      <c r="E619" s="151"/>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row>
    <row r="620" ht="15.75" customHeight="1">
      <c r="A620" s="210" t="s">
        <v>5167</v>
      </c>
      <c r="B620" s="209">
        <v>0.0</v>
      </c>
      <c r="C620" s="115" t="s">
        <v>5170</v>
      </c>
      <c r="D620" s="261" t="s">
        <v>5171</v>
      </c>
      <c r="E620" s="261" t="s">
        <v>5172</v>
      </c>
      <c r="F620" s="212"/>
      <c r="G620" s="212"/>
      <c r="H620" s="212"/>
      <c r="I620" s="212"/>
      <c r="J620" s="212"/>
      <c r="K620" s="212"/>
      <c r="L620" s="212"/>
      <c r="M620" s="212"/>
      <c r="N620" s="212"/>
      <c r="O620" s="212"/>
      <c r="P620" s="212"/>
      <c r="Q620" s="212"/>
      <c r="R620" s="212"/>
      <c r="S620" s="212"/>
      <c r="T620" s="212"/>
      <c r="U620" s="212"/>
      <c r="V620" s="212"/>
      <c r="W620" s="212"/>
      <c r="X620" s="212"/>
      <c r="Y620" s="212"/>
      <c r="Z620" s="212"/>
      <c r="AA620" s="212"/>
      <c r="AB620" s="212"/>
      <c r="AC620" s="212"/>
      <c r="AD620" s="212"/>
      <c r="AE620" s="212"/>
      <c r="AF620" s="212"/>
    </row>
    <row r="621" ht="15.75" customHeight="1">
      <c r="A621" s="101" t="s">
        <v>5167</v>
      </c>
      <c r="B621" s="102">
        <v>1.0</v>
      </c>
      <c r="C621" s="28" t="s">
        <v>5181</v>
      </c>
      <c r="D621" s="261" t="s">
        <v>5182</v>
      </c>
      <c r="E621" s="261" t="s">
        <v>5183</v>
      </c>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c r="AB621" s="117"/>
      <c r="AC621" s="117"/>
      <c r="AD621" s="117"/>
      <c r="AE621" s="117"/>
      <c r="AF621" s="117"/>
    </row>
    <row r="622" ht="15.75" customHeight="1">
      <c r="A622" s="101" t="s">
        <v>5167</v>
      </c>
      <c r="B622" s="102">
        <v>2.0</v>
      </c>
      <c r="C622" s="28" t="s">
        <v>5185</v>
      </c>
      <c r="D622" s="275" t="s">
        <v>5187</v>
      </c>
      <c r="E622" s="261" t="s">
        <v>5190</v>
      </c>
      <c r="F622" s="117"/>
      <c r="G622" s="117"/>
      <c r="H622" s="117"/>
      <c r="I622" s="117"/>
      <c r="J622" s="117"/>
      <c r="K622" s="117"/>
      <c r="L622" s="117"/>
      <c r="M622" s="117"/>
      <c r="N622" s="117"/>
      <c r="O622" s="117"/>
      <c r="P622" s="117"/>
      <c r="Q622" s="117"/>
      <c r="R622" s="117"/>
      <c r="S622" s="117"/>
      <c r="T622" s="117"/>
      <c r="U622" s="117"/>
      <c r="V622" s="117"/>
      <c r="W622" s="117"/>
      <c r="X622" s="117"/>
      <c r="Y622" s="117"/>
      <c r="Z622" s="117"/>
      <c r="AA622" s="117"/>
      <c r="AB622" s="117"/>
      <c r="AC622" s="117"/>
      <c r="AD622" s="117"/>
      <c r="AE622" s="117"/>
      <c r="AF622" s="117"/>
    </row>
    <row r="623" ht="15.75" customHeight="1">
      <c r="A623" s="101" t="s">
        <v>5167</v>
      </c>
      <c r="B623" s="102">
        <v>3.0</v>
      </c>
      <c r="C623" s="28" t="s">
        <v>5199</v>
      </c>
      <c r="D623" s="275" t="s">
        <v>5200</v>
      </c>
      <c r="E623" s="261" t="s">
        <v>5201</v>
      </c>
      <c r="F623" s="117"/>
      <c r="G623" s="117"/>
      <c r="H623" s="117"/>
      <c r="I623" s="117"/>
      <c r="J623" s="117"/>
      <c r="K623" s="117"/>
      <c r="L623" s="117"/>
      <c r="M623" s="117"/>
      <c r="N623" s="117"/>
      <c r="O623" s="117"/>
      <c r="P623" s="117"/>
      <c r="Q623" s="117"/>
      <c r="R623" s="117"/>
      <c r="S623" s="117"/>
      <c r="T623" s="117"/>
      <c r="U623" s="117"/>
      <c r="V623" s="117"/>
      <c r="W623" s="117"/>
      <c r="X623" s="117"/>
      <c r="Y623" s="117"/>
      <c r="Z623" s="117"/>
      <c r="AA623" s="117"/>
      <c r="AB623" s="117"/>
      <c r="AC623" s="117"/>
      <c r="AD623" s="117"/>
      <c r="AE623" s="117"/>
      <c r="AF623" s="117"/>
    </row>
    <row r="624" ht="15.75" customHeight="1">
      <c r="A624" s="101" t="s">
        <v>5167</v>
      </c>
      <c r="B624" s="102">
        <v>4.0</v>
      </c>
      <c r="C624" s="28" t="s">
        <v>5207</v>
      </c>
      <c r="D624" s="261" t="s">
        <v>5208</v>
      </c>
      <c r="E624" s="261" t="s">
        <v>5209</v>
      </c>
      <c r="F624" s="117"/>
      <c r="G624" s="117"/>
      <c r="H624" s="117"/>
      <c r="I624" s="117"/>
      <c r="J624" s="117"/>
      <c r="K624" s="117"/>
      <c r="L624" s="117"/>
      <c r="M624" s="117"/>
      <c r="N624" s="117"/>
      <c r="O624" s="117"/>
      <c r="P624" s="117"/>
      <c r="Q624" s="117"/>
      <c r="R624" s="117"/>
      <c r="S624" s="117"/>
      <c r="T624" s="117"/>
      <c r="U624" s="117"/>
      <c r="V624" s="117"/>
      <c r="W624" s="117"/>
      <c r="X624" s="117"/>
      <c r="Y624" s="117"/>
      <c r="Z624" s="117"/>
      <c r="AA624" s="117"/>
      <c r="AB624" s="117"/>
      <c r="AC624" s="117"/>
      <c r="AD624" s="117"/>
      <c r="AE624" s="117"/>
      <c r="AF624" s="117"/>
    </row>
    <row r="625" ht="15.75" customHeight="1">
      <c r="A625" s="101" t="s">
        <v>5167</v>
      </c>
      <c r="B625" s="102">
        <v>5.0</v>
      </c>
      <c r="C625" s="28" t="s">
        <v>5222</v>
      </c>
      <c r="D625" s="261" t="s">
        <v>5223</v>
      </c>
      <c r="E625" s="261" t="s">
        <v>5224</v>
      </c>
      <c r="F625" s="117"/>
      <c r="G625" s="117"/>
      <c r="H625" s="117"/>
      <c r="I625" s="117"/>
      <c r="J625" s="117"/>
      <c r="K625" s="117"/>
      <c r="L625" s="117"/>
      <c r="M625" s="117"/>
      <c r="N625" s="117"/>
      <c r="O625" s="117"/>
      <c r="P625" s="117"/>
      <c r="Q625" s="117"/>
      <c r="R625" s="117"/>
      <c r="S625" s="117"/>
      <c r="T625" s="117"/>
      <c r="U625" s="117"/>
      <c r="V625" s="117"/>
      <c r="W625" s="117"/>
      <c r="X625" s="117"/>
      <c r="Y625" s="117"/>
      <c r="Z625" s="117"/>
      <c r="AA625" s="117"/>
      <c r="AB625" s="117"/>
      <c r="AC625" s="117"/>
      <c r="AD625" s="117"/>
      <c r="AE625" s="117"/>
      <c r="AF625" s="117"/>
    </row>
    <row r="626" ht="15.75" customHeight="1">
      <c r="A626" s="101" t="s">
        <v>5167</v>
      </c>
      <c r="B626" s="102">
        <v>6.0</v>
      </c>
      <c r="C626" s="28" t="s">
        <v>5232</v>
      </c>
      <c r="D626" s="261" t="s">
        <v>5233</v>
      </c>
      <c r="E626" s="261" t="s">
        <v>5234</v>
      </c>
      <c r="F626" s="117"/>
      <c r="G626" s="117"/>
      <c r="H626" s="117"/>
      <c r="I626" s="117"/>
      <c r="J626" s="117"/>
      <c r="K626" s="117"/>
      <c r="L626" s="117"/>
      <c r="M626" s="117"/>
      <c r="N626" s="117"/>
      <c r="O626" s="117"/>
      <c r="P626" s="117"/>
      <c r="Q626" s="117"/>
      <c r="R626" s="117"/>
      <c r="S626" s="117"/>
      <c r="T626" s="117"/>
      <c r="U626" s="117"/>
      <c r="V626" s="117"/>
      <c r="W626" s="117"/>
      <c r="X626" s="117"/>
      <c r="Y626" s="117"/>
      <c r="Z626" s="117"/>
      <c r="AA626" s="117"/>
      <c r="AB626" s="117"/>
      <c r="AC626" s="117"/>
      <c r="AD626" s="117"/>
      <c r="AE626" s="117"/>
      <c r="AF626" s="117"/>
    </row>
    <row r="627" ht="15.75" customHeight="1">
      <c r="A627" s="101" t="s">
        <v>5167</v>
      </c>
      <c r="B627" s="102">
        <v>7.0</v>
      </c>
      <c r="C627" s="28" t="s">
        <v>5242</v>
      </c>
      <c r="D627" s="261" t="s">
        <v>5244</v>
      </c>
      <c r="E627" s="261" t="s">
        <v>5246</v>
      </c>
      <c r="F627" s="117"/>
      <c r="G627" s="117"/>
      <c r="H627" s="117"/>
      <c r="I627" s="117"/>
      <c r="J627" s="117"/>
      <c r="K627" s="117"/>
      <c r="L627" s="117"/>
      <c r="M627" s="117"/>
      <c r="N627" s="117"/>
      <c r="O627" s="117"/>
      <c r="P627" s="117"/>
      <c r="Q627" s="117"/>
      <c r="R627" s="117"/>
      <c r="S627" s="117"/>
      <c r="T627" s="117"/>
      <c r="U627" s="117"/>
      <c r="V627" s="117"/>
      <c r="W627" s="117"/>
      <c r="X627" s="117"/>
      <c r="Y627" s="117"/>
      <c r="Z627" s="117"/>
      <c r="AA627" s="117"/>
      <c r="AB627" s="117"/>
      <c r="AC627" s="117"/>
      <c r="AD627" s="117"/>
      <c r="AE627" s="117"/>
      <c r="AF627" s="117"/>
    </row>
    <row r="628" ht="15.75" customHeight="1">
      <c r="A628" s="101" t="s">
        <v>5167</v>
      </c>
      <c r="B628" s="102">
        <v>8.0</v>
      </c>
      <c r="C628" s="28" t="s">
        <v>5255</v>
      </c>
      <c r="D628" s="261" t="s">
        <v>5256</v>
      </c>
      <c r="E628" s="261" t="s">
        <v>5257</v>
      </c>
      <c r="F628" s="117"/>
      <c r="G628" s="117"/>
      <c r="H628" s="117"/>
      <c r="I628" s="117"/>
      <c r="J628" s="117"/>
      <c r="K628" s="117"/>
      <c r="L628" s="117"/>
      <c r="M628" s="117"/>
      <c r="N628" s="117"/>
      <c r="O628" s="117"/>
      <c r="P628" s="117"/>
      <c r="Q628" s="117"/>
      <c r="R628" s="117"/>
      <c r="S628" s="117"/>
      <c r="T628" s="117"/>
      <c r="U628" s="117"/>
      <c r="V628" s="117"/>
      <c r="W628" s="117"/>
      <c r="X628" s="117"/>
      <c r="Y628" s="117"/>
      <c r="Z628" s="117"/>
      <c r="AA628" s="117"/>
      <c r="AB628" s="117"/>
      <c r="AC628" s="117"/>
      <c r="AD628" s="117"/>
      <c r="AE628" s="117"/>
      <c r="AF628" s="117"/>
    </row>
    <row r="629" ht="15.75" customHeight="1">
      <c r="A629" s="101" t="s">
        <v>5167</v>
      </c>
      <c r="B629" s="102">
        <v>9.0</v>
      </c>
      <c r="C629" s="28" t="s">
        <v>5266</v>
      </c>
      <c r="D629" s="261" t="s">
        <v>5268</v>
      </c>
      <c r="E629" s="261" t="s">
        <v>5270</v>
      </c>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c r="AB629" s="117"/>
      <c r="AC629" s="117"/>
      <c r="AD629" s="117"/>
      <c r="AE629" s="117"/>
      <c r="AF629" s="117"/>
    </row>
    <row r="630" ht="15.75" customHeight="1">
      <c r="A630" s="101" t="s">
        <v>5167</v>
      </c>
      <c r="B630" s="276">
        <v>-777.0</v>
      </c>
      <c r="C630" s="28" t="s">
        <v>491</v>
      </c>
      <c r="D630" s="270" t="s">
        <v>492</v>
      </c>
      <c r="E630" s="270" t="s">
        <v>493</v>
      </c>
      <c r="F630" s="117"/>
      <c r="G630" s="117"/>
      <c r="H630" s="117"/>
      <c r="I630" s="117"/>
      <c r="J630" s="117"/>
      <c r="K630" s="117"/>
      <c r="L630" s="117"/>
      <c r="M630" s="117"/>
      <c r="N630" s="117"/>
      <c r="O630" s="117"/>
      <c r="P630" s="117"/>
      <c r="Q630" s="117"/>
      <c r="R630" s="117"/>
      <c r="S630" s="117"/>
      <c r="T630" s="117"/>
      <c r="U630" s="117"/>
      <c r="V630" s="117"/>
      <c r="W630" s="117"/>
      <c r="X630" s="117"/>
      <c r="Y630" s="117"/>
      <c r="Z630" s="117"/>
      <c r="AA630" s="117"/>
      <c r="AB630" s="117"/>
      <c r="AC630" s="117"/>
      <c r="AD630" s="117"/>
      <c r="AE630" s="117"/>
      <c r="AF630" s="117"/>
    </row>
    <row r="631" ht="15.75" customHeight="1">
      <c r="A631" s="277"/>
      <c r="B631" s="277"/>
      <c r="C631" s="278"/>
      <c r="D631" s="277"/>
      <c r="E631" s="277"/>
      <c r="F631" s="212"/>
      <c r="G631" s="212"/>
      <c r="H631" s="212"/>
      <c r="I631" s="212"/>
      <c r="J631" s="212"/>
      <c r="K631" s="212"/>
      <c r="L631" s="212"/>
      <c r="M631" s="212"/>
      <c r="N631" s="212"/>
      <c r="O631" s="212"/>
      <c r="P631" s="212"/>
      <c r="Q631" s="212"/>
      <c r="R631" s="212"/>
      <c r="S631" s="212"/>
      <c r="T631" s="212"/>
      <c r="U631" s="212"/>
      <c r="V631" s="212"/>
      <c r="W631" s="212"/>
      <c r="X631" s="212"/>
      <c r="Y631" s="212"/>
      <c r="Z631" s="212"/>
      <c r="AA631" s="212"/>
      <c r="AB631" s="212"/>
      <c r="AC631" s="212"/>
      <c r="AD631" s="212"/>
      <c r="AE631" s="212"/>
      <c r="AF631" s="212"/>
    </row>
    <row r="632" ht="15.75" customHeight="1">
      <c r="A632" s="210" t="s">
        <v>5293</v>
      </c>
      <c r="B632" s="209">
        <v>1.0</v>
      </c>
      <c r="C632" s="115" t="s">
        <v>5295</v>
      </c>
      <c r="D632" s="261" t="s">
        <v>5298</v>
      </c>
      <c r="E632" s="261" t="s">
        <v>5300</v>
      </c>
      <c r="F632" s="212"/>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c r="AE632" s="212"/>
      <c r="AF632" s="212"/>
    </row>
    <row r="633" ht="15.75" customHeight="1">
      <c r="A633" s="101" t="s">
        <v>5293</v>
      </c>
      <c r="B633" s="102">
        <v>2.0</v>
      </c>
      <c r="C633" s="28" t="s">
        <v>5304</v>
      </c>
      <c r="D633" s="261" t="s">
        <v>5306</v>
      </c>
      <c r="E633" s="261" t="s">
        <v>5307</v>
      </c>
      <c r="F633" s="117"/>
      <c r="G633" s="117"/>
      <c r="H633" s="117"/>
      <c r="I633" s="117"/>
      <c r="J633" s="117"/>
      <c r="K633" s="117"/>
      <c r="L633" s="117"/>
      <c r="M633" s="117"/>
      <c r="N633" s="117"/>
      <c r="O633" s="117"/>
      <c r="P633" s="117"/>
      <c r="Q633" s="117"/>
      <c r="R633" s="117"/>
      <c r="S633" s="117"/>
      <c r="T633" s="117"/>
      <c r="U633" s="117"/>
      <c r="V633" s="117"/>
      <c r="W633" s="117"/>
      <c r="X633" s="117"/>
      <c r="Y633" s="117"/>
      <c r="Z633" s="117"/>
      <c r="AA633" s="117"/>
      <c r="AB633" s="117"/>
      <c r="AC633" s="117"/>
      <c r="AD633" s="117"/>
      <c r="AE633" s="117"/>
      <c r="AF633" s="117"/>
    </row>
    <row r="634" ht="15.75" customHeight="1">
      <c r="A634" s="101" t="s">
        <v>5293</v>
      </c>
      <c r="B634" s="102">
        <v>3.0</v>
      </c>
      <c r="C634" s="28" t="s">
        <v>1758</v>
      </c>
      <c r="D634" s="28" t="s">
        <v>1759</v>
      </c>
      <c r="E634" s="28" t="s">
        <v>1760</v>
      </c>
      <c r="F634" s="117"/>
      <c r="G634" s="117"/>
      <c r="H634" s="117"/>
      <c r="I634" s="117"/>
      <c r="J634" s="117"/>
      <c r="K634" s="117"/>
      <c r="L634" s="117"/>
      <c r="M634" s="117"/>
      <c r="N634" s="117"/>
      <c r="O634" s="117"/>
      <c r="P634" s="117"/>
      <c r="Q634" s="117"/>
      <c r="R634" s="117"/>
      <c r="S634" s="117"/>
      <c r="T634" s="117"/>
      <c r="U634" s="117"/>
      <c r="V634" s="117"/>
      <c r="W634" s="117"/>
      <c r="X634" s="117"/>
      <c r="Y634" s="117"/>
      <c r="Z634" s="117"/>
      <c r="AA634" s="117"/>
      <c r="AB634" s="117"/>
      <c r="AC634" s="117"/>
      <c r="AD634" s="117"/>
      <c r="AE634" s="117"/>
      <c r="AF634" s="117"/>
    </row>
    <row r="635" ht="15.75" customHeight="1">
      <c r="A635" s="101" t="s">
        <v>5293</v>
      </c>
      <c r="B635" s="102">
        <v>4.0</v>
      </c>
      <c r="C635" s="28" t="s">
        <v>1770</v>
      </c>
      <c r="D635" s="28" t="s">
        <v>1771</v>
      </c>
      <c r="E635" s="28" t="s">
        <v>1772</v>
      </c>
      <c r="F635" s="117"/>
      <c r="G635" s="117"/>
      <c r="H635" s="117"/>
      <c r="I635" s="117"/>
      <c r="J635" s="117"/>
      <c r="K635" s="117"/>
      <c r="L635" s="117"/>
      <c r="M635" s="117"/>
      <c r="N635" s="117"/>
      <c r="O635" s="117"/>
      <c r="P635" s="117"/>
      <c r="Q635" s="117"/>
      <c r="R635" s="117"/>
      <c r="S635" s="117"/>
      <c r="T635" s="117"/>
      <c r="U635" s="117"/>
      <c r="V635" s="117"/>
      <c r="W635" s="117"/>
      <c r="X635" s="117"/>
      <c r="Y635" s="117"/>
      <c r="Z635" s="117"/>
      <c r="AA635" s="117"/>
      <c r="AB635" s="117"/>
      <c r="AC635" s="117"/>
      <c r="AD635" s="117"/>
      <c r="AE635" s="117"/>
      <c r="AF635" s="117"/>
    </row>
    <row r="636" ht="15.75" customHeight="1">
      <c r="A636" s="101" t="s">
        <v>5293</v>
      </c>
      <c r="B636" s="102">
        <v>5.0</v>
      </c>
      <c r="C636" s="28" t="s">
        <v>1779</v>
      </c>
      <c r="D636" s="28" t="s">
        <v>1779</v>
      </c>
      <c r="E636" s="28" t="s">
        <v>1780</v>
      </c>
      <c r="F636" s="117"/>
      <c r="G636" s="117"/>
      <c r="H636" s="117"/>
      <c r="I636" s="117"/>
      <c r="J636" s="117"/>
      <c r="K636" s="117"/>
      <c r="L636" s="117"/>
      <c r="M636" s="117"/>
      <c r="N636" s="117"/>
      <c r="O636" s="117"/>
      <c r="P636" s="117"/>
      <c r="Q636" s="117"/>
      <c r="R636" s="117"/>
      <c r="S636" s="117"/>
      <c r="T636" s="117"/>
      <c r="U636" s="117"/>
      <c r="V636" s="117"/>
      <c r="W636" s="117"/>
      <c r="X636" s="117"/>
      <c r="Y636" s="117"/>
      <c r="Z636" s="117"/>
      <c r="AA636" s="117"/>
      <c r="AB636" s="117"/>
      <c r="AC636" s="117"/>
      <c r="AD636" s="117"/>
      <c r="AE636" s="117"/>
      <c r="AF636" s="117"/>
    </row>
    <row r="637" ht="15.75" customHeight="1">
      <c r="A637" s="101" t="s">
        <v>5293</v>
      </c>
      <c r="B637" s="102">
        <v>6.0</v>
      </c>
      <c r="C637" s="28" t="s">
        <v>1783</v>
      </c>
      <c r="D637" s="28" t="s">
        <v>1784</v>
      </c>
      <c r="E637" s="28" t="s">
        <v>1786</v>
      </c>
      <c r="F637" s="117"/>
      <c r="G637" s="117"/>
      <c r="H637" s="117"/>
      <c r="I637" s="117"/>
      <c r="J637" s="117"/>
      <c r="K637" s="117"/>
      <c r="L637" s="117"/>
      <c r="M637" s="117"/>
      <c r="N637" s="117"/>
      <c r="O637" s="117"/>
      <c r="P637" s="117"/>
      <c r="Q637" s="117"/>
      <c r="R637" s="117"/>
      <c r="S637" s="117"/>
      <c r="T637" s="117"/>
      <c r="U637" s="117"/>
      <c r="V637" s="117"/>
      <c r="W637" s="117"/>
      <c r="X637" s="117"/>
      <c r="Y637" s="117"/>
      <c r="Z637" s="117"/>
      <c r="AA637" s="117"/>
      <c r="AB637" s="117"/>
      <c r="AC637" s="117"/>
      <c r="AD637" s="117"/>
      <c r="AE637" s="117"/>
      <c r="AF637" s="117"/>
    </row>
    <row r="638" ht="15.75" customHeight="1">
      <c r="A638" s="101" t="s">
        <v>5293</v>
      </c>
      <c r="B638" s="102">
        <v>7.0</v>
      </c>
      <c r="C638" s="28" t="s">
        <v>1794</v>
      </c>
      <c r="D638" s="28" t="s">
        <v>1796</v>
      </c>
      <c r="E638" s="28" t="s">
        <v>1799</v>
      </c>
      <c r="F638" s="117"/>
      <c r="G638" s="117"/>
      <c r="H638" s="117"/>
      <c r="I638" s="117"/>
      <c r="J638" s="117"/>
      <c r="K638" s="117"/>
      <c r="L638" s="117"/>
      <c r="M638" s="117"/>
      <c r="N638" s="117"/>
      <c r="O638" s="117"/>
      <c r="P638" s="117"/>
      <c r="Q638" s="117"/>
      <c r="R638" s="117"/>
      <c r="S638" s="117"/>
      <c r="T638" s="117"/>
      <c r="U638" s="117"/>
      <c r="V638" s="117"/>
      <c r="W638" s="117"/>
      <c r="X638" s="117"/>
      <c r="Y638" s="117"/>
      <c r="Z638" s="117"/>
      <c r="AA638" s="117"/>
      <c r="AB638" s="117"/>
      <c r="AC638" s="117"/>
      <c r="AD638" s="117"/>
      <c r="AE638" s="117"/>
      <c r="AF638" s="117"/>
    </row>
    <row r="639" ht="15.75" customHeight="1">
      <c r="A639" s="101" t="s">
        <v>5293</v>
      </c>
      <c r="B639" s="102">
        <v>8.0</v>
      </c>
      <c r="C639" s="28" t="s">
        <v>1804</v>
      </c>
      <c r="D639" s="28" t="s">
        <v>1805</v>
      </c>
      <c r="E639" s="28" t="s">
        <v>1806</v>
      </c>
      <c r="F639" s="117"/>
      <c r="G639" s="117"/>
      <c r="H639" s="117"/>
      <c r="I639" s="117"/>
      <c r="J639" s="117"/>
      <c r="K639" s="117"/>
      <c r="L639" s="117"/>
      <c r="M639" s="117"/>
      <c r="N639" s="117"/>
      <c r="O639" s="117"/>
      <c r="P639" s="117"/>
      <c r="Q639" s="117"/>
      <c r="R639" s="117"/>
      <c r="S639" s="117"/>
      <c r="T639" s="117"/>
      <c r="U639" s="117"/>
      <c r="V639" s="117"/>
      <c r="W639" s="117"/>
      <c r="X639" s="117"/>
      <c r="Y639" s="117"/>
      <c r="Z639" s="117"/>
      <c r="AA639" s="117"/>
      <c r="AB639" s="117"/>
      <c r="AC639" s="117"/>
      <c r="AD639" s="117"/>
      <c r="AE639" s="117"/>
      <c r="AF639" s="117"/>
    </row>
    <row r="640" ht="15.75" customHeight="1">
      <c r="A640" s="101" t="s">
        <v>5293</v>
      </c>
      <c r="B640" s="102">
        <v>9.0</v>
      </c>
      <c r="C640" s="28" t="s">
        <v>1814</v>
      </c>
      <c r="D640" s="28" t="s">
        <v>1815</v>
      </c>
      <c r="E640" s="28" t="s">
        <v>1816</v>
      </c>
      <c r="F640" s="117"/>
      <c r="G640" s="117"/>
      <c r="H640" s="117"/>
      <c r="I640" s="117"/>
      <c r="J640" s="117"/>
      <c r="K640" s="117"/>
      <c r="L640" s="117"/>
      <c r="M640" s="117"/>
      <c r="N640" s="117"/>
      <c r="O640" s="117"/>
      <c r="P640" s="117"/>
      <c r="Q640" s="117"/>
      <c r="R640" s="117"/>
      <c r="S640" s="117"/>
      <c r="T640" s="117"/>
      <c r="U640" s="117"/>
      <c r="V640" s="117"/>
      <c r="W640" s="117"/>
      <c r="X640" s="117"/>
      <c r="Y640" s="117"/>
      <c r="Z640" s="117"/>
      <c r="AA640" s="117"/>
      <c r="AB640" s="117"/>
      <c r="AC640" s="117"/>
      <c r="AD640" s="117"/>
      <c r="AE640" s="117"/>
      <c r="AF640" s="117"/>
    </row>
    <row r="641" ht="15.75" customHeight="1">
      <c r="A641" s="101" t="s">
        <v>5293</v>
      </c>
      <c r="B641" s="102">
        <v>10.0</v>
      </c>
      <c r="C641" s="28" t="s">
        <v>1824</v>
      </c>
      <c r="D641" s="28" t="s">
        <v>1826</v>
      </c>
      <c r="E641" s="28" t="s">
        <v>1828</v>
      </c>
      <c r="F641" s="117"/>
      <c r="G641" s="117"/>
      <c r="H641" s="117"/>
      <c r="I641" s="117"/>
      <c r="J641" s="117"/>
      <c r="K641" s="117"/>
      <c r="L641" s="117"/>
      <c r="M641" s="117"/>
      <c r="N641" s="117"/>
      <c r="O641" s="117"/>
      <c r="P641" s="117"/>
      <c r="Q641" s="117"/>
      <c r="R641" s="117"/>
      <c r="S641" s="117"/>
      <c r="T641" s="117"/>
      <c r="U641" s="117"/>
      <c r="V641" s="117"/>
      <c r="W641" s="117"/>
      <c r="X641" s="117"/>
      <c r="Y641" s="117"/>
      <c r="Z641" s="117"/>
      <c r="AA641" s="117"/>
      <c r="AB641" s="117"/>
      <c r="AC641" s="117"/>
      <c r="AD641" s="117"/>
      <c r="AE641" s="117"/>
      <c r="AF641" s="117"/>
    </row>
    <row r="642" ht="15.75" customHeight="1">
      <c r="A642" s="101" t="s">
        <v>5293</v>
      </c>
      <c r="B642" s="102">
        <v>11.0</v>
      </c>
      <c r="C642" s="28" t="s">
        <v>1837</v>
      </c>
      <c r="D642" s="28" t="s">
        <v>1838</v>
      </c>
      <c r="E642" s="28" t="s">
        <v>1840</v>
      </c>
      <c r="F642" s="117"/>
      <c r="G642" s="117"/>
      <c r="H642" s="117"/>
      <c r="I642" s="117"/>
      <c r="J642" s="117"/>
      <c r="K642" s="117"/>
      <c r="L642" s="117"/>
      <c r="M642" s="117"/>
      <c r="N642" s="117"/>
      <c r="O642" s="117"/>
      <c r="P642" s="117"/>
      <c r="Q642" s="117"/>
      <c r="R642" s="117"/>
      <c r="S642" s="117"/>
      <c r="T642" s="117"/>
      <c r="U642" s="117"/>
      <c r="V642" s="117"/>
      <c r="W642" s="117"/>
      <c r="X642" s="117"/>
      <c r="Y642" s="117"/>
      <c r="Z642" s="117"/>
      <c r="AA642" s="117"/>
      <c r="AB642" s="117"/>
      <c r="AC642" s="117"/>
      <c r="AD642" s="117"/>
      <c r="AE642" s="117"/>
      <c r="AF642" s="117"/>
    </row>
    <row r="643" ht="15.75" customHeight="1">
      <c r="A643" s="101" t="s">
        <v>5293</v>
      </c>
      <c r="B643" s="102">
        <v>12.0</v>
      </c>
      <c r="C643" s="28" t="s">
        <v>1841</v>
      </c>
      <c r="D643" s="28" t="s">
        <v>1843</v>
      </c>
      <c r="E643" s="28" t="s">
        <v>1845</v>
      </c>
      <c r="F643" s="117"/>
      <c r="G643" s="117"/>
      <c r="H643" s="117"/>
      <c r="I643" s="117"/>
      <c r="J643" s="117"/>
      <c r="K643" s="117"/>
      <c r="L643" s="117"/>
      <c r="M643" s="117"/>
      <c r="N643" s="117"/>
      <c r="O643" s="117"/>
      <c r="P643" s="117"/>
      <c r="Q643" s="117"/>
      <c r="R643" s="117"/>
      <c r="S643" s="117"/>
      <c r="T643" s="117"/>
      <c r="U643" s="117"/>
      <c r="V643" s="117"/>
      <c r="W643" s="117"/>
      <c r="X643" s="117"/>
      <c r="Y643" s="117"/>
      <c r="Z643" s="117"/>
      <c r="AA643" s="117"/>
      <c r="AB643" s="117"/>
      <c r="AC643" s="117"/>
      <c r="AD643" s="117"/>
      <c r="AE643" s="117"/>
      <c r="AF643" s="117"/>
    </row>
    <row r="644" ht="15.75" customHeight="1">
      <c r="A644" s="101" t="s">
        <v>5293</v>
      </c>
      <c r="B644" s="102">
        <v>13.0</v>
      </c>
      <c r="C644" s="28" t="s">
        <v>1850</v>
      </c>
      <c r="D644" s="28" t="s">
        <v>1852</v>
      </c>
      <c r="E644" s="28" t="s">
        <v>1854</v>
      </c>
      <c r="F644" s="117"/>
      <c r="G644" s="117"/>
      <c r="H644" s="117"/>
      <c r="I644" s="117"/>
      <c r="J644" s="117"/>
      <c r="K644" s="117"/>
      <c r="L644" s="117"/>
      <c r="M644" s="117"/>
      <c r="N644" s="117"/>
      <c r="O644" s="117"/>
      <c r="P644" s="117"/>
      <c r="Q644" s="117"/>
      <c r="R644" s="117"/>
      <c r="S644" s="117"/>
      <c r="T644" s="117"/>
      <c r="U644" s="117"/>
      <c r="V644" s="117"/>
      <c r="W644" s="117"/>
      <c r="X644" s="117"/>
      <c r="Y644" s="117"/>
      <c r="Z644" s="117"/>
      <c r="AA644" s="117"/>
      <c r="AB644" s="117"/>
      <c r="AC644" s="117"/>
      <c r="AD644" s="117"/>
      <c r="AE644" s="117"/>
      <c r="AF644" s="117"/>
    </row>
    <row r="645" ht="15.75" customHeight="1">
      <c r="A645" s="101" t="s">
        <v>5293</v>
      </c>
      <c r="B645" s="102">
        <v>14.0</v>
      </c>
      <c r="C645" s="28" t="s">
        <v>1859</v>
      </c>
      <c r="D645" s="28" t="s">
        <v>1860</v>
      </c>
      <c r="E645" s="28" t="s">
        <v>1861</v>
      </c>
      <c r="F645" s="117"/>
      <c r="G645" s="117"/>
      <c r="H645" s="117"/>
      <c r="I645" s="117"/>
      <c r="J645" s="117"/>
      <c r="K645" s="117"/>
      <c r="L645" s="117"/>
      <c r="M645" s="117"/>
      <c r="N645" s="117"/>
      <c r="O645" s="117"/>
      <c r="P645" s="117"/>
      <c r="Q645" s="117"/>
      <c r="R645" s="117"/>
      <c r="S645" s="117"/>
      <c r="T645" s="117"/>
      <c r="U645" s="117"/>
      <c r="V645" s="117"/>
      <c r="W645" s="117"/>
      <c r="X645" s="117"/>
      <c r="Y645" s="117"/>
      <c r="Z645" s="117"/>
      <c r="AA645" s="117"/>
      <c r="AB645" s="117"/>
      <c r="AC645" s="117"/>
      <c r="AD645" s="117"/>
      <c r="AE645" s="117"/>
      <c r="AF645" s="117"/>
    </row>
    <row r="646" ht="15.75" customHeight="1">
      <c r="A646" s="101" t="s">
        <v>5293</v>
      </c>
      <c r="B646" s="102">
        <v>-777.0</v>
      </c>
      <c r="C646" s="101" t="s">
        <v>491</v>
      </c>
      <c r="D646" s="99" t="s">
        <v>492</v>
      </c>
      <c r="E646" s="99" t="s">
        <v>493</v>
      </c>
      <c r="F646" s="117"/>
      <c r="G646" s="117"/>
      <c r="H646" s="117"/>
      <c r="I646" s="117"/>
      <c r="J646" s="117"/>
      <c r="K646" s="117"/>
      <c r="L646" s="117"/>
      <c r="M646" s="117"/>
      <c r="N646" s="117"/>
      <c r="O646" s="117"/>
      <c r="P646" s="117"/>
      <c r="Q646" s="117"/>
      <c r="R646" s="117"/>
      <c r="S646" s="117"/>
      <c r="T646" s="117"/>
      <c r="U646" s="117"/>
      <c r="V646" s="117"/>
      <c r="W646" s="117"/>
      <c r="X646" s="117"/>
      <c r="Y646" s="117"/>
      <c r="Z646" s="117"/>
      <c r="AA646" s="117"/>
      <c r="AB646" s="117"/>
      <c r="AC646" s="117"/>
      <c r="AD646" s="117"/>
      <c r="AE646" s="117"/>
      <c r="AF646" s="117"/>
    </row>
    <row r="647" ht="15.75" customHeight="1">
      <c r="A647" s="101"/>
      <c r="B647" s="102"/>
      <c r="C647" s="101"/>
      <c r="D647" s="101"/>
      <c r="E647" s="151"/>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row>
    <row r="648" ht="15.75" customHeight="1">
      <c r="A648" s="101"/>
      <c r="B648" s="102"/>
      <c r="C648" s="101"/>
      <c r="D648" s="101"/>
      <c r="E648" s="151"/>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row>
    <row r="649" ht="15.75" customHeight="1">
      <c r="A649" s="101"/>
      <c r="B649" s="102"/>
      <c r="C649" s="101"/>
      <c r="D649" s="101"/>
      <c r="E649" s="151"/>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row>
    <row r="650" ht="15.75" customHeight="1">
      <c r="A650" s="101"/>
      <c r="B650" s="102"/>
      <c r="C650" s="101"/>
      <c r="D650" s="101"/>
      <c r="E650" s="151"/>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row>
    <row r="651" ht="15.75" customHeight="1">
      <c r="A651" s="101"/>
      <c r="B651" s="102"/>
      <c r="C651" s="101"/>
      <c r="D651" s="101"/>
      <c r="E651" s="151"/>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row>
    <row r="652" ht="15.75" customHeight="1">
      <c r="A652" s="101"/>
      <c r="B652" s="102"/>
      <c r="C652" s="101"/>
      <c r="D652" s="101"/>
      <c r="E652" s="151"/>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row>
    <row r="653" ht="15.75" customHeight="1">
      <c r="A653" s="101"/>
      <c r="B653" s="102"/>
      <c r="C653" s="101"/>
      <c r="D653" s="101"/>
      <c r="E653" s="151"/>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row>
    <row r="654" ht="15.75" customHeight="1">
      <c r="A654" s="101"/>
      <c r="B654" s="102"/>
      <c r="C654" s="101"/>
      <c r="D654" s="101"/>
      <c r="E654" s="151"/>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row>
    <row r="655" ht="15.75" customHeight="1">
      <c r="A655" s="101"/>
      <c r="B655" s="102"/>
      <c r="C655" s="101"/>
      <c r="D655" s="101"/>
      <c r="E655" s="151"/>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row>
    <row r="656" ht="15.75" customHeight="1">
      <c r="A656" s="101"/>
      <c r="B656" s="102"/>
      <c r="C656" s="101"/>
      <c r="D656" s="101"/>
      <c r="E656" s="151"/>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row>
    <row r="657" ht="15.75" customHeight="1">
      <c r="A657" s="101"/>
      <c r="B657" s="102"/>
      <c r="C657" s="101"/>
      <c r="D657" s="101"/>
      <c r="E657" s="151"/>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row>
    <row r="658" ht="15.75" customHeight="1">
      <c r="A658" s="101"/>
      <c r="B658" s="102"/>
      <c r="C658" s="101"/>
      <c r="D658" s="101"/>
      <c r="E658" s="151"/>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row>
    <row r="659" ht="15.75" customHeight="1">
      <c r="A659" s="101"/>
      <c r="B659" s="102"/>
      <c r="C659" s="101"/>
      <c r="D659" s="101"/>
      <c r="E659" s="151"/>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row>
    <row r="660" ht="15.75" customHeight="1">
      <c r="A660" s="101"/>
      <c r="B660" s="102"/>
      <c r="C660" s="101"/>
      <c r="D660" s="101"/>
      <c r="E660" s="151"/>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row>
    <row r="661" ht="15.75" customHeight="1">
      <c r="A661" s="101"/>
      <c r="B661" s="102"/>
      <c r="C661" s="101"/>
      <c r="D661" s="101"/>
      <c r="E661" s="151"/>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row>
    <row r="662" ht="15.75" customHeight="1">
      <c r="A662" s="101"/>
      <c r="B662" s="102"/>
      <c r="C662" s="101"/>
      <c r="D662" s="101"/>
      <c r="E662" s="151"/>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row>
    <row r="663" ht="15.75" customHeight="1">
      <c r="A663" s="101"/>
      <c r="B663" s="102"/>
      <c r="C663" s="101"/>
      <c r="D663" s="101"/>
      <c r="E663" s="151"/>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row>
    <row r="664" ht="15.75" customHeight="1">
      <c r="A664" s="101"/>
      <c r="B664" s="102"/>
      <c r="C664" s="101"/>
      <c r="D664" s="101"/>
      <c r="E664" s="151"/>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row>
    <row r="665" ht="15.75" customHeight="1">
      <c r="A665" s="101"/>
      <c r="B665" s="102"/>
      <c r="C665" s="101"/>
      <c r="D665" s="101"/>
      <c r="E665" s="151"/>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row>
    <row r="666" ht="15.75" customHeight="1">
      <c r="A666" s="101"/>
      <c r="B666" s="102"/>
      <c r="C666" s="101"/>
      <c r="D666" s="101"/>
      <c r="E666" s="151"/>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row>
    <row r="667" ht="15.75" customHeight="1">
      <c r="A667" s="101"/>
      <c r="B667" s="102"/>
      <c r="C667" s="101"/>
      <c r="D667" s="101"/>
      <c r="E667" s="151"/>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row>
    <row r="668" ht="15.75" customHeight="1">
      <c r="A668" s="101"/>
      <c r="B668" s="102"/>
      <c r="C668" s="101"/>
      <c r="D668" s="101"/>
      <c r="E668" s="151"/>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row>
    <row r="669" ht="15.75" customHeight="1">
      <c r="A669" s="101"/>
      <c r="B669" s="102"/>
      <c r="C669" s="101"/>
      <c r="D669" s="101"/>
      <c r="E669" s="151"/>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row>
    <row r="670" ht="15.75" customHeight="1">
      <c r="A670" s="101"/>
      <c r="B670" s="102"/>
      <c r="C670" s="101"/>
      <c r="D670" s="101"/>
      <c r="E670" s="151"/>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row>
    <row r="671" ht="15.75" customHeight="1">
      <c r="A671" s="101"/>
      <c r="B671" s="102"/>
      <c r="C671" s="101"/>
      <c r="D671" s="101"/>
      <c r="E671" s="151"/>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row>
    <row r="672" ht="15.75" customHeight="1">
      <c r="A672" s="101"/>
      <c r="B672" s="102"/>
      <c r="C672" s="101"/>
      <c r="D672" s="101"/>
      <c r="E672" s="151"/>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row>
    <row r="673" ht="15.75" customHeight="1">
      <c r="A673" s="101"/>
      <c r="B673" s="102"/>
      <c r="C673" s="101"/>
      <c r="D673" s="101"/>
      <c r="E673" s="151"/>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row>
    <row r="674" ht="15.75" customHeight="1">
      <c r="A674" s="101"/>
      <c r="B674" s="102"/>
      <c r="C674" s="101"/>
      <c r="D674" s="101"/>
      <c r="E674" s="151"/>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row>
    <row r="675" ht="15.75" customHeight="1">
      <c r="A675" s="101"/>
      <c r="B675" s="102"/>
      <c r="C675" s="101"/>
      <c r="D675" s="101"/>
      <c r="E675" s="151"/>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row>
    <row r="676" ht="15.75" customHeight="1">
      <c r="A676" s="101"/>
      <c r="B676" s="102"/>
      <c r="C676" s="101"/>
      <c r="D676" s="101"/>
      <c r="E676" s="151"/>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row>
    <row r="677" ht="15.75" customHeight="1">
      <c r="A677" s="101"/>
      <c r="B677" s="102"/>
      <c r="C677" s="101"/>
      <c r="D677" s="101"/>
      <c r="E677" s="151"/>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row>
    <row r="678" ht="15.75" customHeight="1">
      <c r="A678" s="101"/>
      <c r="B678" s="102"/>
      <c r="C678" s="101"/>
      <c r="D678" s="101"/>
      <c r="E678" s="151"/>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row>
    <row r="679" ht="15.75" customHeight="1">
      <c r="A679" s="101"/>
      <c r="B679" s="102"/>
      <c r="C679" s="101"/>
      <c r="D679" s="101"/>
      <c r="E679" s="151"/>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row>
    <row r="680" ht="15.75" customHeight="1">
      <c r="A680" s="101"/>
      <c r="B680" s="102"/>
      <c r="C680" s="101"/>
      <c r="D680" s="101"/>
      <c r="E680" s="151"/>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row>
    <row r="681" ht="15.75" customHeight="1">
      <c r="A681" s="101"/>
      <c r="B681" s="102"/>
      <c r="C681" s="101"/>
      <c r="D681" s="101"/>
      <c r="E681" s="151"/>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row>
    <row r="682" ht="15.75" customHeight="1">
      <c r="A682" s="101"/>
      <c r="B682" s="102"/>
      <c r="C682" s="101"/>
      <c r="D682" s="101"/>
      <c r="E682" s="151"/>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row>
    <row r="683" ht="15.75" customHeight="1">
      <c r="A683" s="101"/>
      <c r="B683" s="102"/>
      <c r="C683" s="101"/>
      <c r="D683" s="101"/>
      <c r="E683" s="151"/>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row>
    <row r="684" ht="15.75" customHeight="1">
      <c r="A684" s="101"/>
      <c r="B684" s="102"/>
      <c r="C684" s="101"/>
      <c r="D684" s="101"/>
      <c r="E684" s="151"/>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row>
    <row r="685" ht="15.75" customHeight="1">
      <c r="A685" s="101"/>
      <c r="B685" s="102"/>
      <c r="C685" s="101"/>
      <c r="D685" s="101"/>
      <c r="E685" s="151"/>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row>
    <row r="686" ht="15.75" customHeight="1">
      <c r="A686" s="101"/>
      <c r="B686" s="102"/>
      <c r="C686" s="101"/>
      <c r="D686" s="101"/>
      <c r="E686" s="151"/>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row>
    <row r="687" ht="15.75" customHeight="1">
      <c r="A687" s="101"/>
      <c r="B687" s="102"/>
      <c r="C687" s="101"/>
      <c r="D687" s="101"/>
      <c r="E687" s="151"/>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row>
    <row r="688" ht="15.75" customHeight="1">
      <c r="A688" s="101"/>
      <c r="B688" s="102"/>
      <c r="C688" s="101"/>
      <c r="D688" s="101"/>
      <c r="E688" s="151"/>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row>
    <row r="689" ht="15.75" customHeight="1">
      <c r="A689" s="101"/>
      <c r="B689" s="102"/>
      <c r="C689" s="101"/>
      <c r="D689" s="101"/>
      <c r="E689" s="151"/>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row>
    <row r="690" ht="15.75" customHeight="1">
      <c r="A690" s="101"/>
      <c r="B690" s="102"/>
      <c r="C690" s="101"/>
      <c r="D690" s="101"/>
      <c r="E690" s="151"/>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row>
    <row r="691" ht="15.75" customHeight="1">
      <c r="A691" s="101"/>
      <c r="B691" s="102"/>
      <c r="C691" s="101"/>
      <c r="D691" s="101"/>
      <c r="E691" s="151"/>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row>
    <row r="692" ht="15.75" customHeight="1">
      <c r="A692" s="101"/>
      <c r="B692" s="102"/>
      <c r="C692" s="101"/>
      <c r="D692" s="101"/>
      <c r="E692" s="151"/>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row>
    <row r="693" ht="15.75" customHeight="1">
      <c r="A693" s="101"/>
      <c r="B693" s="102"/>
      <c r="C693" s="101"/>
      <c r="D693" s="101"/>
      <c r="E693" s="151"/>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row>
    <row r="694" ht="15.75" customHeight="1">
      <c r="A694" s="101"/>
      <c r="B694" s="102"/>
      <c r="C694" s="101"/>
      <c r="D694" s="101"/>
      <c r="E694" s="151"/>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row>
    <row r="695" ht="15.75" customHeight="1">
      <c r="A695" s="101"/>
      <c r="B695" s="102"/>
      <c r="C695" s="101"/>
      <c r="D695" s="101"/>
      <c r="E695" s="151"/>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row>
    <row r="696" ht="15.75" customHeight="1">
      <c r="A696" s="101"/>
      <c r="B696" s="102"/>
      <c r="C696" s="101"/>
      <c r="D696" s="101"/>
      <c r="E696" s="151"/>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row>
    <row r="697" ht="15.75" customHeight="1">
      <c r="A697" s="101"/>
      <c r="B697" s="102"/>
      <c r="C697" s="101"/>
      <c r="D697" s="101"/>
      <c r="E697" s="151"/>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row>
    <row r="698" ht="15.75" customHeight="1">
      <c r="A698" s="101"/>
      <c r="B698" s="102"/>
      <c r="C698" s="101"/>
      <c r="D698" s="101"/>
      <c r="E698" s="151"/>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row>
    <row r="699" ht="15.75" customHeight="1">
      <c r="A699" s="101"/>
      <c r="B699" s="102"/>
      <c r="C699" s="101"/>
      <c r="D699" s="101"/>
      <c r="E699" s="151"/>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row>
    <row r="700" ht="15.75" customHeight="1">
      <c r="A700" s="101"/>
      <c r="B700" s="102"/>
      <c r="C700" s="101"/>
      <c r="D700" s="101"/>
      <c r="E700" s="151"/>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row>
    <row r="701" ht="15.75" customHeight="1">
      <c r="A701" s="101"/>
      <c r="B701" s="102"/>
      <c r="C701" s="101"/>
      <c r="D701" s="101"/>
      <c r="E701" s="151"/>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row>
    <row r="702" ht="15.75" customHeight="1">
      <c r="A702" s="101"/>
      <c r="B702" s="102"/>
      <c r="C702" s="101"/>
      <c r="D702" s="101"/>
      <c r="E702" s="151"/>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row>
    <row r="703" ht="15.75" customHeight="1">
      <c r="A703" s="101"/>
      <c r="B703" s="102"/>
      <c r="C703" s="101"/>
      <c r="D703" s="101"/>
      <c r="E703" s="151"/>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row>
    <row r="704" ht="15.75" customHeight="1">
      <c r="A704" s="101"/>
      <c r="B704" s="102"/>
      <c r="C704" s="101"/>
      <c r="D704" s="101"/>
      <c r="E704" s="151"/>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row>
    <row r="705" ht="15.75" customHeight="1">
      <c r="A705" s="101"/>
      <c r="B705" s="102"/>
      <c r="C705" s="101"/>
      <c r="D705" s="101"/>
      <c r="E705" s="151"/>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row>
    <row r="706" ht="15.75" customHeight="1">
      <c r="A706" s="101"/>
      <c r="B706" s="102"/>
      <c r="C706" s="101"/>
      <c r="D706" s="101"/>
      <c r="E706" s="151"/>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row>
    <row r="707" ht="15.75" customHeight="1">
      <c r="A707" s="101"/>
      <c r="B707" s="102"/>
      <c r="C707" s="101"/>
      <c r="D707" s="101"/>
      <c r="E707" s="151"/>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row>
    <row r="708" ht="15.75" customHeight="1">
      <c r="A708" s="101"/>
      <c r="B708" s="102"/>
      <c r="C708" s="101"/>
      <c r="D708" s="101"/>
      <c r="E708" s="151"/>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row>
    <row r="709" ht="15.75" customHeight="1">
      <c r="A709" s="101"/>
      <c r="B709" s="102"/>
      <c r="C709" s="101"/>
      <c r="D709" s="101"/>
      <c r="E709" s="151"/>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row>
    <row r="710" ht="15.75" customHeight="1">
      <c r="A710" s="101"/>
      <c r="B710" s="102"/>
      <c r="C710" s="101"/>
      <c r="D710" s="101"/>
      <c r="E710" s="151"/>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row>
    <row r="711" ht="15.75" customHeight="1">
      <c r="A711" s="101"/>
      <c r="B711" s="102"/>
      <c r="C711" s="101"/>
      <c r="D711" s="101"/>
      <c r="E711" s="151"/>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row>
    <row r="712" ht="15.75" customHeight="1">
      <c r="A712" s="101"/>
      <c r="B712" s="102"/>
      <c r="C712" s="101"/>
      <c r="D712" s="101"/>
      <c r="E712" s="151"/>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row>
    <row r="713" ht="15.75" customHeight="1">
      <c r="A713" s="101"/>
      <c r="B713" s="102"/>
      <c r="C713" s="101"/>
      <c r="D713" s="101"/>
      <c r="E713" s="151"/>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row>
    <row r="714" ht="15.75" customHeight="1">
      <c r="A714" s="101"/>
      <c r="B714" s="102"/>
      <c r="C714" s="101"/>
      <c r="D714" s="101"/>
      <c r="E714" s="151"/>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row>
    <row r="715" ht="15.75" customHeight="1">
      <c r="A715" s="101"/>
      <c r="B715" s="102"/>
      <c r="C715" s="101"/>
      <c r="D715" s="101"/>
      <c r="E715" s="151"/>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row>
    <row r="716" ht="15.75" customHeight="1">
      <c r="A716" s="101"/>
      <c r="B716" s="102"/>
      <c r="C716" s="101"/>
      <c r="D716" s="101"/>
      <c r="E716" s="151"/>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row>
    <row r="717" ht="15.75" customHeight="1">
      <c r="A717" s="101"/>
      <c r="B717" s="102"/>
      <c r="C717" s="101"/>
      <c r="D717" s="101"/>
      <c r="E717" s="151"/>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row>
    <row r="718" ht="15.75" customHeight="1">
      <c r="A718" s="101"/>
      <c r="B718" s="102"/>
      <c r="C718" s="101"/>
      <c r="D718" s="101"/>
      <c r="E718" s="151"/>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row>
    <row r="719" ht="15.75" customHeight="1">
      <c r="A719" s="101"/>
      <c r="B719" s="102"/>
      <c r="C719" s="101"/>
      <c r="D719" s="101"/>
      <c r="E719" s="151"/>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row>
    <row r="720" ht="15.75" customHeight="1">
      <c r="A720" s="101"/>
      <c r="B720" s="102"/>
      <c r="C720" s="101"/>
      <c r="D720" s="101"/>
      <c r="E720" s="151"/>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row>
    <row r="721" ht="15.75" customHeight="1">
      <c r="A721" s="101"/>
      <c r="B721" s="102"/>
      <c r="C721" s="101"/>
      <c r="D721" s="101"/>
      <c r="E721" s="151"/>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row>
    <row r="722" ht="15.75" customHeight="1">
      <c r="A722" s="101"/>
      <c r="B722" s="102"/>
      <c r="C722" s="101"/>
      <c r="D722" s="101"/>
      <c r="E722" s="151"/>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row>
    <row r="723" ht="15.75" customHeight="1">
      <c r="A723" s="101"/>
      <c r="B723" s="102"/>
      <c r="C723" s="101"/>
      <c r="D723" s="101"/>
      <c r="E723" s="151"/>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row>
    <row r="724" ht="15.75" customHeight="1">
      <c r="A724" s="101"/>
      <c r="B724" s="102"/>
      <c r="C724" s="101"/>
      <c r="D724" s="101"/>
      <c r="E724" s="151"/>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row>
    <row r="725" ht="15.75" customHeight="1">
      <c r="A725" s="101"/>
      <c r="B725" s="102"/>
      <c r="C725" s="101"/>
      <c r="D725" s="101"/>
      <c r="E725" s="151"/>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row>
    <row r="726" ht="15.75" customHeight="1">
      <c r="A726" s="101"/>
      <c r="B726" s="102"/>
      <c r="C726" s="101"/>
      <c r="D726" s="101"/>
      <c r="E726" s="151"/>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row>
    <row r="727" ht="15.75" customHeight="1">
      <c r="A727" s="101"/>
      <c r="B727" s="102"/>
      <c r="C727" s="101"/>
      <c r="D727" s="101"/>
      <c r="E727" s="151"/>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row>
    <row r="728" ht="15.75" customHeight="1">
      <c r="A728" s="101"/>
      <c r="B728" s="102"/>
      <c r="C728" s="101"/>
      <c r="D728" s="101"/>
      <c r="E728" s="151"/>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row>
    <row r="729" ht="15.75" customHeight="1">
      <c r="A729" s="101"/>
      <c r="B729" s="102"/>
      <c r="C729" s="101"/>
      <c r="D729" s="101"/>
      <c r="E729" s="151"/>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row>
    <row r="730" ht="15.75" customHeight="1">
      <c r="A730" s="101"/>
      <c r="B730" s="102"/>
      <c r="C730" s="101"/>
      <c r="D730" s="101"/>
      <c r="E730" s="151"/>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row>
    <row r="731" ht="15.75" customHeight="1">
      <c r="A731" s="101"/>
      <c r="B731" s="102"/>
      <c r="C731" s="101"/>
      <c r="D731" s="101"/>
      <c r="E731" s="151"/>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row>
    <row r="732" ht="15.75" customHeight="1">
      <c r="A732" s="101"/>
      <c r="B732" s="102"/>
      <c r="C732" s="101"/>
      <c r="D732" s="101"/>
      <c r="E732" s="151"/>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row>
    <row r="733" ht="15.75" customHeight="1">
      <c r="A733" s="101"/>
      <c r="B733" s="102"/>
      <c r="C733" s="101"/>
      <c r="D733" s="101"/>
      <c r="E733" s="151"/>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row>
    <row r="734" ht="15.75" customHeight="1">
      <c r="A734" s="101"/>
      <c r="B734" s="102"/>
      <c r="C734" s="101"/>
      <c r="D734" s="101"/>
      <c r="E734" s="151"/>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row>
    <row r="735" ht="15.75" customHeight="1">
      <c r="A735" s="101"/>
      <c r="B735" s="102"/>
      <c r="C735" s="101"/>
      <c r="D735" s="101"/>
      <c r="E735" s="151"/>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row>
    <row r="736" ht="15.75" customHeight="1">
      <c r="A736" s="101"/>
      <c r="B736" s="102"/>
      <c r="C736" s="101"/>
      <c r="D736" s="101"/>
      <c r="E736" s="151"/>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row>
    <row r="737" ht="15.75" customHeight="1">
      <c r="A737" s="101"/>
      <c r="B737" s="102"/>
      <c r="C737" s="101"/>
      <c r="D737" s="101"/>
      <c r="E737" s="151"/>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row>
    <row r="738" ht="15.75" customHeight="1">
      <c r="A738" s="101"/>
      <c r="B738" s="102"/>
      <c r="C738" s="101"/>
      <c r="D738" s="101"/>
      <c r="E738" s="151"/>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row>
    <row r="739" ht="15.75" customHeight="1">
      <c r="A739" s="101"/>
      <c r="B739" s="102"/>
      <c r="C739" s="101"/>
      <c r="D739" s="101"/>
      <c r="E739" s="151"/>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row>
    <row r="740" ht="15.75" customHeight="1">
      <c r="A740" s="101"/>
      <c r="B740" s="102"/>
      <c r="C740" s="101"/>
      <c r="D740" s="101"/>
      <c r="E740" s="151"/>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row>
    <row r="741" ht="15.75" customHeight="1">
      <c r="A741" s="101"/>
      <c r="B741" s="102"/>
      <c r="C741" s="101"/>
      <c r="D741" s="101"/>
      <c r="E741" s="151"/>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row>
    <row r="742" ht="15.75" customHeight="1">
      <c r="A742" s="101"/>
      <c r="B742" s="102"/>
      <c r="C742" s="101"/>
      <c r="D742" s="101"/>
      <c r="E742" s="151"/>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row>
    <row r="743" ht="15.75" customHeight="1">
      <c r="A743" s="101"/>
      <c r="B743" s="102"/>
      <c r="C743" s="101"/>
      <c r="D743" s="101"/>
      <c r="E743" s="151"/>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row>
    <row r="744" ht="15.75" customHeight="1">
      <c r="A744" s="101"/>
      <c r="B744" s="102"/>
      <c r="C744" s="101"/>
      <c r="D744" s="101"/>
      <c r="E744" s="151"/>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row>
    <row r="745" ht="15.75" customHeight="1">
      <c r="A745" s="101"/>
      <c r="B745" s="102"/>
      <c r="C745" s="101"/>
      <c r="D745" s="101"/>
      <c r="E745" s="151"/>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row>
    <row r="746" ht="15.75" customHeight="1">
      <c r="A746" s="101"/>
      <c r="B746" s="102"/>
      <c r="C746" s="101"/>
      <c r="D746" s="101"/>
      <c r="E746" s="151"/>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row>
    <row r="747" ht="15.75" customHeight="1">
      <c r="A747" s="101"/>
      <c r="B747" s="102"/>
      <c r="C747" s="101"/>
      <c r="D747" s="101"/>
      <c r="E747" s="151"/>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row>
    <row r="748" ht="15.75" customHeight="1">
      <c r="A748" s="101"/>
      <c r="B748" s="102"/>
      <c r="C748" s="101"/>
      <c r="D748" s="101"/>
      <c r="E748" s="151"/>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row>
    <row r="749" ht="15.75" customHeight="1">
      <c r="A749" s="101"/>
      <c r="B749" s="102"/>
      <c r="C749" s="101"/>
      <c r="D749" s="101"/>
      <c r="E749" s="151"/>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row>
    <row r="750" ht="15.75" customHeight="1">
      <c r="A750" s="101"/>
      <c r="B750" s="102"/>
      <c r="C750" s="101"/>
      <c r="D750" s="101"/>
      <c r="E750" s="151"/>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row>
    <row r="751" ht="15.75" customHeight="1">
      <c r="A751" s="101"/>
      <c r="B751" s="102"/>
      <c r="C751" s="101"/>
      <c r="D751" s="101"/>
      <c r="E751" s="151"/>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row>
    <row r="752" ht="15.75" customHeight="1">
      <c r="A752" s="101"/>
      <c r="B752" s="102"/>
      <c r="C752" s="101"/>
      <c r="D752" s="101"/>
      <c r="E752" s="151"/>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row>
    <row r="753" ht="15.75" customHeight="1">
      <c r="A753" s="101"/>
      <c r="B753" s="102"/>
      <c r="C753" s="101"/>
      <c r="D753" s="101"/>
      <c r="E753" s="151"/>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row>
    <row r="754" ht="15.75" customHeight="1">
      <c r="A754" s="101"/>
      <c r="B754" s="102"/>
      <c r="C754" s="101"/>
      <c r="D754" s="101"/>
      <c r="E754" s="151"/>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row>
    <row r="755" ht="15.75" customHeight="1">
      <c r="A755" s="101"/>
      <c r="B755" s="102"/>
      <c r="C755" s="101"/>
      <c r="D755" s="101"/>
      <c r="E755" s="151"/>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row>
    <row r="756" ht="15.75" customHeight="1">
      <c r="A756" s="101"/>
      <c r="B756" s="102"/>
      <c r="C756" s="101"/>
      <c r="D756" s="101"/>
      <c r="E756" s="151"/>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row>
    <row r="757" ht="15.75" customHeight="1">
      <c r="A757" s="101"/>
      <c r="B757" s="102"/>
      <c r="C757" s="101"/>
      <c r="D757" s="101"/>
      <c r="E757" s="151"/>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row>
    <row r="758" ht="15.75" customHeight="1">
      <c r="A758" s="101"/>
      <c r="B758" s="102"/>
      <c r="C758" s="101"/>
      <c r="D758" s="101"/>
      <c r="E758" s="151"/>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row>
    <row r="759" ht="15.75" customHeight="1">
      <c r="A759" s="101"/>
      <c r="B759" s="102"/>
      <c r="C759" s="101"/>
      <c r="D759" s="101"/>
      <c r="E759" s="151"/>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row>
    <row r="760" ht="15.75" customHeight="1">
      <c r="A760" s="101"/>
      <c r="B760" s="102"/>
      <c r="C760" s="101"/>
      <c r="D760" s="101"/>
      <c r="E760" s="151"/>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row>
    <row r="761" ht="15.75" customHeight="1">
      <c r="A761" s="101"/>
      <c r="B761" s="102"/>
      <c r="C761" s="101"/>
      <c r="D761" s="101"/>
      <c r="E761" s="151"/>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row>
    <row r="762" ht="15.75" customHeight="1">
      <c r="A762" s="101"/>
      <c r="B762" s="102"/>
      <c r="C762" s="101"/>
      <c r="D762" s="101"/>
      <c r="E762" s="151"/>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row>
    <row r="763" ht="15.75" customHeight="1">
      <c r="A763" s="101"/>
      <c r="B763" s="102"/>
      <c r="C763" s="101"/>
      <c r="D763" s="101"/>
      <c r="E763" s="151"/>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row>
    <row r="764" ht="15.75" customHeight="1">
      <c r="A764" s="101"/>
      <c r="B764" s="102"/>
      <c r="C764" s="101"/>
      <c r="D764" s="101"/>
      <c r="E764" s="151"/>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row>
    <row r="765" ht="15.75" customHeight="1">
      <c r="A765" s="101"/>
      <c r="B765" s="102"/>
      <c r="C765" s="101"/>
      <c r="D765" s="101"/>
      <c r="E765" s="151"/>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row>
    <row r="766" ht="15.75" customHeight="1">
      <c r="A766" s="101"/>
      <c r="B766" s="102"/>
      <c r="C766" s="101"/>
      <c r="D766" s="101"/>
      <c r="E766" s="151"/>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row>
    <row r="767" ht="15.75" customHeight="1">
      <c r="A767" s="101"/>
      <c r="B767" s="102"/>
      <c r="C767" s="101"/>
      <c r="D767" s="101"/>
      <c r="E767" s="151"/>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row>
    <row r="768" ht="15.75" customHeight="1">
      <c r="A768" s="101"/>
      <c r="B768" s="102"/>
      <c r="C768" s="101"/>
      <c r="D768" s="101"/>
      <c r="E768" s="151"/>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row>
    <row r="769" ht="15.75" customHeight="1">
      <c r="A769" s="101"/>
      <c r="B769" s="102"/>
      <c r="C769" s="101"/>
      <c r="D769" s="101"/>
      <c r="E769" s="151"/>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row>
    <row r="770" ht="15.75" customHeight="1">
      <c r="A770" s="101"/>
      <c r="B770" s="102"/>
      <c r="C770" s="101"/>
      <c r="D770" s="101"/>
      <c r="E770" s="151"/>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row>
    <row r="771" ht="15.75" customHeight="1">
      <c r="A771" s="101"/>
      <c r="B771" s="102"/>
      <c r="C771" s="101"/>
      <c r="D771" s="101"/>
      <c r="E771" s="151"/>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row>
    <row r="772" ht="15.75" customHeight="1">
      <c r="A772" s="101"/>
      <c r="B772" s="102"/>
      <c r="C772" s="101"/>
      <c r="D772" s="101"/>
      <c r="E772" s="151"/>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row>
    <row r="773" ht="15.75" customHeight="1">
      <c r="A773" s="101"/>
      <c r="B773" s="102"/>
      <c r="C773" s="101"/>
      <c r="D773" s="101"/>
      <c r="E773" s="151"/>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row>
    <row r="774" ht="15.75" customHeight="1">
      <c r="A774" s="101"/>
      <c r="B774" s="102"/>
      <c r="C774" s="101"/>
      <c r="D774" s="101"/>
      <c r="E774" s="151"/>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row>
    <row r="775" ht="15.75" customHeight="1">
      <c r="A775" s="101"/>
      <c r="B775" s="102"/>
      <c r="C775" s="101"/>
      <c r="D775" s="101"/>
      <c r="E775" s="151"/>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row>
    <row r="776" ht="15.75" customHeight="1">
      <c r="A776" s="101"/>
      <c r="B776" s="102"/>
      <c r="C776" s="101"/>
      <c r="D776" s="101"/>
      <c r="E776" s="151"/>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row>
    <row r="777" ht="15.75" customHeight="1">
      <c r="A777" s="101"/>
      <c r="B777" s="102"/>
      <c r="C777" s="101"/>
      <c r="D777" s="101"/>
      <c r="E777" s="151"/>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row>
    <row r="778" ht="15.75" customHeight="1">
      <c r="A778" s="101"/>
      <c r="B778" s="102"/>
      <c r="C778" s="101"/>
      <c r="D778" s="101"/>
      <c r="E778" s="151"/>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row>
    <row r="779" ht="15.75" customHeight="1">
      <c r="A779" s="101"/>
      <c r="B779" s="102"/>
      <c r="C779" s="101"/>
      <c r="D779" s="101"/>
      <c r="E779" s="151"/>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row>
    <row r="780" ht="15.75" customHeight="1">
      <c r="A780" s="101"/>
      <c r="B780" s="102"/>
      <c r="C780" s="101"/>
      <c r="D780" s="101"/>
      <c r="E780" s="151"/>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row>
    <row r="781" ht="15.75" customHeight="1">
      <c r="A781" s="101"/>
      <c r="B781" s="102"/>
      <c r="C781" s="101"/>
      <c r="D781" s="101"/>
      <c r="E781" s="151"/>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row>
    <row r="782" ht="15.75" customHeight="1">
      <c r="A782" s="101"/>
      <c r="B782" s="102"/>
      <c r="C782" s="101"/>
      <c r="D782" s="101"/>
      <c r="E782" s="151"/>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row>
    <row r="783" ht="15.75" customHeight="1">
      <c r="A783" s="101"/>
      <c r="B783" s="102"/>
      <c r="C783" s="101"/>
      <c r="D783" s="101"/>
      <c r="E783" s="151"/>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row>
    <row r="784" ht="15.75" customHeight="1">
      <c r="A784" s="101"/>
      <c r="B784" s="102"/>
      <c r="C784" s="101"/>
      <c r="D784" s="101"/>
      <c r="E784" s="151"/>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row>
    <row r="785" ht="15.75" customHeight="1">
      <c r="A785" s="101"/>
      <c r="B785" s="102"/>
      <c r="C785" s="101"/>
      <c r="D785" s="101"/>
      <c r="E785" s="151"/>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row>
    <row r="786" ht="15.75" customHeight="1">
      <c r="A786" s="101"/>
      <c r="B786" s="102"/>
      <c r="C786" s="101"/>
      <c r="D786" s="101"/>
      <c r="E786" s="151"/>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row>
    <row r="787" ht="15.75" customHeight="1">
      <c r="A787" s="101"/>
      <c r="B787" s="102"/>
      <c r="C787" s="101"/>
      <c r="D787" s="101"/>
      <c r="E787" s="151"/>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row>
    <row r="788" ht="15.75" customHeight="1">
      <c r="A788" s="101"/>
      <c r="B788" s="102"/>
      <c r="C788" s="101"/>
      <c r="D788" s="101"/>
      <c r="E788" s="151"/>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row>
    <row r="789" ht="15.75" customHeight="1">
      <c r="A789" s="101"/>
      <c r="B789" s="102"/>
      <c r="C789" s="101"/>
      <c r="D789" s="101"/>
      <c r="E789" s="151"/>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row>
    <row r="790" ht="15.75" customHeight="1">
      <c r="A790" s="101"/>
      <c r="B790" s="102"/>
      <c r="C790" s="101"/>
      <c r="D790" s="101"/>
      <c r="E790" s="151"/>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row>
    <row r="791" ht="15.75" customHeight="1">
      <c r="A791" s="101"/>
      <c r="B791" s="102"/>
      <c r="C791" s="101"/>
      <c r="D791" s="101"/>
      <c r="E791" s="151"/>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row>
    <row r="792" ht="15.75" customHeight="1">
      <c r="A792" s="101"/>
      <c r="B792" s="102"/>
      <c r="C792" s="101"/>
      <c r="D792" s="101"/>
      <c r="E792" s="151"/>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row>
    <row r="793" ht="15.75" customHeight="1">
      <c r="A793" s="101"/>
      <c r="B793" s="102"/>
      <c r="C793" s="101"/>
      <c r="D793" s="101"/>
      <c r="E793" s="151"/>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row>
    <row r="794" ht="15.75" customHeight="1">
      <c r="A794" s="101"/>
      <c r="B794" s="102"/>
      <c r="C794" s="101"/>
      <c r="D794" s="101"/>
      <c r="E794" s="151"/>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row>
    <row r="795" ht="15.75" customHeight="1">
      <c r="A795" s="101"/>
      <c r="B795" s="102"/>
      <c r="C795" s="101"/>
      <c r="D795" s="101"/>
      <c r="E795" s="151"/>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row>
    <row r="796" ht="15.75" customHeight="1">
      <c r="A796" s="101"/>
      <c r="B796" s="102"/>
      <c r="C796" s="101"/>
      <c r="D796" s="101"/>
      <c r="E796" s="151"/>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row>
    <row r="797" ht="15.75" customHeight="1">
      <c r="A797" s="101"/>
      <c r="B797" s="102"/>
      <c r="C797" s="101"/>
      <c r="D797" s="101"/>
      <c r="E797" s="151"/>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row>
    <row r="798" ht="15.75" customHeight="1">
      <c r="A798" s="101"/>
      <c r="B798" s="102"/>
      <c r="C798" s="101"/>
      <c r="D798" s="101"/>
      <c r="E798" s="151"/>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row>
    <row r="799" ht="15.75" customHeight="1">
      <c r="A799" s="101"/>
      <c r="B799" s="102"/>
      <c r="C799" s="101"/>
      <c r="D799" s="101"/>
      <c r="E799" s="151"/>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row>
    <row r="800" ht="15.75" customHeight="1">
      <c r="A800" s="101"/>
      <c r="B800" s="102"/>
      <c r="C800" s="101"/>
      <c r="D800" s="101"/>
      <c r="E800" s="151"/>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row>
    <row r="801" ht="15.75" customHeight="1">
      <c r="A801" s="101"/>
      <c r="B801" s="102"/>
      <c r="C801" s="101"/>
      <c r="D801" s="101"/>
      <c r="E801" s="151"/>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row>
    <row r="802" ht="15.75" customHeight="1">
      <c r="A802" s="101"/>
      <c r="B802" s="102"/>
      <c r="C802" s="101"/>
      <c r="D802" s="101"/>
      <c r="E802" s="151"/>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row>
    <row r="803" ht="15.75" customHeight="1">
      <c r="A803" s="101"/>
      <c r="B803" s="102"/>
      <c r="C803" s="101"/>
      <c r="D803" s="101"/>
      <c r="E803" s="151"/>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row>
    <row r="804" ht="15.75" customHeight="1">
      <c r="A804" s="101"/>
      <c r="B804" s="102"/>
      <c r="C804" s="101"/>
      <c r="D804" s="101"/>
      <c r="E804" s="151"/>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row>
    <row r="805" ht="15.75" customHeight="1">
      <c r="A805" s="101"/>
      <c r="B805" s="102"/>
      <c r="C805" s="101"/>
      <c r="D805" s="101"/>
      <c r="E805" s="151"/>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row>
    <row r="806" ht="15.75" customHeight="1">
      <c r="A806" s="101"/>
      <c r="B806" s="102"/>
      <c r="C806" s="101"/>
      <c r="D806" s="101"/>
      <c r="E806" s="151"/>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row>
    <row r="807" ht="15.75" customHeight="1">
      <c r="A807" s="101"/>
      <c r="B807" s="102"/>
      <c r="C807" s="101"/>
      <c r="D807" s="101"/>
      <c r="E807" s="151"/>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row>
    <row r="808" ht="15.75" customHeight="1">
      <c r="A808" s="101"/>
      <c r="B808" s="102"/>
      <c r="C808" s="101"/>
      <c r="D808" s="101"/>
      <c r="E808" s="151"/>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row>
    <row r="809" ht="15.75" customHeight="1">
      <c r="A809" s="101"/>
      <c r="B809" s="102"/>
      <c r="C809" s="101"/>
      <c r="D809" s="101"/>
      <c r="E809" s="151"/>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row>
    <row r="810" ht="15.75" customHeight="1">
      <c r="A810" s="101"/>
      <c r="B810" s="102"/>
      <c r="C810" s="101"/>
      <c r="D810" s="101"/>
      <c r="E810" s="151"/>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row>
    <row r="811" ht="15.75" customHeight="1">
      <c r="A811" s="101"/>
      <c r="B811" s="102"/>
      <c r="C811" s="101"/>
      <c r="D811" s="101"/>
      <c r="E811" s="151"/>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row>
    <row r="812" ht="15.75" customHeight="1">
      <c r="A812" s="101"/>
      <c r="B812" s="102"/>
      <c r="C812" s="101"/>
      <c r="D812" s="101"/>
      <c r="E812" s="151"/>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row>
    <row r="813" ht="15.75" customHeight="1">
      <c r="A813" s="101"/>
      <c r="B813" s="102"/>
      <c r="C813" s="101"/>
      <c r="D813" s="101"/>
      <c r="E813" s="151"/>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row>
    <row r="814" ht="15.75" customHeight="1">
      <c r="A814" s="101"/>
      <c r="B814" s="102"/>
      <c r="C814" s="101"/>
      <c r="D814" s="101"/>
      <c r="E814" s="151"/>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row>
    <row r="815" ht="15.75" customHeight="1">
      <c r="A815" s="101"/>
      <c r="B815" s="102"/>
      <c r="C815" s="101"/>
      <c r="D815" s="101"/>
      <c r="E815" s="151"/>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row>
    <row r="816" ht="15.75" customHeight="1">
      <c r="A816" s="101"/>
      <c r="B816" s="102"/>
      <c r="C816" s="101"/>
      <c r="D816" s="101"/>
      <c r="E816" s="151"/>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row>
    <row r="817" ht="15.75" customHeight="1">
      <c r="A817" s="101"/>
      <c r="B817" s="102"/>
      <c r="C817" s="101"/>
      <c r="D817" s="101"/>
      <c r="E817" s="151"/>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row>
    <row r="818" ht="15.75" customHeight="1">
      <c r="A818" s="101"/>
      <c r="B818" s="102"/>
      <c r="C818" s="101"/>
      <c r="D818" s="101"/>
      <c r="E818" s="151"/>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row>
    <row r="819" ht="15.75" customHeight="1">
      <c r="A819" s="101"/>
      <c r="B819" s="102"/>
      <c r="C819" s="101"/>
      <c r="D819" s="101"/>
      <c r="E819" s="151"/>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row>
    <row r="820" ht="15.75" customHeight="1">
      <c r="A820" s="101"/>
      <c r="B820" s="102"/>
      <c r="C820" s="101"/>
      <c r="D820" s="101"/>
      <c r="E820" s="151"/>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row>
    <row r="821" ht="15.75" customHeight="1">
      <c r="A821" s="101"/>
      <c r="B821" s="102"/>
      <c r="C821" s="101"/>
      <c r="D821" s="101"/>
      <c r="E821" s="151"/>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row>
    <row r="822" ht="15.75" customHeight="1">
      <c r="A822" s="101"/>
      <c r="B822" s="102"/>
      <c r="C822" s="101"/>
      <c r="D822" s="101"/>
      <c r="E822" s="151"/>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row>
    <row r="823" ht="15.75" customHeight="1">
      <c r="A823" s="101"/>
      <c r="B823" s="102"/>
      <c r="C823" s="101"/>
      <c r="D823" s="101"/>
      <c r="E823" s="151"/>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row>
    <row r="824" ht="15.75" customHeight="1">
      <c r="A824" s="101"/>
      <c r="B824" s="102"/>
      <c r="C824" s="101"/>
      <c r="D824" s="101"/>
      <c r="E824" s="151"/>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row>
    <row r="825" ht="15.75" customHeight="1">
      <c r="A825" s="101"/>
      <c r="B825" s="102"/>
      <c r="C825" s="101"/>
      <c r="D825" s="101"/>
      <c r="E825" s="151"/>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row>
    <row r="826" ht="15.75" customHeight="1">
      <c r="A826" s="101"/>
      <c r="B826" s="102"/>
      <c r="C826" s="101"/>
      <c r="D826" s="101"/>
      <c r="E826" s="151"/>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row>
    <row r="827" ht="15.75" customHeight="1">
      <c r="A827" s="101"/>
      <c r="B827" s="102"/>
      <c r="C827" s="101"/>
      <c r="D827" s="101"/>
      <c r="E827" s="151"/>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row>
    <row r="828" ht="15.75" customHeight="1">
      <c r="A828" s="101"/>
      <c r="B828" s="102"/>
      <c r="C828" s="101"/>
      <c r="D828" s="101"/>
      <c r="E828" s="151"/>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row>
    <row r="829" ht="15.75" customHeight="1">
      <c r="A829" s="101"/>
      <c r="B829" s="102"/>
      <c r="C829" s="101"/>
      <c r="D829" s="101"/>
      <c r="E829" s="151"/>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row>
    <row r="830" ht="15.75" customHeight="1">
      <c r="A830" s="101"/>
      <c r="B830" s="102"/>
      <c r="C830" s="101"/>
      <c r="D830" s="101"/>
      <c r="E830" s="151"/>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row>
    <row r="831" ht="15.75" customHeight="1">
      <c r="A831" s="101"/>
      <c r="B831" s="102"/>
      <c r="C831" s="101"/>
      <c r="D831" s="101"/>
      <c r="E831" s="151"/>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row>
    <row r="832" ht="15.75" customHeight="1">
      <c r="A832" s="101"/>
      <c r="B832" s="102"/>
      <c r="C832" s="101"/>
      <c r="D832" s="101"/>
      <c r="E832" s="151"/>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row>
    <row r="833" ht="15.75" customHeight="1">
      <c r="A833" s="101"/>
      <c r="B833" s="102"/>
      <c r="C833" s="101"/>
      <c r="D833" s="101"/>
      <c r="E833" s="151"/>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row>
    <row r="834" ht="15.75" customHeight="1">
      <c r="A834" s="101"/>
      <c r="B834" s="102"/>
      <c r="C834" s="101"/>
      <c r="D834" s="101"/>
      <c r="E834" s="151"/>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row>
    <row r="835" ht="15.75" customHeight="1">
      <c r="A835" s="101"/>
      <c r="B835" s="102"/>
      <c r="C835" s="101"/>
      <c r="D835" s="101"/>
      <c r="E835" s="151"/>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row>
    <row r="836" ht="15.75" customHeight="1">
      <c r="A836" s="101"/>
      <c r="B836" s="102"/>
      <c r="C836" s="101"/>
      <c r="D836" s="101"/>
      <c r="E836" s="151"/>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row>
    <row r="837" ht="15.75" customHeight="1">
      <c r="A837" s="101"/>
      <c r="B837" s="102"/>
      <c r="C837" s="101"/>
      <c r="D837" s="101"/>
      <c r="E837" s="151"/>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row>
    <row r="838" ht="15.75" customHeight="1">
      <c r="A838" s="101"/>
      <c r="B838" s="102"/>
      <c r="C838" s="101"/>
      <c r="D838" s="101"/>
      <c r="E838" s="151"/>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row>
    <row r="839" ht="15.75" customHeight="1">
      <c r="A839" s="101"/>
      <c r="B839" s="102"/>
      <c r="C839" s="101"/>
      <c r="D839" s="101"/>
      <c r="E839" s="151"/>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row>
    <row r="840" ht="15.75" customHeight="1">
      <c r="A840" s="101"/>
      <c r="B840" s="102"/>
      <c r="C840" s="101"/>
      <c r="D840" s="101"/>
      <c r="E840" s="151"/>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row>
    <row r="841" ht="15.75" customHeight="1">
      <c r="A841" s="101"/>
      <c r="B841" s="102"/>
      <c r="C841" s="101"/>
      <c r="D841" s="101"/>
      <c r="E841" s="151"/>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row>
    <row r="842" ht="15.75" customHeight="1">
      <c r="A842" s="101"/>
      <c r="B842" s="102"/>
      <c r="C842" s="101"/>
      <c r="D842" s="101"/>
      <c r="E842" s="151"/>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row>
    <row r="843" ht="15.75" customHeight="1">
      <c r="A843" s="101"/>
      <c r="B843" s="102"/>
      <c r="C843" s="101"/>
      <c r="D843" s="101"/>
      <c r="E843" s="151"/>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row>
    <row r="844" ht="15.75" customHeight="1">
      <c r="A844" s="101"/>
      <c r="B844" s="102"/>
      <c r="C844" s="101"/>
      <c r="D844" s="101"/>
      <c r="E844" s="151"/>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row>
    <row r="845" ht="15.75" customHeight="1">
      <c r="A845" s="101"/>
      <c r="B845" s="102"/>
      <c r="C845" s="101"/>
      <c r="D845" s="101"/>
      <c r="E845" s="151"/>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row>
    <row r="846" ht="15.75" customHeight="1">
      <c r="A846" s="101"/>
      <c r="B846" s="102"/>
      <c r="C846" s="101"/>
      <c r="D846" s="101"/>
      <c r="E846" s="151"/>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row>
    <row r="847" ht="15.75" customHeight="1">
      <c r="A847" s="101"/>
      <c r="B847" s="102"/>
      <c r="C847" s="101"/>
      <c r="D847" s="101"/>
      <c r="E847" s="151"/>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row>
    <row r="848" ht="15.75" customHeight="1">
      <c r="A848" s="101"/>
      <c r="B848" s="102"/>
      <c r="C848" s="101"/>
      <c r="D848" s="101"/>
      <c r="E848" s="151"/>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row>
    <row r="849" ht="15.75" customHeight="1">
      <c r="A849" s="101"/>
      <c r="B849" s="102"/>
      <c r="C849" s="101"/>
      <c r="D849" s="101"/>
      <c r="E849" s="151"/>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row>
    <row r="850" ht="15.75" customHeight="1">
      <c r="A850" s="101"/>
      <c r="B850" s="102"/>
      <c r="C850" s="101"/>
      <c r="D850" s="101"/>
      <c r="E850" s="151"/>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row>
    <row r="851" ht="15.75" customHeight="1">
      <c r="A851" s="101"/>
      <c r="B851" s="102"/>
      <c r="C851" s="101"/>
      <c r="D851" s="101"/>
      <c r="E851" s="151"/>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row>
    <row r="852" ht="15.75" customHeight="1">
      <c r="A852" s="101"/>
      <c r="B852" s="102"/>
      <c r="C852" s="101"/>
      <c r="D852" s="101"/>
      <c r="E852" s="151"/>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row>
    <row r="853" ht="15.75" customHeight="1">
      <c r="A853" s="101"/>
      <c r="B853" s="102"/>
      <c r="C853" s="101"/>
      <c r="D853" s="101"/>
      <c r="E853" s="151"/>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row>
    <row r="854" ht="15.75" customHeight="1">
      <c r="A854" s="101"/>
      <c r="B854" s="102"/>
      <c r="C854" s="101"/>
      <c r="D854" s="101"/>
      <c r="E854" s="151"/>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row>
    <row r="855" ht="15.75" customHeight="1">
      <c r="A855" s="101"/>
      <c r="B855" s="102"/>
      <c r="C855" s="101"/>
      <c r="D855" s="101"/>
      <c r="E855" s="151"/>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row>
    <row r="856" ht="15.75" customHeight="1">
      <c r="A856" s="101"/>
      <c r="B856" s="102"/>
      <c r="C856" s="101"/>
      <c r="D856" s="101"/>
      <c r="E856" s="151"/>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row>
    <row r="857" ht="15.75" customHeight="1">
      <c r="A857" s="101"/>
      <c r="B857" s="102"/>
      <c r="C857" s="101"/>
      <c r="D857" s="101"/>
      <c r="E857" s="151"/>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row>
    <row r="858" ht="15.75" customHeight="1">
      <c r="A858" s="101"/>
      <c r="B858" s="102"/>
      <c r="C858" s="101"/>
      <c r="D858" s="101"/>
      <c r="E858" s="151"/>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row>
    <row r="859" ht="15.75" customHeight="1">
      <c r="A859" s="101"/>
      <c r="B859" s="102"/>
      <c r="C859" s="101"/>
      <c r="D859" s="101"/>
      <c r="E859" s="151"/>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row>
    <row r="860" ht="15.75" customHeight="1">
      <c r="A860" s="101"/>
      <c r="B860" s="102"/>
      <c r="C860" s="101"/>
      <c r="D860" s="101"/>
      <c r="E860" s="151"/>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row>
    <row r="861" ht="15.75" customHeight="1">
      <c r="A861" s="101"/>
      <c r="B861" s="102"/>
      <c r="C861" s="101"/>
      <c r="D861" s="101"/>
      <c r="E861" s="151"/>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row>
    <row r="862" ht="15.75" customHeight="1">
      <c r="A862" s="101"/>
      <c r="B862" s="102"/>
      <c r="C862" s="101"/>
      <c r="D862" s="101"/>
      <c r="E862" s="151"/>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row>
    <row r="863" ht="15.75" customHeight="1">
      <c r="A863" s="101"/>
      <c r="B863" s="102"/>
      <c r="C863" s="101"/>
      <c r="D863" s="101"/>
      <c r="E863" s="151"/>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row>
    <row r="864" ht="15.75" customHeight="1">
      <c r="A864" s="101"/>
      <c r="B864" s="102"/>
      <c r="C864" s="101"/>
      <c r="D864" s="101"/>
      <c r="E864" s="151"/>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row>
    <row r="865" ht="15.75" customHeight="1">
      <c r="A865" s="101"/>
      <c r="B865" s="102"/>
      <c r="C865" s="101"/>
      <c r="D865" s="101"/>
      <c r="E865" s="151"/>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row>
    <row r="866" ht="15.75" customHeight="1">
      <c r="A866" s="101"/>
      <c r="B866" s="102"/>
      <c r="C866" s="101"/>
      <c r="D866" s="101"/>
      <c r="E866" s="151"/>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row>
    <row r="867" ht="15.75" customHeight="1">
      <c r="A867" s="101"/>
      <c r="B867" s="102"/>
      <c r="C867" s="101"/>
      <c r="D867" s="101"/>
      <c r="E867" s="151"/>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row>
    <row r="868" ht="15.75" customHeight="1">
      <c r="A868" s="101"/>
      <c r="B868" s="102"/>
      <c r="C868" s="101"/>
      <c r="D868" s="101"/>
      <c r="E868" s="151"/>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row>
    <row r="869" ht="15.75" customHeight="1">
      <c r="A869" s="101"/>
      <c r="B869" s="102"/>
      <c r="C869" s="101"/>
      <c r="D869" s="101"/>
      <c r="E869" s="151"/>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row>
    <row r="870" ht="15.75" customHeight="1">
      <c r="A870" s="101"/>
      <c r="B870" s="102"/>
      <c r="C870" s="101"/>
      <c r="D870" s="101"/>
      <c r="E870" s="151"/>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row>
    <row r="871" ht="15.75" customHeight="1">
      <c r="A871" s="101"/>
      <c r="B871" s="102"/>
      <c r="C871" s="101"/>
      <c r="D871" s="101"/>
      <c r="E871" s="151"/>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row>
    <row r="872" ht="15.75" customHeight="1">
      <c r="A872" s="101"/>
      <c r="B872" s="102"/>
      <c r="C872" s="101"/>
      <c r="D872" s="101"/>
      <c r="E872" s="151"/>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row>
    <row r="873" ht="15.75" customHeight="1">
      <c r="A873" s="101"/>
      <c r="B873" s="102"/>
      <c r="C873" s="101"/>
      <c r="D873" s="101"/>
      <c r="E873" s="151"/>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row>
    <row r="874" ht="15.75" customHeight="1">
      <c r="A874" s="101"/>
      <c r="B874" s="102"/>
      <c r="C874" s="101"/>
      <c r="D874" s="101"/>
      <c r="E874" s="151"/>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row>
    <row r="875" ht="15.75" customHeight="1">
      <c r="A875" s="101"/>
      <c r="B875" s="102"/>
      <c r="C875" s="101"/>
      <c r="D875" s="101"/>
      <c r="E875" s="151"/>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row>
    <row r="876" ht="15.75" customHeight="1">
      <c r="A876" s="101"/>
      <c r="B876" s="102"/>
      <c r="C876" s="101"/>
      <c r="D876" s="101"/>
      <c r="E876" s="151"/>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row>
    <row r="877" ht="15.75" customHeight="1">
      <c r="A877" s="101"/>
      <c r="B877" s="102"/>
      <c r="C877" s="101"/>
      <c r="D877" s="101"/>
      <c r="E877" s="151"/>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row>
    <row r="878" ht="15.75" customHeight="1">
      <c r="A878" s="101"/>
      <c r="B878" s="102"/>
      <c r="C878" s="101"/>
      <c r="D878" s="101"/>
      <c r="E878" s="151"/>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row>
    <row r="879" ht="15.75" customHeight="1">
      <c r="A879" s="101"/>
      <c r="B879" s="102"/>
      <c r="C879" s="101"/>
      <c r="D879" s="101"/>
      <c r="E879" s="151"/>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row>
    <row r="880" ht="15.75" customHeight="1">
      <c r="A880" s="101"/>
      <c r="B880" s="102"/>
      <c r="C880" s="101"/>
      <c r="D880" s="101"/>
      <c r="E880" s="151"/>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row>
    <row r="881" ht="15.75" customHeight="1">
      <c r="A881" s="101"/>
      <c r="B881" s="102"/>
      <c r="C881" s="101"/>
      <c r="D881" s="101"/>
      <c r="E881" s="151"/>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row>
    <row r="882" ht="15.75" customHeight="1">
      <c r="A882" s="101"/>
      <c r="B882" s="102"/>
      <c r="C882" s="101"/>
      <c r="D882" s="101"/>
      <c r="E882" s="151"/>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row>
    <row r="883" ht="15.75" customHeight="1">
      <c r="A883" s="101"/>
      <c r="B883" s="102"/>
      <c r="C883" s="101"/>
      <c r="D883" s="101"/>
      <c r="E883" s="151"/>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row>
    <row r="884" ht="15.75" customHeight="1">
      <c r="A884" s="101"/>
      <c r="B884" s="102"/>
      <c r="C884" s="101"/>
      <c r="D884" s="101"/>
      <c r="E884" s="151"/>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row>
    <row r="885" ht="15.75" customHeight="1">
      <c r="A885" s="101"/>
      <c r="B885" s="102"/>
      <c r="C885" s="101"/>
      <c r="D885" s="101"/>
      <c r="E885" s="151"/>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row>
    <row r="886" ht="15.75" customHeight="1">
      <c r="A886" s="101"/>
      <c r="B886" s="102"/>
      <c r="C886" s="101"/>
      <c r="D886" s="101"/>
      <c r="E886" s="151"/>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row>
    <row r="887" ht="15.75" customHeight="1">
      <c r="A887" s="101"/>
      <c r="B887" s="102"/>
      <c r="C887" s="101"/>
      <c r="D887" s="101"/>
      <c r="E887" s="151"/>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row>
    <row r="888" ht="15.75" customHeight="1">
      <c r="A888" s="101"/>
      <c r="B888" s="102"/>
      <c r="C888" s="101"/>
      <c r="D888" s="101"/>
      <c r="E888" s="151"/>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row>
    <row r="889" ht="15.75" customHeight="1">
      <c r="A889" s="101"/>
      <c r="B889" s="102"/>
      <c r="C889" s="101"/>
      <c r="D889" s="101"/>
      <c r="E889" s="151"/>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row>
    <row r="890" ht="15.75" customHeight="1">
      <c r="A890" s="101"/>
      <c r="B890" s="102"/>
      <c r="C890" s="101"/>
      <c r="D890" s="101"/>
      <c r="E890" s="151"/>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row>
    <row r="891" ht="15.75" customHeight="1">
      <c r="A891" s="101"/>
      <c r="B891" s="102"/>
      <c r="C891" s="101"/>
      <c r="D891" s="101"/>
      <c r="E891" s="151"/>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row>
    <row r="892" ht="15.75" customHeight="1">
      <c r="A892" s="101"/>
      <c r="B892" s="102"/>
      <c r="C892" s="101"/>
      <c r="D892" s="101"/>
      <c r="E892" s="151"/>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row>
    <row r="893" ht="15.75" customHeight="1">
      <c r="A893" s="101"/>
      <c r="B893" s="102"/>
      <c r="C893" s="101"/>
      <c r="D893" s="101"/>
      <c r="E893" s="151"/>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row>
    <row r="894" ht="15.75" customHeight="1">
      <c r="A894" s="101"/>
      <c r="B894" s="102"/>
      <c r="C894" s="101"/>
      <c r="D894" s="101"/>
      <c r="E894" s="151"/>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row>
    <row r="895" ht="15.75" customHeight="1">
      <c r="A895" s="101"/>
      <c r="B895" s="102"/>
      <c r="C895" s="101"/>
      <c r="D895" s="101"/>
      <c r="E895" s="151"/>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row>
    <row r="896" ht="15.75" customHeight="1">
      <c r="A896" s="101"/>
      <c r="B896" s="102"/>
      <c r="C896" s="101"/>
      <c r="D896" s="101"/>
      <c r="E896" s="151"/>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row>
    <row r="897" ht="15.75" customHeight="1">
      <c r="A897" s="101"/>
      <c r="B897" s="102"/>
      <c r="C897" s="101"/>
      <c r="D897" s="101"/>
      <c r="E897" s="151"/>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row>
    <row r="898" ht="15.75" customHeight="1">
      <c r="A898" s="101"/>
      <c r="B898" s="102"/>
      <c r="C898" s="101"/>
      <c r="D898" s="101"/>
      <c r="E898" s="151"/>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row>
    <row r="899" ht="15.75" customHeight="1">
      <c r="A899" s="101"/>
      <c r="B899" s="102"/>
      <c r="C899" s="101"/>
      <c r="D899" s="101"/>
      <c r="E899" s="151"/>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row>
    <row r="900" ht="15.75" customHeight="1">
      <c r="A900" s="101"/>
      <c r="B900" s="102"/>
      <c r="C900" s="101"/>
      <c r="D900" s="101"/>
      <c r="E900" s="151"/>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row>
    <row r="901" ht="15.75" customHeight="1">
      <c r="A901" s="101"/>
      <c r="B901" s="102"/>
      <c r="C901" s="101"/>
      <c r="D901" s="101"/>
      <c r="E901" s="151"/>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row>
    <row r="902" ht="15.75" customHeight="1">
      <c r="A902" s="101"/>
      <c r="B902" s="102"/>
      <c r="C902" s="101"/>
      <c r="D902" s="101"/>
      <c r="E902" s="151"/>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row>
    <row r="903" ht="15.75" customHeight="1">
      <c r="A903" s="101"/>
      <c r="B903" s="102"/>
      <c r="C903" s="101"/>
      <c r="D903" s="101"/>
      <c r="E903" s="151"/>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row>
    <row r="904" ht="15.75" customHeight="1">
      <c r="A904" s="101"/>
      <c r="B904" s="102"/>
      <c r="C904" s="101"/>
      <c r="D904" s="101"/>
      <c r="E904" s="151"/>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row>
    <row r="905" ht="15.75" customHeight="1">
      <c r="A905" s="101"/>
      <c r="B905" s="102"/>
      <c r="C905" s="101"/>
      <c r="D905" s="101"/>
      <c r="E905" s="151"/>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row>
    <row r="906" ht="15.75" customHeight="1">
      <c r="A906" s="101"/>
      <c r="B906" s="102"/>
      <c r="C906" s="101"/>
      <c r="D906" s="101"/>
      <c r="E906" s="151"/>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row>
    <row r="907" ht="15.75" customHeight="1">
      <c r="A907" s="101"/>
      <c r="B907" s="102"/>
      <c r="C907" s="101"/>
      <c r="D907" s="101"/>
      <c r="E907" s="151"/>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row>
    <row r="908" ht="15.75" customHeight="1">
      <c r="A908" s="101"/>
      <c r="B908" s="102"/>
      <c r="C908" s="101"/>
      <c r="D908" s="101"/>
      <c r="E908" s="151"/>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row>
    <row r="909" ht="15.75" customHeight="1">
      <c r="A909" s="101"/>
      <c r="B909" s="102"/>
      <c r="C909" s="101"/>
      <c r="D909" s="101"/>
      <c r="E909" s="151"/>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row>
    <row r="910" ht="15.75" customHeight="1">
      <c r="A910" s="101"/>
      <c r="B910" s="102"/>
      <c r="C910" s="101"/>
      <c r="D910" s="101"/>
      <c r="E910" s="151"/>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row>
    <row r="911" ht="15.75" customHeight="1">
      <c r="A911" s="101"/>
      <c r="B911" s="102"/>
      <c r="C911" s="101"/>
      <c r="D911" s="101"/>
      <c r="E911" s="151"/>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row>
    <row r="912" ht="15.75" customHeight="1">
      <c r="A912" s="101"/>
      <c r="B912" s="102"/>
      <c r="C912" s="101"/>
      <c r="D912" s="101"/>
      <c r="E912" s="151"/>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row>
    <row r="913" ht="15.75" customHeight="1">
      <c r="A913" s="101"/>
      <c r="B913" s="102"/>
      <c r="C913" s="101"/>
      <c r="D913" s="101"/>
      <c r="E913" s="151"/>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row>
    <row r="914" ht="15.75" customHeight="1">
      <c r="A914" s="101"/>
      <c r="B914" s="102"/>
      <c r="C914" s="101"/>
      <c r="D914" s="101"/>
      <c r="E914" s="151"/>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row>
    <row r="915" ht="15.75" customHeight="1">
      <c r="A915" s="101"/>
      <c r="B915" s="102"/>
      <c r="C915" s="101"/>
      <c r="D915" s="101"/>
      <c r="E915" s="151"/>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row>
    <row r="916" ht="15.75" customHeight="1">
      <c r="A916" s="101"/>
      <c r="B916" s="102"/>
      <c r="C916" s="101"/>
      <c r="D916" s="101"/>
      <c r="E916" s="151"/>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row>
    <row r="917" ht="15.75" customHeight="1">
      <c r="A917" s="101"/>
      <c r="B917" s="102"/>
      <c r="C917" s="101"/>
      <c r="D917" s="101"/>
      <c r="E917" s="151"/>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row>
    <row r="918" ht="15.75" customHeight="1">
      <c r="A918" s="101"/>
      <c r="B918" s="102"/>
      <c r="C918" s="101"/>
      <c r="D918" s="101"/>
      <c r="E918" s="151"/>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row>
    <row r="919" ht="15.75" customHeight="1">
      <c r="A919" s="101"/>
      <c r="B919" s="102"/>
      <c r="C919" s="101"/>
      <c r="D919" s="101"/>
      <c r="E919" s="151"/>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row>
    <row r="920" ht="15.75" customHeight="1">
      <c r="A920" s="101"/>
      <c r="B920" s="102"/>
      <c r="C920" s="101"/>
      <c r="D920" s="101"/>
      <c r="E920" s="151"/>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row>
    <row r="921" ht="15.75" customHeight="1">
      <c r="A921" s="101"/>
      <c r="B921" s="102"/>
      <c r="C921" s="101"/>
      <c r="D921" s="101"/>
      <c r="E921" s="151"/>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row>
    <row r="922" ht="15.75" customHeight="1">
      <c r="A922" s="101"/>
      <c r="B922" s="102"/>
      <c r="C922" s="101"/>
      <c r="D922" s="101"/>
      <c r="E922" s="151"/>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row>
    <row r="923" ht="15.75" customHeight="1">
      <c r="A923" s="101"/>
      <c r="B923" s="102"/>
      <c r="C923" s="101"/>
      <c r="D923" s="101"/>
      <c r="E923" s="151"/>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row>
    <row r="924" ht="15.75" customHeight="1">
      <c r="A924" s="101"/>
      <c r="B924" s="102"/>
      <c r="C924" s="101"/>
      <c r="D924" s="101"/>
      <c r="E924" s="151"/>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row>
    <row r="925" ht="15.75" customHeight="1">
      <c r="A925" s="101"/>
      <c r="B925" s="102"/>
      <c r="C925" s="101"/>
      <c r="D925" s="101"/>
      <c r="E925" s="151"/>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row>
    <row r="926" ht="15.75" customHeight="1">
      <c r="A926" s="101"/>
      <c r="B926" s="102"/>
      <c r="C926" s="101"/>
      <c r="D926" s="101"/>
      <c r="E926" s="151"/>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row>
    <row r="927" ht="15.75" customHeight="1">
      <c r="A927" s="101"/>
      <c r="B927" s="102"/>
      <c r="C927" s="101"/>
      <c r="D927" s="101"/>
      <c r="E927" s="151"/>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row>
    <row r="928" ht="15.75" customHeight="1">
      <c r="A928" s="101"/>
      <c r="B928" s="102"/>
      <c r="C928" s="101"/>
      <c r="D928" s="101"/>
      <c r="E928" s="151"/>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row>
    <row r="929" ht="15.75" customHeight="1">
      <c r="A929" s="101"/>
      <c r="B929" s="102"/>
      <c r="C929" s="101"/>
      <c r="D929" s="101"/>
      <c r="E929" s="151"/>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row>
    <row r="930" ht="15.75" customHeight="1">
      <c r="A930" s="101"/>
      <c r="B930" s="102"/>
      <c r="C930" s="101"/>
      <c r="D930" s="101"/>
      <c r="E930" s="151"/>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row>
    <row r="931" ht="15.75" customHeight="1">
      <c r="A931" s="101"/>
      <c r="B931" s="102"/>
      <c r="C931" s="101"/>
      <c r="D931" s="101"/>
      <c r="E931" s="151"/>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row>
    <row r="932" ht="15.75" customHeight="1">
      <c r="A932" s="101"/>
      <c r="B932" s="102"/>
      <c r="C932" s="101"/>
      <c r="D932" s="101"/>
      <c r="E932" s="151"/>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row>
    <row r="933" ht="15.75" customHeight="1">
      <c r="A933" s="101"/>
      <c r="B933" s="102"/>
      <c r="C933" s="101"/>
      <c r="D933" s="101"/>
      <c r="E933" s="151"/>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row>
    <row r="934" ht="15.75" customHeight="1">
      <c r="A934" s="101"/>
      <c r="B934" s="102"/>
      <c r="C934" s="101"/>
      <c r="D934" s="101"/>
      <c r="E934" s="151"/>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row>
    <row r="935" ht="15.75" customHeight="1">
      <c r="A935" s="101"/>
      <c r="B935" s="102"/>
      <c r="C935" s="101"/>
      <c r="D935" s="101"/>
      <c r="E935" s="151"/>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row>
    <row r="936" ht="15.75" customHeight="1">
      <c r="A936" s="101"/>
      <c r="B936" s="102"/>
      <c r="C936" s="101"/>
      <c r="D936" s="101"/>
      <c r="E936" s="151"/>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row>
    <row r="937" ht="15.75" customHeight="1">
      <c r="A937" s="101"/>
      <c r="B937" s="102"/>
      <c r="C937" s="101"/>
      <c r="D937" s="101"/>
      <c r="E937" s="151"/>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row>
    <row r="938" ht="15.75" customHeight="1">
      <c r="A938" s="101"/>
      <c r="B938" s="102"/>
      <c r="C938" s="101"/>
      <c r="D938" s="101"/>
      <c r="E938" s="151"/>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row>
    <row r="939" ht="15.75" customHeight="1">
      <c r="A939" s="101"/>
      <c r="B939" s="102"/>
      <c r="C939" s="101"/>
      <c r="D939" s="101"/>
      <c r="E939" s="151"/>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row>
    <row r="940" ht="15.75" customHeight="1">
      <c r="A940" s="101"/>
      <c r="B940" s="102"/>
      <c r="C940" s="101"/>
      <c r="D940" s="101"/>
      <c r="E940" s="151"/>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row>
    <row r="941" ht="15.75" customHeight="1">
      <c r="A941" s="101"/>
      <c r="B941" s="102"/>
      <c r="C941" s="101"/>
      <c r="D941" s="101"/>
      <c r="E941" s="151"/>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row>
    <row r="942" ht="15.75" customHeight="1">
      <c r="A942" s="101"/>
      <c r="B942" s="102"/>
      <c r="C942" s="101"/>
      <c r="D942" s="101"/>
      <c r="E942" s="151"/>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row>
    <row r="943" ht="15.75" customHeight="1">
      <c r="A943" s="101"/>
      <c r="B943" s="102"/>
      <c r="C943" s="101"/>
      <c r="D943" s="101"/>
      <c r="E943" s="151"/>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row>
    <row r="944" ht="15.75" customHeight="1">
      <c r="A944" s="101"/>
      <c r="B944" s="102"/>
      <c r="C944" s="101"/>
      <c r="D944" s="101"/>
      <c r="E944" s="151"/>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row>
    <row r="945" ht="15.75" customHeight="1">
      <c r="A945" s="101"/>
      <c r="B945" s="102"/>
      <c r="C945" s="101"/>
      <c r="D945" s="101"/>
      <c r="E945" s="151"/>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row>
    <row r="946" ht="15.75" customHeight="1">
      <c r="A946" s="101"/>
      <c r="B946" s="102"/>
      <c r="C946" s="101"/>
      <c r="D946" s="101"/>
      <c r="E946" s="151"/>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row>
    <row r="947" ht="15.75" customHeight="1">
      <c r="A947" s="101"/>
      <c r="B947" s="102"/>
      <c r="C947" s="101"/>
      <c r="D947" s="101"/>
      <c r="E947" s="151"/>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row>
    <row r="948" ht="15.75" customHeight="1">
      <c r="A948" s="101"/>
      <c r="B948" s="102"/>
      <c r="C948" s="101"/>
      <c r="D948" s="101"/>
      <c r="E948" s="151"/>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row>
    <row r="949" ht="15.75" customHeight="1">
      <c r="A949" s="101"/>
      <c r="B949" s="102"/>
      <c r="C949" s="101"/>
      <c r="D949" s="101"/>
      <c r="E949" s="151"/>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row>
    <row r="950" ht="15.75" customHeight="1">
      <c r="A950" s="101"/>
      <c r="B950" s="102"/>
      <c r="C950" s="101"/>
      <c r="D950" s="101"/>
      <c r="E950" s="151"/>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row>
    <row r="951" ht="15.75" customHeight="1">
      <c r="A951" s="101"/>
      <c r="B951" s="102"/>
      <c r="C951" s="101"/>
      <c r="D951" s="101"/>
      <c r="E951" s="151"/>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row>
    <row r="952" ht="15.75" customHeight="1">
      <c r="A952" s="101"/>
      <c r="B952" s="102"/>
      <c r="C952" s="101"/>
      <c r="D952" s="101"/>
      <c r="E952" s="151"/>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row>
    <row r="953" ht="15.75" customHeight="1">
      <c r="A953" s="101"/>
      <c r="B953" s="102"/>
      <c r="C953" s="101"/>
      <c r="D953" s="101"/>
      <c r="E953" s="151"/>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row>
    <row r="954" ht="15.75" customHeight="1">
      <c r="A954" s="101"/>
      <c r="B954" s="102"/>
      <c r="C954" s="101"/>
      <c r="D954" s="101"/>
      <c r="E954" s="151"/>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row>
    <row r="955" ht="15.75" customHeight="1">
      <c r="A955" s="101"/>
      <c r="B955" s="102"/>
      <c r="C955" s="101"/>
      <c r="D955" s="101"/>
      <c r="E955" s="151"/>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row>
    <row r="956" ht="15.75" customHeight="1">
      <c r="A956" s="101"/>
      <c r="B956" s="102"/>
      <c r="C956" s="101"/>
      <c r="D956" s="101"/>
      <c r="E956" s="151"/>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row>
    <row r="957" ht="15.75" customHeight="1">
      <c r="A957" s="101"/>
      <c r="B957" s="102"/>
      <c r="C957" s="101"/>
      <c r="D957" s="101"/>
      <c r="E957" s="151"/>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row>
    <row r="958" ht="15.75" customHeight="1">
      <c r="A958" s="101"/>
      <c r="B958" s="102"/>
      <c r="C958" s="101"/>
      <c r="D958" s="101"/>
      <c r="E958" s="151"/>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row>
    <row r="959" ht="15.75" customHeight="1">
      <c r="A959" s="101"/>
      <c r="B959" s="102"/>
      <c r="C959" s="101"/>
      <c r="D959" s="101"/>
      <c r="E959" s="151"/>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row>
    <row r="960" ht="15.75" customHeight="1">
      <c r="A960" s="101"/>
      <c r="B960" s="102"/>
      <c r="C960" s="101"/>
      <c r="D960" s="101"/>
      <c r="E960" s="151"/>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row>
    <row r="961" ht="15.75" customHeight="1">
      <c r="A961" s="101"/>
      <c r="B961" s="102"/>
      <c r="C961" s="101"/>
      <c r="D961" s="101"/>
      <c r="E961" s="151"/>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row>
    <row r="962" ht="15.75" customHeight="1">
      <c r="A962" s="101"/>
      <c r="B962" s="102"/>
      <c r="C962" s="101"/>
      <c r="D962" s="101"/>
      <c r="E962" s="151"/>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row>
    <row r="963" ht="15.75" customHeight="1">
      <c r="A963" s="101"/>
      <c r="B963" s="102"/>
      <c r="C963" s="101"/>
      <c r="D963" s="101"/>
      <c r="E963" s="151"/>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row>
    <row r="964" ht="15.75" customHeight="1">
      <c r="A964" s="101"/>
      <c r="B964" s="102"/>
      <c r="C964" s="101"/>
      <c r="D964" s="101"/>
      <c r="E964" s="151"/>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row>
    <row r="965" ht="15.75" customHeight="1">
      <c r="A965" s="101"/>
      <c r="B965" s="102"/>
      <c r="C965" s="101"/>
      <c r="D965" s="101"/>
      <c r="E965" s="151"/>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row>
    <row r="966" ht="15.75" customHeight="1">
      <c r="A966" s="101"/>
      <c r="B966" s="102"/>
      <c r="C966" s="101"/>
      <c r="D966" s="101"/>
      <c r="E966" s="151"/>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row>
    <row r="967" ht="15.75" customHeight="1">
      <c r="A967" s="101"/>
      <c r="B967" s="102"/>
      <c r="C967" s="101"/>
      <c r="D967" s="101"/>
      <c r="E967" s="151"/>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row>
    <row r="968" ht="15.75" customHeight="1">
      <c r="A968" s="101"/>
      <c r="B968" s="102"/>
      <c r="C968" s="101"/>
      <c r="D968" s="101"/>
      <c r="E968" s="151"/>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row>
    <row r="969" ht="15.75" customHeight="1">
      <c r="A969" s="101"/>
      <c r="B969" s="102"/>
      <c r="C969" s="101"/>
      <c r="D969" s="101"/>
      <c r="E969" s="151"/>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row>
    <row r="970" ht="15.75" customHeight="1">
      <c r="A970" s="101"/>
      <c r="B970" s="102"/>
      <c r="C970" s="101"/>
      <c r="D970" s="101"/>
      <c r="E970" s="151"/>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row>
    <row r="971" ht="15.75" customHeight="1">
      <c r="A971" s="101"/>
      <c r="B971" s="102"/>
      <c r="C971" s="101"/>
      <c r="D971" s="101"/>
      <c r="E971" s="151"/>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row>
    <row r="972" ht="15.75" customHeight="1">
      <c r="A972" s="101"/>
      <c r="B972" s="102"/>
      <c r="C972" s="101"/>
      <c r="D972" s="101"/>
      <c r="E972" s="151"/>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row>
    <row r="973" ht="15.75" customHeight="1">
      <c r="A973" s="101"/>
      <c r="B973" s="102"/>
      <c r="C973" s="101"/>
      <c r="D973" s="101"/>
      <c r="E973" s="151"/>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row>
    <row r="974" ht="15.75" customHeight="1">
      <c r="A974" s="101"/>
      <c r="B974" s="102"/>
      <c r="C974" s="101"/>
      <c r="D974" s="101"/>
      <c r="E974" s="151"/>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row>
    <row r="975" ht="15.75" customHeight="1">
      <c r="A975" s="101"/>
      <c r="B975" s="102"/>
      <c r="C975" s="101"/>
      <c r="D975" s="101"/>
      <c r="E975" s="151"/>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row>
    <row r="976" ht="15.75" customHeight="1">
      <c r="A976" s="101"/>
      <c r="B976" s="102"/>
      <c r="C976" s="101"/>
      <c r="D976" s="101"/>
      <c r="E976" s="151"/>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row>
    <row r="977" ht="15.75" customHeight="1">
      <c r="A977" s="101"/>
      <c r="B977" s="102"/>
      <c r="C977" s="101"/>
      <c r="D977" s="101"/>
      <c r="E977" s="151"/>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row>
    <row r="978" ht="15.75" customHeight="1">
      <c r="A978" s="101"/>
      <c r="B978" s="102"/>
      <c r="C978" s="101"/>
      <c r="D978" s="101"/>
      <c r="E978" s="151"/>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row>
    <row r="979" ht="15.75" customHeight="1">
      <c r="A979" s="101"/>
      <c r="B979" s="102"/>
      <c r="C979" s="101"/>
      <c r="D979" s="101"/>
      <c r="E979" s="151"/>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row>
    <row r="980" ht="15.75" customHeight="1">
      <c r="A980" s="101"/>
      <c r="B980" s="102"/>
      <c r="C980" s="101"/>
      <c r="D980" s="101"/>
      <c r="E980" s="151"/>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row>
    <row r="981" ht="15.75" customHeight="1">
      <c r="A981" s="101"/>
      <c r="B981" s="102"/>
      <c r="C981" s="101"/>
      <c r="D981" s="101"/>
      <c r="E981" s="151"/>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row>
    <row r="982" ht="15.75" customHeight="1">
      <c r="A982" s="101"/>
      <c r="B982" s="102"/>
      <c r="C982" s="101"/>
      <c r="D982" s="101"/>
      <c r="E982" s="151"/>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row>
    <row r="983" ht="15.75" customHeight="1">
      <c r="A983" s="101"/>
      <c r="B983" s="102"/>
      <c r="C983" s="101"/>
      <c r="D983" s="101"/>
      <c r="E983" s="151"/>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row>
    <row r="984" ht="15.75" customHeight="1">
      <c r="A984" s="101"/>
      <c r="B984" s="102"/>
      <c r="C984" s="101"/>
      <c r="D984" s="101"/>
      <c r="E984" s="151"/>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row>
    <row r="985" ht="15.75" customHeight="1">
      <c r="A985" s="101"/>
      <c r="B985" s="102"/>
      <c r="C985" s="101"/>
      <c r="D985" s="101"/>
      <c r="E985" s="151"/>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row>
    <row r="986" ht="15.75" customHeight="1">
      <c r="A986" s="101"/>
      <c r="B986" s="102"/>
      <c r="C986" s="101"/>
      <c r="D986" s="101"/>
      <c r="E986" s="151"/>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row>
    <row r="987" ht="15.75" customHeight="1">
      <c r="A987" s="101"/>
      <c r="B987" s="102"/>
      <c r="C987" s="101"/>
      <c r="D987" s="101"/>
      <c r="E987" s="151"/>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row>
    <row r="988" ht="15.75" customHeight="1">
      <c r="A988" s="101"/>
      <c r="B988" s="102"/>
      <c r="C988" s="101"/>
      <c r="D988" s="101"/>
      <c r="E988" s="151"/>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row>
    <row r="989" ht="15.75" customHeight="1">
      <c r="A989" s="101"/>
      <c r="B989" s="102"/>
      <c r="C989" s="101"/>
      <c r="D989" s="101"/>
      <c r="E989" s="151"/>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row>
    <row r="990" ht="15.75" customHeight="1">
      <c r="A990" s="101"/>
      <c r="B990" s="102"/>
      <c r="C990" s="101"/>
      <c r="D990" s="101"/>
      <c r="E990" s="151"/>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row>
    <row r="991" ht="15.75" customHeight="1">
      <c r="A991" s="101"/>
      <c r="B991" s="102"/>
      <c r="C991" s="101"/>
      <c r="D991" s="101"/>
      <c r="E991" s="151"/>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row>
    <row r="992" ht="15.75" customHeight="1">
      <c r="A992" s="101"/>
      <c r="B992" s="102"/>
      <c r="C992" s="101"/>
      <c r="D992" s="101"/>
      <c r="E992" s="151"/>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row>
    <row r="993" ht="15.75" customHeight="1">
      <c r="A993" s="101"/>
      <c r="B993" s="102"/>
      <c r="C993" s="101"/>
      <c r="D993" s="101"/>
      <c r="E993" s="151"/>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row>
    <row r="994" ht="15.75" customHeight="1">
      <c r="A994" s="101"/>
      <c r="B994" s="102"/>
      <c r="C994" s="101"/>
      <c r="D994" s="101"/>
      <c r="E994" s="151"/>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row>
    <row r="995" ht="15.75" customHeight="1">
      <c r="A995" s="101"/>
      <c r="B995" s="102"/>
      <c r="C995" s="101"/>
      <c r="D995" s="101"/>
      <c r="E995" s="151"/>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row>
    <row r="996" ht="15.75" customHeight="1">
      <c r="A996" s="101"/>
      <c r="B996" s="102"/>
      <c r="C996" s="101"/>
      <c r="D996" s="101"/>
      <c r="E996" s="151"/>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row>
    <row r="997" ht="15.75" customHeight="1">
      <c r="A997" s="101"/>
      <c r="B997" s="102"/>
      <c r="C997" s="101"/>
      <c r="D997" s="101"/>
      <c r="E997" s="151"/>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row>
    <row r="998" ht="15.75" customHeight="1">
      <c r="A998" s="101"/>
      <c r="B998" s="102"/>
      <c r="C998" s="101"/>
      <c r="D998" s="101"/>
      <c r="E998" s="151"/>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row>
    <row r="999" ht="15.75" customHeight="1">
      <c r="A999" s="101"/>
      <c r="B999" s="102"/>
      <c r="C999" s="101"/>
      <c r="D999" s="101"/>
      <c r="E999" s="151"/>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row>
    <row r="1000" ht="15.75" customHeight="1">
      <c r="A1000" s="101"/>
      <c r="B1000" s="102"/>
      <c r="C1000" s="101"/>
      <c r="D1000" s="101"/>
      <c r="E1000" s="151"/>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row>
    <row r="1001" ht="15.75" customHeight="1">
      <c r="A1001" s="101"/>
      <c r="B1001" s="102"/>
      <c r="C1001" s="101"/>
      <c r="D1001" s="101"/>
      <c r="E1001" s="151"/>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row>
    <row r="1002" ht="15.75" customHeight="1">
      <c r="A1002" s="101"/>
      <c r="B1002" s="102"/>
      <c r="C1002" s="101"/>
      <c r="D1002" s="101"/>
      <c r="E1002" s="151"/>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c r="AE1002" s="29"/>
      <c r="AF1002" s="29"/>
    </row>
    <row r="1003" ht="15.75" customHeight="1">
      <c r="A1003" s="101"/>
      <c r="B1003" s="102"/>
      <c r="C1003" s="101"/>
      <c r="D1003" s="101"/>
      <c r="E1003" s="151"/>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row>
    <row r="1004" ht="15.75" customHeight="1">
      <c r="A1004" s="101"/>
      <c r="B1004" s="102"/>
      <c r="C1004" s="101"/>
      <c r="D1004" s="101"/>
      <c r="E1004" s="151"/>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c r="AE1004" s="29"/>
      <c r="AF1004" s="29"/>
    </row>
    <row r="1005" ht="15.75" customHeight="1">
      <c r="A1005" s="101"/>
      <c r="B1005" s="102"/>
      <c r="C1005" s="101"/>
      <c r="D1005" s="101"/>
      <c r="E1005" s="151"/>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row>
    <row r="1006" ht="15.75" customHeight="1">
      <c r="A1006" s="101"/>
      <c r="B1006" s="102"/>
      <c r="C1006" s="101"/>
      <c r="D1006" s="101"/>
      <c r="E1006" s="151"/>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c r="AE1006" s="29"/>
      <c r="AF1006" s="29"/>
    </row>
    <row r="1007" ht="15.75" customHeight="1">
      <c r="A1007" s="101"/>
      <c r="B1007" s="102"/>
      <c r="C1007" s="101"/>
      <c r="D1007" s="101"/>
      <c r="E1007" s="151"/>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row>
    <row r="1008" ht="15.75" customHeight="1">
      <c r="A1008" s="101"/>
      <c r="B1008" s="102"/>
      <c r="C1008" s="101"/>
      <c r="D1008" s="101"/>
      <c r="E1008" s="151"/>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c r="AD1008" s="29"/>
      <c r="AE1008" s="29"/>
      <c r="AF1008" s="29"/>
    </row>
    <row r="1009" ht="15.75" customHeight="1">
      <c r="A1009" s="101"/>
      <c r="B1009" s="102"/>
      <c r="C1009" s="101"/>
      <c r="D1009" s="101"/>
      <c r="E1009" s="151"/>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row>
    <row r="1010" ht="15.75" customHeight="1">
      <c r="A1010" s="101"/>
      <c r="B1010" s="102"/>
      <c r="C1010" s="101"/>
      <c r="D1010" s="101"/>
      <c r="E1010" s="151"/>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c r="AD1010" s="29"/>
      <c r="AE1010" s="29"/>
      <c r="AF1010" s="29"/>
    </row>
    <row r="1011" ht="15.75" customHeight="1">
      <c r="A1011" s="101"/>
      <c r="B1011" s="102"/>
      <c r="C1011" s="101"/>
      <c r="D1011" s="101"/>
      <c r="E1011" s="151"/>
      <c r="F1011" s="29"/>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row>
    <row r="1012" ht="15.75" customHeight="1">
      <c r="A1012" s="101"/>
      <c r="B1012" s="102"/>
      <c r="C1012" s="101"/>
      <c r="D1012" s="101"/>
      <c r="E1012" s="151"/>
      <c r="F1012" s="29"/>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c r="AD1012" s="29"/>
      <c r="AE1012" s="29"/>
      <c r="AF1012" s="29"/>
    </row>
    <row r="1013" ht="15.75" customHeight="1">
      <c r="A1013" s="101"/>
      <c r="B1013" s="102"/>
      <c r="C1013" s="101"/>
      <c r="D1013" s="101"/>
      <c r="E1013" s="151"/>
      <c r="F1013" s="29"/>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row>
    <row r="1014" ht="15.75" customHeight="1">
      <c r="A1014" s="101"/>
      <c r="B1014" s="102"/>
      <c r="C1014" s="101"/>
      <c r="D1014" s="101"/>
      <c r="E1014" s="151"/>
      <c r="F1014" s="29"/>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c r="AD1014" s="29"/>
      <c r="AE1014" s="29"/>
      <c r="AF1014" s="29"/>
    </row>
    <row r="1015" ht="15.75" customHeight="1">
      <c r="A1015" s="101"/>
      <c r="B1015" s="102"/>
      <c r="C1015" s="101"/>
      <c r="D1015" s="101"/>
      <c r="E1015" s="151"/>
      <c r="F1015" s="29"/>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row>
    <row r="1016" ht="15.75" customHeight="1">
      <c r="A1016" s="101"/>
      <c r="B1016" s="102"/>
      <c r="C1016" s="101"/>
      <c r="D1016" s="101"/>
      <c r="E1016" s="151"/>
      <c r="F1016" s="29"/>
      <c r="G1016" s="29"/>
      <c r="H1016" s="29"/>
      <c r="I1016" s="29"/>
      <c r="J1016" s="29"/>
      <c r="K1016" s="29"/>
      <c r="L1016" s="29"/>
      <c r="M1016" s="29"/>
      <c r="N1016" s="29"/>
      <c r="O1016" s="29"/>
      <c r="P1016" s="29"/>
      <c r="Q1016" s="29"/>
      <c r="R1016" s="29"/>
      <c r="S1016" s="29"/>
      <c r="T1016" s="29"/>
      <c r="U1016" s="29"/>
      <c r="V1016" s="29"/>
      <c r="W1016" s="29"/>
      <c r="X1016" s="29"/>
      <c r="Y1016" s="29"/>
      <c r="Z1016" s="29"/>
      <c r="AA1016" s="29"/>
      <c r="AB1016" s="29"/>
      <c r="AC1016" s="29"/>
      <c r="AD1016" s="29"/>
      <c r="AE1016" s="29"/>
      <c r="AF1016" s="29"/>
    </row>
    <row r="1017" ht="15.75" customHeight="1">
      <c r="A1017" s="101"/>
      <c r="B1017" s="102"/>
      <c r="C1017" s="101"/>
      <c r="D1017" s="101"/>
      <c r="E1017" s="151"/>
      <c r="F1017" s="29"/>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row>
    <row r="1018" ht="15.75" customHeight="1">
      <c r="A1018" s="101"/>
      <c r="B1018" s="102"/>
      <c r="C1018" s="101"/>
      <c r="D1018" s="101"/>
      <c r="E1018" s="151"/>
      <c r="F1018" s="29"/>
      <c r="G1018" s="29"/>
      <c r="H1018" s="29"/>
      <c r="I1018" s="29"/>
      <c r="J1018" s="29"/>
      <c r="K1018" s="29"/>
      <c r="L1018" s="29"/>
      <c r="M1018" s="29"/>
      <c r="N1018" s="29"/>
      <c r="O1018" s="29"/>
      <c r="P1018" s="29"/>
      <c r="Q1018" s="29"/>
      <c r="R1018" s="29"/>
      <c r="S1018" s="29"/>
      <c r="T1018" s="29"/>
      <c r="U1018" s="29"/>
      <c r="V1018" s="29"/>
      <c r="W1018" s="29"/>
      <c r="X1018" s="29"/>
      <c r="Y1018" s="29"/>
      <c r="Z1018" s="29"/>
      <c r="AA1018" s="29"/>
      <c r="AB1018" s="29"/>
      <c r="AC1018" s="29"/>
      <c r="AD1018" s="29"/>
      <c r="AE1018" s="29"/>
      <c r="AF1018" s="29"/>
    </row>
    <row r="1019" ht="15.75" customHeight="1">
      <c r="A1019" s="101"/>
      <c r="B1019" s="102"/>
      <c r="C1019" s="101"/>
      <c r="D1019" s="101"/>
      <c r="E1019" s="151"/>
      <c r="F1019" s="29"/>
      <c r="G1019" s="29"/>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row>
    <row r="1020" ht="15.75" customHeight="1">
      <c r="A1020" s="101"/>
      <c r="B1020" s="102"/>
      <c r="C1020" s="101"/>
      <c r="D1020" s="101"/>
      <c r="E1020" s="151"/>
      <c r="F1020" s="29"/>
      <c r="G1020" s="29"/>
      <c r="H1020" s="29"/>
      <c r="I1020" s="29"/>
      <c r="J1020" s="29"/>
      <c r="K1020" s="29"/>
      <c r="L1020" s="29"/>
      <c r="M1020" s="29"/>
      <c r="N1020" s="29"/>
      <c r="O1020" s="29"/>
      <c r="P1020" s="29"/>
      <c r="Q1020" s="29"/>
      <c r="R1020" s="29"/>
      <c r="S1020" s="29"/>
      <c r="T1020" s="29"/>
      <c r="U1020" s="29"/>
      <c r="V1020" s="29"/>
      <c r="W1020" s="29"/>
      <c r="X1020" s="29"/>
      <c r="Y1020" s="29"/>
      <c r="Z1020" s="29"/>
      <c r="AA1020" s="29"/>
      <c r="AB1020" s="29"/>
      <c r="AC1020" s="29"/>
      <c r="AD1020" s="29"/>
      <c r="AE1020" s="29"/>
      <c r="AF1020" s="29"/>
    </row>
    <row r="1021" ht="15.75" customHeight="1">
      <c r="A1021" s="101"/>
      <c r="B1021" s="102"/>
      <c r="C1021" s="101"/>
      <c r="D1021" s="101"/>
      <c r="E1021" s="151"/>
      <c r="F1021" s="29"/>
      <c r="G1021" s="29"/>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row>
    <row r="1022" ht="15.75" customHeight="1">
      <c r="A1022" s="101"/>
      <c r="B1022" s="102"/>
      <c r="C1022" s="101"/>
      <c r="D1022" s="101"/>
      <c r="E1022" s="151"/>
      <c r="F1022" s="29"/>
      <c r="G1022" s="29"/>
      <c r="H1022" s="29"/>
      <c r="I1022" s="29"/>
      <c r="J1022" s="29"/>
      <c r="K1022" s="29"/>
      <c r="L1022" s="29"/>
      <c r="M1022" s="29"/>
      <c r="N1022" s="29"/>
      <c r="O1022" s="29"/>
      <c r="P1022" s="29"/>
      <c r="Q1022" s="29"/>
      <c r="R1022" s="29"/>
      <c r="S1022" s="29"/>
      <c r="T1022" s="29"/>
      <c r="U1022" s="29"/>
      <c r="V1022" s="29"/>
      <c r="W1022" s="29"/>
      <c r="X1022" s="29"/>
      <c r="Y1022" s="29"/>
      <c r="Z1022" s="29"/>
      <c r="AA1022" s="29"/>
      <c r="AB1022" s="29"/>
      <c r="AC1022" s="29"/>
      <c r="AD1022" s="29"/>
      <c r="AE1022" s="29"/>
      <c r="AF1022" s="29"/>
    </row>
    <row r="1023" ht="15.75" customHeight="1">
      <c r="A1023" s="101"/>
      <c r="B1023" s="102"/>
      <c r="C1023" s="101"/>
      <c r="D1023" s="101"/>
      <c r="E1023" s="151"/>
      <c r="F1023" s="29"/>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row>
    <row r="1024" ht="15.75" customHeight="1">
      <c r="A1024" s="101"/>
      <c r="B1024" s="102"/>
      <c r="C1024" s="101"/>
      <c r="D1024" s="101"/>
      <c r="E1024" s="151"/>
      <c r="F1024" s="29"/>
      <c r="G1024" s="29"/>
      <c r="H1024" s="29"/>
      <c r="I1024" s="29"/>
      <c r="J1024" s="29"/>
      <c r="K1024" s="29"/>
      <c r="L1024" s="29"/>
      <c r="M1024" s="29"/>
      <c r="N1024" s="29"/>
      <c r="O1024" s="29"/>
      <c r="P1024" s="29"/>
      <c r="Q1024" s="29"/>
      <c r="R1024" s="29"/>
      <c r="S1024" s="29"/>
      <c r="T1024" s="29"/>
      <c r="U1024" s="29"/>
      <c r="V1024" s="29"/>
      <c r="W1024" s="29"/>
      <c r="X1024" s="29"/>
      <c r="Y1024" s="29"/>
      <c r="Z1024" s="29"/>
      <c r="AA1024" s="29"/>
      <c r="AB1024" s="29"/>
      <c r="AC1024" s="29"/>
      <c r="AD1024" s="29"/>
      <c r="AE1024" s="29"/>
      <c r="AF1024" s="29"/>
    </row>
    <row r="1025" ht="15.75" customHeight="1">
      <c r="A1025" s="101"/>
      <c r="B1025" s="102"/>
      <c r="C1025" s="101"/>
      <c r="D1025" s="101"/>
      <c r="E1025" s="151"/>
      <c r="F1025" s="29"/>
      <c r="G1025" s="29"/>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row>
    <row r="1026" ht="15.75" customHeight="1">
      <c r="A1026" s="101"/>
      <c r="B1026" s="102"/>
      <c r="C1026" s="101"/>
      <c r="D1026" s="101"/>
      <c r="E1026" s="151"/>
      <c r="F1026" s="29"/>
      <c r="G1026" s="29"/>
      <c r="H1026" s="29"/>
      <c r="I1026" s="29"/>
      <c r="J1026" s="29"/>
      <c r="K1026" s="29"/>
      <c r="L1026" s="29"/>
      <c r="M1026" s="29"/>
      <c r="N1026" s="29"/>
      <c r="O1026" s="29"/>
      <c r="P1026" s="29"/>
      <c r="Q1026" s="29"/>
      <c r="R1026" s="29"/>
      <c r="S1026" s="29"/>
      <c r="T1026" s="29"/>
      <c r="U1026" s="29"/>
      <c r="V1026" s="29"/>
      <c r="W1026" s="29"/>
      <c r="X1026" s="29"/>
      <c r="Y1026" s="29"/>
      <c r="Z1026" s="29"/>
      <c r="AA1026" s="29"/>
      <c r="AB1026" s="29"/>
      <c r="AC1026" s="29"/>
      <c r="AD1026" s="29"/>
      <c r="AE1026" s="29"/>
      <c r="AF1026" s="29"/>
    </row>
    <row r="1027" ht="15.75" customHeight="1">
      <c r="A1027" s="101"/>
      <c r="B1027" s="102"/>
      <c r="C1027" s="101"/>
      <c r="D1027" s="101"/>
      <c r="E1027" s="151"/>
      <c r="F1027" s="29"/>
      <c r="G1027" s="29"/>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row>
    <row r="1028" ht="15.75" customHeight="1">
      <c r="A1028" s="101"/>
      <c r="B1028" s="102"/>
      <c r="C1028" s="101"/>
      <c r="D1028" s="101"/>
      <c r="E1028" s="151"/>
      <c r="F1028" s="29"/>
      <c r="G1028" s="29"/>
      <c r="H1028" s="29"/>
      <c r="I1028" s="29"/>
      <c r="J1028" s="29"/>
      <c r="K1028" s="29"/>
      <c r="L1028" s="29"/>
      <c r="M1028" s="29"/>
      <c r="N1028" s="29"/>
      <c r="O1028" s="29"/>
      <c r="P1028" s="29"/>
      <c r="Q1028" s="29"/>
      <c r="R1028" s="29"/>
      <c r="S1028" s="29"/>
      <c r="T1028" s="29"/>
      <c r="U1028" s="29"/>
      <c r="V1028" s="29"/>
      <c r="W1028" s="29"/>
      <c r="X1028" s="29"/>
      <c r="Y1028" s="29"/>
      <c r="Z1028" s="29"/>
      <c r="AA1028" s="29"/>
      <c r="AB1028" s="29"/>
      <c r="AC1028" s="29"/>
      <c r="AD1028" s="29"/>
      <c r="AE1028" s="29"/>
      <c r="AF1028" s="29"/>
    </row>
    <row r="1029" ht="15.75" customHeight="1">
      <c r="A1029" s="101"/>
      <c r="B1029" s="102"/>
      <c r="C1029" s="101"/>
      <c r="D1029" s="101"/>
      <c r="E1029" s="151"/>
      <c r="F1029" s="29"/>
      <c r="G1029" s="29"/>
      <c r="H1029" s="29"/>
      <c r="I1029" s="29"/>
      <c r="J1029" s="29"/>
      <c r="K1029" s="29"/>
      <c r="L1029" s="29"/>
      <c r="M1029" s="29"/>
      <c r="N1029" s="29"/>
      <c r="O1029" s="29"/>
      <c r="P1029" s="29"/>
      <c r="Q1029" s="29"/>
      <c r="R1029" s="29"/>
      <c r="S1029" s="29"/>
      <c r="T1029" s="29"/>
      <c r="U1029" s="29"/>
      <c r="V1029" s="29"/>
      <c r="W1029" s="29"/>
      <c r="X1029" s="29"/>
      <c r="Y1029" s="29"/>
      <c r="Z1029" s="29"/>
      <c r="AA1029" s="29"/>
      <c r="AB1029" s="29"/>
      <c r="AC1029" s="29"/>
      <c r="AD1029" s="29"/>
      <c r="AE1029" s="29"/>
      <c r="AF1029" s="29"/>
    </row>
    <row r="1030" ht="15.75" customHeight="1">
      <c r="A1030" s="101"/>
      <c r="B1030" s="102"/>
      <c r="C1030" s="101"/>
      <c r="D1030" s="101"/>
      <c r="E1030" s="151"/>
      <c r="F1030" s="29"/>
      <c r="G1030" s="29"/>
      <c r="H1030" s="29"/>
      <c r="I1030" s="29"/>
      <c r="J1030" s="29"/>
      <c r="K1030" s="29"/>
      <c r="L1030" s="29"/>
      <c r="M1030" s="29"/>
      <c r="N1030" s="29"/>
      <c r="O1030" s="29"/>
      <c r="P1030" s="29"/>
      <c r="Q1030" s="29"/>
      <c r="R1030" s="29"/>
      <c r="S1030" s="29"/>
      <c r="T1030" s="29"/>
      <c r="U1030" s="29"/>
      <c r="V1030" s="29"/>
      <c r="W1030" s="29"/>
      <c r="X1030" s="29"/>
      <c r="Y1030" s="29"/>
      <c r="Z1030" s="29"/>
      <c r="AA1030" s="29"/>
      <c r="AB1030" s="29"/>
      <c r="AC1030" s="29"/>
      <c r="AD1030" s="29"/>
      <c r="AE1030" s="29"/>
      <c r="AF1030" s="29"/>
    </row>
    <row r="1031" ht="15.75" customHeight="1">
      <c r="A1031" s="101"/>
      <c r="B1031" s="102"/>
      <c r="C1031" s="101"/>
      <c r="D1031" s="101"/>
      <c r="E1031" s="151"/>
      <c r="F1031" s="29"/>
      <c r="G1031" s="29"/>
      <c r="H1031" s="29"/>
      <c r="I1031" s="29"/>
      <c r="J1031" s="29"/>
      <c r="K1031" s="29"/>
      <c r="L1031" s="29"/>
      <c r="M1031" s="29"/>
      <c r="N1031" s="29"/>
      <c r="O1031" s="29"/>
      <c r="P1031" s="29"/>
      <c r="Q1031" s="29"/>
      <c r="R1031" s="29"/>
      <c r="S1031" s="29"/>
      <c r="T1031" s="29"/>
      <c r="U1031" s="29"/>
      <c r="V1031" s="29"/>
      <c r="W1031" s="29"/>
      <c r="X1031" s="29"/>
      <c r="Y1031" s="29"/>
      <c r="Z1031" s="29"/>
      <c r="AA1031" s="29"/>
      <c r="AB1031" s="29"/>
      <c r="AC1031" s="29"/>
      <c r="AD1031" s="29"/>
      <c r="AE1031" s="29"/>
      <c r="AF1031" s="29"/>
    </row>
    <row r="1032" ht="15.75" customHeight="1">
      <c r="A1032" s="101"/>
      <c r="B1032" s="102"/>
      <c r="C1032" s="101"/>
      <c r="D1032" s="101"/>
      <c r="E1032" s="151"/>
      <c r="F1032" s="29"/>
      <c r="G1032" s="29"/>
      <c r="H1032" s="29"/>
      <c r="I1032" s="29"/>
      <c r="J1032" s="29"/>
      <c r="K1032" s="29"/>
      <c r="L1032" s="29"/>
      <c r="M1032" s="29"/>
      <c r="N1032" s="29"/>
      <c r="O1032" s="29"/>
      <c r="P1032" s="29"/>
      <c r="Q1032" s="29"/>
      <c r="R1032" s="29"/>
      <c r="S1032" s="29"/>
      <c r="T1032" s="29"/>
      <c r="U1032" s="29"/>
      <c r="V1032" s="29"/>
      <c r="W1032" s="29"/>
      <c r="X1032" s="29"/>
      <c r="Y1032" s="29"/>
      <c r="Z1032" s="29"/>
      <c r="AA1032" s="29"/>
      <c r="AB1032" s="29"/>
      <c r="AC1032" s="29"/>
      <c r="AD1032" s="29"/>
      <c r="AE1032" s="29"/>
      <c r="AF1032" s="29"/>
    </row>
    <row r="1033" ht="15.75" customHeight="1">
      <c r="A1033" s="101"/>
      <c r="B1033" s="102"/>
      <c r="C1033" s="101"/>
      <c r="D1033" s="101"/>
      <c r="E1033" s="151"/>
      <c r="F1033" s="29"/>
      <c r="G1033" s="29"/>
      <c r="H1033" s="29"/>
      <c r="I1033" s="29"/>
      <c r="J1033" s="29"/>
      <c r="K1033" s="29"/>
      <c r="L1033" s="29"/>
      <c r="M1033" s="29"/>
      <c r="N1033" s="29"/>
      <c r="O1033" s="29"/>
      <c r="P1033" s="29"/>
      <c r="Q1033" s="29"/>
      <c r="R1033" s="29"/>
      <c r="S1033" s="29"/>
      <c r="T1033" s="29"/>
      <c r="U1033" s="29"/>
      <c r="V1033" s="29"/>
      <c r="W1033" s="29"/>
      <c r="X1033" s="29"/>
      <c r="Y1033" s="29"/>
      <c r="Z1033" s="29"/>
      <c r="AA1033" s="29"/>
      <c r="AB1033" s="29"/>
      <c r="AC1033" s="29"/>
      <c r="AD1033" s="29"/>
      <c r="AE1033" s="29"/>
      <c r="AF1033" s="29"/>
    </row>
    <row r="1034" ht="15.75" customHeight="1">
      <c r="A1034" s="101"/>
      <c r="B1034" s="102"/>
      <c r="C1034" s="101"/>
      <c r="D1034" s="101"/>
      <c r="E1034" s="151"/>
      <c r="F1034" s="29"/>
      <c r="G1034" s="29"/>
      <c r="H1034" s="29"/>
      <c r="I1034" s="29"/>
      <c r="J1034" s="29"/>
      <c r="K1034" s="29"/>
      <c r="L1034" s="29"/>
      <c r="M1034" s="29"/>
      <c r="N1034" s="29"/>
      <c r="O1034" s="29"/>
      <c r="P1034" s="29"/>
      <c r="Q1034" s="29"/>
      <c r="R1034" s="29"/>
      <c r="S1034" s="29"/>
      <c r="T1034" s="29"/>
      <c r="U1034" s="29"/>
      <c r="V1034" s="29"/>
      <c r="W1034" s="29"/>
      <c r="X1034" s="29"/>
      <c r="Y1034" s="29"/>
      <c r="Z1034" s="29"/>
      <c r="AA1034" s="29"/>
      <c r="AB1034" s="29"/>
      <c r="AC1034" s="29"/>
      <c r="AD1034" s="29"/>
      <c r="AE1034" s="29"/>
      <c r="AF1034" s="29"/>
    </row>
    <row r="1035" ht="15.75" customHeight="1">
      <c r="A1035" s="101"/>
      <c r="B1035" s="102"/>
      <c r="C1035" s="101"/>
      <c r="D1035" s="101"/>
      <c r="E1035" s="151"/>
      <c r="F1035" s="29"/>
      <c r="G1035" s="29"/>
      <c r="H1035" s="29"/>
      <c r="I1035" s="29"/>
      <c r="J1035" s="29"/>
      <c r="K1035" s="29"/>
      <c r="L1035" s="29"/>
      <c r="M1035" s="29"/>
      <c r="N1035" s="29"/>
      <c r="O1035" s="29"/>
      <c r="P1035" s="29"/>
      <c r="Q1035" s="29"/>
      <c r="R1035" s="29"/>
      <c r="S1035" s="29"/>
      <c r="T1035" s="29"/>
      <c r="U1035" s="29"/>
      <c r="V1035" s="29"/>
      <c r="W1035" s="29"/>
      <c r="X1035" s="29"/>
      <c r="Y1035" s="29"/>
      <c r="Z1035" s="29"/>
      <c r="AA1035" s="29"/>
      <c r="AB1035" s="29"/>
      <c r="AC1035" s="29"/>
      <c r="AD1035" s="29"/>
      <c r="AE1035" s="29"/>
      <c r="AF1035" s="29"/>
    </row>
    <row r="1036" ht="15.75" customHeight="1">
      <c r="A1036" s="101"/>
      <c r="B1036" s="102"/>
      <c r="C1036" s="101"/>
      <c r="D1036" s="101"/>
      <c r="E1036" s="151"/>
      <c r="F1036" s="29"/>
      <c r="G1036" s="29"/>
      <c r="H1036" s="29"/>
      <c r="I1036" s="29"/>
      <c r="J1036" s="29"/>
      <c r="K1036" s="29"/>
      <c r="L1036" s="29"/>
      <c r="M1036" s="29"/>
      <c r="N1036" s="29"/>
      <c r="O1036" s="29"/>
      <c r="P1036" s="29"/>
      <c r="Q1036" s="29"/>
      <c r="R1036" s="29"/>
      <c r="S1036" s="29"/>
      <c r="T1036" s="29"/>
      <c r="U1036" s="29"/>
      <c r="V1036" s="29"/>
      <c r="W1036" s="29"/>
      <c r="X1036" s="29"/>
      <c r="Y1036" s="29"/>
      <c r="Z1036" s="29"/>
      <c r="AA1036" s="29"/>
      <c r="AB1036" s="29"/>
      <c r="AC1036" s="29"/>
      <c r="AD1036" s="29"/>
      <c r="AE1036" s="29"/>
      <c r="AF1036" s="29"/>
    </row>
    <row r="1037" ht="15.75" customHeight="1">
      <c r="A1037" s="101"/>
      <c r="B1037" s="102"/>
      <c r="C1037" s="101"/>
      <c r="D1037" s="101"/>
      <c r="E1037" s="151"/>
      <c r="F1037" s="29"/>
      <c r="G1037" s="29"/>
      <c r="H1037" s="29"/>
      <c r="I1037" s="29"/>
      <c r="J1037" s="29"/>
      <c r="K1037" s="29"/>
      <c r="L1037" s="29"/>
      <c r="M1037" s="29"/>
      <c r="N1037" s="29"/>
      <c r="O1037" s="29"/>
      <c r="P1037" s="29"/>
      <c r="Q1037" s="29"/>
      <c r="R1037" s="29"/>
      <c r="S1037" s="29"/>
      <c r="T1037" s="29"/>
      <c r="U1037" s="29"/>
      <c r="V1037" s="29"/>
      <c r="W1037" s="29"/>
      <c r="X1037" s="29"/>
      <c r="Y1037" s="29"/>
      <c r="Z1037" s="29"/>
      <c r="AA1037" s="29"/>
      <c r="AB1037" s="29"/>
      <c r="AC1037" s="29"/>
      <c r="AD1037" s="29"/>
      <c r="AE1037" s="29"/>
      <c r="AF1037" s="29"/>
    </row>
    <row r="1038" ht="15.75" customHeight="1">
      <c r="A1038" s="101"/>
      <c r="B1038" s="102"/>
      <c r="C1038" s="101"/>
      <c r="D1038" s="101"/>
      <c r="E1038" s="151"/>
      <c r="F1038" s="29"/>
      <c r="G1038" s="29"/>
      <c r="H1038" s="29"/>
      <c r="I1038" s="29"/>
      <c r="J1038" s="29"/>
      <c r="K1038" s="29"/>
      <c r="L1038" s="29"/>
      <c r="M1038" s="29"/>
      <c r="N1038" s="29"/>
      <c r="O1038" s="29"/>
      <c r="P1038" s="29"/>
      <c r="Q1038" s="29"/>
      <c r="R1038" s="29"/>
      <c r="S1038" s="29"/>
      <c r="T1038" s="29"/>
      <c r="U1038" s="29"/>
      <c r="V1038" s="29"/>
      <c r="W1038" s="29"/>
      <c r="X1038" s="29"/>
      <c r="Y1038" s="29"/>
      <c r="Z1038" s="29"/>
      <c r="AA1038" s="29"/>
      <c r="AB1038" s="29"/>
      <c r="AC1038" s="29"/>
      <c r="AD1038" s="29"/>
      <c r="AE1038" s="29"/>
      <c r="AF1038" s="29"/>
    </row>
    <row r="1039" ht="15.75" customHeight="1">
      <c r="A1039" s="101"/>
      <c r="B1039" s="102"/>
      <c r="C1039" s="101"/>
      <c r="D1039" s="101"/>
      <c r="E1039" s="151"/>
      <c r="F1039" s="29"/>
      <c r="G1039" s="29"/>
      <c r="H1039" s="29"/>
      <c r="I1039" s="29"/>
      <c r="J1039" s="29"/>
      <c r="K1039" s="29"/>
      <c r="L1039" s="29"/>
      <c r="M1039" s="29"/>
      <c r="N1039" s="29"/>
      <c r="O1039" s="29"/>
      <c r="P1039" s="29"/>
      <c r="Q1039" s="29"/>
      <c r="R1039" s="29"/>
      <c r="S1039" s="29"/>
      <c r="T1039" s="29"/>
      <c r="U1039" s="29"/>
      <c r="V1039" s="29"/>
      <c r="W1039" s="29"/>
      <c r="X1039" s="29"/>
      <c r="Y1039" s="29"/>
      <c r="Z1039" s="29"/>
      <c r="AA1039" s="29"/>
      <c r="AB1039" s="29"/>
      <c r="AC1039" s="29"/>
      <c r="AD1039" s="29"/>
      <c r="AE1039" s="29"/>
      <c r="AF1039" s="29"/>
    </row>
    <row r="1040" ht="15.75" customHeight="1">
      <c r="A1040" s="101"/>
      <c r="B1040" s="102"/>
      <c r="C1040" s="101"/>
      <c r="D1040" s="101"/>
      <c r="E1040" s="151"/>
      <c r="F1040" s="29"/>
      <c r="G1040" s="29"/>
      <c r="H1040" s="29"/>
      <c r="I1040" s="29"/>
      <c r="J1040" s="29"/>
      <c r="K1040" s="29"/>
      <c r="L1040" s="29"/>
      <c r="M1040" s="29"/>
      <c r="N1040" s="29"/>
      <c r="O1040" s="29"/>
      <c r="P1040" s="29"/>
      <c r="Q1040" s="29"/>
      <c r="R1040" s="29"/>
      <c r="S1040" s="29"/>
      <c r="T1040" s="29"/>
      <c r="U1040" s="29"/>
      <c r="V1040" s="29"/>
      <c r="W1040" s="29"/>
      <c r="X1040" s="29"/>
      <c r="Y1040" s="29"/>
      <c r="Z1040" s="29"/>
      <c r="AA1040" s="29"/>
      <c r="AB1040" s="29"/>
      <c r="AC1040" s="29"/>
      <c r="AD1040" s="29"/>
      <c r="AE1040" s="29"/>
      <c r="AF1040" s="29"/>
    </row>
    <row r="1041" ht="15.75" customHeight="1">
      <c r="A1041" s="101"/>
      <c r="B1041" s="102"/>
      <c r="C1041" s="101"/>
      <c r="D1041" s="101"/>
      <c r="E1041" s="151"/>
      <c r="F1041" s="29"/>
      <c r="G1041" s="29"/>
      <c r="H1041" s="29"/>
      <c r="I1041" s="29"/>
      <c r="J1041" s="29"/>
      <c r="K1041" s="29"/>
      <c r="L1041" s="29"/>
      <c r="M1041" s="29"/>
      <c r="N1041" s="29"/>
      <c r="O1041" s="29"/>
      <c r="P1041" s="29"/>
      <c r="Q1041" s="29"/>
      <c r="R1041" s="29"/>
      <c r="S1041" s="29"/>
      <c r="T1041" s="29"/>
      <c r="U1041" s="29"/>
      <c r="V1041" s="29"/>
      <c r="W1041" s="29"/>
      <c r="X1041" s="29"/>
      <c r="Y1041" s="29"/>
      <c r="Z1041" s="29"/>
      <c r="AA1041" s="29"/>
      <c r="AB1041" s="29"/>
      <c r="AC1041" s="29"/>
      <c r="AD1041" s="29"/>
      <c r="AE1041" s="29"/>
      <c r="AF1041" s="29"/>
    </row>
    <row r="1042" ht="15.75" customHeight="1">
      <c r="A1042" s="101"/>
      <c r="B1042" s="102"/>
      <c r="C1042" s="101"/>
      <c r="D1042" s="101"/>
      <c r="E1042" s="151"/>
      <c r="F1042" s="29"/>
      <c r="G1042" s="29"/>
      <c r="H1042" s="29"/>
      <c r="I1042" s="29"/>
      <c r="J1042" s="29"/>
      <c r="K1042" s="29"/>
      <c r="L1042" s="29"/>
      <c r="M1042" s="29"/>
      <c r="N1042" s="29"/>
      <c r="O1042" s="29"/>
      <c r="P1042" s="29"/>
      <c r="Q1042" s="29"/>
      <c r="R1042" s="29"/>
      <c r="S1042" s="29"/>
      <c r="T1042" s="29"/>
      <c r="U1042" s="29"/>
      <c r="V1042" s="29"/>
      <c r="W1042" s="29"/>
      <c r="X1042" s="29"/>
      <c r="Y1042" s="29"/>
      <c r="Z1042" s="29"/>
      <c r="AA1042" s="29"/>
      <c r="AB1042" s="29"/>
      <c r="AC1042" s="29"/>
      <c r="AD1042" s="29"/>
      <c r="AE1042" s="29"/>
      <c r="AF1042" s="29"/>
    </row>
    <row r="1043" ht="15.75" customHeight="1">
      <c r="A1043" s="101"/>
      <c r="B1043" s="102"/>
      <c r="C1043" s="101"/>
      <c r="D1043" s="101"/>
      <c r="E1043" s="151"/>
      <c r="F1043" s="29"/>
      <c r="G1043" s="29"/>
      <c r="H1043" s="29"/>
      <c r="I1043" s="29"/>
      <c r="J1043" s="29"/>
      <c r="K1043" s="29"/>
      <c r="L1043" s="29"/>
      <c r="M1043" s="29"/>
      <c r="N1043" s="29"/>
      <c r="O1043" s="29"/>
      <c r="P1043" s="29"/>
      <c r="Q1043" s="29"/>
      <c r="R1043" s="29"/>
      <c r="S1043" s="29"/>
      <c r="T1043" s="29"/>
      <c r="U1043" s="29"/>
      <c r="V1043" s="29"/>
      <c r="W1043" s="29"/>
      <c r="X1043" s="29"/>
      <c r="Y1043" s="29"/>
      <c r="Z1043" s="29"/>
      <c r="AA1043" s="29"/>
      <c r="AB1043" s="29"/>
      <c r="AC1043" s="29"/>
      <c r="AD1043" s="29"/>
      <c r="AE1043" s="29"/>
      <c r="AF1043" s="29"/>
    </row>
    <row r="1044" ht="15.75" customHeight="1">
      <c r="A1044" s="101"/>
      <c r="B1044" s="102"/>
      <c r="C1044" s="101"/>
      <c r="D1044" s="101"/>
      <c r="E1044" s="151"/>
      <c r="F1044" s="29"/>
      <c r="G1044" s="29"/>
      <c r="H1044" s="29"/>
      <c r="I1044" s="29"/>
      <c r="J1044" s="29"/>
      <c r="K1044" s="29"/>
      <c r="L1044" s="29"/>
      <c r="M1044" s="29"/>
      <c r="N1044" s="29"/>
      <c r="O1044" s="29"/>
      <c r="P1044" s="29"/>
      <c r="Q1044" s="29"/>
      <c r="R1044" s="29"/>
      <c r="S1044" s="29"/>
      <c r="T1044" s="29"/>
      <c r="U1044" s="29"/>
      <c r="V1044" s="29"/>
      <c r="W1044" s="29"/>
      <c r="X1044" s="29"/>
      <c r="Y1044" s="29"/>
      <c r="Z1044" s="29"/>
      <c r="AA1044" s="29"/>
      <c r="AB1044" s="29"/>
      <c r="AC1044" s="29"/>
      <c r="AD1044" s="29"/>
      <c r="AE1044" s="29"/>
      <c r="AF1044" s="29"/>
    </row>
    <row r="1045" ht="15.75" customHeight="1">
      <c r="A1045" s="101"/>
      <c r="B1045" s="102"/>
      <c r="C1045" s="101"/>
      <c r="D1045" s="101"/>
      <c r="E1045" s="151"/>
      <c r="F1045" s="29"/>
      <c r="G1045" s="29"/>
      <c r="H1045" s="29"/>
      <c r="I1045" s="29"/>
      <c r="J1045" s="29"/>
      <c r="K1045" s="29"/>
      <c r="L1045" s="29"/>
      <c r="M1045" s="29"/>
      <c r="N1045" s="29"/>
      <c r="O1045" s="29"/>
      <c r="P1045" s="29"/>
      <c r="Q1045" s="29"/>
      <c r="R1045" s="29"/>
      <c r="S1045" s="29"/>
      <c r="T1045" s="29"/>
      <c r="U1045" s="29"/>
      <c r="V1045" s="29"/>
      <c r="W1045" s="29"/>
      <c r="X1045" s="29"/>
      <c r="Y1045" s="29"/>
      <c r="Z1045" s="29"/>
      <c r="AA1045" s="29"/>
      <c r="AB1045" s="29"/>
      <c r="AC1045" s="29"/>
      <c r="AD1045" s="29"/>
      <c r="AE1045" s="29"/>
      <c r="AF1045" s="29"/>
    </row>
    <row r="1046" ht="15.75" customHeight="1">
      <c r="A1046" s="101"/>
      <c r="B1046" s="102"/>
      <c r="C1046" s="101"/>
      <c r="D1046" s="101"/>
      <c r="E1046" s="151"/>
      <c r="F1046" s="29"/>
      <c r="G1046" s="29"/>
      <c r="H1046" s="29"/>
      <c r="I1046" s="29"/>
      <c r="J1046" s="29"/>
      <c r="K1046" s="29"/>
      <c r="L1046" s="29"/>
      <c r="M1046" s="29"/>
      <c r="N1046" s="29"/>
      <c r="O1046" s="29"/>
      <c r="P1046" s="29"/>
      <c r="Q1046" s="29"/>
      <c r="R1046" s="29"/>
      <c r="S1046" s="29"/>
      <c r="T1046" s="29"/>
      <c r="U1046" s="29"/>
      <c r="V1046" s="29"/>
      <c r="W1046" s="29"/>
      <c r="X1046" s="29"/>
      <c r="Y1046" s="29"/>
      <c r="Z1046" s="29"/>
      <c r="AA1046" s="29"/>
      <c r="AB1046" s="29"/>
      <c r="AC1046" s="29"/>
      <c r="AD1046" s="29"/>
      <c r="AE1046" s="29"/>
      <c r="AF1046" s="29"/>
    </row>
    <row r="1047" ht="15.75" customHeight="1">
      <c r="A1047" s="101"/>
      <c r="B1047" s="102"/>
      <c r="C1047" s="101"/>
      <c r="D1047" s="101"/>
      <c r="E1047" s="151"/>
      <c r="F1047" s="29"/>
      <c r="G1047" s="29"/>
      <c r="H1047" s="29"/>
      <c r="I1047" s="29"/>
      <c r="J1047" s="29"/>
      <c r="K1047" s="29"/>
      <c r="L1047" s="29"/>
      <c r="M1047" s="29"/>
      <c r="N1047" s="29"/>
      <c r="O1047" s="29"/>
      <c r="P1047" s="29"/>
      <c r="Q1047" s="29"/>
      <c r="R1047" s="29"/>
      <c r="S1047" s="29"/>
      <c r="T1047" s="29"/>
      <c r="U1047" s="29"/>
      <c r="V1047" s="29"/>
      <c r="W1047" s="29"/>
      <c r="X1047" s="29"/>
      <c r="Y1047" s="29"/>
      <c r="Z1047" s="29"/>
      <c r="AA1047" s="29"/>
      <c r="AB1047" s="29"/>
      <c r="AC1047" s="29"/>
      <c r="AD1047" s="29"/>
      <c r="AE1047" s="29"/>
      <c r="AF1047" s="29"/>
    </row>
    <row r="1048" ht="15.75" customHeight="1">
      <c r="A1048" s="101"/>
      <c r="B1048" s="102"/>
      <c r="C1048" s="101"/>
      <c r="D1048" s="101"/>
      <c r="E1048" s="151"/>
      <c r="F1048" s="29"/>
      <c r="G1048" s="29"/>
      <c r="H1048" s="29"/>
      <c r="I1048" s="29"/>
      <c r="J1048" s="29"/>
      <c r="K1048" s="29"/>
      <c r="L1048" s="29"/>
      <c r="M1048" s="29"/>
      <c r="N1048" s="29"/>
      <c r="O1048" s="29"/>
      <c r="P1048" s="29"/>
      <c r="Q1048" s="29"/>
      <c r="R1048" s="29"/>
      <c r="S1048" s="29"/>
      <c r="T1048" s="29"/>
      <c r="U1048" s="29"/>
      <c r="V1048" s="29"/>
      <c r="W1048" s="29"/>
      <c r="X1048" s="29"/>
      <c r="Y1048" s="29"/>
      <c r="Z1048" s="29"/>
      <c r="AA1048" s="29"/>
      <c r="AB1048" s="29"/>
      <c r="AC1048" s="29"/>
      <c r="AD1048" s="29"/>
      <c r="AE1048" s="29"/>
      <c r="AF1048" s="29"/>
    </row>
    <row r="1049" ht="15.75" customHeight="1">
      <c r="A1049" s="101"/>
      <c r="B1049" s="102"/>
      <c r="C1049" s="101"/>
      <c r="D1049" s="101"/>
      <c r="E1049" s="151"/>
      <c r="F1049" s="29"/>
      <c r="G1049" s="29"/>
      <c r="H1049" s="29"/>
      <c r="I1049" s="29"/>
      <c r="J1049" s="29"/>
      <c r="K1049" s="29"/>
      <c r="L1049" s="29"/>
      <c r="M1049" s="29"/>
      <c r="N1049" s="29"/>
      <c r="O1049" s="29"/>
      <c r="P1049" s="29"/>
      <c r="Q1049" s="29"/>
      <c r="R1049" s="29"/>
      <c r="S1049" s="29"/>
      <c r="T1049" s="29"/>
      <c r="U1049" s="29"/>
      <c r="V1049" s="29"/>
      <c r="W1049" s="29"/>
      <c r="X1049" s="29"/>
      <c r="Y1049" s="29"/>
      <c r="Z1049" s="29"/>
      <c r="AA1049" s="29"/>
      <c r="AB1049" s="29"/>
      <c r="AC1049" s="29"/>
      <c r="AD1049" s="29"/>
      <c r="AE1049" s="29"/>
      <c r="AF1049" s="29"/>
    </row>
    <row r="1050" ht="15.75" customHeight="1">
      <c r="A1050" s="101"/>
      <c r="B1050" s="102"/>
      <c r="C1050" s="101"/>
      <c r="D1050" s="101"/>
      <c r="E1050" s="151"/>
      <c r="F1050" s="29"/>
      <c r="G1050" s="29"/>
      <c r="H1050" s="29"/>
      <c r="I1050" s="29"/>
      <c r="J1050" s="29"/>
      <c r="K1050" s="29"/>
      <c r="L1050" s="29"/>
      <c r="M1050" s="29"/>
      <c r="N1050" s="29"/>
      <c r="O1050" s="29"/>
      <c r="P1050" s="29"/>
      <c r="Q1050" s="29"/>
      <c r="R1050" s="29"/>
      <c r="S1050" s="29"/>
      <c r="T1050" s="29"/>
      <c r="U1050" s="29"/>
      <c r="V1050" s="29"/>
      <c r="W1050" s="29"/>
      <c r="X1050" s="29"/>
      <c r="Y1050" s="29"/>
      <c r="Z1050" s="29"/>
      <c r="AA1050" s="29"/>
      <c r="AB1050" s="29"/>
      <c r="AC1050" s="29"/>
      <c r="AD1050" s="29"/>
      <c r="AE1050" s="29"/>
      <c r="AF1050" s="29"/>
    </row>
    <row r="1051" ht="15.75" customHeight="1">
      <c r="A1051" s="101"/>
      <c r="B1051" s="102"/>
      <c r="C1051" s="101"/>
      <c r="D1051" s="101"/>
      <c r="E1051" s="151"/>
      <c r="F1051" s="29"/>
      <c r="G1051" s="29"/>
      <c r="H1051" s="29"/>
      <c r="I1051" s="29"/>
      <c r="J1051" s="29"/>
      <c r="K1051" s="29"/>
      <c r="L1051" s="29"/>
      <c r="M1051" s="29"/>
      <c r="N1051" s="29"/>
      <c r="O1051" s="29"/>
      <c r="P1051" s="29"/>
      <c r="Q1051" s="29"/>
      <c r="R1051" s="29"/>
      <c r="S1051" s="29"/>
      <c r="T1051" s="29"/>
      <c r="U1051" s="29"/>
      <c r="V1051" s="29"/>
      <c r="W1051" s="29"/>
      <c r="X1051" s="29"/>
      <c r="Y1051" s="29"/>
      <c r="Z1051" s="29"/>
      <c r="AA1051" s="29"/>
      <c r="AB1051" s="29"/>
      <c r="AC1051" s="29"/>
      <c r="AD1051" s="29"/>
      <c r="AE1051" s="29"/>
      <c r="AF1051" s="29"/>
    </row>
    <row r="1052" ht="15.75" customHeight="1">
      <c r="A1052" s="101"/>
      <c r="B1052" s="102"/>
      <c r="C1052" s="101"/>
      <c r="D1052" s="101"/>
      <c r="E1052" s="151"/>
      <c r="F1052" s="29"/>
      <c r="G1052" s="29"/>
      <c r="H1052" s="29"/>
      <c r="I1052" s="29"/>
      <c r="J1052" s="29"/>
      <c r="K1052" s="29"/>
      <c r="L1052" s="29"/>
      <c r="M1052" s="29"/>
      <c r="N1052" s="29"/>
      <c r="O1052" s="29"/>
      <c r="P1052" s="29"/>
      <c r="Q1052" s="29"/>
      <c r="R1052" s="29"/>
      <c r="S1052" s="29"/>
      <c r="T1052" s="29"/>
      <c r="U1052" s="29"/>
      <c r="V1052" s="29"/>
      <c r="W1052" s="29"/>
      <c r="X1052" s="29"/>
      <c r="Y1052" s="29"/>
      <c r="Z1052" s="29"/>
      <c r="AA1052" s="29"/>
      <c r="AB1052" s="29"/>
      <c r="AC1052" s="29"/>
      <c r="AD1052" s="29"/>
      <c r="AE1052" s="29"/>
      <c r="AF1052" s="29"/>
    </row>
    <row r="1053" ht="15.75" customHeight="1">
      <c r="A1053" s="101"/>
      <c r="B1053" s="102"/>
      <c r="C1053" s="101"/>
      <c r="D1053" s="101"/>
      <c r="E1053" s="151"/>
      <c r="F1053" s="29"/>
      <c r="G1053" s="29"/>
      <c r="H1053" s="29"/>
      <c r="I1053" s="29"/>
      <c r="J1053" s="29"/>
      <c r="K1053" s="29"/>
      <c r="L1053" s="29"/>
      <c r="M1053" s="29"/>
      <c r="N1053" s="29"/>
      <c r="O1053" s="29"/>
      <c r="P1053" s="29"/>
      <c r="Q1053" s="29"/>
      <c r="R1053" s="29"/>
      <c r="S1053" s="29"/>
      <c r="T1053" s="29"/>
      <c r="U1053" s="29"/>
      <c r="V1053" s="29"/>
      <c r="W1053" s="29"/>
      <c r="X1053" s="29"/>
      <c r="Y1053" s="29"/>
      <c r="Z1053" s="29"/>
      <c r="AA1053" s="29"/>
      <c r="AB1053" s="29"/>
      <c r="AC1053" s="29"/>
      <c r="AD1053" s="29"/>
      <c r="AE1053" s="29"/>
      <c r="AF1053" s="29"/>
    </row>
    <row r="1054" ht="15.75" customHeight="1">
      <c r="A1054" s="101"/>
      <c r="B1054" s="102"/>
      <c r="C1054" s="101"/>
      <c r="D1054" s="101"/>
      <c r="E1054" s="151"/>
      <c r="F1054" s="29"/>
      <c r="G1054" s="29"/>
      <c r="H1054" s="29"/>
      <c r="I1054" s="29"/>
      <c r="J1054" s="29"/>
      <c r="K1054" s="29"/>
      <c r="L1054" s="29"/>
      <c r="M1054" s="29"/>
      <c r="N1054" s="29"/>
      <c r="O1054" s="29"/>
      <c r="P1054" s="29"/>
      <c r="Q1054" s="29"/>
      <c r="R1054" s="29"/>
      <c r="S1054" s="29"/>
      <c r="T1054" s="29"/>
      <c r="U1054" s="29"/>
      <c r="V1054" s="29"/>
      <c r="W1054" s="29"/>
      <c r="X1054" s="29"/>
      <c r="Y1054" s="29"/>
      <c r="Z1054" s="29"/>
      <c r="AA1054" s="29"/>
      <c r="AB1054" s="29"/>
      <c r="AC1054" s="29"/>
      <c r="AD1054" s="29"/>
      <c r="AE1054" s="29"/>
      <c r="AF1054" s="29"/>
    </row>
    <row r="1055" ht="15.75" customHeight="1">
      <c r="A1055" s="101"/>
      <c r="B1055" s="102"/>
      <c r="C1055" s="101"/>
      <c r="D1055" s="101"/>
      <c r="E1055" s="151"/>
      <c r="F1055" s="29"/>
      <c r="G1055" s="29"/>
      <c r="H1055" s="29"/>
      <c r="I1055" s="29"/>
      <c r="J1055" s="29"/>
      <c r="K1055" s="29"/>
      <c r="L1055" s="29"/>
      <c r="M1055" s="29"/>
      <c r="N1055" s="29"/>
      <c r="O1055" s="29"/>
      <c r="P1055" s="29"/>
      <c r="Q1055" s="29"/>
      <c r="R1055" s="29"/>
      <c r="S1055" s="29"/>
      <c r="T1055" s="29"/>
      <c r="U1055" s="29"/>
      <c r="V1055" s="29"/>
      <c r="W1055" s="29"/>
      <c r="X1055" s="29"/>
      <c r="Y1055" s="29"/>
      <c r="Z1055" s="29"/>
      <c r="AA1055" s="29"/>
      <c r="AB1055" s="29"/>
      <c r="AC1055" s="29"/>
      <c r="AD1055" s="29"/>
      <c r="AE1055" s="29"/>
      <c r="AF1055" s="29"/>
    </row>
    <row r="1056" ht="15.75" customHeight="1">
      <c r="A1056" s="101"/>
      <c r="B1056" s="102"/>
      <c r="C1056" s="101"/>
      <c r="D1056" s="101"/>
      <c r="E1056" s="151"/>
      <c r="F1056" s="29"/>
      <c r="G1056" s="29"/>
      <c r="H1056" s="29"/>
      <c r="I1056" s="29"/>
      <c r="J1056" s="29"/>
      <c r="K1056" s="29"/>
      <c r="L1056" s="29"/>
      <c r="M1056" s="29"/>
      <c r="N1056" s="29"/>
      <c r="O1056" s="29"/>
      <c r="P1056" s="29"/>
      <c r="Q1056" s="29"/>
      <c r="R1056" s="29"/>
      <c r="S1056" s="29"/>
      <c r="T1056" s="29"/>
      <c r="U1056" s="29"/>
      <c r="V1056" s="29"/>
      <c r="W1056" s="29"/>
      <c r="X1056" s="29"/>
      <c r="Y1056" s="29"/>
      <c r="Z1056" s="29"/>
      <c r="AA1056" s="29"/>
      <c r="AB1056" s="29"/>
      <c r="AC1056" s="29"/>
      <c r="AD1056" s="29"/>
      <c r="AE1056" s="29"/>
      <c r="AF1056" s="29"/>
    </row>
    <row r="1057" ht="15.75" customHeight="1">
      <c r="A1057" s="101"/>
      <c r="B1057" s="102"/>
      <c r="C1057" s="101"/>
      <c r="D1057" s="101"/>
      <c r="E1057" s="151"/>
      <c r="F1057" s="29"/>
      <c r="G1057" s="29"/>
      <c r="H1057" s="29"/>
      <c r="I1057" s="29"/>
      <c r="J1057" s="29"/>
      <c r="K1057" s="29"/>
      <c r="L1057" s="29"/>
      <c r="M1057" s="29"/>
      <c r="N1057" s="29"/>
      <c r="O1057" s="29"/>
      <c r="P1057" s="29"/>
      <c r="Q1057" s="29"/>
      <c r="R1057" s="29"/>
      <c r="S1057" s="29"/>
      <c r="T1057" s="29"/>
      <c r="U1057" s="29"/>
      <c r="V1057" s="29"/>
      <c r="W1057" s="29"/>
      <c r="X1057" s="29"/>
      <c r="Y1057" s="29"/>
      <c r="Z1057" s="29"/>
      <c r="AA1057" s="29"/>
      <c r="AB1057" s="29"/>
      <c r="AC1057" s="29"/>
      <c r="AD1057" s="29"/>
      <c r="AE1057" s="29"/>
      <c r="AF1057" s="29"/>
    </row>
    <row r="1058" ht="15.75" customHeight="1">
      <c r="A1058" s="101"/>
      <c r="B1058" s="102"/>
      <c r="C1058" s="101"/>
      <c r="D1058" s="101"/>
      <c r="E1058" s="151"/>
      <c r="F1058" s="29"/>
      <c r="G1058" s="29"/>
      <c r="H1058" s="29"/>
      <c r="I1058" s="29"/>
      <c r="J1058" s="29"/>
      <c r="K1058" s="29"/>
      <c r="L1058" s="29"/>
      <c r="M1058" s="29"/>
      <c r="N1058" s="29"/>
      <c r="O1058" s="29"/>
      <c r="P1058" s="29"/>
      <c r="Q1058" s="29"/>
      <c r="R1058" s="29"/>
      <c r="S1058" s="29"/>
      <c r="T1058" s="29"/>
      <c r="U1058" s="29"/>
      <c r="V1058" s="29"/>
      <c r="W1058" s="29"/>
      <c r="X1058" s="29"/>
      <c r="Y1058" s="29"/>
      <c r="Z1058" s="29"/>
      <c r="AA1058" s="29"/>
      <c r="AB1058" s="29"/>
      <c r="AC1058" s="29"/>
      <c r="AD1058" s="29"/>
      <c r="AE1058" s="29"/>
      <c r="AF1058" s="29"/>
    </row>
    <row r="1059" ht="15.75" customHeight="1">
      <c r="A1059" s="101"/>
      <c r="B1059" s="102"/>
      <c r="C1059" s="101"/>
      <c r="D1059" s="101"/>
      <c r="E1059" s="151"/>
      <c r="F1059" s="29"/>
      <c r="G1059" s="29"/>
      <c r="H1059" s="29"/>
      <c r="I1059" s="29"/>
      <c r="J1059" s="29"/>
      <c r="K1059" s="29"/>
      <c r="L1059" s="29"/>
      <c r="M1059" s="29"/>
      <c r="N1059" s="29"/>
      <c r="O1059" s="29"/>
      <c r="P1059" s="29"/>
      <c r="Q1059" s="29"/>
      <c r="R1059" s="29"/>
      <c r="S1059" s="29"/>
      <c r="T1059" s="29"/>
      <c r="U1059" s="29"/>
      <c r="V1059" s="29"/>
      <c r="W1059" s="29"/>
      <c r="X1059" s="29"/>
      <c r="Y1059" s="29"/>
      <c r="Z1059" s="29"/>
      <c r="AA1059" s="29"/>
      <c r="AB1059" s="29"/>
      <c r="AC1059" s="29"/>
      <c r="AD1059" s="29"/>
      <c r="AE1059" s="29"/>
      <c r="AF1059" s="29"/>
    </row>
    <row r="1060" ht="15.75" customHeight="1">
      <c r="A1060" s="101"/>
      <c r="B1060" s="102"/>
      <c r="C1060" s="101"/>
      <c r="D1060" s="101"/>
      <c r="E1060" s="151"/>
      <c r="F1060" s="29"/>
      <c r="G1060" s="29"/>
      <c r="H1060" s="29"/>
      <c r="I1060" s="29"/>
      <c r="J1060" s="29"/>
      <c r="K1060" s="29"/>
      <c r="L1060" s="29"/>
      <c r="M1060" s="29"/>
      <c r="N1060" s="29"/>
      <c r="O1060" s="29"/>
      <c r="P1060" s="29"/>
      <c r="Q1060" s="29"/>
      <c r="R1060" s="29"/>
      <c r="S1060" s="29"/>
      <c r="T1060" s="29"/>
      <c r="U1060" s="29"/>
      <c r="V1060" s="29"/>
      <c r="W1060" s="29"/>
      <c r="X1060" s="29"/>
      <c r="Y1060" s="29"/>
      <c r="Z1060" s="29"/>
      <c r="AA1060" s="29"/>
      <c r="AB1060" s="29"/>
      <c r="AC1060" s="29"/>
      <c r="AD1060" s="29"/>
      <c r="AE1060" s="29"/>
      <c r="AF1060" s="29"/>
    </row>
    <row r="1061" ht="15.75" customHeight="1">
      <c r="A1061" s="101"/>
      <c r="B1061" s="102"/>
      <c r="C1061" s="101"/>
      <c r="D1061" s="101"/>
      <c r="E1061" s="151"/>
      <c r="F1061" s="29"/>
      <c r="G1061" s="29"/>
      <c r="H1061" s="29"/>
      <c r="I1061" s="29"/>
      <c r="J1061" s="29"/>
      <c r="K1061" s="29"/>
      <c r="L1061" s="29"/>
      <c r="M1061" s="29"/>
      <c r="N1061" s="29"/>
      <c r="O1061" s="29"/>
      <c r="P1061" s="29"/>
      <c r="Q1061" s="29"/>
      <c r="R1061" s="29"/>
      <c r="S1061" s="29"/>
      <c r="T1061" s="29"/>
      <c r="U1061" s="29"/>
      <c r="V1061" s="29"/>
      <c r="W1061" s="29"/>
      <c r="X1061" s="29"/>
      <c r="Y1061" s="29"/>
      <c r="Z1061" s="29"/>
      <c r="AA1061" s="29"/>
      <c r="AB1061" s="29"/>
      <c r="AC1061" s="29"/>
      <c r="AD1061" s="29"/>
      <c r="AE1061" s="29"/>
      <c r="AF1061" s="29"/>
    </row>
    <row r="1062" ht="15.75" customHeight="1">
      <c r="A1062" s="101"/>
      <c r="B1062" s="102"/>
      <c r="C1062" s="101"/>
      <c r="D1062" s="101"/>
      <c r="E1062" s="151"/>
      <c r="F1062" s="29"/>
      <c r="G1062" s="29"/>
      <c r="H1062" s="29"/>
      <c r="I1062" s="29"/>
      <c r="J1062" s="29"/>
      <c r="K1062" s="29"/>
      <c r="L1062" s="29"/>
      <c r="M1062" s="29"/>
      <c r="N1062" s="29"/>
      <c r="O1062" s="29"/>
      <c r="P1062" s="29"/>
      <c r="Q1062" s="29"/>
      <c r="R1062" s="29"/>
      <c r="S1062" s="29"/>
      <c r="T1062" s="29"/>
      <c r="U1062" s="29"/>
      <c r="V1062" s="29"/>
      <c r="W1062" s="29"/>
      <c r="X1062" s="29"/>
      <c r="Y1062" s="29"/>
      <c r="Z1062" s="29"/>
      <c r="AA1062" s="29"/>
      <c r="AB1062" s="29"/>
      <c r="AC1062" s="29"/>
      <c r="AD1062" s="29"/>
      <c r="AE1062" s="29"/>
      <c r="AF1062" s="29"/>
    </row>
    <row r="1063" ht="15.75" customHeight="1">
      <c r="A1063" s="101"/>
      <c r="B1063" s="102"/>
      <c r="C1063" s="101"/>
      <c r="D1063" s="101"/>
      <c r="E1063" s="151"/>
      <c r="F1063" s="29"/>
      <c r="G1063" s="29"/>
      <c r="H1063" s="29"/>
      <c r="I1063" s="29"/>
      <c r="J1063" s="29"/>
      <c r="K1063" s="29"/>
      <c r="L1063" s="29"/>
      <c r="M1063" s="29"/>
      <c r="N1063" s="29"/>
      <c r="O1063" s="29"/>
      <c r="P1063" s="29"/>
      <c r="Q1063" s="29"/>
      <c r="R1063" s="29"/>
      <c r="S1063" s="29"/>
      <c r="T1063" s="29"/>
      <c r="U1063" s="29"/>
      <c r="V1063" s="29"/>
      <c r="W1063" s="29"/>
      <c r="X1063" s="29"/>
      <c r="Y1063" s="29"/>
      <c r="Z1063" s="29"/>
      <c r="AA1063" s="29"/>
      <c r="AB1063" s="29"/>
      <c r="AC1063" s="29"/>
      <c r="AD1063" s="29"/>
      <c r="AE1063" s="29"/>
      <c r="AF1063" s="29"/>
    </row>
    <row r="1064" ht="15.75" customHeight="1">
      <c r="A1064" s="101"/>
      <c r="B1064" s="102"/>
      <c r="C1064" s="101"/>
      <c r="D1064" s="101"/>
      <c r="E1064" s="151"/>
      <c r="F1064" s="29"/>
      <c r="G1064" s="29"/>
      <c r="H1064" s="29"/>
      <c r="I1064" s="29"/>
      <c r="J1064" s="29"/>
      <c r="K1064" s="29"/>
      <c r="L1064" s="29"/>
      <c r="M1064" s="29"/>
      <c r="N1064" s="29"/>
      <c r="O1064" s="29"/>
      <c r="P1064" s="29"/>
      <c r="Q1064" s="29"/>
      <c r="R1064" s="29"/>
      <c r="S1064" s="29"/>
      <c r="T1064" s="29"/>
      <c r="U1064" s="29"/>
      <c r="V1064" s="29"/>
      <c r="W1064" s="29"/>
      <c r="X1064" s="29"/>
      <c r="Y1064" s="29"/>
      <c r="Z1064" s="29"/>
      <c r="AA1064" s="29"/>
      <c r="AB1064" s="29"/>
      <c r="AC1064" s="29"/>
      <c r="AD1064" s="29"/>
      <c r="AE1064" s="29"/>
      <c r="AF1064" s="29"/>
    </row>
    <row r="1065" ht="15.75" customHeight="1">
      <c r="A1065" s="101"/>
      <c r="B1065" s="102"/>
      <c r="C1065" s="101"/>
      <c r="D1065" s="101"/>
      <c r="E1065" s="151"/>
      <c r="F1065" s="29"/>
      <c r="G1065" s="29"/>
      <c r="H1065" s="29"/>
      <c r="I1065" s="29"/>
      <c r="J1065" s="29"/>
      <c r="K1065" s="29"/>
      <c r="L1065" s="29"/>
      <c r="M1065" s="29"/>
      <c r="N1065" s="29"/>
      <c r="O1065" s="29"/>
      <c r="P1065" s="29"/>
      <c r="Q1065" s="29"/>
      <c r="R1065" s="29"/>
      <c r="S1065" s="29"/>
      <c r="T1065" s="29"/>
      <c r="U1065" s="29"/>
      <c r="V1065" s="29"/>
      <c r="W1065" s="29"/>
      <c r="X1065" s="29"/>
      <c r="Y1065" s="29"/>
      <c r="Z1065" s="29"/>
      <c r="AA1065" s="29"/>
      <c r="AB1065" s="29"/>
      <c r="AC1065" s="29"/>
      <c r="AD1065" s="29"/>
      <c r="AE1065" s="29"/>
      <c r="AF1065" s="29"/>
    </row>
    <row r="1066" ht="15.75" customHeight="1">
      <c r="A1066" s="101"/>
      <c r="B1066" s="102"/>
      <c r="C1066" s="101"/>
      <c r="D1066" s="101"/>
      <c r="E1066" s="151"/>
      <c r="F1066" s="29"/>
      <c r="G1066" s="29"/>
      <c r="H1066" s="29"/>
      <c r="I1066" s="29"/>
      <c r="J1066" s="29"/>
      <c r="K1066" s="29"/>
      <c r="L1066" s="29"/>
      <c r="M1066" s="29"/>
      <c r="N1066" s="29"/>
      <c r="O1066" s="29"/>
      <c r="P1066" s="29"/>
      <c r="Q1066" s="29"/>
      <c r="R1066" s="29"/>
      <c r="S1066" s="29"/>
      <c r="T1066" s="29"/>
      <c r="U1066" s="29"/>
      <c r="V1066" s="29"/>
      <c r="W1066" s="29"/>
      <c r="X1066" s="29"/>
      <c r="Y1066" s="29"/>
      <c r="Z1066" s="29"/>
      <c r="AA1066" s="29"/>
      <c r="AB1066" s="29"/>
      <c r="AC1066" s="29"/>
      <c r="AD1066" s="29"/>
      <c r="AE1066" s="29"/>
      <c r="AF1066" s="29"/>
    </row>
    <row r="1067" ht="15.75" customHeight="1">
      <c r="A1067" s="101"/>
      <c r="B1067" s="102"/>
      <c r="C1067" s="101"/>
      <c r="D1067" s="101"/>
      <c r="E1067" s="151"/>
      <c r="F1067" s="29"/>
      <c r="G1067" s="29"/>
      <c r="H1067" s="29"/>
      <c r="I1067" s="29"/>
      <c r="J1067" s="29"/>
      <c r="K1067" s="29"/>
      <c r="L1067" s="29"/>
      <c r="M1067" s="29"/>
      <c r="N1067" s="29"/>
      <c r="O1067" s="29"/>
      <c r="P1067" s="29"/>
      <c r="Q1067" s="29"/>
      <c r="R1067" s="29"/>
      <c r="S1067" s="29"/>
      <c r="T1067" s="29"/>
      <c r="U1067" s="29"/>
      <c r="V1067" s="29"/>
      <c r="W1067" s="29"/>
      <c r="X1067" s="29"/>
      <c r="Y1067" s="29"/>
      <c r="Z1067" s="29"/>
      <c r="AA1067" s="29"/>
      <c r="AB1067" s="29"/>
      <c r="AC1067" s="29"/>
      <c r="AD1067" s="29"/>
      <c r="AE1067" s="29"/>
      <c r="AF1067" s="29"/>
    </row>
    <row r="1068" ht="15.75" customHeight="1">
      <c r="A1068" s="101"/>
      <c r="B1068" s="102"/>
      <c r="C1068" s="101"/>
      <c r="D1068" s="101"/>
      <c r="E1068" s="151"/>
      <c r="F1068" s="29"/>
      <c r="G1068" s="29"/>
      <c r="H1068" s="29"/>
      <c r="I1068" s="29"/>
      <c r="J1068" s="29"/>
      <c r="K1068" s="29"/>
      <c r="L1068" s="29"/>
      <c r="M1068" s="29"/>
      <c r="N1068" s="29"/>
      <c r="O1068" s="29"/>
      <c r="P1068" s="29"/>
      <c r="Q1068" s="29"/>
      <c r="R1068" s="29"/>
      <c r="S1068" s="29"/>
      <c r="T1068" s="29"/>
      <c r="U1068" s="29"/>
      <c r="V1068" s="29"/>
      <c r="W1068" s="29"/>
      <c r="X1068" s="29"/>
      <c r="Y1068" s="29"/>
      <c r="Z1068" s="29"/>
      <c r="AA1068" s="29"/>
      <c r="AB1068" s="29"/>
      <c r="AC1068" s="29"/>
      <c r="AD1068" s="29"/>
      <c r="AE1068" s="29"/>
      <c r="AF1068" s="29"/>
    </row>
    <row r="1069" ht="15.75" customHeight="1">
      <c r="A1069" s="101"/>
      <c r="B1069" s="102"/>
      <c r="C1069" s="101"/>
      <c r="D1069" s="101"/>
      <c r="E1069" s="151"/>
      <c r="F1069" s="29"/>
      <c r="G1069" s="29"/>
      <c r="H1069" s="29"/>
      <c r="I1069" s="29"/>
      <c r="J1069" s="29"/>
      <c r="K1069" s="29"/>
      <c r="L1069" s="29"/>
      <c r="M1069" s="29"/>
      <c r="N1069" s="29"/>
      <c r="O1069" s="29"/>
      <c r="P1069" s="29"/>
      <c r="Q1069" s="29"/>
      <c r="R1069" s="29"/>
      <c r="S1069" s="29"/>
      <c r="T1069" s="29"/>
      <c r="U1069" s="29"/>
      <c r="V1069" s="29"/>
      <c r="W1069" s="29"/>
      <c r="X1069" s="29"/>
      <c r="Y1069" s="29"/>
      <c r="Z1069" s="29"/>
      <c r="AA1069" s="29"/>
      <c r="AB1069" s="29"/>
      <c r="AC1069" s="29"/>
      <c r="AD1069" s="29"/>
      <c r="AE1069" s="29"/>
      <c r="AF1069" s="29"/>
    </row>
    <row r="1070" ht="15.75" customHeight="1">
      <c r="A1070" s="101"/>
      <c r="B1070" s="102"/>
      <c r="C1070" s="101"/>
      <c r="D1070" s="101"/>
      <c r="E1070" s="151"/>
      <c r="F1070" s="29"/>
      <c r="G1070" s="29"/>
      <c r="H1070" s="29"/>
      <c r="I1070" s="29"/>
      <c r="J1070" s="29"/>
      <c r="K1070" s="29"/>
      <c r="L1070" s="29"/>
      <c r="M1070" s="29"/>
      <c r="N1070" s="29"/>
      <c r="O1070" s="29"/>
      <c r="P1070" s="29"/>
      <c r="Q1070" s="29"/>
      <c r="R1070" s="29"/>
      <c r="S1070" s="29"/>
      <c r="T1070" s="29"/>
      <c r="U1070" s="29"/>
      <c r="V1070" s="29"/>
      <c r="W1070" s="29"/>
      <c r="X1070" s="29"/>
      <c r="Y1070" s="29"/>
      <c r="Z1070" s="29"/>
      <c r="AA1070" s="29"/>
      <c r="AB1070" s="29"/>
      <c r="AC1070" s="29"/>
      <c r="AD1070" s="29"/>
      <c r="AE1070" s="29"/>
      <c r="AF1070" s="29"/>
    </row>
    <row r="1071" ht="15.75" customHeight="1">
      <c r="A1071" s="101"/>
      <c r="B1071" s="102"/>
      <c r="C1071" s="101"/>
      <c r="D1071" s="101"/>
      <c r="E1071" s="151"/>
      <c r="F1071" s="29"/>
      <c r="G1071" s="29"/>
      <c r="H1071" s="29"/>
      <c r="I1071" s="29"/>
      <c r="J1071" s="29"/>
      <c r="K1071" s="29"/>
      <c r="L1071" s="29"/>
      <c r="M1071" s="29"/>
      <c r="N1071" s="29"/>
      <c r="O1071" s="29"/>
      <c r="P1071" s="29"/>
      <c r="Q1071" s="29"/>
      <c r="R1071" s="29"/>
      <c r="S1071" s="29"/>
      <c r="T1071" s="29"/>
      <c r="U1071" s="29"/>
      <c r="V1071" s="29"/>
      <c r="W1071" s="29"/>
      <c r="X1071" s="29"/>
      <c r="Y1071" s="29"/>
      <c r="Z1071" s="29"/>
      <c r="AA1071" s="29"/>
      <c r="AB1071" s="29"/>
      <c r="AC1071" s="29"/>
      <c r="AD1071" s="29"/>
      <c r="AE1071" s="29"/>
      <c r="AF1071" s="29"/>
    </row>
    <row r="1072" ht="15.75" customHeight="1">
      <c r="A1072" s="101"/>
      <c r="B1072" s="102"/>
      <c r="C1072" s="101"/>
      <c r="D1072" s="101"/>
      <c r="E1072" s="151"/>
      <c r="F1072" s="29"/>
      <c r="G1072" s="29"/>
      <c r="H1072" s="29"/>
      <c r="I1072" s="29"/>
      <c r="J1072" s="29"/>
      <c r="K1072" s="29"/>
      <c r="L1072" s="29"/>
      <c r="M1072" s="29"/>
      <c r="N1072" s="29"/>
      <c r="O1072" s="29"/>
      <c r="P1072" s="29"/>
      <c r="Q1072" s="29"/>
      <c r="R1072" s="29"/>
      <c r="S1072" s="29"/>
      <c r="T1072" s="29"/>
      <c r="U1072" s="29"/>
      <c r="V1072" s="29"/>
      <c r="W1072" s="29"/>
      <c r="X1072" s="29"/>
      <c r="Y1072" s="29"/>
      <c r="Z1072" s="29"/>
      <c r="AA1072" s="29"/>
      <c r="AB1072" s="29"/>
      <c r="AC1072" s="29"/>
      <c r="AD1072" s="29"/>
      <c r="AE1072" s="29"/>
      <c r="AF1072" s="29"/>
    </row>
    <row r="1073" ht="15.75" customHeight="1">
      <c r="A1073" s="101"/>
      <c r="B1073" s="102"/>
      <c r="C1073" s="101"/>
      <c r="D1073" s="101"/>
      <c r="E1073" s="151"/>
      <c r="F1073" s="29"/>
      <c r="G1073" s="29"/>
      <c r="H1073" s="29"/>
      <c r="I1073" s="29"/>
      <c r="J1073" s="29"/>
      <c r="K1073" s="29"/>
      <c r="L1073" s="29"/>
      <c r="M1073" s="29"/>
      <c r="N1073" s="29"/>
      <c r="O1073" s="29"/>
      <c r="P1073" s="29"/>
      <c r="Q1073" s="29"/>
      <c r="R1073" s="29"/>
      <c r="S1073" s="29"/>
      <c r="T1073" s="29"/>
      <c r="U1073" s="29"/>
      <c r="V1073" s="29"/>
      <c r="W1073" s="29"/>
      <c r="X1073" s="29"/>
      <c r="Y1073" s="29"/>
      <c r="Z1073" s="29"/>
      <c r="AA1073" s="29"/>
      <c r="AB1073" s="29"/>
      <c r="AC1073" s="29"/>
      <c r="AD1073" s="29"/>
      <c r="AE1073" s="29"/>
      <c r="AF1073" s="29"/>
    </row>
    <row r="1074" ht="15.75" customHeight="1">
      <c r="A1074" s="101"/>
      <c r="B1074" s="102"/>
      <c r="C1074" s="101"/>
      <c r="D1074" s="101"/>
      <c r="E1074" s="151"/>
      <c r="F1074" s="29"/>
      <c r="G1074" s="29"/>
      <c r="H1074" s="29"/>
      <c r="I1074" s="29"/>
      <c r="J1074" s="29"/>
      <c r="K1074" s="29"/>
      <c r="L1074" s="29"/>
      <c r="M1074" s="29"/>
      <c r="N1074" s="29"/>
      <c r="O1074" s="29"/>
      <c r="P1074" s="29"/>
      <c r="Q1074" s="29"/>
      <c r="R1074" s="29"/>
      <c r="S1074" s="29"/>
      <c r="T1074" s="29"/>
      <c r="U1074" s="29"/>
      <c r="V1074" s="29"/>
      <c r="W1074" s="29"/>
      <c r="X1074" s="29"/>
      <c r="Y1074" s="29"/>
      <c r="Z1074" s="29"/>
      <c r="AA1074" s="29"/>
      <c r="AB1074" s="29"/>
      <c r="AC1074" s="29"/>
      <c r="AD1074" s="29"/>
      <c r="AE1074" s="29"/>
      <c r="AF1074" s="29"/>
    </row>
    <row r="1075" ht="15.75" customHeight="1">
      <c r="A1075" s="101"/>
      <c r="B1075" s="102"/>
      <c r="C1075" s="101"/>
      <c r="D1075" s="101"/>
      <c r="E1075" s="151"/>
      <c r="F1075" s="29"/>
      <c r="G1075" s="29"/>
      <c r="H1075" s="29"/>
      <c r="I1075" s="29"/>
      <c r="J1075" s="29"/>
      <c r="K1075" s="29"/>
      <c r="L1075" s="29"/>
      <c r="M1075" s="29"/>
      <c r="N1075" s="29"/>
      <c r="O1075" s="29"/>
      <c r="P1075" s="29"/>
      <c r="Q1075" s="29"/>
      <c r="R1075" s="29"/>
      <c r="S1075" s="29"/>
      <c r="T1075" s="29"/>
      <c r="U1075" s="29"/>
      <c r="V1075" s="29"/>
      <c r="W1075" s="29"/>
      <c r="X1075" s="29"/>
      <c r="Y1075" s="29"/>
      <c r="Z1075" s="29"/>
      <c r="AA1075" s="29"/>
      <c r="AB1075" s="29"/>
      <c r="AC1075" s="29"/>
      <c r="AD1075" s="29"/>
      <c r="AE1075" s="29"/>
      <c r="AF1075" s="29"/>
    </row>
    <row r="1076" ht="15.75" customHeight="1">
      <c r="A1076" s="101"/>
      <c r="B1076" s="102"/>
      <c r="C1076" s="101"/>
      <c r="D1076" s="101"/>
      <c r="E1076" s="151"/>
      <c r="F1076" s="29"/>
      <c r="G1076" s="29"/>
      <c r="H1076" s="29"/>
      <c r="I1076" s="29"/>
      <c r="J1076" s="29"/>
      <c r="K1076" s="29"/>
      <c r="L1076" s="29"/>
      <c r="M1076" s="29"/>
      <c r="N1076" s="29"/>
      <c r="O1076" s="29"/>
      <c r="P1076" s="29"/>
      <c r="Q1076" s="29"/>
      <c r="R1076" s="29"/>
      <c r="S1076" s="29"/>
      <c r="T1076" s="29"/>
      <c r="U1076" s="29"/>
      <c r="V1076" s="29"/>
      <c r="W1076" s="29"/>
      <c r="X1076" s="29"/>
      <c r="Y1076" s="29"/>
      <c r="Z1076" s="29"/>
      <c r="AA1076" s="29"/>
      <c r="AB1076" s="29"/>
      <c r="AC1076" s="29"/>
      <c r="AD1076" s="29"/>
      <c r="AE1076" s="29"/>
      <c r="AF1076" s="29"/>
    </row>
    <row r="1077" ht="15.75" customHeight="1">
      <c r="A1077" s="101"/>
      <c r="B1077" s="102"/>
      <c r="C1077" s="101"/>
      <c r="D1077" s="101"/>
      <c r="E1077" s="151"/>
      <c r="F1077" s="29"/>
      <c r="G1077" s="29"/>
      <c r="H1077" s="29"/>
      <c r="I1077" s="29"/>
      <c r="J1077" s="29"/>
      <c r="K1077" s="29"/>
      <c r="L1077" s="29"/>
      <c r="M1077" s="29"/>
      <c r="N1077" s="29"/>
      <c r="O1077" s="29"/>
      <c r="P1077" s="29"/>
      <c r="Q1077" s="29"/>
      <c r="R1077" s="29"/>
      <c r="S1077" s="29"/>
      <c r="T1077" s="29"/>
      <c r="U1077" s="29"/>
      <c r="V1077" s="29"/>
      <c r="W1077" s="29"/>
      <c r="X1077" s="29"/>
      <c r="Y1077" s="29"/>
      <c r="Z1077" s="29"/>
      <c r="AA1077" s="29"/>
      <c r="AB1077" s="29"/>
      <c r="AC1077" s="29"/>
      <c r="AD1077" s="29"/>
      <c r="AE1077" s="29"/>
      <c r="AF1077" s="29"/>
    </row>
    <row r="1078" ht="15.75" customHeight="1">
      <c r="A1078" s="101"/>
      <c r="B1078" s="102"/>
      <c r="C1078" s="101"/>
      <c r="D1078" s="101"/>
      <c r="E1078" s="151"/>
      <c r="F1078" s="29"/>
      <c r="G1078" s="29"/>
      <c r="H1078" s="29"/>
      <c r="I1078" s="29"/>
      <c r="J1078" s="29"/>
      <c r="K1078" s="29"/>
      <c r="L1078" s="29"/>
      <c r="M1078" s="29"/>
      <c r="N1078" s="29"/>
      <c r="O1078" s="29"/>
      <c r="P1078" s="29"/>
      <c r="Q1078" s="29"/>
      <c r="R1078" s="29"/>
      <c r="S1078" s="29"/>
      <c r="T1078" s="29"/>
      <c r="U1078" s="29"/>
      <c r="V1078" s="29"/>
      <c r="W1078" s="29"/>
      <c r="X1078" s="29"/>
      <c r="Y1078" s="29"/>
      <c r="Z1078" s="29"/>
      <c r="AA1078" s="29"/>
      <c r="AB1078" s="29"/>
      <c r="AC1078" s="29"/>
      <c r="AD1078" s="29"/>
      <c r="AE1078" s="29"/>
      <c r="AF1078" s="29"/>
    </row>
    <row r="1079" ht="15.75" customHeight="1">
      <c r="A1079" s="101"/>
      <c r="B1079" s="102"/>
      <c r="C1079" s="101"/>
      <c r="D1079" s="101"/>
      <c r="E1079" s="151"/>
      <c r="F1079" s="29"/>
      <c r="G1079" s="29"/>
      <c r="H1079" s="29"/>
      <c r="I1079" s="29"/>
      <c r="J1079" s="29"/>
      <c r="K1079" s="29"/>
      <c r="L1079" s="29"/>
      <c r="M1079" s="29"/>
      <c r="N1079" s="29"/>
      <c r="O1079" s="29"/>
      <c r="P1079" s="29"/>
      <c r="Q1079" s="29"/>
      <c r="R1079" s="29"/>
      <c r="S1079" s="29"/>
      <c r="T1079" s="29"/>
      <c r="U1079" s="29"/>
      <c r="V1079" s="29"/>
      <c r="W1079" s="29"/>
      <c r="X1079" s="29"/>
      <c r="Y1079" s="29"/>
      <c r="Z1079" s="29"/>
      <c r="AA1079" s="29"/>
      <c r="AB1079" s="29"/>
      <c r="AC1079" s="29"/>
      <c r="AD1079" s="29"/>
      <c r="AE1079" s="29"/>
      <c r="AF1079" s="29"/>
    </row>
    <row r="1080" ht="15.75" customHeight="1">
      <c r="A1080" s="101"/>
      <c r="B1080" s="102"/>
      <c r="C1080" s="101"/>
      <c r="D1080" s="101"/>
      <c r="E1080" s="151"/>
      <c r="F1080" s="29"/>
      <c r="G1080" s="29"/>
      <c r="H1080" s="29"/>
      <c r="I1080" s="29"/>
      <c r="J1080" s="29"/>
      <c r="K1080" s="29"/>
      <c r="L1080" s="29"/>
      <c r="M1080" s="29"/>
      <c r="N1080" s="29"/>
      <c r="O1080" s="29"/>
      <c r="P1080" s="29"/>
      <c r="Q1080" s="29"/>
      <c r="R1080" s="29"/>
      <c r="S1080" s="29"/>
      <c r="T1080" s="29"/>
      <c r="U1080" s="29"/>
      <c r="V1080" s="29"/>
      <c r="W1080" s="29"/>
      <c r="X1080" s="29"/>
      <c r="Y1080" s="29"/>
      <c r="Z1080" s="29"/>
      <c r="AA1080" s="29"/>
      <c r="AB1080" s="29"/>
      <c r="AC1080" s="29"/>
      <c r="AD1080" s="29"/>
      <c r="AE1080" s="29"/>
      <c r="AF1080" s="29"/>
    </row>
    <row r="1081" ht="15.75" customHeight="1">
      <c r="A1081" s="101"/>
      <c r="B1081" s="102"/>
      <c r="C1081" s="101"/>
      <c r="D1081" s="101"/>
      <c r="E1081" s="151"/>
      <c r="F1081" s="29"/>
      <c r="G1081" s="29"/>
      <c r="H1081" s="29"/>
      <c r="I1081" s="29"/>
      <c r="J1081" s="29"/>
      <c r="K1081" s="29"/>
      <c r="L1081" s="29"/>
      <c r="M1081" s="29"/>
      <c r="N1081" s="29"/>
      <c r="O1081" s="29"/>
      <c r="P1081" s="29"/>
      <c r="Q1081" s="29"/>
      <c r="R1081" s="29"/>
      <c r="S1081" s="29"/>
      <c r="T1081" s="29"/>
      <c r="U1081" s="29"/>
      <c r="V1081" s="29"/>
      <c r="W1081" s="29"/>
      <c r="X1081" s="29"/>
      <c r="Y1081" s="29"/>
      <c r="Z1081" s="29"/>
      <c r="AA1081" s="29"/>
      <c r="AB1081" s="29"/>
      <c r="AC1081" s="29"/>
      <c r="AD1081" s="29"/>
      <c r="AE1081" s="29"/>
      <c r="AF1081" s="29"/>
    </row>
    <row r="1082" ht="15.75" customHeight="1">
      <c r="A1082" s="101"/>
      <c r="B1082" s="102"/>
      <c r="C1082" s="101"/>
      <c r="D1082" s="101"/>
      <c r="E1082" s="151"/>
      <c r="F1082" s="29"/>
      <c r="G1082" s="29"/>
      <c r="H1082" s="29"/>
      <c r="I1082" s="29"/>
      <c r="J1082" s="29"/>
      <c r="K1082" s="29"/>
      <c r="L1082" s="29"/>
      <c r="M1082" s="29"/>
      <c r="N1082" s="29"/>
      <c r="O1082" s="29"/>
      <c r="P1082" s="29"/>
      <c r="Q1082" s="29"/>
      <c r="R1082" s="29"/>
      <c r="S1082" s="29"/>
      <c r="T1082" s="29"/>
      <c r="U1082" s="29"/>
      <c r="V1082" s="29"/>
      <c r="W1082" s="29"/>
      <c r="X1082" s="29"/>
      <c r="Y1082" s="29"/>
      <c r="Z1082" s="29"/>
      <c r="AA1082" s="29"/>
      <c r="AB1082" s="29"/>
      <c r="AC1082" s="29"/>
      <c r="AD1082" s="29"/>
      <c r="AE1082" s="29"/>
      <c r="AF1082" s="29"/>
    </row>
    <row r="1083" ht="15.75" customHeight="1">
      <c r="A1083" s="101"/>
      <c r="B1083" s="102"/>
      <c r="C1083" s="101"/>
      <c r="D1083" s="101"/>
      <c r="E1083" s="151"/>
      <c r="F1083" s="29"/>
      <c r="G1083" s="29"/>
      <c r="H1083" s="29"/>
      <c r="I1083" s="29"/>
      <c r="J1083" s="29"/>
      <c r="K1083" s="29"/>
      <c r="L1083" s="29"/>
      <c r="M1083" s="29"/>
      <c r="N1083" s="29"/>
      <c r="O1083" s="29"/>
      <c r="P1083" s="29"/>
      <c r="Q1083" s="29"/>
      <c r="R1083" s="29"/>
      <c r="S1083" s="29"/>
      <c r="T1083" s="29"/>
      <c r="U1083" s="29"/>
      <c r="V1083" s="29"/>
      <c r="W1083" s="29"/>
      <c r="X1083" s="29"/>
      <c r="Y1083" s="29"/>
      <c r="Z1083" s="29"/>
      <c r="AA1083" s="29"/>
      <c r="AB1083" s="29"/>
      <c r="AC1083" s="29"/>
      <c r="AD1083" s="29"/>
      <c r="AE1083" s="29"/>
      <c r="AF1083" s="29"/>
    </row>
    <row r="1084" ht="15.75" customHeight="1">
      <c r="A1084" s="101"/>
      <c r="B1084" s="102"/>
      <c r="C1084" s="101"/>
      <c r="D1084" s="101"/>
      <c r="E1084" s="151"/>
      <c r="F1084" s="29"/>
      <c r="G1084" s="29"/>
      <c r="H1084" s="29"/>
      <c r="I1084" s="29"/>
      <c r="J1084" s="29"/>
      <c r="K1084" s="29"/>
      <c r="L1084" s="29"/>
      <c r="M1084" s="29"/>
      <c r="N1084" s="29"/>
      <c r="O1084" s="29"/>
      <c r="P1084" s="29"/>
      <c r="Q1084" s="29"/>
      <c r="R1084" s="29"/>
      <c r="S1084" s="29"/>
      <c r="T1084" s="29"/>
      <c r="U1084" s="29"/>
      <c r="V1084" s="29"/>
      <c r="W1084" s="29"/>
      <c r="X1084" s="29"/>
      <c r="Y1084" s="29"/>
      <c r="Z1084" s="29"/>
      <c r="AA1084" s="29"/>
      <c r="AB1084" s="29"/>
      <c r="AC1084" s="29"/>
      <c r="AD1084" s="29"/>
      <c r="AE1084" s="29"/>
      <c r="AF1084" s="29"/>
    </row>
    <row r="1085" ht="15.75" customHeight="1">
      <c r="A1085" s="101"/>
      <c r="B1085" s="102"/>
      <c r="C1085" s="101"/>
      <c r="D1085" s="101"/>
      <c r="E1085" s="151"/>
      <c r="F1085" s="29"/>
      <c r="G1085" s="29"/>
      <c r="H1085" s="29"/>
      <c r="I1085" s="29"/>
      <c r="J1085" s="29"/>
      <c r="K1085" s="29"/>
      <c r="L1085" s="29"/>
      <c r="M1085" s="29"/>
      <c r="N1085" s="29"/>
      <c r="O1085" s="29"/>
      <c r="P1085" s="29"/>
      <c r="Q1085" s="29"/>
      <c r="R1085" s="29"/>
      <c r="S1085" s="29"/>
      <c r="T1085" s="29"/>
      <c r="U1085" s="29"/>
      <c r="V1085" s="29"/>
      <c r="W1085" s="29"/>
      <c r="X1085" s="29"/>
      <c r="Y1085" s="29"/>
      <c r="Z1085" s="29"/>
      <c r="AA1085" s="29"/>
      <c r="AB1085" s="29"/>
      <c r="AC1085" s="29"/>
      <c r="AD1085" s="29"/>
      <c r="AE1085" s="29"/>
      <c r="AF1085" s="29"/>
    </row>
    <row r="1086" ht="15.75" customHeight="1">
      <c r="A1086" s="101"/>
      <c r="B1086" s="102"/>
      <c r="C1086" s="101"/>
      <c r="D1086" s="101"/>
      <c r="E1086" s="151"/>
      <c r="F1086" s="29"/>
      <c r="G1086" s="29"/>
      <c r="H1086" s="29"/>
      <c r="I1086" s="29"/>
      <c r="J1086" s="29"/>
      <c r="K1086" s="29"/>
      <c r="L1086" s="29"/>
      <c r="M1086" s="29"/>
      <c r="N1086" s="29"/>
      <c r="O1086" s="29"/>
      <c r="P1086" s="29"/>
      <c r="Q1086" s="29"/>
      <c r="R1086" s="29"/>
      <c r="S1086" s="29"/>
      <c r="T1086" s="29"/>
      <c r="U1086" s="29"/>
      <c r="V1086" s="29"/>
      <c r="W1086" s="29"/>
      <c r="X1086" s="29"/>
      <c r="Y1086" s="29"/>
      <c r="Z1086" s="29"/>
      <c r="AA1086" s="29"/>
      <c r="AB1086" s="29"/>
      <c r="AC1086" s="29"/>
      <c r="AD1086" s="29"/>
      <c r="AE1086" s="29"/>
      <c r="AF1086" s="29"/>
    </row>
    <row r="1087" ht="15.75" customHeight="1">
      <c r="A1087" s="101"/>
      <c r="B1087" s="102"/>
      <c r="C1087" s="101"/>
      <c r="D1087" s="101"/>
      <c r="E1087" s="151"/>
      <c r="F1087" s="29"/>
      <c r="G1087" s="29"/>
      <c r="H1087" s="29"/>
      <c r="I1087" s="29"/>
      <c r="J1087" s="29"/>
      <c r="K1087" s="29"/>
      <c r="L1087" s="29"/>
      <c r="M1087" s="29"/>
      <c r="N1087" s="29"/>
      <c r="O1087" s="29"/>
      <c r="P1087" s="29"/>
      <c r="Q1087" s="29"/>
      <c r="R1087" s="29"/>
      <c r="S1087" s="29"/>
      <c r="T1087" s="29"/>
      <c r="U1087" s="29"/>
      <c r="V1087" s="29"/>
      <c r="W1087" s="29"/>
      <c r="X1087" s="29"/>
      <c r="Y1087" s="29"/>
      <c r="Z1087" s="29"/>
      <c r="AA1087" s="29"/>
      <c r="AB1087" s="29"/>
      <c r="AC1087" s="29"/>
      <c r="AD1087" s="29"/>
      <c r="AE1087" s="29"/>
      <c r="AF1087" s="29"/>
    </row>
    <row r="1088" ht="15.75" customHeight="1">
      <c r="A1088" s="101"/>
      <c r="B1088" s="102"/>
      <c r="C1088" s="101"/>
      <c r="D1088" s="101"/>
      <c r="E1088" s="151"/>
      <c r="F1088" s="29"/>
      <c r="G1088" s="29"/>
      <c r="H1088" s="29"/>
      <c r="I1088" s="29"/>
      <c r="J1088" s="29"/>
      <c r="K1088" s="29"/>
      <c r="L1088" s="29"/>
      <c r="M1088" s="29"/>
      <c r="N1088" s="29"/>
      <c r="O1088" s="29"/>
      <c r="P1088" s="29"/>
      <c r="Q1088" s="29"/>
      <c r="R1088" s="29"/>
      <c r="S1088" s="29"/>
      <c r="T1088" s="29"/>
      <c r="U1088" s="29"/>
      <c r="V1088" s="29"/>
      <c r="W1088" s="29"/>
      <c r="X1088" s="29"/>
      <c r="Y1088" s="29"/>
      <c r="Z1088" s="29"/>
      <c r="AA1088" s="29"/>
      <c r="AB1088" s="29"/>
      <c r="AC1088" s="29"/>
      <c r="AD1088" s="29"/>
      <c r="AE1088" s="29"/>
      <c r="AF1088" s="29"/>
    </row>
    <row r="1089" ht="15.75" customHeight="1">
      <c r="A1089" s="101"/>
      <c r="B1089" s="102"/>
      <c r="C1089" s="101"/>
      <c r="D1089" s="101"/>
      <c r="E1089" s="151"/>
      <c r="F1089" s="29"/>
      <c r="G1089" s="29"/>
      <c r="H1089" s="29"/>
      <c r="I1089" s="29"/>
      <c r="J1089" s="29"/>
      <c r="K1089" s="29"/>
      <c r="L1089" s="29"/>
      <c r="M1089" s="29"/>
      <c r="N1089" s="29"/>
      <c r="O1089" s="29"/>
      <c r="P1089" s="29"/>
      <c r="Q1089" s="29"/>
      <c r="R1089" s="29"/>
      <c r="S1089" s="29"/>
      <c r="T1089" s="29"/>
      <c r="U1089" s="29"/>
      <c r="V1089" s="29"/>
      <c r="W1089" s="29"/>
      <c r="X1089" s="29"/>
      <c r="Y1089" s="29"/>
      <c r="Z1089" s="29"/>
      <c r="AA1089" s="29"/>
      <c r="AB1089" s="29"/>
      <c r="AC1089" s="29"/>
      <c r="AD1089" s="29"/>
      <c r="AE1089" s="29"/>
      <c r="AF1089" s="29"/>
    </row>
    <row r="1090" ht="15.75" customHeight="1">
      <c r="A1090" s="101"/>
      <c r="B1090" s="102"/>
      <c r="C1090" s="101"/>
      <c r="D1090" s="101"/>
      <c r="E1090" s="151"/>
      <c r="F1090" s="29"/>
      <c r="G1090" s="29"/>
      <c r="H1090" s="29"/>
      <c r="I1090" s="29"/>
      <c r="J1090" s="29"/>
      <c r="K1090" s="29"/>
      <c r="L1090" s="29"/>
      <c r="M1090" s="29"/>
      <c r="N1090" s="29"/>
      <c r="O1090" s="29"/>
      <c r="P1090" s="29"/>
      <c r="Q1090" s="29"/>
      <c r="R1090" s="29"/>
      <c r="S1090" s="29"/>
      <c r="T1090" s="29"/>
      <c r="U1090" s="29"/>
      <c r="V1090" s="29"/>
      <c r="W1090" s="29"/>
      <c r="X1090" s="29"/>
      <c r="Y1090" s="29"/>
      <c r="Z1090" s="29"/>
      <c r="AA1090" s="29"/>
      <c r="AB1090" s="29"/>
      <c r="AC1090" s="29"/>
      <c r="AD1090" s="29"/>
      <c r="AE1090" s="29"/>
      <c r="AF1090" s="29"/>
    </row>
    <row r="1091" ht="15.75" customHeight="1">
      <c r="A1091" s="101"/>
      <c r="B1091" s="102"/>
      <c r="C1091" s="101"/>
      <c r="D1091" s="101"/>
      <c r="E1091" s="151"/>
      <c r="F1091" s="29"/>
      <c r="G1091" s="29"/>
      <c r="H1091" s="29"/>
      <c r="I1091" s="29"/>
      <c r="J1091" s="29"/>
      <c r="K1091" s="29"/>
      <c r="L1091" s="29"/>
      <c r="M1091" s="29"/>
      <c r="N1091" s="29"/>
      <c r="O1091" s="29"/>
      <c r="P1091" s="29"/>
      <c r="Q1091" s="29"/>
      <c r="R1091" s="29"/>
      <c r="S1091" s="29"/>
      <c r="T1091" s="29"/>
      <c r="U1091" s="29"/>
      <c r="V1091" s="29"/>
      <c r="W1091" s="29"/>
      <c r="X1091" s="29"/>
      <c r="Y1091" s="29"/>
      <c r="Z1091" s="29"/>
      <c r="AA1091" s="29"/>
      <c r="AB1091" s="29"/>
      <c r="AC1091" s="29"/>
      <c r="AD1091" s="29"/>
      <c r="AE1091" s="29"/>
      <c r="AF1091" s="29"/>
    </row>
    <row r="1092" ht="15.75" customHeight="1">
      <c r="A1092" s="101"/>
      <c r="B1092" s="102"/>
      <c r="C1092" s="101"/>
      <c r="D1092" s="101"/>
      <c r="E1092" s="151"/>
      <c r="F1092" s="29"/>
      <c r="G1092" s="29"/>
      <c r="H1092" s="29"/>
      <c r="I1092" s="29"/>
      <c r="J1092" s="29"/>
      <c r="K1092" s="29"/>
      <c r="L1092" s="29"/>
      <c r="M1092" s="29"/>
      <c r="N1092" s="29"/>
      <c r="O1092" s="29"/>
      <c r="P1092" s="29"/>
      <c r="Q1092" s="29"/>
      <c r="R1092" s="29"/>
      <c r="S1092" s="29"/>
      <c r="T1092" s="29"/>
      <c r="U1092" s="29"/>
      <c r="V1092" s="29"/>
      <c r="W1092" s="29"/>
      <c r="X1092" s="29"/>
      <c r="Y1092" s="29"/>
      <c r="Z1092" s="29"/>
      <c r="AA1092" s="29"/>
      <c r="AB1092" s="29"/>
      <c r="AC1092" s="29"/>
      <c r="AD1092" s="29"/>
      <c r="AE1092" s="29"/>
      <c r="AF1092" s="29"/>
    </row>
  </sheetData>
  <conditionalFormatting sqref="D611:D615 C612 C614:C617">
    <cfRule type="expression" dxfId="0" priority="1" stopIfTrue="1">
      <formula>$A611="begin group"</formula>
    </cfRule>
  </conditionalFormatting>
  <conditionalFormatting sqref="D611:D615 C612 C614:C617">
    <cfRule type="expression" dxfId="1" priority="2" stopIfTrue="1">
      <formula>$A611="begin repeat"</formula>
    </cfRule>
  </conditionalFormatting>
  <conditionalFormatting sqref="D611:D615 C612 C614:C617">
    <cfRule type="expression" dxfId="31" priority="3" stopIfTrue="1">
      <formula>$A611="enumerator"</formula>
    </cfRule>
  </conditionalFormatting>
  <conditionalFormatting sqref="D611:D615 C612 C614:C617">
    <cfRule type="expression" dxfId="2" priority="4" stopIfTrue="1">
      <formula>$A611="text"</formula>
    </cfRule>
  </conditionalFormatting>
  <conditionalFormatting sqref="D611:D615 C612 C614:C617">
    <cfRule type="expression" dxfId="3" priority="5" stopIfTrue="1">
      <formula>$A611="integer"</formula>
    </cfRule>
  </conditionalFormatting>
  <conditionalFormatting sqref="D611:D615 C612 C614:C617">
    <cfRule type="expression" dxfId="4" priority="6" stopIfTrue="1">
      <formula>$A611="decimal"</formula>
    </cfRule>
  </conditionalFormatting>
  <conditionalFormatting sqref="D611:D615 C612 C614:C617">
    <cfRule type="expression" dxfId="5" priority="7" stopIfTrue="1">
      <formula>OR(AND(LEFT($A611, 16)="select_multiple ", LEN($A611)&gt;16, NOT(ISNUMBER(SEARCH(" ", $A611, 17)))), AND(LEFT($A611, 11)="select_one ", LEN($A611)&gt;11, NOT(ISNUMBER(SEARCH(" ", $A611, 12)))))</formula>
    </cfRule>
  </conditionalFormatting>
  <conditionalFormatting sqref="D611:D615 C612 C614:C617">
    <cfRule type="expression" dxfId="32" priority="8" stopIfTrue="1">
      <formula>$A611="file"</formula>
    </cfRule>
  </conditionalFormatting>
  <conditionalFormatting sqref="D611:D615 C612 C614:C617">
    <cfRule type="expression" dxfId="7" priority="9" stopIfTrue="1">
      <formula>$A611="note"</formula>
    </cfRule>
  </conditionalFormatting>
  <conditionalFormatting sqref="D611:D615 C612 C614:C617">
    <cfRule type="expression" dxfId="8" priority="10" stopIfTrue="1">
      <formula>$A611="barcode"</formula>
    </cfRule>
  </conditionalFormatting>
  <conditionalFormatting sqref="D611:D615 C612 C614:C617">
    <cfRule type="expression" dxfId="9" priority="11" stopIfTrue="1">
      <formula>OR($A611="geopoint", $A611="geoshape", $A611="geotrace")</formula>
    </cfRule>
  </conditionalFormatting>
  <conditionalFormatting sqref="D611:D615 C612 C614:C617">
    <cfRule type="expression" dxfId="11" priority="12" stopIfTrue="1">
      <formula>OR($A611="date", $A611="datetime", $A611="time")</formula>
    </cfRule>
  </conditionalFormatting>
  <conditionalFormatting sqref="D611:D615 C612 C614:C617">
    <cfRule type="expression" dxfId="12" priority="13" stopIfTrue="1">
      <formula>$A611="image"</formula>
    </cfRule>
  </conditionalFormatting>
  <conditionalFormatting sqref="D611:D615 C612 C614:C617">
    <cfRule type="expression" dxfId="13" priority="14" stopIfTrue="1">
      <formula>OR($A611="audio", $A611="video")</formula>
    </cfRule>
  </conditionalFormatting>
  <conditionalFormatting sqref="D611:D615 C612 C614:C617">
    <cfRule type="expression" dxfId="33" priority="15" stopIfTrue="1">
      <formula>$A611="file"</formula>
    </cfRule>
  </conditionalFormatting>
  <conditionalFormatting sqref="D611:D615 C612 C614:C617">
    <cfRule type="expression" dxfId="34" priority="16" stopIfTrue="1">
      <formula>$A611="enumerator"</formula>
    </cfRule>
  </conditionalFormatting>
  <conditionalFormatting sqref="D611:D615 C612 C614:C617">
    <cfRule type="expression" dxfId="35" priority="17" stopIfTrue="1">
      <formula>OR(AND(LEFT($A611, 14)="sensor_stream ", LEN($A611)&gt;14, NOT(ISNUMBER(SEARCH(" ", $A611, 15)))), AND(LEFT($A611, 17)="sensor_statistic ", LEN($A611)&gt;17, NOT(ISNUMBER(SEARCH(" ", $A611, 18)))))</formula>
    </cfRule>
  </conditionalFormatting>
  <conditionalFormatting sqref="D611:D615 C612 C614:C617">
    <cfRule type="expression" dxfId="14" priority="18" stopIfTrue="1">
      <formula>$A611="comments"</formula>
    </cfRule>
  </conditionalFormatting>
  <conditionalFormatting sqref="D611:D615 C612 C614:C617">
    <cfRule type="expression" dxfId="15" priority="19" stopIfTrue="1">
      <formula>OR($A611="audio", $A611="video")</formula>
    </cfRule>
  </conditionalFormatting>
  <conditionalFormatting sqref="D611:D615 C612 C614:C617">
    <cfRule type="expression" dxfId="16" priority="20" stopIfTrue="1">
      <formula>$A611="image"</formula>
    </cfRule>
  </conditionalFormatting>
  <conditionalFormatting sqref="D611:D615 C612 C614:C617">
    <cfRule type="expression" dxfId="17" priority="21" stopIfTrue="1">
      <formula>OR($A611="date", $A611="datetime", $A611="time")</formula>
    </cfRule>
  </conditionalFormatting>
  <conditionalFormatting sqref="D611:D615 C612 C614:C617">
    <cfRule type="expression" dxfId="18" priority="22" stopIfTrue="1">
      <formula>OR($A611="calculate", $A611="calculate_here")</formula>
    </cfRule>
  </conditionalFormatting>
  <conditionalFormatting sqref="D611:D615 C612 C614:C617">
    <cfRule type="expression" dxfId="19" priority="23" stopIfTrue="1">
      <formula>$A611="note"</formula>
    </cfRule>
  </conditionalFormatting>
  <conditionalFormatting sqref="D611:D615 C612 C614:C617">
    <cfRule type="expression" dxfId="20" priority="24" stopIfTrue="1">
      <formula>$A611="barcode"</formula>
    </cfRule>
  </conditionalFormatting>
  <conditionalFormatting sqref="D611:D615 C612 C614:C617">
    <cfRule type="expression" dxfId="21" priority="25" stopIfTrue="1">
      <formula>OR($A611="geopoint", $A611="geoshape", $A611="geotrace")</formula>
    </cfRule>
  </conditionalFormatting>
  <conditionalFormatting sqref="D611:D615 C612 C614:C617">
    <cfRule type="expression" dxfId="22" priority="26" stopIfTrue="1">
      <formula>OR($A611="audio audit", $A611="text audit", $A611="speed violations count", $A611="speed violations list", $A611="speed violations audit")</formula>
    </cfRule>
  </conditionalFormatting>
  <conditionalFormatting sqref="D611:D615 C612 C614:C617">
    <cfRule type="expression" dxfId="23" priority="27" stopIfTrue="1">
      <formula>OR($A611="username", $A611="phonenumber", $A611="start", $A611="end", $A611="deviceid", $A611="subscriberid", $A611="simserial", $A611="caseid")</formula>
    </cfRule>
  </conditionalFormatting>
  <conditionalFormatting sqref="D611:D615 C612 C614:C617">
    <cfRule type="expression" dxfId="24" priority="28" stopIfTrue="1">
      <formula>OR(AND(LEFT($A611, 16)="select_multiple ", LEN($A611)&gt;16, NOT(ISNUMBER(SEARCH(" ", $A611, 17)))), AND(LEFT($A611, 11)="select_one ", LEN($A611)&gt;11, NOT(ISNUMBER(SEARCH(" ", $A611, 12)))))</formula>
    </cfRule>
  </conditionalFormatting>
  <conditionalFormatting sqref="D611:D615 C612 C614:C617">
    <cfRule type="expression" dxfId="25" priority="29" stopIfTrue="1">
      <formula>$A611="decimal"</formula>
    </cfRule>
  </conditionalFormatting>
  <conditionalFormatting sqref="D611:D615 C612 C614:C617">
    <cfRule type="expression" dxfId="26" priority="30" stopIfTrue="1">
      <formula>$A611="integer"</formula>
    </cfRule>
  </conditionalFormatting>
  <conditionalFormatting sqref="D611:D615 C612 C614:C617">
    <cfRule type="expression" dxfId="27" priority="31" stopIfTrue="1">
      <formula>$A611="text"</formula>
    </cfRule>
  </conditionalFormatting>
  <conditionalFormatting sqref="D611:D615 C612 C614:C617">
    <cfRule type="expression" dxfId="28" priority="32" stopIfTrue="1">
      <formula>$A611="end repeat"</formula>
    </cfRule>
  </conditionalFormatting>
  <conditionalFormatting sqref="D611:D615 C612 C614:C617">
    <cfRule type="expression" dxfId="28" priority="33" stopIfTrue="1">
      <formula>$A611="begin repeat"</formula>
    </cfRule>
  </conditionalFormatting>
  <conditionalFormatting sqref="D611:D615 C612 C614:C617">
    <cfRule type="expression" dxfId="29" priority="34" stopIfTrue="1">
      <formula>$A611="end group"</formula>
    </cfRule>
  </conditionalFormatting>
  <conditionalFormatting sqref="D611:D615 C612 C614:C617">
    <cfRule type="expression" dxfId="29" priority="35" stopIfTrue="1">
      <formula>$A611="begin group"</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1" t="s">
        <v>0</v>
      </c>
      <c r="B1" s="3" t="s">
        <v>3</v>
      </c>
      <c r="C1" s="12" t="s">
        <v>6</v>
      </c>
      <c r="D1" s="3" t="s">
        <v>14</v>
      </c>
      <c r="E1" s="3" t="s">
        <v>16</v>
      </c>
      <c r="F1" s="16" t="s">
        <v>18</v>
      </c>
      <c r="G1" s="18"/>
      <c r="H1" s="18"/>
      <c r="I1" s="18"/>
      <c r="J1" s="18"/>
      <c r="K1" s="18"/>
      <c r="L1" s="18"/>
      <c r="M1" s="18"/>
      <c r="N1" s="18"/>
      <c r="O1" s="18"/>
      <c r="P1" s="18"/>
      <c r="Q1" s="18"/>
      <c r="R1" s="18"/>
      <c r="S1" s="18"/>
      <c r="T1" s="18"/>
      <c r="U1" s="18"/>
      <c r="V1" s="18"/>
      <c r="W1" s="18"/>
      <c r="X1" s="18"/>
      <c r="Y1" s="18"/>
      <c r="Z1" s="18"/>
    </row>
    <row r="2" ht="15.75" customHeight="1">
      <c r="A2" s="22" t="s">
        <v>35</v>
      </c>
      <c r="B2" s="24" t="s">
        <v>40</v>
      </c>
      <c r="C2" s="33" t="str">
        <f>TEXT(YEAR(NOW())-2000, "00") &amp; TEXT(MONTH(NOW()), "00") &amp; TEXT(DAY(NOW()), "00") &amp; TEXT(HOUR(NOW()), "00") &amp; TEXT(MINUTE(NOW()), "00")</f>
        <v>2608031048</v>
      </c>
      <c r="D2" s="35" t="s">
        <v>53</v>
      </c>
      <c r="E2" s="35" t="s">
        <v>53</v>
      </c>
      <c r="F2" s="33" t="s">
        <v>54</v>
      </c>
      <c r="G2" s="37"/>
      <c r="H2" s="37"/>
      <c r="I2" s="37"/>
      <c r="J2" s="37"/>
      <c r="K2" s="37"/>
      <c r="L2" s="37"/>
      <c r="M2" s="37"/>
      <c r="N2" s="37"/>
      <c r="O2" s="37"/>
      <c r="P2" s="37"/>
      <c r="Q2" s="37"/>
      <c r="R2" s="37"/>
      <c r="S2" s="37"/>
      <c r="T2" s="37"/>
      <c r="U2" s="37"/>
      <c r="V2" s="37"/>
      <c r="W2" s="37"/>
      <c r="X2" s="37"/>
      <c r="Y2" s="37"/>
      <c r="Z2" s="37"/>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6" t="s">
        <v>5</v>
      </c>
      <c r="B1" s="7"/>
      <c r="C1" s="9"/>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5.75" customHeight="1">
      <c r="A2" s="20"/>
      <c r="B2" s="21"/>
      <c r="C2" s="9"/>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ht="57.75" customHeight="1">
      <c r="A3" s="26" t="s">
        <v>46</v>
      </c>
      <c r="B3" s="21"/>
      <c r="C3" s="9"/>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ht="15.75" customHeight="1">
      <c r="A4" s="32" t="s">
        <v>52</v>
      </c>
      <c r="B4" s="34"/>
      <c r="C4" s="9"/>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ht="15.75" customHeight="1">
      <c r="A5" s="11"/>
      <c r="B5" s="11"/>
      <c r="C5" s="9"/>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ht="18.0" customHeight="1">
      <c r="A6" s="42" t="s">
        <v>2</v>
      </c>
      <c r="B6" s="42" t="s">
        <v>8</v>
      </c>
      <c r="C6" s="43" t="s">
        <v>7</v>
      </c>
      <c r="D6" s="43" t="s">
        <v>60</v>
      </c>
      <c r="E6" s="42" t="s">
        <v>19</v>
      </c>
      <c r="F6" s="42" t="s">
        <v>61</v>
      </c>
      <c r="G6" s="42" t="s">
        <v>22</v>
      </c>
      <c r="H6" s="44" t="s">
        <v>23</v>
      </c>
      <c r="I6" s="42" t="s">
        <v>24</v>
      </c>
      <c r="J6" s="43" t="s">
        <v>25</v>
      </c>
      <c r="K6" s="43" t="s">
        <v>62</v>
      </c>
      <c r="L6" s="42" t="s">
        <v>28</v>
      </c>
      <c r="M6" s="42" t="s">
        <v>29</v>
      </c>
      <c r="N6" s="42" t="s">
        <v>30</v>
      </c>
      <c r="O6" s="42" t="s">
        <v>31</v>
      </c>
      <c r="P6" s="42" t="s">
        <v>63</v>
      </c>
      <c r="Q6" s="42" t="s">
        <v>32</v>
      </c>
      <c r="R6" s="42" t="s">
        <v>33</v>
      </c>
      <c r="S6" s="42" t="s">
        <v>34</v>
      </c>
      <c r="T6" s="42" t="s">
        <v>37</v>
      </c>
      <c r="U6" s="42" t="s">
        <v>38</v>
      </c>
      <c r="V6" s="42" t="s">
        <v>39</v>
      </c>
      <c r="W6" s="42" t="s">
        <v>65</v>
      </c>
      <c r="X6" s="42" t="s">
        <v>66</v>
      </c>
      <c r="Y6" s="42" t="s">
        <v>67</v>
      </c>
      <c r="Z6" s="42" t="s">
        <v>41</v>
      </c>
      <c r="AA6" s="42" t="s">
        <v>42</v>
      </c>
      <c r="AB6" s="42" t="s">
        <v>43</v>
      </c>
      <c r="AC6" s="42" t="s">
        <v>44</v>
      </c>
      <c r="AD6" s="42" t="s">
        <v>45</v>
      </c>
      <c r="AE6" s="47"/>
    </row>
    <row r="7" ht="15.75" customHeight="1">
      <c r="A7" s="49" t="s">
        <v>70</v>
      </c>
      <c r="B7" s="49" t="s">
        <v>72</v>
      </c>
      <c r="C7" s="49" t="s">
        <v>76</v>
      </c>
      <c r="D7" s="49" t="s">
        <v>77</v>
      </c>
      <c r="E7" s="49" t="s">
        <v>78</v>
      </c>
      <c r="F7" s="49" t="s">
        <v>79</v>
      </c>
      <c r="G7" s="53" t="s">
        <v>80</v>
      </c>
      <c r="H7" s="49" t="s">
        <v>81</v>
      </c>
      <c r="I7" s="49" t="s">
        <v>82</v>
      </c>
      <c r="J7" s="49" t="s">
        <v>83</v>
      </c>
      <c r="K7" s="49" t="s">
        <v>84</v>
      </c>
      <c r="L7" s="49" t="s">
        <v>85</v>
      </c>
      <c r="M7" s="49" t="s">
        <v>88</v>
      </c>
      <c r="N7" s="49" t="s">
        <v>90</v>
      </c>
      <c r="O7" s="49" t="s">
        <v>92</v>
      </c>
      <c r="P7" s="49" t="s">
        <v>93</v>
      </c>
      <c r="Q7" s="49" t="s">
        <v>94</v>
      </c>
      <c r="R7" s="49" t="s">
        <v>95</v>
      </c>
      <c r="S7" s="49" t="s">
        <v>96</v>
      </c>
      <c r="T7" s="49" t="s">
        <v>97</v>
      </c>
      <c r="U7" s="49" t="s">
        <v>98</v>
      </c>
      <c r="V7" s="49" t="s">
        <v>99</v>
      </c>
      <c r="W7" s="49" t="s">
        <v>100</v>
      </c>
      <c r="X7" s="49" t="s">
        <v>101</v>
      </c>
      <c r="Y7" s="49" t="s">
        <v>102</v>
      </c>
      <c r="Z7" s="58" t="s">
        <v>103</v>
      </c>
      <c r="AA7" s="49" t="s">
        <v>104</v>
      </c>
      <c r="AB7" s="49" t="s">
        <v>105</v>
      </c>
      <c r="AC7" s="49" t="s">
        <v>106</v>
      </c>
      <c r="AD7" s="49" t="s">
        <v>107</v>
      </c>
      <c r="AE7" s="59"/>
    </row>
    <row r="8" ht="15.75" customHeight="1">
      <c r="A8" s="60"/>
      <c r="B8" s="60"/>
      <c r="C8" s="60"/>
      <c r="D8" s="63" t="s">
        <v>110</v>
      </c>
      <c r="E8" s="60"/>
      <c r="F8" s="63" t="s">
        <v>110</v>
      </c>
      <c r="G8" s="64" t="s">
        <v>114</v>
      </c>
      <c r="H8" s="60"/>
      <c r="I8" s="64" t="s">
        <v>117</v>
      </c>
      <c r="J8" s="64" t="s">
        <v>117</v>
      </c>
      <c r="K8" s="60"/>
      <c r="L8" s="64" t="s">
        <v>118</v>
      </c>
      <c r="M8" s="64" t="s">
        <v>125</v>
      </c>
      <c r="N8" s="64" t="s">
        <v>125</v>
      </c>
      <c r="O8" s="64" t="s">
        <v>125</v>
      </c>
      <c r="P8" s="60"/>
      <c r="Q8" s="64" t="s">
        <v>125</v>
      </c>
      <c r="R8" s="64" t="s">
        <v>126</v>
      </c>
      <c r="S8" s="64" t="s">
        <v>128</v>
      </c>
      <c r="T8" s="64" t="s">
        <v>132</v>
      </c>
      <c r="U8" s="64" t="s">
        <v>125</v>
      </c>
      <c r="V8" s="64" t="s">
        <v>125</v>
      </c>
      <c r="W8" s="63" t="s">
        <v>110</v>
      </c>
      <c r="X8" s="63" t="s">
        <v>110</v>
      </c>
      <c r="Y8" s="63" t="s">
        <v>110</v>
      </c>
      <c r="Z8" s="64" t="s">
        <v>136</v>
      </c>
      <c r="AA8" s="64" t="s">
        <v>137</v>
      </c>
      <c r="AB8" s="64" t="s">
        <v>137</v>
      </c>
      <c r="AC8" s="68" t="s">
        <v>138</v>
      </c>
      <c r="AD8" s="64" t="s">
        <v>144</v>
      </c>
      <c r="AE8" s="59"/>
    </row>
    <row r="9" ht="15.75" customHeight="1">
      <c r="A9" s="11"/>
      <c r="B9" s="11"/>
      <c r="C9" s="9"/>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row>
    <row r="10" ht="15.75" customHeight="1">
      <c r="A10" s="74" t="s">
        <v>146</v>
      </c>
      <c r="B10" s="75"/>
      <c r="C10" s="78"/>
      <c r="D10" s="79"/>
      <c r="E10" s="79"/>
      <c r="F10" s="79"/>
      <c r="G10" s="79"/>
      <c r="H10" s="79"/>
      <c r="I10" s="79"/>
      <c r="J10" s="79"/>
      <c r="K10" s="79"/>
      <c r="L10" s="79"/>
      <c r="M10" s="79"/>
      <c r="N10" s="79"/>
      <c r="O10" s="79"/>
      <c r="P10" s="79"/>
      <c r="Q10" s="79"/>
      <c r="R10" s="79"/>
      <c r="S10" s="79"/>
      <c r="T10" s="79"/>
      <c r="U10" s="79"/>
      <c r="V10" s="79"/>
      <c r="W10" s="79"/>
      <c r="X10" s="79"/>
      <c r="Y10" s="79"/>
      <c r="Z10" s="79"/>
      <c r="AA10" s="79"/>
      <c r="AB10" s="79"/>
      <c r="AC10" s="79"/>
      <c r="AD10" s="79"/>
      <c r="AE10" s="80"/>
    </row>
    <row r="11" ht="15.75" customHeight="1">
      <c r="A11" s="11"/>
      <c r="B11" s="11"/>
      <c r="C11" s="9"/>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ht="15.75" customHeight="1">
      <c r="A12" s="83" t="s">
        <v>157</v>
      </c>
      <c r="B12" s="85" t="s">
        <v>161</v>
      </c>
      <c r="C12" s="87" t="s">
        <v>163</v>
      </c>
      <c r="D12" s="85"/>
      <c r="E12" s="85"/>
      <c r="F12" s="85"/>
      <c r="G12" s="85"/>
      <c r="H12" s="85" t="s">
        <v>164</v>
      </c>
      <c r="I12" s="85"/>
      <c r="J12" s="85"/>
      <c r="K12" s="85"/>
      <c r="L12" s="85"/>
      <c r="M12" s="85"/>
      <c r="N12" s="85"/>
      <c r="O12" s="85"/>
      <c r="P12" s="85"/>
      <c r="Q12" s="85"/>
      <c r="R12" s="85"/>
      <c r="S12" s="85"/>
      <c r="T12" s="85"/>
      <c r="U12" s="85"/>
      <c r="V12" s="85"/>
      <c r="W12" s="85"/>
      <c r="X12" s="85"/>
      <c r="Y12" s="85"/>
      <c r="Z12" s="85"/>
      <c r="AA12" s="85"/>
      <c r="AB12" s="85"/>
      <c r="AC12" s="85"/>
      <c r="AD12" s="85"/>
      <c r="AE12" s="80"/>
    </row>
    <row r="13" ht="15.75" customHeight="1">
      <c r="A13" s="83" t="s">
        <v>157</v>
      </c>
      <c r="B13" s="85" t="s">
        <v>161</v>
      </c>
      <c r="C13" s="87" t="s">
        <v>170</v>
      </c>
      <c r="D13" s="85"/>
      <c r="E13" s="85"/>
      <c r="F13" s="85"/>
      <c r="G13" s="85"/>
      <c r="H13" s="87" t="s">
        <v>174</v>
      </c>
      <c r="I13" s="85"/>
      <c r="J13" s="85"/>
      <c r="K13" s="85"/>
      <c r="L13" s="85"/>
      <c r="M13" s="85"/>
      <c r="N13" s="85"/>
      <c r="O13" s="85"/>
      <c r="P13" s="85"/>
      <c r="Q13" s="85"/>
      <c r="R13" s="85"/>
      <c r="S13" s="85"/>
      <c r="T13" s="85"/>
      <c r="U13" s="85"/>
      <c r="V13" s="85"/>
      <c r="W13" s="85"/>
      <c r="X13" s="85"/>
      <c r="Y13" s="85"/>
      <c r="Z13" s="85"/>
      <c r="AA13" s="85"/>
      <c r="AB13" s="85"/>
      <c r="AC13" s="85"/>
      <c r="AD13" s="85"/>
      <c r="AE13" s="80"/>
    </row>
    <row r="14" ht="15.75" customHeight="1">
      <c r="A14" s="83" t="s">
        <v>157</v>
      </c>
      <c r="B14" s="85" t="s">
        <v>161</v>
      </c>
      <c r="C14" s="87" t="s">
        <v>187</v>
      </c>
      <c r="D14" s="85"/>
      <c r="E14" s="85"/>
      <c r="F14" s="85"/>
      <c r="G14" s="85"/>
      <c r="H14" s="85" t="s">
        <v>192</v>
      </c>
      <c r="I14" s="85"/>
      <c r="J14" s="85"/>
      <c r="K14" s="85"/>
      <c r="L14" s="85"/>
      <c r="M14" s="85"/>
      <c r="N14" s="85"/>
      <c r="O14" s="85"/>
      <c r="P14" s="85"/>
      <c r="Q14" s="85"/>
      <c r="R14" s="85"/>
      <c r="S14" s="85"/>
      <c r="T14" s="85"/>
      <c r="U14" s="85"/>
      <c r="V14" s="85"/>
      <c r="W14" s="85"/>
      <c r="X14" s="85"/>
      <c r="Y14" s="85"/>
      <c r="Z14" s="85"/>
      <c r="AA14" s="85"/>
      <c r="AB14" s="85"/>
      <c r="AC14" s="85"/>
      <c r="AD14" s="85"/>
      <c r="AE14" s="80"/>
    </row>
    <row r="15" ht="15.75" customHeight="1">
      <c r="A15" s="83" t="s">
        <v>157</v>
      </c>
      <c r="B15" s="85" t="s">
        <v>161</v>
      </c>
      <c r="C15" s="87" t="s">
        <v>187</v>
      </c>
      <c r="D15" s="85"/>
      <c r="E15" s="85"/>
      <c r="F15" s="85"/>
      <c r="G15" s="85"/>
      <c r="H15" s="85" t="s">
        <v>204</v>
      </c>
      <c r="I15" s="85"/>
      <c r="J15" s="85"/>
      <c r="K15" s="85"/>
      <c r="L15" s="85"/>
      <c r="M15" s="85"/>
      <c r="N15" s="85"/>
      <c r="O15" s="85"/>
      <c r="P15" s="85"/>
      <c r="Q15" s="85"/>
      <c r="R15" s="85"/>
      <c r="S15" s="85"/>
      <c r="T15" s="85"/>
      <c r="U15" s="85"/>
      <c r="V15" s="85"/>
      <c r="W15" s="85"/>
      <c r="X15" s="85"/>
      <c r="Y15" s="85"/>
      <c r="Z15" s="85"/>
      <c r="AA15" s="85"/>
      <c r="AB15" s="85"/>
      <c r="AC15" s="85"/>
      <c r="AD15" s="85"/>
      <c r="AE15" s="80"/>
    </row>
    <row r="16" ht="15.75" customHeight="1">
      <c r="A16" s="83" t="s">
        <v>214</v>
      </c>
      <c r="B16" s="85" t="s">
        <v>161</v>
      </c>
      <c r="C16" s="87" t="s">
        <v>215</v>
      </c>
      <c r="D16" s="83"/>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0"/>
    </row>
    <row r="17" ht="15.75" customHeight="1">
      <c r="A17" s="83" t="s">
        <v>214</v>
      </c>
      <c r="B17" s="85" t="s">
        <v>161</v>
      </c>
      <c r="C17" s="87" t="s">
        <v>227</v>
      </c>
      <c r="D17" s="85"/>
      <c r="E17" s="85"/>
      <c r="F17" s="85"/>
      <c r="G17" s="85"/>
      <c r="H17" s="85" t="s">
        <v>229</v>
      </c>
      <c r="I17" s="85"/>
      <c r="J17" s="85"/>
      <c r="K17" s="85"/>
      <c r="L17" s="85"/>
      <c r="M17" s="85"/>
      <c r="N17" s="85"/>
      <c r="O17" s="85"/>
      <c r="P17" s="85"/>
      <c r="Q17" s="85"/>
      <c r="R17" s="85"/>
      <c r="S17" s="85"/>
      <c r="T17" s="85"/>
      <c r="U17" s="85"/>
      <c r="V17" s="85"/>
      <c r="W17" s="85"/>
      <c r="X17" s="85"/>
      <c r="Y17" s="85"/>
      <c r="Z17" s="85"/>
      <c r="AA17" s="85"/>
      <c r="AB17" s="85"/>
      <c r="AC17" s="85"/>
      <c r="AD17" s="85"/>
      <c r="AE17" s="80"/>
    </row>
    <row r="18" ht="15.75" customHeight="1">
      <c r="A18" s="83" t="s">
        <v>237</v>
      </c>
      <c r="B18" s="85" t="s">
        <v>161</v>
      </c>
      <c r="C18" s="87" t="s">
        <v>244</v>
      </c>
      <c r="D18" s="83"/>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0"/>
    </row>
    <row r="19" ht="15.75" customHeight="1">
      <c r="A19" s="83" t="s">
        <v>259</v>
      </c>
      <c r="B19" s="85" t="s">
        <v>161</v>
      </c>
      <c r="C19" s="87" t="s">
        <v>263</v>
      </c>
      <c r="D19" s="83"/>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0"/>
    </row>
    <row r="20" ht="15.75" customHeight="1">
      <c r="A20" s="83" t="s">
        <v>274</v>
      </c>
      <c r="B20" s="85" t="s">
        <v>161</v>
      </c>
      <c r="C20" s="87" t="s">
        <v>275</v>
      </c>
      <c r="D20" s="83"/>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0"/>
    </row>
    <row r="21" ht="15.75" customHeight="1">
      <c r="A21" s="83" t="s">
        <v>274</v>
      </c>
      <c r="B21" s="85" t="s">
        <v>161</v>
      </c>
      <c r="C21" s="87" t="s">
        <v>288</v>
      </c>
      <c r="D21" s="85"/>
      <c r="E21" s="85"/>
      <c r="F21" s="85"/>
      <c r="G21" s="85"/>
      <c r="H21" s="85" t="s">
        <v>294</v>
      </c>
      <c r="I21" s="85"/>
      <c r="J21" s="85"/>
      <c r="K21" s="85"/>
      <c r="L21" s="85"/>
      <c r="M21" s="85"/>
      <c r="N21" s="85"/>
      <c r="O21" s="85"/>
      <c r="P21" s="85"/>
      <c r="Q21" s="85"/>
      <c r="R21" s="85"/>
      <c r="S21" s="85"/>
      <c r="T21" s="85"/>
      <c r="U21" s="85"/>
      <c r="V21" s="85"/>
      <c r="W21" s="85"/>
      <c r="X21" s="85"/>
      <c r="Y21" s="85"/>
      <c r="Z21" s="85"/>
      <c r="AA21" s="85"/>
      <c r="AB21" s="85"/>
      <c r="AC21" s="85"/>
      <c r="AD21" s="85"/>
      <c r="AE21" s="80"/>
    </row>
    <row r="22" ht="15.75" customHeight="1">
      <c r="A22" s="83" t="s">
        <v>274</v>
      </c>
      <c r="B22" s="85" t="s">
        <v>161</v>
      </c>
      <c r="C22" s="87" t="s">
        <v>299</v>
      </c>
      <c r="D22" s="85"/>
      <c r="E22" s="85"/>
      <c r="F22" s="85"/>
      <c r="G22" s="85"/>
      <c r="H22" s="85" t="s">
        <v>304</v>
      </c>
      <c r="I22" s="85"/>
      <c r="J22" s="85"/>
      <c r="K22" s="85"/>
      <c r="L22" s="85"/>
      <c r="M22" s="85"/>
      <c r="N22" s="85"/>
      <c r="O22" s="85"/>
      <c r="P22" s="85"/>
      <c r="Q22" s="85"/>
      <c r="R22" s="85"/>
      <c r="S22" s="85"/>
      <c r="T22" s="85"/>
      <c r="U22" s="85"/>
      <c r="V22" s="85"/>
      <c r="W22" s="85"/>
      <c r="X22" s="85"/>
      <c r="Y22" s="85"/>
      <c r="Z22" s="85"/>
      <c r="AA22" s="85"/>
      <c r="AB22" s="85"/>
      <c r="AC22" s="85"/>
      <c r="AD22" s="85"/>
      <c r="AE22" s="80"/>
    </row>
    <row r="23" ht="15.75" customHeight="1">
      <c r="A23" s="83" t="s">
        <v>274</v>
      </c>
      <c r="B23" s="85" t="s">
        <v>161</v>
      </c>
      <c r="C23" s="87" t="s">
        <v>318</v>
      </c>
      <c r="D23" s="85"/>
      <c r="E23" s="85"/>
      <c r="F23" s="85"/>
      <c r="G23" s="85"/>
      <c r="H23" s="85" t="s">
        <v>324</v>
      </c>
      <c r="I23" s="85"/>
      <c r="J23" s="85"/>
      <c r="K23" s="85"/>
      <c r="L23" s="85"/>
      <c r="M23" s="85"/>
      <c r="N23" s="85"/>
      <c r="O23" s="85"/>
      <c r="P23" s="85"/>
      <c r="Q23" s="85"/>
      <c r="R23" s="85"/>
      <c r="S23" s="85"/>
      <c r="T23" s="85"/>
      <c r="U23" s="85"/>
      <c r="V23" s="85"/>
      <c r="W23" s="85"/>
      <c r="X23" s="85"/>
      <c r="Y23" s="85"/>
      <c r="Z23" s="85"/>
      <c r="AA23" s="85"/>
      <c r="AB23" s="85"/>
      <c r="AC23" s="85"/>
      <c r="AD23" s="85"/>
      <c r="AE23" s="80"/>
    </row>
    <row r="24" ht="15.75" customHeight="1">
      <c r="A24" s="83" t="s">
        <v>274</v>
      </c>
      <c r="B24" s="85" t="s">
        <v>161</v>
      </c>
      <c r="C24" s="87" t="s">
        <v>333</v>
      </c>
      <c r="D24" s="85"/>
      <c r="E24" s="85"/>
      <c r="F24" s="85"/>
      <c r="G24" s="85"/>
      <c r="H24" s="85" t="s">
        <v>334</v>
      </c>
      <c r="I24" s="85"/>
      <c r="J24" s="85"/>
      <c r="K24" s="85"/>
      <c r="L24" s="85"/>
      <c r="M24" s="85"/>
      <c r="N24" s="85"/>
      <c r="O24" s="85"/>
      <c r="P24" s="85"/>
      <c r="Q24" s="85"/>
      <c r="R24" s="85"/>
      <c r="S24" s="85"/>
      <c r="T24" s="85"/>
      <c r="U24" s="85"/>
      <c r="V24" s="85"/>
      <c r="W24" s="85"/>
      <c r="X24" s="85"/>
      <c r="Y24" s="85"/>
      <c r="Z24" s="85"/>
      <c r="AA24" s="85"/>
      <c r="AB24" s="85"/>
      <c r="AC24" s="85"/>
      <c r="AD24" s="85"/>
      <c r="AE24" s="80"/>
    </row>
    <row r="25" ht="15.75" customHeight="1">
      <c r="A25" s="83" t="s">
        <v>274</v>
      </c>
      <c r="B25" s="85" t="s">
        <v>161</v>
      </c>
      <c r="C25" s="87" t="s">
        <v>345</v>
      </c>
      <c r="D25" s="85"/>
      <c r="E25" s="85"/>
      <c r="F25" s="85"/>
      <c r="G25" s="85"/>
      <c r="H25" s="85" t="s">
        <v>346</v>
      </c>
      <c r="I25" s="85"/>
      <c r="J25" s="85"/>
      <c r="K25" s="85"/>
      <c r="L25" s="85"/>
      <c r="M25" s="85"/>
      <c r="N25" s="85"/>
      <c r="O25" s="85"/>
      <c r="P25" s="85"/>
      <c r="Q25" s="85"/>
      <c r="R25" s="85"/>
      <c r="S25" s="85"/>
      <c r="T25" s="85"/>
      <c r="U25" s="85"/>
      <c r="V25" s="85"/>
      <c r="W25" s="85"/>
      <c r="X25" s="85"/>
      <c r="Y25" s="85"/>
      <c r="Z25" s="85"/>
      <c r="AA25" s="85"/>
      <c r="AB25" s="85"/>
      <c r="AC25" s="85"/>
      <c r="AD25" s="85"/>
      <c r="AE25" s="80"/>
    </row>
    <row r="26" ht="15.75" customHeight="1">
      <c r="A26" s="83" t="s">
        <v>274</v>
      </c>
      <c r="B26" s="85" t="s">
        <v>161</v>
      </c>
      <c r="C26" s="87" t="s">
        <v>358</v>
      </c>
      <c r="D26" s="85"/>
      <c r="E26" s="85"/>
      <c r="F26" s="85"/>
      <c r="G26" s="85"/>
      <c r="H26" s="85" t="s">
        <v>360</v>
      </c>
      <c r="I26" s="85"/>
      <c r="J26" s="85"/>
      <c r="K26" s="85"/>
      <c r="L26" s="85"/>
      <c r="M26" s="85"/>
      <c r="N26" s="85"/>
      <c r="O26" s="85"/>
      <c r="P26" s="85"/>
      <c r="Q26" s="85"/>
      <c r="R26" s="85"/>
      <c r="S26" s="85"/>
      <c r="T26" s="85"/>
      <c r="U26" s="85"/>
      <c r="V26" s="85"/>
      <c r="W26" s="85"/>
      <c r="X26" s="85"/>
      <c r="Y26" s="85"/>
      <c r="Z26" s="85"/>
      <c r="AA26" s="85"/>
      <c r="AB26" s="85"/>
      <c r="AC26" s="85"/>
      <c r="AD26" s="85"/>
      <c r="AE26" s="80"/>
    </row>
    <row r="27" ht="15.75" customHeight="1">
      <c r="A27" s="83" t="s">
        <v>274</v>
      </c>
      <c r="B27" s="85" t="s">
        <v>161</v>
      </c>
      <c r="C27" s="87" t="s">
        <v>373</v>
      </c>
      <c r="D27" s="85"/>
      <c r="E27" s="85"/>
      <c r="F27" s="85"/>
      <c r="G27" s="85"/>
      <c r="H27" s="85" t="s">
        <v>377</v>
      </c>
      <c r="I27" s="85"/>
      <c r="J27" s="85"/>
      <c r="K27" s="85"/>
      <c r="L27" s="85"/>
      <c r="M27" s="85"/>
      <c r="N27" s="85"/>
      <c r="O27" s="85"/>
      <c r="P27" s="85"/>
      <c r="Q27" s="85"/>
      <c r="R27" s="85"/>
      <c r="S27" s="85"/>
      <c r="T27" s="85"/>
      <c r="U27" s="85"/>
      <c r="V27" s="85"/>
      <c r="W27" s="85"/>
      <c r="X27" s="85"/>
      <c r="Y27" s="85"/>
      <c r="Z27" s="85"/>
      <c r="AA27" s="85"/>
      <c r="AB27" s="85"/>
      <c r="AC27" s="85"/>
      <c r="AD27" s="85"/>
      <c r="AE27" s="80"/>
    </row>
    <row r="28" ht="15.75" customHeight="1">
      <c r="A28" s="83" t="s">
        <v>274</v>
      </c>
      <c r="B28" s="85" t="s">
        <v>161</v>
      </c>
      <c r="C28" s="87" t="s">
        <v>392</v>
      </c>
      <c r="D28" s="85"/>
      <c r="E28" s="85"/>
      <c r="F28" s="85"/>
      <c r="G28" s="85"/>
      <c r="H28" s="85" t="s">
        <v>393</v>
      </c>
      <c r="I28" s="85"/>
      <c r="J28" s="85"/>
      <c r="K28" s="85"/>
      <c r="L28" s="85"/>
      <c r="M28" s="85"/>
      <c r="N28" s="85"/>
      <c r="O28" s="85"/>
      <c r="P28" s="85"/>
      <c r="Q28" s="85"/>
      <c r="R28" s="85"/>
      <c r="S28" s="85"/>
      <c r="T28" s="85"/>
      <c r="U28" s="85"/>
      <c r="V28" s="85"/>
      <c r="W28" s="85"/>
      <c r="X28" s="85"/>
      <c r="Y28" s="85"/>
      <c r="Z28" s="85"/>
      <c r="AA28" s="85"/>
      <c r="AB28" s="85"/>
      <c r="AC28" s="85"/>
      <c r="AD28" s="85"/>
      <c r="AE28" s="80"/>
    </row>
    <row r="29" ht="15.75" customHeight="1">
      <c r="A29" s="83" t="s">
        <v>274</v>
      </c>
      <c r="B29" s="85" t="s">
        <v>161</v>
      </c>
      <c r="C29" s="87" t="s">
        <v>408</v>
      </c>
      <c r="D29" s="85"/>
      <c r="E29" s="85"/>
      <c r="F29" s="85"/>
      <c r="G29" s="85"/>
      <c r="H29" s="85" t="s">
        <v>410</v>
      </c>
      <c r="I29" s="85"/>
      <c r="J29" s="85"/>
      <c r="K29" s="85"/>
      <c r="L29" s="85"/>
      <c r="M29" s="85"/>
      <c r="N29" s="85"/>
      <c r="O29" s="85"/>
      <c r="P29" s="85"/>
      <c r="Q29" s="85"/>
      <c r="R29" s="85"/>
      <c r="S29" s="85"/>
      <c r="T29" s="85"/>
      <c r="U29" s="85"/>
      <c r="V29" s="85"/>
      <c r="W29" s="85"/>
      <c r="X29" s="85"/>
      <c r="Y29" s="85"/>
      <c r="Z29" s="85"/>
      <c r="AA29" s="85"/>
      <c r="AB29" s="85"/>
      <c r="AC29" s="85"/>
      <c r="AD29" s="85"/>
      <c r="AE29" s="80"/>
    </row>
    <row r="30" ht="15.75" customHeight="1">
      <c r="A30" s="83" t="s">
        <v>274</v>
      </c>
      <c r="B30" s="85" t="s">
        <v>161</v>
      </c>
      <c r="C30" s="87" t="s">
        <v>413</v>
      </c>
      <c r="D30" s="85"/>
      <c r="E30" s="85"/>
      <c r="F30" s="85"/>
      <c r="G30" s="85"/>
      <c r="H30" s="85" t="s">
        <v>415</v>
      </c>
      <c r="I30" s="85"/>
      <c r="J30" s="85"/>
      <c r="K30" s="85"/>
      <c r="L30" s="85"/>
      <c r="M30" s="85"/>
      <c r="N30" s="85"/>
      <c r="O30" s="85"/>
      <c r="P30" s="85"/>
      <c r="Q30" s="85"/>
      <c r="R30" s="85"/>
      <c r="S30" s="85"/>
      <c r="T30" s="85"/>
      <c r="U30" s="85"/>
      <c r="V30" s="85"/>
      <c r="W30" s="85"/>
      <c r="X30" s="85"/>
      <c r="Y30" s="85"/>
      <c r="Z30" s="85"/>
      <c r="AA30" s="85"/>
      <c r="AB30" s="85"/>
      <c r="AC30" s="85"/>
      <c r="AD30" s="85"/>
      <c r="AE30" s="80"/>
    </row>
    <row r="31" ht="15.75" customHeight="1">
      <c r="A31" s="83" t="s">
        <v>274</v>
      </c>
      <c r="B31" s="85" t="s">
        <v>161</v>
      </c>
      <c r="C31" s="87" t="s">
        <v>425</v>
      </c>
      <c r="D31" s="85"/>
      <c r="E31" s="85"/>
      <c r="F31" s="85"/>
      <c r="G31" s="85"/>
      <c r="H31" s="85" t="s">
        <v>428</v>
      </c>
      <c r="I31" s="85"/>
      <c r="J31" s="85"/>
      <c r="K31" s="85"/>
      <c r="L31" s="85"/>
      <c r="M31" s="85"/>
      <c r="N31" s="85"/>
      <c r="O31" s="85"/>
      <c r="P31" s="85"/>
      <c r="Q31" s="85"/>
      <c r="R31" s="85"/>
      <c r="S31" s="85"/>
      <c r="T31" s="85"/>
      <c r="U31" s="85"/>
      <c r="V31" s="85"/>
      <c r="W31" s="85"/>
      <c r="X31" s="85"/>
      <c r="Y31" s="85"/>
      <c r="Z31" s="85"/>
      <c r="AA31" s="85"/>
      <c r="AB31" s="85"/>
      <c r="AC31" s="85"/>
      <c r="AD31" s="85"/>
      <c r="AE31" s="80"/>
    </row>
    <row r="32" ht="15.75" customHeight="1">
      <c r="A32" s="83" t="s">
        <v>274</v>
      </c>
      <c r="B32" s="85" t="s">
        <v>161</v>
      </c>
      <c r="C32" s="124" t="s">
        <v>444</v>
      </c>
      <c r="D32" s="85"/>
      <c r="E32" s="85"/>
      <c r="F32" s="85"/>
      <c r="G32" s="85"/>
      <c r="H32" s="85" t="s">
        <v>450</v>
      </c>
      <c r="I32" s="85"/>
      <c r="J32" s="85"/>
      <c r="K32" s="85"/>
      <c r="L32" s="85"/>
      <c r="M32" s="85"/>
      <c r="N32" s="85"/>
      <c r="O32" s="85"/>
      <c r="P32" s="85"/>
      <c r="Q32" s="85"/>
      <c r="R32" s="85"/>
      <c r="S32" s="85"/>
      <c r="T32" s="85"/>
      <c r="U32" s="85"/>
      <c r="V32" s="85"/>
      <c r="W32" s="85"/>
      <c r="X32" s="85"/>
      <c r="Y32" s="85"/>
      <c r="Z32" s="85"/>
      <c r="AA32" s="85"/>
      <c r="AB32" s="85"/>
      <c r="AC32" s="85"/>
      <c r="AD32" s="85"/>
      <c r="AE32" s="80"/>
    </row>
    <row r="33" ht="15.75" customHeight="1">
      <c r="A33" s="83" t="s">
        <v>274</v>
      </c>
      <c r="B33" s="85" t="s">
        <v>161</v>
      </c>
      <c r="C33" s="87" t="s">
        <v>462</v>
      </c>
      <c r="D33" s="85"/>
      <c r="E33" s="85"/>
      <c r="F33" s="85"/>
      <c r="G33" s="85"/>
      <c r="H33" s="85" t="s">
        <v>469</v>
      </c>
      <c r="I33" s="85"/>
      <c r="J33" s="85"/>
      <c r="K33" s="85"/>
      <c r="L33" s="85"/>
      <c r="M33" s="85"/>
      <c r="N33" s="85"/>
      <c r="O33" s="85"/>
      <c r="P33" s="85"/>
      <c r="Q33" s="85"/>
      <c r="R33" s="85"/>
      <c r="S33" s="85"/>
      <c r="T33" s="85"/>
      <c r="U33" s="85"/>
      <c r="V33" s="85"/>
      <c r="W33" s="85"/>
      <c r="X33" s="85"/>
      <c r="Y33" s="85"/>
      <c r="Z33" s="85"/>
      <c r="AA33" s="85"/>
      <c r="AB33" s="85"/>
      <c r="AC33" s="85"/>
      <c r="AD33" s="85"/>
      <c r="AE33" s="80"/>
    </row>
    <row r="34" ht="15.75" customHeight="1">
      <c r="A34" s="83" t="s">
        <v>274</v>
      </c>
      <c r="B34" s="85" t="s">
        <v>161</v>
      </c>
      <c r="C34" s="87" t="s">
        <v>490</v>
      </c>
      <c r="D34" s="85"/>
      <c r="E34" s="85"/>
      <c r="F34" s="85"/>
      <c r="G34" s="85"/>
      <c r="H34" s="85" t="s">
        <v>494</v>
      </c>
      <c r="I34" s="85"/>
      <c r="J34" s="85"/>
      <c r="K34" s="85"/>
      <c r="L34" s="85"/>
      <c r="M34" s="85"/>
      <c r="N34" s="85"/>
      <c r="O34" s="85"/>
      <c r="P34" s="85"/>
      <c r="Q34" s="85"/>
      <c r="R34" s="85"/>
      <c r="S34" s="85"/>
      <c r="T34" s="85"/>
      <c r="U34" s="85"/>
      <c r="V34" s="85"/>
      <c r="W34" s="85"/>
      <c r="X34" s="85"/>
      <c r="Y34" s="85"/>
      <c r="Z34" s="85"/>
      <c r="AA34" s="85"/>
      <c r="AB34" s="85"/>
      <c r="AC34" s="85"/>
      <c r="AD34" s="85"/>
      <c r="AE34" s="80"/>
    </row>
    <row r="35" ht="15.75" customHeight="1">
      <c r="A35" s="83" t="s">
        <v>501</v>
      </c>
      <c r="B35" s="85" t="s">
        <v>161</v>
      </c>
      <c r="C35" s="87" t="s">
        <v>506</v>
      </c>
      <c r="D35" s="83"/>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5"/>
      <c r="AE35" s="80"/>
    </row>
    <row r="36" ht="15.75" customHeight="1">
      <c r="A36" s="83" t="s">
        <v>501</v>
      </c>
      <c r="B36" s="85" t="s">
        <v>161</v>
      </c>
      <c r="C36" s="87" t="s">
        <v>521</v>
      </c>
      <c r="D36" s="85"/>
      <c r="E36" s="85"/>
      <c r="F36" s="85"/>
      <c r="G36" s="85"/>
      <c r="H36" s="85" t="s">
        <v>346</v>
      </c>
      <c r="I36" s="85"/>
      <c r="J36" s="85"/>
      <c r="K36" s="85"/>
      <c r="L36" s="85"/>
      <c r="M36" s="85"/>
      <c r="N36" s="85"/>
      <c r="O36" s="85"/>
      <c r="P36" s="85"/>
      <c r="Q36" s="85"/>
      <c r="R36" s="85"/>
      <c r="S36" s="85"/>
      <c r="T36" s="85"/>
      <c r="U36" s="85"/>
      <c r="V36" s="85"/>
      <c r="W36" s="85"/>
      <c r="X36" s="85"/>
      <c r="Y36" s="85"/>
      <c r="Z36" s="85"/>
      <c r="AA36" s="85"/>
      <c r="AB36" s="85"/>
      <c r="AC36" s="85"/>
      <c r="AD36" s="85"/>
      <c r="AE36" s="80"/>
    </row>
    <row r="37" ht="15.75" customHeight="1">
      <c r="A37" s="83" t="s">
        <v>501</v>
      </c>
      <c r="B37" s="85" t="s">
        <v>161</v>
      </c>
      <c r="C37" s="87" t="s">
        <v>536</v>
      </c>
      <c r="D37" s="85"/>
      <c r="E37" s="85"/>
      <c r="F37" s="85"/>
      <c r="G37" s="85"/>
      <c r="H37" s="85" t="s">
        <v>360</v>
      </c>
      <c r="I37" s="85"/>
      <c r="J37" s="85"/>
      <c r="K37" s="85"/>
      <c r="L37" s="85"/>
      <c r="M37" s="85"/>
      <c r="N37" s="85"/>
      <c r="O37" s="85"/>
      <c r="P37" s="85"/>
      <c r="Q37" s="85"/>
      <c r="R37" s="85"/>
      <c r="S37" s="85"/>
      <c r="T37" s="85"/>
      <c r="U37" s="85"/>
      <c r="V37" s="85"/>
      <c r="W37" s="85"/>
      <c r="X37" s="85"/>
      <c r="Y37" s="85"/>
      <c r="Z37" s="85"/>
      <c r="AA37" s="85"/>
      <c r="AB37" s="85"/>
      <c r="AC37" s="85"/>
      <c r="AD37" s="85"/>
      <c r="AE37" s="80"/>
    </row>
    <row r="38" ht="15.75" customHeight="1">
      <c r="A38" s="83" t="s">
        <v>501</v>
      </c>
      <c r="B38" s="85" t="s">
        <v>161</v>
      </c>
      <c r="C38" s="87" t="s">
        <v>550</v>
      </c>
      <c r="D38" s="85"/>
      <c r="E38" s="85"/>
      <c r="F38" s="85"/>
      <c r="G38" s="85"/>
      <c r="H38" s="85" t="s">
        <v>377</v>
      </c>
      <c r="I38" s="85"/>
      <c r="J38" s="85"/>
      <c r="K38" s="85"/>
      <c r="L38" s="85"/>
      <c r="M38" s="85"/>
      <c r="N38" s="85"/>
      <c r="O38" s="85"/>
      <c r="P38" s="85"/>
      <c r="Q38" s="85"/>
      <c r="R38" s="85"/>
      <c r="S38" s="85"/>
      <c r="T38" s="85"/>
      <c r="U38" s="85"/>
      <c r="V38" s="85"/>
      <c r="W38" s="85"/>
      <c r="X38" s="85"/>
      <c r="Y38" s="85"/>
      <c r="Z38" s="85"/>
      <c r="AA38" s="85"/>
      <c r="AB38" s="85"/>
      <c r="AC38" s="85"/>
      <c r="AD38" s="85"/>
      <c r="AE38" s="80"/>
    </row>
    <row r="39" ht="15.75" customHeight="1">
      <c r="A39" s="83" t="s">
        <v>501</v>
      </c>
      <c r="B39" s="85" t="s">
        <v>161</v>
      </c>
      <c r="C39" s="87" t="s">
        <v>563</v>
      </c>
      <c r="D39" s="85"/>
      <c r="E39" s="85"/>
      <c r="F39" s="85"/>
      <c r="G39" s="85"/>
      <c r="H39" s="85" t="s">
        <v>415</v>
      </c>
      <c r="I39" s="85"/>
      <c r="J39" s="85"/>
      <c r="K39" s="85"/>
      <c r="L39" s="85"/>
      <c r="M39" s="85"/>
      <c r="N39" s="85"/>
      <c r="O39" s="85"/>
      <c r="P39" s="85"/>
      <c r="Q39" s="85"/>
      <c r="R39" s="85"/>
      <c r="S39" s="85"/>
      <c r="T39" s="85"/>
      <c r="U39" s="85"/>
      <c r="V39" s="85"/>
      <c r="W39" s="85"/>
      <c r="X39" s="85"/>
      <c r="Y39" s="85"/>
      <c r="Z39" s="85"/>
      <c r="AA39" s="85"/>
      <c r="AB39" s="85"/>
      <c r="AC39" s="85"/>
      <c r="AD39" s="85"/>
      <c r="AE39" s="80"/>
    </row>
    <row r="40" ht="15.75" customHeight="1">
      <c r="A40" s="83" t="s">
        <v>501</v>
      </c>
      <c r="B40" s="85" t="s">
        <v>161</v>
      </c>
      <c r="C40" s="87" t="s">
        <v>574</v>
      </c>
      <c r="D40" s="85"/>
      <c r="E40" s="85"/>
      <c r="F40" s="85"/>
      <c r="G40" s="85"/>
      <c r="H40" s="85" t="s">
        <v>428</v>
      </c>
      <c r="I40" s="85"/>
      <c r="J40" s="85"/>
      <c r="K40" s="85"/>
      <c r="L40" s="85"/>
      <c r="M40" s="85"/>
      <c r="N40" s="85"/>
      <c r="O40" s="85"/>
      <c r="P40" s="85"/>
      <c r="Q40" s="85"/>
      <c r="R40" s="85"/>
      <c r="S40" s="85"/>
      <c r="T40" s="85"/>
      <c r="U40" s="85"/>
      <c r="V40" s="85"/>
      <c r="W40" s="85"/>
      <c r="X40" s="85"/>
      <c r="Y40" s="85"/>
      <c r="Z40" s="85"/>
      <c r="AA40" s="85"/>
      <c r="AB40" s="85"/>
      <c r="AC40" s="85"/>
      <c r="AD40" s="85"/>
      <c r="AE40" s="80"/>
    </row>
    <row r="41" ht="15.75" customHeight="1">
      <c r="A41" s="83" t="s">
        <v>501</v>
      </c>
      <c r="B41" s="85" t="s">
        <v>161</v>
      </c>
      <c r="C41" s="124" t="s">
        <v>587</v>
      </c>
      <c r="D41" s="85"/>
      <c r="E41" s="85"/>
      <c r="F41" s="85"/>
      <c r="G41" s="85"/>
      <c r="H41" s="85" t="s">
        <v>450</v>
      </c>
      <c r="I41" s="85"/>
      <c r="J41" s="85"/>
      <c r="K41" s="85"/>
      <c r="L41" s="85"/>
      <c r="M41" s="85"/>
      <c r="N41" s="85"/>
      <c r="O41" s="85"/>
      <c r="P41" s="85"/>
      <c r="Q41" s="85"/>
      <c r="R41" s="85"/>
      <c r="S41" s="85"/>
      <c r="T41" s="85"/>
      <c r="U41" s="85"/>
      <c r="V41" s="85"/>
      <c r="W41" s="85"/>
      <c r="X41" s="85"/>
      <c r="Y41" s="85"/>
      <c r="Z41" s="85"/>
      <c r="AA41" s="85"/>
      <c r="AB41" s="85"/>
      <c r="AC41" s="85"/>
      <c r="AD41" s="85"/>
      <c r="AE41" s="80"/>
    </row>
    <row r="42" ht="15.75" customHeight="1">
      <c r="A42" s="83" t="s">
        <v>501</v>
      </c>
      <c r="B42" s="85" t="s">
        <v>161</v>
      </c>
      <c r="C42" s="87" t="s">
        <v>607</v>
      </c>
      <c r="D42" s="85"/>
      <c r="E42" s="85"/>
      <c r="F42" s="85"/>
      <c r="G42" s="85"/>
      <c r="H42" s="85" t="s">
        <v>469</v>
      </c>
      <c r="I42" s="85"/>
      <c r="J42" s="85"/>
      <c r="K42" s="85"/>
      <c r="L42" s="85"/>
      <c r="M42" s="85"/>
      <c r="N42" s="85"/>
      <c r="O42" s="85"/>
      <c r="P42" s="85"/>
      <c r="Q42" s="85"/>
      <c r="R42" s="85"/>
      <c r="S42" s="85"/>
      <c r="T42" s="85"/>
      <c r="U42" s="85"/>
      <c r="V42" s="85"/>
      <c r="W42" s="85"/>
      <c r="X42" s="85"/>
      <c r="Y42" s="85"/>
      <c r="Z42" s="85"/>
      <c r="AA42" s="85"/>
      <c r="AB42" s="85"/>
      <c r="AC42" s="85"/>
      <c r="AD42" s="85"/>
      <c r="AE42" s="80"/>
    </row>
    <row r="43" ht="15.75" customHeight="1">
      <c r="A43" s="83" t="s">
        <v>501</v>
      </c>
      <c r="B43" s="85" t="s">
        <v>161</v>
      </c>
      <c r="C43" s="87" t="s">
        <v>625</v>
      </c>
      <c r="D43" s="85"/>
      <c r="E43" s="85"/>
      <c r="F43" s="85"/>
      <c r="G43" s="85"/>
      <c r="H43" s="85" t="s">
        <v>494</v>
      </c>
      <c r="I43" s="85"/>
      <c r="J43" s="85"/>
      <c r="K43" s="85"/>
      <c r="L43" s="85"/>
      <c r="M43" s="85"/>
      <c r="N43" s="85"/>
      <c r="O43" s="85"/>
      <c r="P43" s="85"/>
      <c r="Q43" s="85"/>
      <c r="R43" s="85"/>
      <c r="S43" s="85"/>
      <c r="T43" s="85"/>
      <c r="U43" s="85"/>
      <c r="V43" s="85"/>
      <c r="W43" s="85"/>
      <c r="X43" s="85"/>
      <c r="Y43" s="85"/>
      <c r="Z43" s="85"/>
      <c r="AA43" s="85"/>
      <c r="AB43" s="85"/>
      <c r="AC43" s="85"/>
      <c r="AD43" s="85"/>
      <c r="AE43" s="80"/>
    </row>
    <row r="44" ht="15.75" customHeight="1">
      <c r="A44" s="83" t="s">
        <v>636</v>
      </c>
      <c r="B44" s="85" t="s">
        <v>161</v>
      </c>
      <c r="C44" s="87" t="s">
        <v>643</v>
      </c>
      <c r="D44" s="83"/>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0"/>
    </row>
    <row r="45" ht="15.75" customHeight="1">
      <c r="A45" s="83" t="s">
        <v>654</v>
      </c>
      <c r="B45" s="85" t="s">
        <v>161</v>
      </c>
      <c r="C45" s="87" t="s">
        <v>670</v>
      </c>
      <c r="D45" s="148"/>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0"/>
    </row>
    <row r="46" ht="15.75" customHeight="1">
      <c r="A46" s="83" t="s">
        <v>682</v>
      </c>
      <c r="B46" s="85" t="s">
        <v>161</v>
      </c>
      <c r="C46" s="87" t="s">
        <v>690</v>
      </c>
      <c r="D46" s="83"/>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0"/>
    </row>
    <row r="47" ht="15.75" customHeight="1">
      <c r="A47" s="83" t="s">
        <v>711</v>
      </c>
      <c r="B47" s="85" t="s">
        <v>161</v>
      </c>
      <c r="C47" s="87" t="s">
        <v>717</v>
      </c>
      <c r="D47" s="83"/>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0"/>
    </row>
    <row r="48" ht="15.75" customHeight="1">
      <c r="A48" s="83" t="s">
        <v>723</v>
      </c>
      <c r="B48" s="85" t="s">
        <v>161</v>
      </c>
      <c r="C48" s="87" t="s">
        <v>726</v>
      </c>
      <c r="D48" s="83"/>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0"/>
    </row>
    <row r="49" ht="15.75" customHeight="1">
      <c r="A49" s="83" t="s">
        <v>723</v>
      </c>
      <c r="B49" s="85" t="s">
        <v>161</v>
      </c>
      <c r="C49" s="87" t="s">
        <v>741</v>
      </c>
      <c r="D49" s="85"/>
      <c r="E49" s="85"/>
      <c r="F49" s="85"/>
      <c r="G49" s="85"/>
      <c r="H49" s="85" t="s">
        <v>745</v>
      </c>
      <c r="I49" s="85"/>
      <c r="J49" s="85"/>
      <c r="K49" s="85"/>
      <c r="L49" s="85"/>
      <c r="M49" s="85"/>
      <c r="N49" s="85"/>
      <c r="O49" s="85"/>
      <c r="P49" s="85"/>
      <c r="Q49" s="85"/>
      <c r="R49" s="85"/>
      <c r="S49" s="85"/>
      <c r="T49" s="85"/>
      <c r="U49" s="85"/>
      <c r="V49" s="85"/>
      <c r="W49" s="85"/>
      <c r="X49" s="85"/>
      <c r="Y49" s="85"/>
      <c r="Z49" s="85"/>
      <c r="AA49" s="85"/>
      <c r="AB49" s="85"/>
      <c r="AC49" s="85"/>
      <c r="AD49" s="85"/>
      <c r="AE49" s="80"/>
    </row>
    <row r="50" ht="15.75" customHeight="1">
      <c r="A50" s="83" t="s">
        <v>758</v>
      </c>
      <c r="B50" s="85" t="s">
        <v>161</v>
      </c>
      <c r="C50" s="87" t="s">
        <v>762</v>
      </c>
      <c r="D50" s="83"/>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0"/>
    </row>
    <row r="51" ht="15.75" customHeight="1">
      <c r="A51" s="83" t="s">
        <v>758</v>
      </c>
      <c r="B51" s="85" t="s">
        <v>161</v>
      </c>
      <c r="C51" s="87" t="s">
        <v>773</v>
      </c>
      <c r="D51" s="85"/>
      <c r="E51" s="85"/>
      <c r="F51" s="85"/>
      <c r="G51" s="85"/>
      <c r="H51" s="85" t="s">
        <v>745</v>
      </c>
      <c r="I51" s="85"/>
      <c r="J51" s="85"/>
      <c r="K51" s="85"/>
      <c r="L51" s="85"/>
      <c r="M51" s="85"/>
      <c r="N51" s="85"/>
      <c r="O51" s="85"/>
      <c r="P51" s="85"/>
      <c r="Q51" s="85"/>
      <c r="R51" s="85"/>
      <c r="S51" s="85"/>
      <c r="T51" s="85"/>
      <c r="U51" s="85"/>
      <c r="V51" s="85"/>
      <c r="W51" s="85"/>
      <c r="X51" s="85"/>
      <c r="Y51" s="85"/>
      <c r="Z51" s="85"/>
      <c r="AA51" s="85"/>
      <c r="AB51" s="85"/>
      <c r="AC51" s="85"/>
      <c r="AD51" s="85"/>
      <c r="AE51" s="80"/>
    </row>
    <row r="52" ht="15.75" customHeight="1">
      <c r="A52" s="83" t="s">
        <v>787</v>
      </c>
      <c r="B52" s="85" t="s">
        <v>161</v>
      </c>
      <c r="C52" s="87" t="s">
        <v>790</v>
      </c>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0"/>
    </row>
    <row r="53" ht="15.75" customHeight="1">
      <c r="A53" s="83" t="s">
        <v>11</v>
      </c>
      <c r="B53" s="85" t="s">
        <v>161</v>
      </c>
      <c r="C53" s="87" t="s">
        <v>800</v>
      </c>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0"/>
    </row>
    <row r="54" ht="15.75" customHeight="1">
      <c r="A54" s="83" t="s">
        <v>11</v>
      </c>
      <c r="B54" s="85" t="s">
        <v>161</v>
      </c>
      <c r="C54" s="87" t="s">
        <v>817</v>
      </c>
      <c r="D54" s="85"/>
      <c r="E54" s="85"/>
      <c r="F54" s="85"/>
      <c r="G54" s="85"/>
      <c r="H54" s="85" t="s">
        <v>818</v>
      </c>
      <c r="I54" s="85"/>
      <c r="J54" s="85"/>
      <c r="K54" s="85"/>
      <c r="L54" s="85"/>
      <c r="M54" s="85"/>
      <c r="N54" s="85"/>
      <c r="O54" s="85"/>
      <c r="P54" s="85"/>
      <c r="Q54" s="85"/>
      <c r="R54" s="85"/>
      <c r="S54" s="85"/>
      <c r="T54" s="85"/>
      <c r="U54" s="85"/>
      <c r="V54" s="85"/>
      <c r="W54" s="85"/>
      <c r="X54" s="85"/>
      <c r="Y54" s="85"/>
      <c r="Z54" s="85"/>
      <c r="AA54" s="85"/>
      <c r="AB54" s="85"/>
      <c r="AC54" s="85"/>
      <c r="AD54" s="85"/>
      <c r="AE54" s="80"/>
    </row>
    <row r="55" ht="15.75" customHeight="1">
      <c r="A55" s="83" t="s">
        <v>11</v>
      </c>
      <c r="B55" s="85" t="s">
        <v>161</v>
      </c>
      <c r="C55" s="87" t="s">
        <v>830</v>
      </c>
      <c r="D55" s="85"/>
      <c r="E55" s="85"/>
      <c r="F55" s="85"/>
      <c r="G55" s="85"/>
      <c r="H55" s="85" t="s">
        <v>832</v>
      </c>
      <c r="I55" s="85"/>
      <c r="J55" s="85"/>
      <c r="K55" s="85"/>
      <c r="L55" s="85"/>
      <c r="M55" s="85"/>
      <c r="N55" s="85"/>
      <c r="O55" s="85"/>
      <c r="P55" s="85"/>
      <c r="Q55" s="85"/>
      <c r="R55" s="85"/>
      <c r="S55" s="85"/>
      <c r="T55" s="85"/>
      <c r="U55" s="85"/>
      <c r="V55" s="85"/>
      <c r="W55" s="85"/>
      <c r="X55" s="85"/>
      <c r="Y55" s="85"/>
      <c r="Z55" s="85"/>
      <c r="AA55" s="85"/>
      <c r="AB55" s="85"/>
      <c r="AC55" s="85"/>
      <c r="AD55" s="85"/>
      <c r="AE55" s="80"/>
    </row>
    <row r="56" ht="15.75" customHeight="1">
      <c r="A56" s="83" t="s">
        <v>11</v>
      </c>
      <c r="B56" s="85" t="s">
        <v>161</v>
      </c>
      <c r="C56" s="87" t="s">
        <v>834</v>
      </c>
      <c r="D56" s="85"/>
      <c r="E56" s="85"/>
      <c r="F56" s="85"/>
      <c r="G56" s="85"/>
      <c r="H56" s="85" t="s">
        <v>837</v>
      </c>
      <c r="I56" s="85"/>
      <c r="J56" s="85"/>
      <c r="K56" s="85"/>
      <c r="L56" s="85"/>
      <c r="M56" s="85"/>
      <c r="N56" s="85"/>
      <c r="O56" s="85"/>
      <c r="P56" s="85"/>
      <c r="Q56" s="85"/>
      <c r="R56" s="85"/>
      <c r="S56" s="85"/>
      <c r="T56" s="85"/>
      <c r="U56" s="85"/>
      <c r="V56" s="85"/>
      <c r="W56" s="85"/>
      <c r="X56" s="85"/>
      <c r="Y56" s="85"/>
      <c r="Z56" s="85"/>
      <c r="AA56" s="85"/>
      <c r="AB56" s="85"/>
      <c r="AC56" s="85"/>
      <c r="AD56" s="85"/>
      <c r="AE56" s="80"/>
    </row>
    <row r="57" ht="15.75" customHeight="1">
      <c r="A57" s="83" t="s">
        <v>849</v>
      </c>
      <c r="B57" s="85" t="s">
        <v>161</v>
      </c>
      <c r="C57" s="87" t="s">
        <v>856</v>
      </c>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0"/>
    </row>
    <row r="58" ht="15.75" customHeight="1">
      <c r="A58" s="83" t="s">
        <v>874</v>
      </c>
      <c r="B58" s="85" t="s">
        <v>161</v>
      </c>
      <c r="C58" s="87" t="s">
        <v>882</v>
      </c>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0"/>
    </row>
    <row r="59" ht="15.75" customHeight="1">
      <c r="A59" s="83" t="s">
        <v>895</v>
      </c>
      <c r="B59" s="85" t="s">
        <v>161</v>
      </c>
      <c r="C59" s="87" t="s">
        <v>901</v>
      </c>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0"/>
    </row>
    <row r="60" ht="15.75" customHeight="1">
      <c r="A60" s="83" t="s">
        <v>42</v>
      </c>
      <c r="B60" s="85" t="s">
        <v>161</v>
      </c>
      <c r="C60" s="87" t="s">
        <v>918</v>
      </c>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0"/>
    </row>
    <row r="61" ht="15.75" customHeight="1">
      <c r="A61" s="83" t="s">
        <v>50</v>
      </c>
      <c r="B61" s="85" t="s">
        <v>161</v>
      </c>
      <c r="C61" s="87"/>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0"/>
    </row>
    <row r="62" ht="15.75" customHeight="1">
      <c r="A62" s="83" t="s">
        <v>58</v>
      </c>
      <c r="B62" s="85" t="s">
        <v>161</v>
      </c>
      <c r="C62" s="87"/>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0"/>
    </row>
    <row r="63" ht="15.75" customHeight="1">
      <c r="A63" s="83" t="s">
        <v>64</v>
      </c>
      <c r="B63" s="85" t="s">
        <v>161</v>
      </c>
      <c r="C63" s="87"/>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0"/>
    </row>
    <row r="64" ht="15.75" customHeight="1">
      <c r="A64" s="83" t="s">
        <v>969</v>
      </c>
      <c r="B64" s="85" t="s">
        <v>161</v>
      </c>
      <c r="C64" s="87"/>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0"/>
    </row>
    <row r="65" ht="15.75" customHeight="1">
      <c r="A65" s="83" t="s">
        <v>988</v>
      </c>
      <c r="B65" s="85" t="s">
        <v>161</v>
      </c>
      <c r="C65" s="87"/>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0"/>
    </row>
    <row r="66" ht="15.75" customHeight="1">
      <c r="A66" s="161" t="s">
        <v>232</v>
      </c>
      <c r="B66" s="85" t="s">
        <v>161</v>
      </c>
      <c r="C66" s="87"/>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0"/>
    </row>
    <row r="67" ht="15.75" customHeight="1">
      <c r="A67" s="83" t="s">
        <v>74</v>
      </c>
      <c r="B67" s="85" t="s">
        <v>161</v>
      </c>
      <c r="C67" s="87"/>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0"/>
    </row>
    <row r="68" ht="15.75" customHeight="1">
      <c r="A68" s="83" t="s">
        <v>1050</v>
      </c>
      <c r="B68" s="85" t="s">
        <v>161</v>
      </c>
      <c r="C68" s="87"/>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0"/>
    </row>
    <row r="69" ht="15.75" customHeight="1">
      <c r="A69" s="83" t="s">
        <v>108</v>
      </c>
      <c r="B69" s="85" t="s">
        <v>161</v>
      </c>
      <c r="C69" s="87"/>
      <c r="D69" s="85"/>
      <c r="E69" s="85"/>
      <c r="F69" s="85"/>
      <c r="G69" s="85"/>
      <c r="H69" s="85"/>
      <c r="I69" s="85"/>
      <c r="J69" s="85"/>
      <c r="K69" s="85"/>
      <c r="L69" s="85"/>
      <c r="M69" s="85"/>
      <c r="N69" s="85"/>
      <c r="O69" s="85"/>
      <c r="P69" s="85"/>
      <c r="Q69" s="85"/>
      <c r="R69" s="85" t="s">
        <v>1072</v>
      </c>
      <c r="S69" s="85"/>
      <c r="T69" s="85"/>
      <c r="U69" s="85"/>
      <c r="V69" s="85"/>
      <c r="W69" s="85"/>
      <c r="X69" s="85"/>
      <c r="Y69" s="85"/>
      <c r="Z69" s="85"/>
      <c r="AA69" s="85"/>
      <c r="AB69" s="85"/>
      <c r="AC69" s="85"/>
      <c r="AD69" s="85"/>
      <c r="AE69" s="80"/>
    </row>
    <row r="70" ht="15.75" customHeight="1">
      <c r="A70" s="83" t="s">
        <v>139</v>
      </c>
      <c r="B70" s="85" t="s">
        <v>161</v>
      </c>
      <c r="C70" s="87"/>
      <c r="D70" s="85"/>
      <c r="E70" s="85"/>
      <c r="F70" s="85"/>
      <c r="G70" s="85"/>
      <c r="H70" s="85"/>
      <c r="I70" s="85"/>
      <c r="J70" s="85"/>
      <c r="K70" s="85"/>
      <c r="L70" s="85"/>
      <c r="M70" s="85"/>
      <c r="N70" s="85"/>
      <c r="O70" s="85"/>
      <c r="P70" s="85"/>
      <c r="Q70" s="85"/>
      <c r="R70" s="85" t="s">
        <v>1081</v>
      </c>
      <c r="S70" s="85"/>
      <c r="T70" s="85"/>
      <c r="U70" s="85"/>
      <c r="V70" s="85"/>
      <c r="W70" s="85"/>
      <c r="X70" s="85"/>
      <c r="Y70" s="85"/>
      <c r="Z70" s="85"/>
      <c r="AA70" s="85"/>
      <c r="AB70" s="85"/>
      <c r="AC70" s="85"/>
      <c r="AD70" s="85"/>
      <c r="AE70" s="80"/>
    </row>
    <row r="71" ht="15.75" customHeight="1">
      <c r="A71" s="83" t="s">
        <v>119</v>
      </c>
      <c r="B71" s="85" t="s">
        <v>161</v>
      </c>
      <c r="C71" s="87"/>
      <c r="D71" s="85"/>
      <c r="E71" s="85"/>
      <c r="F71" s="85"/>
      <c r="G71" s="85"/>
      <c r="H71" s="85" t="s">
        <v>1090</v>
      </c>
      <c r="I71" s="85"/>
      <c r="J71" s="85"/>
      <c r="K71" s="85"/>
      <c r="L71" s="85"/>
      <c r="M71" s="85"/>
      <c r="N71" s="85"/>
      <c r="O71" s="85"/>
      <c r="P71" s="85"/>
      <c r="Q71" s="85"/>
      <c r="R71" s="85"/>
      <c r="S71" s="85"/>
      <c r="T71" s="85"/>
      <c r="U71" s="85"/>
      <c r="V71" s="85"/>
      <c r="W71" s="85"/>
      <c r="X71" s="85"/>
      <c r="Y71" s="85"/>
      <c r="Z71" s="85"/>
      <c r="AA71" s="85"/>
      <c r="AB71" s="85"/>
      <c r="AC71" s="85"/>
      <c r="AD71" s="85"/>
      <c r="AE71" s="80"/>
    </row>
    <row r="72" ht="15.75" customHeight="1">
      <c r="A72" s="85" t="s">
        <v>119</v>
      </c>
      <c r="B72" s="85" t="s">
        <v>161</v>
      </c>
      <c r="C72" s="87"/>
      <c r="D72" s="85"/>
      <c r="E72" s="85"/>
      <c r="F72" s="85"/>
      <c r="G72" s="85"/>
      <c r="H72" s="85" t="s">
        <v>1101</v>
      </c>
      <c r="I72" s="85"/>
      <c r="J72" s="85"/>
      <c r="K72" s="85"/>
      <c r="L72" s="85"/>
      <c r="M72" s="85"/>
      <c r="N72" s="85"/>
      <c r="O72" s="85"/>
      <c r="P72" s="85"/>
      <c r="Q72" s="85"/>
      <c r="R72" s="85"/>
      <c r="S72" s="85"/>
      <c r="T72" s="85"/>
      <c r="U72" s="85"/>
      <c r="V72" s="85"/>
      <c r="W72" s="85"/>
      <c r="X72" s="85"/>
      <c r="Y72" s="85"/>
      <c r="Z72" s="85"/>
      <c r="AA72" s="85"/>
      <c r="AB72" s="85"/>
      <c r="AC72" s="85"/>
      <c r="AD72" s="85"/>
      <c r="AE72" s="80"/>
    </row>
    <row r="73" ht="15.75" customHeight="1">
      <c r="A73" s="83" t="s">
        <v>1115</v>
      </c>
      <c r="B73" s="85" t="s">
        <v>161</v>
      </c>
      <c r="C73" s="87"/>
      <c r="D73" s="85"/>
      <c r="E73" s="85"/>
      <c r="F73" s="85"/>
      <c r="G73" s="85"/>
      <c r="H73" s="85" t="s">
        <v>1117</v>
      </c>
      <c r="I73" s="85"/>
      <c r="J73" s="85"/>
      <c r="K73" s="85"/>
      <c r="L73" s="85"/>
      <c r="M73" s="85"/>
      <c r="N73" s="85"/>
      <c r="O73" s="85"/>
      <c r="P73" s="85"/>
      <c r="Q73" s="85"/>
      <c r="R73" s="85"/>
      <c r="S73" s="85"/>
      <c r="T73" s="85"/>
      <c r="U73" s="85"/>
      <c r="V73" s="85"/>
      <c r="W73" s="85"/>
      <c r="X73" s="85"/>
      <c r="Y73" s="85"/>
      <c r="Z73" s="85"/>
      <c r="AA73" s="85"/>
      <c r="AB73" s="85"/>
      <c r="AC73" s="85"/>
      <c r="AD73" s="85"/>
      <c r="AE73" s="80"/>
    </row>
    <row r="74" ht="15.75" customHeight="1">
      <c r="A74" s="83" t="s">
        <v>1115</v>
      </c>
      <c r="B74" s="85" t="s">
        <v>161</v>
      </c>
      <c r="C74" s="87"/>
      <c r="D74" s="85"/>
      <c r="E74" s="85"/>
      <c r="F74" s="85"/>
      <c r="G74" s="85"/>
      <c r="H74" s="85" t="s">
        <v>1130</v>
      </c>
      <c r="I74" s="85"/>
      <c r="J74" s="85"/>
      <c r="K74" s="85"/>
      <c r="L74" s="85"/>
      <c r="M74" s="85"/>
      <c r="N74" s="85"/>
      <c r="O74" s="85"/>
      <c r="P74" s="85"/>
      <c r="Q74" s="85"/>
      <c r="R74" s="85"/>
      <c r="S74" s="85"/>
      <c r="T74" s="85"/>
      <c r="U74" s="85"/>
      <c r="V74" s="85"/>
      <c r="W74" s="85"/>
      <c r="X74" s="85"/>
      <c r="Y74" s="85"/>
      <c r="Z74" s="85"/>
      <c r="AA74" s="85"/>
      <c r="AB74" s="85"/>
      <c r="AC74" s="85"/>
      <c r="AD74" s="85"/>
      <c r="AE74" s="80"/>
    </row>
    <row r="75" ht="15.75" customHeight="1">
      <c r="A75" s="83" t="s">
        <v>1115</v>
      </c>
      <c r="B75" s="85" t="s">
        <v>161</v>
      </c>
      <c r="C75" s="87"/>
      <c r="D75" s="85"/>
      <c r="E75" s="85"/>
      <c r="F75" s="85"/>
      <c r="G75" s="85"/>
      <c r="H75" s="85" t="s">
        <v>1133</v>
      </c>
      <c r="I75" s="85"/>
      <c r="J75" s="85"/>
      <c r="K75" s="85"/>
      <c r="L75" s="85"/>
      <c r="M75" s="85"/>
      <c r="N75" s="85"/>
      <c r="O75" s="85"/>
      <c r="P75" s="85"/>
      <c r="Q75" s="85"/>
      <c r="R75" s="85"/>
      <c r="S75" s="85"/>
      <c r="T75" s="85"/>
      <c r="U75" s="85"/>
      <c r="V75" s="85"/>
      <c r="W75" s="85"/>
      <c r="X75" s="85"/>
      <c r="Y75" s="85"/>
      <c r="Z75" s="85"/>
      <c r="AA75" s="85"/>
      <c r="AB75" s="85"/>
      <c r="AC75" s="85"/>
      <c r="AD75" s="85"/>
      <c r="AE75" s="80"/>
    </row>
    <row r="76" ht="15.75" customHeight="1">
      <c r="A76" s="83" t="s">
        <v>150</v>
      </c>
      <c r="B76" s="85" t="s">
        <v>1144</v>
      </c>
      <c r="C76" s="87" t="s">
        <v>1147</v>
      </c>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0"/>
    </row>
    <row r="77" ht="15.75" customHeight="1">
      <c r="A77" s="85" t="s">
        <v>1161</v>
      </c>
      <c r="B77" s="85"/>
      <c r="C77" s="87"/>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0"/>
    </row>
    <row r="78" ht="15.75" customHeight="1">
      <c r="A78" s="85" t="s">
        <v>236</v>
      </c>
      <c r="B78" s="85" t="s">
        <v>1144</v>
      </c>
      <c r="C78" s="87"/>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0"/>
    </row>
    <row r="79" ht="15.75" customHeight="1">
      <c r="A79" s="83" t="s">
        <v>648</v>
      </c>
      <c r="B79" s="85" t="s">
        <v>1183</v>
      </c>
      <c r="C79" s="87" t="s">
        <v>1184</v>
      </c>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0"/>
    </row>
    <row r="80" ht="15.75" customHeight="1">
      <c r="A80" s="85" t="s">
        <v>1161</v>
      </c>
      <c r="B80" s="85"/>
      <c r="C80" s="87"/>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0"/>
    </row>
    <row r="81" ht="15.75" customHeight="1">
      <c r="A81" s="85" t="s">
        <v>691</v>
      </c>
      <c r="B81" s="85" t="s">
        <v>1183</v>
      </c>
      <c r="C81" s="87"/>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0"/>
    </row>
    <row r="82" ht="15.75" customHeight="1">
      <c r="A82" s="83" t="s">
        <v>648</v>
      </c>
      <c r="B82" s="85" t="s">
        <v>1183</v>
      </c>
      <c r="C82" s="87" t="s">
        <v>1249</v>
      </c>
      <c r="D82" s="85"/>
      <c r="E82" s="85"/>
      <c r="F82" s="85"/>
      <c r="G82" s="85"/>
      <c r="H82" s="85"/>
      <c r="I82" s="85"/>
      <c r="J82" s="85"/>
      <c r="K82" s="85"/>
      <c r="L82" s="85"/>
      <c r="M82" s="85"/>
      <c r="N82" s="85"/>
      <c r="O82" s="85"/>
      <c r="P82" s="85"/>
      <c r="Q82" s="85"/>
      <c r="R82" s="85"/>
      <c r="S82" s="168">
        <v>3.0</v>
      </c>
      <c r="T82" s="85"/>
      <c r="U82" s="85"/>
      <c r="V82" s="85"/>
      <c r="W82" s="85"/>
      <c r="X82" s="85"/>
      <c r="Y82" s="85"/>
      <c r="Z82" s="85"/>
      <c r="AA82" s="85"/>
      <c r="AB82" s="85"/>
      <c r="AC82" s="85"/>
      <c r="AD82" s="85"/>
      <c r="AE82" s="80"/>
    </row>
    <row r="83" ht="15.75" customHeight="1">
      <c r="A83" s="85" t="s">
        <v>1161</v>
      </c>
      <c r="B83" s="85"/>
      <c r="C83" s="87"/>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0"/>
    </row>
    <row r="84" ht="15.75" customHeight="1">
      <c r="A84" s="85" t="s">
        <v>691</v>
      </c>
      <c r="B84" s="85" t="s">
        <v>1183</v>
      </c>
      <c r="C84" s="87"/>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0"/>
    </row>
    <row r="85" ht="15.75" customHeight="1">
      <c r="A85" s="83" t="s">
        <v>1297</v>
      </c>
      <c r="B85" s="85" t="s">
        <v>161</v>
      </c>
      <c r="C85" s="87"/>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0"/>
    </row>
    <row r="86" ht="15.75" customHeight="1">
      <c r="A86" s="83" t="s">
        <v>1305</v>
      </c>
      <c r="B86" s="85" t="s">
        <v>161</v>
      </c>
      <c r="C86" s="87"/>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0"/>
    </row>
    <row r="87" ht="15.75" customHeight="1">
      <c r="A87" s="83" t="s">
        <v>1323</v>
      </c>
      <c r="B87" s="85" t="s">
        <v>161</v>
      </c>
      <c r="C87" s="87"/>
      <c r="D87" s="85"/>
      <c r="E87" s="85"/>
      <c r="F87" s="85"/>
      <c r="G87" s="85"/>
      <c r="H87" s="85" t="s">
        <v>1328</v>
      </c>
      <c r="I87" s="85"/>
      <c r="J87" s="85"/>
      <c r="K87" s="85"/>
      <c r="L87" s="85"/>
      <c r="M87" s="85"/>
      <c r="N87" s="85"/>
      <c r="O87" s="85"/>
      <c r="P87" s="85"/>
      <c r="Q87" s="85"/>
      <c r="R87" s="85"/>
      <c r="S87" s="85"/>
      <c r="T87" s="85"/>
      <c r="U87" s="85"/>
      <c r="V87" s="85"/>
      <c r="W87" s="85"/>
      <c r="X87" s="85"/>
      <c r="Y87" s="85"/>
      <c r="Z87" s="85"/>
      <c r="AA87" s="85"/>
      <c r="AB87" s="85"/>
      <c r="AC87" s="85"/>
      <c r="AD87" s="85"/>
      <c r="AE87" s="80"/>
    </row>
    <row r="88" ht="15.75" customHeight="1">
      <c r="A88" s="83" t="s">
        <v>1336</v>
      </c>
      <c r="B88" s="85" t="s">
        <v>161</v>
      </c>
      <c r="C88" s="87"/>
      <c r="D88" s="85"/>
      <c r="E88" s="85"/>
      <c r="F88" s="85"/>
      <c r="G88" s="85"/>
      <c r="H88" s="85" t="s">
        <v>1344</v>
      </c>
      <c r="I88" s="85"/>
      <c r="J88" s="85"/>
      <c r="K88" s="85"/>
      <c r="L88" s="85"/>
      <c r="M88" s="85"/>
      <c r="N88" s="85"/>
      <c r="O88" s="85"/>
      <c r="P88" s="85"/>
      <c r="Q88" s="85"/>
      <c r="R88" s="85"/>
      <c r="S88" s="85"/>
      <c r="T88" s="85"/>
      <c r="U88" s="85"/>
      <c r="V88" s="85"/>
      <c r="W88" s="85"/>
      <c r="X88" s="85"/>
      <c r="Y88" s="85"/>
      <c r="Z88" s="85"/>
      <c r="AA88" s="85"/>
      <c r="AB88" s="85"/>
      <c r="AC88" s="85"/>
      <c r="AD88" s="85"/>
      <c r="AE88" s="80"/>
    </row>
    <row r="89" ht="15.75" customHeight="1">
      <c r="A89" s="83" t="s">
        <v>1356</v>
      </c>
      <c r="B89" s="85" t="s">
        <v>161</v>
      </c>
      <c r="C89" s="87"/>
      <c r="D89" s="85"/>
      <c r="E89" s="85"/>
      <c r="F89" s="85"/>
      <c r="G89" s="85"/>
      <c r="H89" s="85" t="s">
        <v>1370</v>
      </c>
      <c r="I89" s="85"/>
      <c r="J89" s="85"/>
      <c r="K89" s="85"/>
      <c r="L89" s="85"/>
      <c r="M89" s="85"/>
      <c r="N89" s="85"/>
      <c r="O89" s="85"/>
      <c r="P89" s="85"/>
      <c r="Q89" s="85"/>
      <c r="R89" s="85"/>
      <c r="S89" s="85"/>
      <c r="T89" s="85"/>
      <c r="U89" s="85"/>
      <c r="V89" s="85"/>
      <c r="W89" s="85"/>
      <c r="X89" s="85"/>
      <c r="Y89" s="85"/>
      <c r="Z89" s="85"/>
      <c r="AA89" s="85"/>
      <c r="AB89" s="85"/>
      <c r="AC89" s="85"/>
      <c r="AD89" s="85"/>
      <c r="AE89" s="80"/>
    </row>
    <row r="90" ht="15.75" customHeight="1">
      <c r="C90" s="9"/>
    </row>
    <row r="91" ht="15.75" customHeight="1">
      <c r="A91" s="180" t="s">
        <v>1381</v>
      </c>
      <c r="B91" s="181"/>
      <c r="C91" s="182"/>
      <c r="D91" s="183"/>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r="92" ht="15.75" customHeight="1">
      <c r="A92" s="188" t="s">
        <v>1395</v>
      </c>
      <c r="B92" s="189"/>
      <c r="C92" s="181"/>
      <c r="D92" s="183"/>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r="93" ht="15.75" customHeight="1">
      <c r="C93" s="9"/>
    </row>
    <row r="94" ht="15.75" customHeight="1">
      <c r="A94" s="190" t="s">
        <v>1419</v>
      </c>
      <c r="B94" s="190" t="s">
        <v>1424</v>
      </c>
      <c r="C94" s="190" t="s">
        <v>1426</v>
      </c>
      <c r="D94" s="190" t="s">
        <v>1427</v>
      </c>
    </row>
    <row r="95" ht="15.75" customHeight="1">
      <c r="A95" s="191" t="s">
        <v>1430</v>
      </c>
      <c r="B95" s="191" t="s">
        <v>1434</v>
      </c>
      <c r="C95" s="191" t="s">
        <v>1437</v>
      </c>
      <c r="D95" s="191">
        <v>2.0</v>
      </c>
    </row>
    <row r="96" ht="15.75" customHeight="1">
      <c r="A96" s="191" t="s">
        <v>1439</v>
      </c>
      <c r="B96" s="191" t="s">
        <v>1440</v>
      </c>
      <c r="C96" s="192" t="str">
        <f>"3 - 2"</f>
        <v>3 - 2</v>
      </c>
      <c r="D96" s="191">
        <v>1.0</v>
      </c>
    </row>
    <row r="97" ht="15.75" customHeight="1">
      <c r="A97" s="191" t="s">
        <v>1445</v>
      </c>
      <c r="B97" s="191" t="s">
        <v>1447</v>
      </c>
      <c r="C97" s="191" t="s">
        <v>1448</v>
      </c>
      <c r="D97" s="191">
        <v>6.0</v>
      </c>
    </row>
    <row r="98" ht="15.75" customHeight="1">
      <c r="A98" s="191" t="s">
        <v>1449</v>
      </c>
      <c r="B98" s="191" t="s">
        <v>1450</v>
      </c>
      <c r="C98" s="191" t="s">
        <v>1451</v>
      </c>
      <c r="D98" s="191">
        <v>5.0</v>
      </c>
    </row>
    <row r="99" ht="15.75" customHeight="1">
      <c r="A99" s="191" t="s">
        <v>1452</v>
      </c>
      <c r="B99" s="191" t="s">
        <v>1453</v>
      </c>
      <c r="C99" s="191" t="s">
        <v>1454</v>
      </c>
      <c r="D99" s="191">
        <v>1.0</v>
      </c>
    </row>
    <row r="100" ht="15.75" customHeight="1">
      <c r="A100" s="191" t="s">
        <v>1456</v>
      </c>
      <c r="B100" s="191" t="s">
        <v>1463</v>
      </c>
      <c r="C100" s="191" t="s">
        <v>1465</v>
      </c>
      <c r="D100" s="191" t="s">
        <v>1466</v>
      </c>
    </row>
    <row r="101" ht="15.75" customHeight="1">
      <c r="A101" s="191" t="s">
        <v>1467</v>
      </c>
      <c r="B101" s="191" t="s">
        <v>1468</v>
      </c>
      <c r="C101" s="191" t="s">
        <v>1469</v>
      </c>
      <c r="D101" s="191" t="s">
        <v>1466</v>
      </c>
    </row>
    <row r="102" ht="15.75" customHeight="1">
      <c r="A102" s="191" t="s">
        <v>1470</v>
      </c>
      <c r="B102" s="191" t="s">
        <v>1471</v>
      </c>
      <c r="C102" s="191" t="s">
        <v>1474</v>
      </c>
      <c r="D102" s="191" t="s">
        <v>1466</v>
      </c>
    </row>
    <row r="103" ht="15.75" customHeight="1">
      <c r="A103" s="191" t="s">
        <v>1480</v>
      </c>
      <c r="B103" s="191" t="s">
        <v>1481</v>
      </c>
      <c r="C103" s="191" t="s">
        <v>1482</v>
      </c>
      <c r="D103" s="191" t="s">
        <v>1466</v>
      </c>
    </row>
    <row r="104" ht="15.75" customHeight="1">
      <c r="A104" s="191" t="s">
        <v>1483</v>
      </c>
      <c r="B104" s="191" t="s">
        <v>1484</v>
      </c>
      <c r="C104" s="191" t="s">
        <v>1485</v>
      </c>
      <c r="D104" s="191" t="s">
        <v>1466</v>
      </c>
    </row>
    <row r="105" ht="15.75" customHeight="1">
      <c r="A105" s="191" t="s">
        <v>1486</v>
      </c>
      <c r="B105" s="191" t="s">
        <v>1487</v>
      </c>
      <c r="C105" s="191" t="s">
        <v>1488</v>
      </c>
      <c r="D105" s="191" t="s">
        <v>1466</v>
      </c>
    </row>
    <row r="106" ht="15.75" customHeight="1">
      <c r="A106" s="191" t="s">
        <v>1489</v>
      </c>
      <c r="B106" s="191" t="s">
        <v>1490</v>
      </c>
      <c r="C106" s="191" t="s">
        <v>1491</v>
      </c>
      <c r="D106" s="191" t="s">
        <v>1466</v>
      </c>
    </row>
    <row r="107" ht="15.75" customHeight="1">
      <c r="A107" s="191" t="s">
        <v>1498</v>
      </c>
      <c r="B107" s="191" t="s">
        <v>1500</v>
      </c>
      <c r="C107" s="191" t="s">
        <v>1501</v>
      </c>
      <c r="D107" s="191" t="s">
        <v>1466</v>
      </c>
    </row>
    <row r="108" ht="15.75" customHeight="1">
      <c r="A108" s="191" t="s">
        <v>1502</v>
      </c>
      <c r="B108" s="191" t="s">
        <v>1503</v>
      </c>
      <c r="C108" s="191" t="s">
        <v>1504</v>
      </c>
      <c r="D108" s="191" t="s">
        <v>1505</v>
      </c>
    </row>
    <row r="109" ht="15.75" customHeight="1">
      <c r="A109" s="195"/>
      <c r="B109" s="195"/>
      <c r="C109" s="196"/>
      <c r="D109" s="195"/>
    </row>
    <row r="110" ht="15.75" customHeight="1">
      <c r="A110" s="195"/>
      <c r="B110" s="190" t="s">
        <v>1513</v>
      </c>
      <c r="C110" s="190" t="s">
        <v>1426</v>
      </c>
      <c r="D110" s="195"/>
    </row>
    <row r="111" ht="15.75" customHeight="1">
      <c r="A111" s="195"/>
      <c r="B111" s="191" t="s">
        <v>1514</v>
      </c>
      <c r="C111" s="191" t="s">
        <v>1515</v>
      </c>
      <c r="D111" s="195"/>
    </row>
    <row r="112" ht="15.75" customHeight="1">
      <c r="A112" s="195"/>
      <c r="B112" s="191" t="s">
        <v>1518</v>
      </c>
      <c r="C112" s="197" t="s">
        <v>1520</v>
      </c>
      <c r="D112" s="195"/>
    </row>
    <row r="113" ht="15.75" customHeight="1">
      <c r="A113" s="195"/>
      <c r="B113" s="198" t="s">
        <v>1521</v>
      </c>
      <c r="C113" s="199" t="s">
        <v>1522</v>
      </c>
      <c r="D113" s="195"/>
    </row>
    <row r="114" ht="15.75" customHeight="1">
      <c r="A114" s="195"/>
      <c r="B114" s="199" t="s">
        <v>1522</v>
      </c>
      <c r="C114" s="199" t="s">
        <v>1522</v>
      </c>
      <c r="D114" s="195"/>
    </row>
    <row r="115" ht="15.75" customHeight="1">
      <c r="A115" s="195"/>
      <c r="B115" s="199" t="s">
        <v>1527</v>
      </c>
      <c r="C115" s="199" t="s">
        <v>1528</v>
      </c>
      <c r="D115" s="195"/>
    </row>
    <row r="116" ht="15.75" customHeight="1">
      <c r="A116" s="195"/>
      <c r="B116" s="199" t="s">
        <v>1529</v>
      </c>
      <c r="C116" s="199" t="s">
        <v>1530</v>
      </c>
      <c r="D116" s="195"/>
    </row>
    <row r="117" ht="15.75" customHeight="1">
      <c r="A117" s="195"/>
      <c r="B117" s="199" t="s">
        <v>1536</v>
      </c>
      <c r="C117" s="199" t="s">
        <v>1537</v>
      </c>
      <c r="D117" s="195"/>
    </row>
    <row r="118" ht="15.75" customHeight="1">
      <c r="A118" s="195"/>
      <c r="B118" s="199" t="s">
        <v>1547</v>
      </c>
      <c r="C118" s="199" t="s">
        <v>1548</v>
      </c>
      <c r="D118" s="195"/>
    </row>
    <row r="119" ht="15.75" customHeight="1">
      <c r="A119" s="195"/>
      <c r="B119" s="199" t="s">
        <v>1556</v>
      </c>
      <c r="C119" s="199" t="s">
        <v>1557</v>
      </c>
      <c r="D119" s="195"/>
    </row>
    <row r="120" ht="15.75" customHeight="1">
      <c r="A120" s="195"/>
      <c r="B120" s="199" t="s">
        <v>1561</v>
      </c>
      <c r="C120" s="199" t="s">
        <v>1562</v>
      </c>
      <c r="D120" s="195"/>
    </row>
    <row r="121" ht="15.75" customHeight="1">
      <c r="A121" s="195"/>
      <c r="B121" s="199" t="s">
        <v>1566</v>
      </c>
      <c r="C121" s="199" t="s">
        <v>1568</v>
      </c>
      <c r="D121" s="195"/>
    </row>
    <row r="122" ht="15.75" customHeight="1">
      <c r="A122" s="195"/>
      <c r="B122" s="199" t="s">
        <v>1570</v>
      </c>
      <c r="C122" s="199" t="s">
        <v>1570</v>
      </c>
      <c r="D122" s="195"/>
    </row>
    <row r="123" ht="15.75" customHeight="1">
      <c r="A123" s="195"/>
      <c r="B123" s="199" t="s">
        <v>1572</v>
      </c>
      <c r="C123" s="199" t="s">
        <v>1573</v>
      </c>
      <c r="D123" s="195"/>
    </row>
    <row r="124" ht="15.75" customHeight="1">
      <c r="A124" s="195"/>
      <c r="B124" s="199" t="s">
        <v>1574</v>
      </c>
      <c r="C124" s="199" t="s">
        <v>1575</v>
      </c>
      <c r="D124" s="195"/>
    </row>
    <row r="125" ht="15.75" customHeight="1">
      <c r="A125" s="195"/>
      <c r="B125" s="199" t="s">
        <v>1579</v>
      </c>
      <c r="C125" s="199" t="s">
        <v>1581</v>
      </c>
      <c r="D125" s="195"/>
    </row>
    <row r="126" ht="15.75" customHeight="1">
      <c r="A126" s="195"/>
      <c r="B126" s="199" t="s">
        <v>1583</v>
      </c>
      <c r="C126" s="199" t="s">
        <v>1584</v>
      </c>
      <c r="D126" s="195"/>
    </row>
    <row r="127" ht="15.75" customHeight="1">
      <c r="A127" s="195"/>
      <c r="B127" s="199" t="s">
        <v>1585</v>
      </c>
      <c r="C127" s="199" t="s">
        <v>1586</v>
      </c>
      <c r="D127" s="195"/>
    </row>
    <row r="128" ht="15.75" customHeight="1">
      <c r="A128" s="195"/>
      <c r="B128" s="199" t="s">
        <v>1587</v>
      </c>
      <c r="C128" s="199" t="s">
        <v>1588</v>
      </c>
      <c r="D128" s="195"/>
    </row>
    <row r="129" ht="15.75" customHeight="1">
      <c r="A129" s="195"/>
      <c r="B129" s="199" t="s">
        <v>1592</v>
      </c>
      <c r="C129" s="199" t="s">
        <v>1595</v>
      </c>
      <c r="D129" s="195"/>
    </row>
    <row r="130" ht="15.75" customHeight="1">
      <c r="A130" s="195"/>
      <c r="B130" s="199" t="s">
        <v>1597</v>
      </c>
      <c r="C130" s="199" t="s">
        <v>1599</v>
      </c>
      <c r="D130" s="195"/>
    </row>
    <row r="131" ht="15.75" customHeight="1">
      <c r="A131" s="195"/>
      <c r="B131" s="199" t="s">
        <v>1600</v>
      </c>
      <c r="C131" s="199" t="s">
        <v>1601</v>
      </c>
      <c r="D131" s="195"/>
    </row>
    <row r="132" ht="15.75" customHeight="1">
      <c r="A132" s="195"/>
      <c r="B132" s="199" t="s">
        <v>1609</v>
      </c>
      <c r="C132" s="199" t="s">
        <v>1610</v>
      </c>
      <c r="D132" s="195"/>
    </row>
    <row r="133" ht="15.75" customHeight="1">
      <c r="A133" s="195"/>
      <c r="B133" s="199" t="s">
        <v>1611</v>
      </c>
      <c r="C133" s="199" t="s">
        <v>1612</v>
      </c>
      <c r="D133" s="195"/>
    </row>
    <row r="134" ht="15.75" customHeight="1">
      <c r="A134" s="195"/>
      <c r="B134" s="200" t="s">
        <v>1614</v>
      </c>
      <c r="C134" s="200" t="s">
        <v>1617</v>
      </c>
      <c r="D134" s="195"/>
    </row>
    <row r="135" ht="15.75" customHeight="1">
      <c r="A135" s="195"/>
      <c r="B135" s="200" t="s">
        <v>1623</v>
      </c>
      <c r="C135" s="201" t="s">
        <v>145</v>
      </c>
      <c r="D135" s="195"/>
    </row>
    <row r="136" ht="15.75" customHeight="1">
      <c r="A136" s="195"/>
      <c r="B136" s="200" t="s">
        <v>1624</v>
      </c>
      <c r="C136" s="200" t="s">
        <v>1624</v>
      </c>
      <c r="D136" s="195"/>
    </row>
    <row r="137" ht="15.75" customHeight="1">
      <c r="A137" s="195"/>
      <c r="B137" s="200" t="s">
        <v>116</v>
      </c>
      <c r="C137" s="200" t="s">
        <v>116</v>
      </c>
      <c r="D137" s="195"/>
    </row>
    <row r="138" ht="15.75" customHeight="1">
      <c r="A138" s="195"/>
      <c r="B138" s="200" t="s">
        <v>1631</v>
      </c>
      <c r="C138" s="200" t="s">
        <v>1632</v>
      </c>
      <c r="D138" s="195"/>
    </row>
    <row r="139" ht="15.75" customHeight="1">
      <c r="A139" s="195"/>
      <c r="B139" s="200" t="s">
        <v>1636</v>
      </c>
      <c r="C139" s="200" t="s">
        <v>1638</v>
      </c>
      <c r="D139" s="195"/>
    </row>
    <row r="140" ht="15.75" customHeight="1">
      <c r="A140" s="195"/>
      <c r="B140" s="200" t="s">
        <v>1640</v>
      </c>
      <c r="C140" s="200" t="s">
        <v>1641</v>
      </c>
      <c r="D140" s="195"/>
    </row>
    <row r="141" ht="15.75" customHeight="1">
      <c r="A141" s="195"/>
      <c r="B141" s="200" t="s">
        <v>1642</v>
      </c>
      <c r="C141" s="200" t="s">
        <v>1644</v>
      </c>
      <c r="D141" s="195"/>
    </row>
    <row r="142" ht="15.75" customHeight="1">
      <c r="A142" s="195"/>
      <c r="B142" s="200" t="s">
        <v>1647</v>
      </c>
      <c r="C142" s="200" t="s">
        <v>1648</v>
      </c>
      <c r="D142" s="195"/>
    </row>
    <row r="143" ht="15.75" customHeight="1">
      <c r="A143" s="195"/>
      <c r="B143" s="200" t="s">
        <v>1654</v>
      </c>
      <c r="C143" s="200" t="s">
        <v>1654</v>
      </c>
      <c r="D143" s="195"/>
    </row>
    <row r="144" ht="15.75" customHeight="1">
      <c r="A144" s="202"/>
      <c r="B144" s="203" t="s">
        <v>1661</v>
      </c>
      <c r="C144" s="203" t="s">
        <v>1663</v>
      </c>
      <c r="D144" s="202"/>
    </row>
    <row r="145" ht="15.75" customHeight="1">
      <c r="A145" s="11"/>
      <c r="B145" s="204"/>
      <c r="C145" s="204"/>
      <c r="D145" s="11"/>
      <c r="E145" s="11"/>
    </row>
    <row r="146" ht="15.75" customHeight="1">
      <c r="A146" s="11"/>
      <c r="B146" s="204"/>
      <c r="C146" s="204"/>
      <c r="D146" s="11"/>
      <c r="E146" s="11"/>
    </row>
    <row r="147" ht="15.75" customHeight="1">
      <c r="A147" s="11"/>
      <c r="B147" s="204"/>
      <c r="C147" s="204"/>
      <c r="D147" s="11"/>
      <c r="E147" s="11"/>
    </row>
    <row r="148" ht="15.75" customHeight="1">
      <c r="A148" s="11"/>
      <c r="B148" s="204"/>
      <c r="C148" s="204"/>
      <c r="D148" s="11"/>
      <c r="E148" s="11"/>
    </row>
    <row r="149" ht="15.75" customHeight="1">
      <c r="A149" s="11"/>
      <c r="B149" s="204"/>
      <c r="C149" s="204"/>
      <c r="D149" s="11"/>
      <c r="E149" s="11"/>
    </row>
    <row r="150" ht="15.75" customHeight="1">
      <c r="A150" s="11"/>
      <c r="B150" s="204"/>
      <c r="C150" s="204"/>
      <c r="D150" s="11"/>
      <c r="E150" s="11"/>
    </row>
    <row r="151" ht="15.75" customHeight="1">
      <c r="A151" s="11"/>
      <c r="B151" s="204"/>
      <c r="C151" s="204"/>
      <c r="D151" s="11"/>
      <c r="E151" s="11"/>
    </row>
    <row r="152" ht="15.75" customHeight="1">
      <c r="A152" s="11"/>
      <c r="B152" s="204"/>
      <c r="C152" s="204"/>
      <c r="D152" s="11"/>
      <c r="E152" s="11"/>
    </row>
    <row r="153" ht="15.75" customHeight="1">
      <c r="A153" s="11"/>
      <c r="B153" s="204"/>
      <c r="C153" s="204"/>
      <c r="D153" s="11"/>
      <c r="E153" s="11"/>
    </row>
    <row r="154" ht="15.75" customHeight="1">
      <c r="A154" s="11"/>
      <c r="B154" s="204"/>
      <c r="C154" s="204"/>
      <c r="D154" s="11"/>
      <c r="E154" s="11"/>
    </row>
    <row r="155" ht="15.75" customHeight="1">
      <c r="A155" s="11"/>
      <c r="B155" s="204"/>
      <c r="C155" s="204"/>
      <c r="D155" s="11"/>
      <c r="E155" s="11"/>
    </row>
    <row r="156" ht="15.75" customHeight="1">
      <c r="A156" s="11"/>
      <c r="B156" s="11"/>
      <c r="C156" s="9"/>
      <c r="D156" s="11"/>
      <c r="E156" s="11"/>
    </row>
    <row r="157" ht="15.75" customHeight="1">
      <c r="A157" s="11"/>
      <c r="B157" s="11"/>
      <c r="C157" s="9"/>
      <c r="D157" s="11"/>
      <c r="E157" s="11"/>
    </row>
    <row r="158" ht="15.75" customHeight="1">
      <c r="A158" s="11"/>
      <c r="B158" s="11"/>
      <c r="C158" s="9"/>
      <c r="D158" s="11"/>
      <c r="E158" s="11"/>
    </row>
    <row r="159" ht="15.75" customHeight="1">
      <c r="A159" s="11"/>
      <c r="B159" s="11"/>
      <c r="C159" s="9"/>
      <c r="D159" s="11"/>
      <c r="E159" s="11"/>
    </row>
    <row r="160" ht="15.75" customHeight="1">
      <c r="A160" s="11"/>
      <c r="B160" s="11"/>
      <c r="C160" s="9"/>
      <c r="D160" s="11"/>
      <c r="E160" s="11"/>
    </row>
    <row r="161" ht="15.75" customHeight="1">
      <c r="C161" s="9"/>
    </row>
    <row r="162" ht="15.75" customHeight="1">
      <c r="C162" s="9"/>
    </row>
    <row r="163" ht="15.75" customHeight="1">
      <c r="C163" s="9"/>
    </row>
    <row r="164" ht="15.75" customHeight="1">
      <c r="C164" s="9"/>
    </row>
    <row r="165" ht="15.75" customHeight="1">
      <c r="C165" s="9"/>
    </row>
    <row r="166" ht="15.75" customHeight="1">
      <c r="C166" s="9"/>
    </row>
    <row r="167" ht="15.75" customHeight="1">
      <c r="C167" s="9"/>
    </row>
    <row r="168" ht="15.75" customHeight="1">
      <c r="C168" s="9"/>
    </row>
    <row r="169" ht="15.75" customHeight="1">
      <c r="C169" s="9"/>
    </row>
    <row r="170" ht="15.75" customHeight="1">
      <c r="C170" s="9"/>
    </row>
    <row r="171" ht="15.75" customHeight="1">
      <c r="C171" s="9"/>
    </row>
    <row r="172" ht="15.75" customHeight="1">
      <c r="C172" s="9"/>
    </row>
    <row r="173" ht="15.75" customHeight="1">
      <c r="C173" s="9"/>
    </row>
    <row r="174" ht="15.75" customHeight="1">
      <c r="C174" s="9"/>
    </row>
    <row r="175" ht="15.75" customHeight="1">
      <c r="C175" s="9"/>
    </row>
    <row r="176" ht="15.75" customHeight="1">
      <c r="C176" s="9"/>
    </row>
    <row r="177" ht="15.75" customHeight="1">
      <c r="C177" s="9"/>
    </row>
    <row r="178" ht="15.75" customHeight="1">
      <c r="C178" s="9"/>
    </row>
    <row r="179" ht="15.75" customHeight="1">
      <c r="C179" s="9"/>
    </row>
    <row r="180" ht="15.75" customHeight="1">
      <c r="C180" s="9"/>
    </row>
    <row r="181" ht="15.75" customHeight="1">
      <c r="C181" s="9"/>
    </row>
    <row r="182" ht="15.75" customHeight="1">
      <c r="C182" s="9"/>
    </row>
    <row r="183" ht="15.75" customHeight="1">
      <c r="C183" s="9"/>
    </row>
    <row r="184" ht="15.75" customHeight="1">
      <c r="C184" s="9"/>
    </row>
    <row r="185" ht="15.75" customHeight="1">
      <c r="C185" s="9"/>
    </row>
    <row r="186" ht="15.75" customHeight="1">
      <c r="C186" s="9"/>
    </row>
    <row r="187" ht="15.75" customHeight="1">
      <c r="C187" s="9"/>
    </row>
    <row r="188" ht="15.75" customHeight="1">
      <c r="C188" s="9"/>
    </row>
    <row r="189" ht="15.75" customHeight="1">
      <c r="C189" s="9"/>
    </row>
    <row r="190" ht="15.75" customHeight="1">
      <c r="C190" s="9"/>
    </row>
    <row r="191" ht="15.75" customHeight="1">
      <c r="C191" s="9"/>
    </row>
    <row r="192" ht="15.75" customHeight="1">
      <c r="C192" s="9"/>
    </row>
    <row r="193" ht="15.75" customHeight="1">
      <c r="C193" s="9"/>
    </row>
    <row r="194" ht="15.75" customHeight="1">
      <c r="C194" s="9"/>
    </row>
    <row r="195" ht="15.75" customHeight="1">
      <c r="C195" s="9"/>
    </row>
    <row r="196" ht="15.75" customHeight="1">
      <c r="C196" s="9"/>
    </row>
    <row r="197" ht="15.75" customHeight="1">
      <c r="C197" s="9"/>
    </row>
    <row r="198" ht="15.75" customHeight="1">
      <c r="C198" s="9"/>
    </row>
    <row r="199" ht="15.75" customHeight="1">
      <c r="C199" s="9"/>
    </row>
    <row r="200" ht="15.75" customHeight="1">
      <c r="C200" s="9"/>
    </row>
    <row r="201" ht="15.75" customHeight="1">
      <c r="C201" s="9"/>
    </row>
    <row r="202" ht="15.75" customHeight="1">
      <c r="C202" s="9"/>
    </row>
    <row r="203" ht="15.75" customHeight="1">
      <c r="C203" s="9"/>
    </row>
    <row r="204" ht="15.75" customHeight="1">
      <c r="C204" s="9"/>
    </row>
    <row r="205" ht="15.75" customHeight="1">
      <c r="C205" s="9"/>
    </row>
    <row r="206" ht="15.75" customHeight="1">
      <c r="C206" s="9"/>
    </row>
    <row r="207" ht="15.75" customHeight="1">
      <c r="C207" s="9"/>
    </row>
    <row r="208" ht="15.75" customHeight="1">
      <c r="C208" s="9"/>
    </row>
    <row r="209" ht="15.75" customHeight="1">
      <c r="C209" s="9"/>
    </row>
    <row r="210" ht="15.75" customHeight="1">
      <c r="C210" s="9"/>
    </row>
    <row r="211" ht="15.75" customHeight="1">
      <c r="C211" s="9"/>
    </row>
    <row r="212" ht="15.75" customHeight="1">
      <c r="C212" s="9"/>
    </row>
    <row r="213" ht="15.75" customHeight="1">
      <c r="C213" s="9"/>
    </row>
    <row r="214" ht="15.75" customHeight="1">
      <c r="C214" s="9"/>
    </row>
    <row r="215" ht="15.75" customHeight="1">
      <c r="C215" s="9"/>
    </row>
    <row r="216" ht="15.75" customHeight="1">
      <c r="C216" s="9"/>
    </row>
    <row r="217" ht="15.75" customHeight="1">
      <c r="C217" s="9"/>
    </row>
    <row r="218" ht="15.75" customHeight="1">
      <c r="C218" s="9"/>
    </row>
    <row r="219" ht="15.75" customHeight="1">
      <c r="C219" s="9"/>
    </row>
    <row r="220" ht="15.75" customHeight="1">
      <c r="C220" s="9"/>
    </row>
    <row r="221" ht="15.75" customHeight="1">
      <c r="C221" s="9"/>
    </row>
    <row r="222" ht="15.75" customHeight="1">
      <c r="C222" s="9"/>
    </row>
    <row r="223" ht="15.75" customHeight="1">
      <c r="C223" s="9"/>
    </row>
    <row r="224" ht="15.75" customHeight="1">
      <c r="C224" s="9"/>
    </row>
    <row r="225" ht="15.75" customHeight="1">
      <c r="C225" s="9"/>
    </row>
    <row r="226" ht="15.75" customHeight="1">
      <c r="C226" s="9"/>
    </row>
    <row r="227" ht="15.75" customHeight="1">
      <c r="C227" s="9"/>
    </row>
    <row r="228" ht="15.75" customHeight="1">
      <c r="C228" s="9"/>
    </row>
    <row r="229" ht="15.75" customHeight="1">
      <c r="C229" s="9"/>
    </row>
    <row r="230" ht="15.75" customHeight="1">
      <c r="C230" s="9"/>
    </row>
    <row r="231" ht="15.75" customHeight="1">
      <c r="C231" s="9"/>
    </row>
    <row r="232" ht="15.75" customHeight="1">
      <c r="C232" s="9"/>
    </row>
    <row r="233" ht="15.75" customHeight="1">
      <c r="C233" s="9"/>
    </row>
    <row r="234" ht="15.75" customHeight="1">
      <c r="C234" s="9"/>
    </row>
    <row r="235" ht="15.75" customHeight="1">
      <c r="C235" s="9"/>
    </row>
    <row r="236" ht="15.75" customHeight="1">
      <c r="C236" s="9"/>
    </row>
    <row r="237" ht="15.75" customHeight="1">
      <c r="C237" s="9"/>
    </row>
    <row r="238" ht="15.75" customHeight="1">
      <c r="C238" s="9"/>
    </row>
    <row r="239" ht="15.75" customHeight="1">
      <c r="C239" s="9"/>
    </row>
    <row r="240" ht="15.75" customHeight="1">
      <c r="C240" s="9"/>
    </row>
    <row r="241" ht="15.75" customHeight="1">
      <c r="C241" s="9"/>
    </row>
    <row r="242" ht="15.75" customHeight="1">
      <c r="C242" s="9"/>
    </row>
    <row r="243" ht="15.75" customHeight="1">
      <c r="C243" s="9"/>
    </row>
    <row r="244" ht="15.75" customHeight="1">
      <c r="C244" s="9"/>
    </row>
    <row r="245" ht="15.75" customHeight="1">
      <c r="C245" s="9"/>
    </row>
    <row r="246" ht="15.75" customHeight="1">
      <c r="C246" s="9"/>
    </row>
    <row r="247" ht="15.75" customHeight="1">
      <c r="C247" s="9"/>
    </row>
    <row r="248" ht="15.75" customHeight="1">
      <c r="C248" s="9"/>
    </row>
    <row r="249" ht="15.75" customHeight="1">
      <c r="C249" s="9"/>
    </row>
    <row r="250" ht="15.75" customHeight="1">
      <c r="C250" s="9"/>
    </row>
    <row r="251" ht="15.75" customHeight="1">
      <c r="C251" s="9"/>
    </row>
    <row r="252" ht="15.75" customHeight="1">
      <c r="C252" s="9"/>
    </row>
    <row r="253" ht="15.75" customHeight="1">
      <c r="C253" s="9"/>
    </row>
    <row r="254" ht="15.75" customHeight="1">
      <c r="C254" s="9"/>
    </row>
    <row r="255" ht="15.75" customHeight="1">
      <c r="C255" s="9"/>
    </row>
    <row r="256" ht="15.75" customHeight="1">
      <c r="C256" s="9"/>
    </row>
    <row r="257" ht="15.75" customHeight="1">
      <c r="C257" s="9"/>
    </row>
    <row r="258" ht="15.75" customHeight="1">
      <c r="C258" s="9"/>
    </row>
    <row r="259" ht="15.75" customHeight="1">
      <c r="C259" s="9"/>
    </row>
    <row r="260" ht="15.75" customHeight="1">
      <c r="C260" s="9"/>
    </row>
    <row r="261" ht="15.75" customHeight="1">
      <c r="C261" s="9"/>
    </row>
    <row r="262" ht="15.75" customHeight="1">
      <c r="C262" s="9"/>
    </row>
    <row r="263" ht="15.75" customHeight="1">
      <c r="C263" s="9"/>
    </row>
    <row r="264" ht="15.75" customHeight="1">
      <c r="C264" s="9"/>
    </row>
    <row r="265" ht="15.75" customHeight="1">
      <c r="C265" s="9"/>
    </row>
    <row r="266" ht="15.75" customHeight="1">
      <c r="C266" s="9"/>
    </row>
    <row r="267" ht="15.75" customHeight="1">
      <c r="C267" s="9"/>
    </row>
    <row r="268" ht="15.75" customHeight="1">
      <c r="C268" s="9"/>
    </row>
    <row r="269" ht="15.75" customHeight="1">
      <c r="C269" s="9"/>
    </row>
    <row r="270" ht="15.75" customHeight="1">
      <c r="C270" s="9"/>
    </row>
    <row r="271" ht="15.75" customHeight="1">
      <c r="C271" s="9"/>
    </row>
    <row r="272" ht="15.75" customHeight="1">
      <c r="C272" s="9"/>
    </row>
    <row r="273" ht="15.75" customHeight="1">
      <c r="C273" s="9"/>
    </row>
    <row r="274" ht="15.75" customHeight="1">
      <c r="C274" s="9"/>
    </row>
    <row r="275" ht="15.75" customHeight="1">
      <c r="C275" s="9"/>
    </row>
    <row r="276" ht="15.75" customHeight="1">
      <c r="C276" s="9"/>
    </row>
    <row r="277" ht="15.75" customHeight="1">
      <c r="C277" s="9"/>
    </row>
    <row r="278" ht="15.75" customHeight="1">
      <c r="C278" s="9"/>
    </row>
    <row r="279" ht="15.75" customHeight="1">
      <c r="C279" s="9"/>
    </row>
    <row r="280" ht="15.75" customHeight="1">
      <c r="C280" s="9"/>
    </row>
    <row r="281" ht="15.75" customHeight="1">
      <c r="C281" s="9"/>
    </row>
    <row r="282" ht="15.75" customHeight="1">
      <c r="C282" s="9"/>
    </row>
    <row r="283" ht="15.75" customHeight="1">
      <c r="C283" s="9"/>
    </row>
    <row r="284" ht="15.75" customHeight="1">
      <c r="C284" s="9"/>
    </row>
    <row r="285" ht="15.75" customHeight="1">
      <c r="C285" s="9"/>
    </row>
    <row r="286" ht="15.75" customHeight="1">
      <c r="C286" s="9"/>
    </row>
    <row r="287" ht="15.75" customHeight="1">
      <c r="C287" s="9"/>
    </row>
    <row r="288" ht="15.75" customHeight="1">
      <c r="C288" s="9"/>
    </row>
    <row r="289" ht="15.75" customHeight="1">
      <c r="C289" s="9"/>
    </row>
    <row r="290" ht="15.75" customHeight="1">
      <c r="C290" s="9"/>
    </row>
    <row r="291" ht="15.75" customHeight="1">
      <c r="C291" s="9"/>
    </row>
    <row r="292" ht="15.75" customHeight="1">
      <c r="C292" s="9"/>
    </row>
    <row r="293" ht="15.75" customHeight="1">
      <c r="C293" s="9"/>
    </row>
    <row r="294" ht="15.75" customHeight="1">
      <c r="C294" s="9"/>
    </row>
    <row r="295" ht="15.75" customHeight="1">
      <c r="C295" s="9"/>
    </row>
    <row r="296" ht="15.75" customHeight="1">
      <c r="C296" s="9"/>
    </row>
    <row r="297" ht="15.75" customHeight="1">
      <c r="C297" s="9"/>
    </row>
    <row r="298" ht="15.75" customHeight="1">
      <c r="C298" s="9"/>
    </row>
    <row r="299" ht="15.75" customHeight="1">
      <c r="C299" s="9"/>
    </row>
    <row r="300" ht="15.75" customHeight="1">
      <c r="C300" s="9"/>
    </row>
    <row r="301" ht="15.75" customHeight="1">
      <c r="C301" s="9"/>
    </row>
    <row r="302" ht="15.75" customHeight="1">
      <c r="C302" s="9"/>
    </row>
    <row r="303" ht="15.75" customHeight="1">
      <c r="C303" s="9"/>
    </row>
    <row r="304" ht="15.75" customHeight="1">
      <c r="C304" s="9"/>
    </row>
    <row r="305" ht="15.75" customHeight="1">
      <c r="C305" s="9"/>
    </row>
    <row r="306" ht="15.75" customHeight="1">
      <c r="C306" s="9"/>
    </row>
    <row r="307" ht="15.75" customHeight="1">
      <c r="C307" s="9"/>
    </row>
    <row r="308" ht="15.75" customHeight="1">
      <c r="C308" s="9"/>
    </row>
    <row r="309" ht="15.75" customHeight="1">
      <c r="C309" s="9"/>
    </row>
    <row r="310" ht="15.75" customHeight="1">
      <c r="C310" s="9"/>
    </row>
    <row r="311" ht="15.75" customHeight="1">
      <c r="C311" s="9"/>
    </row>
    <row r="312" ht="15.75" customHeight="1">
      <c r="C312" s="9"/>
    </row>
    <row r="313" ht="15.75" customHeight="1">
      <c r="C313" s="9"/>
    </row>
    <row r="314" ht="15.75" customHeight="1">
      <c r="C314" s="9"/>
    </row>
    <row r="315" ht="15.75" customHeight="1">
      <c r="C315" s="9"/>
    </row>
    <row r="316" ht="15.75" customHeight="1">
      <c r="C316" s="9"/>
    </row>
    <row r="317" ht="15.75" customHeight="1">
      <c r="C317" s="9"/>
    </row>
    <row r="318" ht="15.75" customHeight="1">
      <c r="C318" s="9"/>
    </row>
    <row r="319" ht="15.75" customHeight="1">
      <c r="C319" s="9"/>
    </row>
    <row r="320" ht="15.75" customHeight="1">
      <c r="C320" s="9"/>
    </row>
    <row r="321" ht="15.75" customHeight="1">
      <c r="C321" s="9"/>
    </row>
    <row r="322" ht="15.75" customHeight="1">
      <c r="C322" s="9"/>
    </row>
    <row r="323" ht="15.75" customHeight="1">
      <c r="C323" s="9"/>
    </row>
    <row r="324" ht="15.75" customHeight="1">
      <c r="C324" s="9"/>
    </row>
    <row r="325" ht="15.75" customHeight="1">
      <c r="C325" s="9"/>
    </row>
    <row r="326" ht="15.75" customHeight="1">
      <c r="C326" s="9"/>
    </row>
    <row r="327" ht="15.75" customHeight="1">
      <c r="C327" s="9"/>
    </row>
    <row r="328" ht="15.75" customHeight="1">
      <c r="C328" s="9"/>
    </row>
    <row r="329" ht="15.75" customHeight="1">
      <c r="C329" s="9"/>
    </row>
    <row r="330" ht="15.75" customHeight="1">
      <c r="C330" s="9"/>
    </row>
    <row r="331" ht="15.75" customHeight="1">
      <c r="C331" s="9"/>
    </row>
    <row r="332" ht="15.75" customHeight="1">
      <c r="C332" s="9"/>
    </row>
    <row r="333" ht="15.75" customHeight="1">
      <c r="C333" s="9"/>
    </row>
    <row r="334" ht="15.75" customHeight="1">
      <c r="C334" s="9"/>
    </row>
    <row r="335" ht="15.75" customHeight="1">
      <c r="C335" s="9"/>
    </row>
    <row r="336" ht="15.75" customHeight="1">
      <c r="C336" s="9"/>
    </row>
    <row r="337" ht="15.75" customHeight="1">
      <c r="C337" s="9"/>
    </row>
    <row r="338" ht="15.75" customHeight="1">
      <c r="C338" s="9"/>
    </row>
    <row r="339" ht="15.75" customHeight="1">
      <c r="C339" s="9"/>
    </row>
    <row r="340" ht="15.75" customHeight="1">
      <c r="C340" s="9"/>
    </row>
    <row r="341" ht="15.75" customHeight="1">
      <c r="C341" s="9"/>
    </row>
    <row r="342" ht="15.75" customHeight="1">
      <c r="C342" s="9"/>
    </row>
    <row r="343" ht="15.75" customHeight="1">
      <c r="C343" s="9"/>
    </row>
    <row r="344" ht="15.75" customHeight="1">
      <c r="C344" s="9"/>
    </row>
    <row r="345" ht="15.75" customHeight="1">
      <c r="C345" s="9"/>
    </row>
    <row r="346" ht="15.75" customHeight="1">
      <c r="C346" s="9"/>
    </row>
    <row r="347" ht="15.75" customHeight="1">
      <c r="C347" s="9"/>
    </row>
    <row r="348" ht="15.75" customHeight="1">
      <c r="C348" s="9"/>
    </row>
    <row r="349" ht="15.75" customHeight="1">
      <c r="C349" s="9"/>
    </row>
    <row r="350" ht="15.75" customHeight="1">
      <c r="C350" s="9"/>
    </row>
    <row r="351" ht="15.75" customHeight="1">
      <c r="C351" s="9"/>
    </row>
    <row r="352" ht="15.75" customHeight="1">
      <c r="C352" s="9"/>
    </row>
    <row r="353" ht="15.75" customHeight="1">
      <c r="C353" s="9"/>
    </row>
    <row r="354" ht="15.75" customHeight="1">
      <c r="C354" s="9"/>
    </row>
    <row r="355" ht="15.75" customHeight="1">
      <c r="C355" s="9"/>
    </row>
    <row r="356" ht="15.75" customHeight="1">
      <c r="C356" s="9"/>
    </row>
    <row r="357" ht="15.75" customHeight="1">
      <c r="C357" s="9"/>
    </row>
    <row r="358" ht="15.75" customHeight="1">
      <c r="C358" s="9"/>
    </row>
    <row r="359" ht="15.75" customHeight="1">
      <c r="C359" s="9"/>
    </row>
    <row r="360" ht="15.75" customHeight="1">
      <c r="C360" s="9"/>
    </row>
    <row r="361" ht="15.75" customHeight="1">
      <c r="C361" s="9"/>
    </row>
    <row r="362" ht="15.75" customHeight="1">
      <c r="C362" s="9"/>
    </row>
    <row r="363" ht="15.75" customHeight="1">
      <c r="C363" s="9"/>
    </row>
    <row r="364" ht="15.75" customHeight="1">
      <c r="C364" s="9"/>
    </row>
    <row r="365" ht="15.75" customHeight="1">
      <c r="C365" s="9"/>
    </row>
    <row r="366" ht="15.75" customHeight="1">
      <c r="C366" s="9"/>
    </row>
    <row r="367" ht="15.75" customHeight="1">
      <c r="C367" s="9"/>
    </row>
    <row r="368" ht="15.75" customHeight="1">
      <c r="C368" s="9"/>
    </row>
    <row r="369" ht="15.75" customHeight="1">
      <c r="C369" s="9"/>
    </row>
    <row r="370" ht="15.75" customHeight="1">
      <c r="C370" s="9"/>
    </row>
    <row r="371" ht="15.75" customHeight="1">
      <c r="C371" s="9"/>
    </row>
    <row r="372" ht="15.75" customHeight="1">
      <c r="C372" s="9"/>
    </row>
    <row r="373" ht="15.75" customHeight="1">
      <c r="C373" s="9"/>
    </row>
    <row r="374" ht="15.75" customHeight="1">
      <c r="C374" s="9"/>
    </row>
    <row r="375" ht="15.75" customHeight="1">
      <c r="C375" s="9"/>
    </row>
    <row r="376" ht="15.75" customHeight="1">
      <c r="C376" s="9"/>
    </row>
    <row r="377" ht="15.75" customHeight="1">
      <c r="C377" s="9"/>
    </row>
    <row r="378" ht="15.75" customHeight="1">
      <c r="C378" s="9"/>
    </row>
    <row r="379" ht="15.75" customHeight="1">
      <c r="C379" s="9"/>
    </row>
    <row r="380" ht="15.75" customHeight="1">
      <c r="C380" s="9"/>
    </row>
    <row r="381" ht="15.75" customHeight="1">
      <c r="C381" s="9"/>
    </row>
    <row r="382" ht="15.75" customHeight="1">
      <c r="C382" s="9"/>
    </row>
    <row r="383" ht="15.75" customHeight="1">
      <c r="C383" s="9"/>
    </row>
    <row r="384" ht="15.75" customHeight="1">
      <c r="C384" s="9"/>
    </row>
    <row r="385" ht="15.75" customHeight="1">
      <c r="C385" s="9"/>
    </row>
    <row r="386" ht="15.75" customHeight="1">
      <c r="C386" s="9"/>
    </row>
    <row r="387" ht="15.75" customHeight="1">
      <c r="C387" s="9"/>
    </row>
    <row r="388" ht="15.75" customHeight="1">
      <c r="C388" s="9"/>
    </row>
    <row r="389" ht="15.75" customHeight="1">
      <c r="C389" s="9"/>
    </row>
    <row r="390" ht="15.75" customHeight="1">
      <c r="C390" s="9"/>
    </row>
    <row r="391" ht="15.75" customHeight="1">
      <c r="C391" s="9"/>
    </row>
    <row r="392" ht="15.75" customHeight="1">
      <c r="C392" s="9"/>
    </row>
    <row r="393" ht="15.75" customHeight="1">
      <c r="C393" s="9"/>
    </row>
    <row r="394" ht="15.75" customHeight="1">
      <c r="C394" s="9"/>
    </row>
    <row r="395" ht="15.75" customHeight="1">
      <c r="C395" s="9"/>
    </row>
    <row r="396" ht="15.75" customHeight="1">
      <c r="C396" s="9"/>
    </row>
    <row r="397" ht="15.75" customHeight="1">
      <c r="C397" s="9"/>
    </row>
    <row r="398" ht="15.75" customHeight="1">
      <c r="C398" s="9"/>
    </row>
    <row r="399" ht="15.75" customHeight="1">
      <c r="C399" s="9"/>
    </row>
    <row r="400" ht="15.75" customHeight="1">
      <c r="C400" s="9"/>
    </row>
    <row r="401" ht="15.75" customHeight="1">
      <c r="C401" s="9"/>
    </row>
    <row r="402" ht="15.75" customHeight="1">
      <c r="C402" s="9"/>
    </row>
    <row r="403" ht="15.75" customHeight="1">
      <c r="C403" s="9"/>
    </row>
    <row r="404" ht="15.75" customHeight="1">
      <c r="C404" s="9"/>
    </row>
    <row r="405" ht="15.75" customHeight="1">
      <c r="C405" s="9"/>
    </row>
    <row r="406" ht="15.75" customHeight="1">
      <c r="C406" s="9"/>
    </row>
    <row r="407" ht="15.75" customHeight="1">
      <c r="C407" s="9"/>
    </row>
    <row r="408" ht="15.75" customHeight="1">
      <c r="C408" s="9"/>
    </row>
    <row r="409" ht="15.75" customHeight="1">
      <c r="C409" s="9"/>
    </row>
    <row r="410" ht="15.75" customHeight="1">
      <c r="C410" s="9"/>
    </row>
    <row r="411" ht="15.75" customHeight="1">
      <c r="C411" s="9"/>
    </row>
    <row r="412" ht="15.75" customHeight="1">
      <c r="C412" s="9"/>
    </row>
    <row r="413" ht="15.75" customHeight="1">
      <c r="C413" s="9"/>
    </row>
    <row r="414" ht="15.75" customHeight="1">
      <c r="C414" s="9"/>
    </row>
    <row r="415" ht="15.75" customHeight="1">
      <c r="C415" s="9"/>
    </row>
    <row r="416" ht="15.75" customHeight="1">
      <c r="C416" s="9"/>
    </row>
    <row r="417" ht="15.75" customHeight="1">
      <c r="C417" s="9"/>
    </row>
    <row r="418" ht="15.75" customHeight="1">
      <c r="C418" s="9"/>
    </row>
    <row r="419" ht="15.75" customHeight="1">
      <c r="C419" s="9"/>
    </row>
    <row r="420" ht="15.75" customHeight="1">
      <c r="C420" s="9"/>
    </row>
    <row r="421" ht="15.75" customHeight="1">
      <c r="C421" s="9"/>
    </row>
    <row r="422" ht="15.75" customHeight="1">
      <c r="C422" s="9"/>
    </row>
    <row r="423" ht="15.75" customHeight="1">
      <c r="C423" s="9"/>
    </row>
    <row r="424" ht="15.75" customHeight="1">
      <c r="C424" s="9"/>
    </row>
    <row r="425" ht="15.75" customHeight="1">
      <c r="C425" s="9"/>
    </row>
    <row r="426" ht="15.75" customHeight="1">
      <c r="C426" s="9"/>
    </row>
    <row r="427" ht="15.75" customHeight="1">
      <c r="C427" s="9"/>
    </row>
    <row r="428" ht="15.75" customHeight="1">
      <c r="C428" s="9"/>
    </row>
    <row r="429" ht="15.75" customHeight="1">
      <c r="C429" s="9"/>
    </row>
    <row r="430" ht="15.75" customHeight="1">
      <c r="C430" s="9"/>
    </row>
    <row r="431" ht="15.75" customHeight="1">
      <c r="C431" s="9"/>
    </row>
    <row r="432" ht="15.75" customHeight="1">
      <c r="C432" s="9"/>
    </row>
    <row r="433" ht="15.75" customHeight="1">
      <c r="C433" s="9"/>
    </row>
    <row r="434" ht="15.75" customHeight="1">
      <c r="C434" s="9"/>
    </row>
    <row r="435" ht="15.75" customHeight="1">
      <c r="C435" s="9"/>
    </row>
    <row r="436" ht="15.75" customHeight="1">
      <c r="C436" s="9"/>
    </row>
    <row r="437" ht="15.75" customHeight="1">
      <c r="C437" s="9"/>
    </row>
    <row r="438" ht="15.75" customHeight="1">
      <c r="C438" s="9"/>
    </row>
    <row r="439" ht="15.75" customHeight="1">
      <c r="C439" s="9"/>
    </row>
    <row r="440" ht="15.75" customHeight="1">
      <c r="C440" s="9"/>
    </row>
    <row r="441" ht="15.75" customHeight="1">
      <c r="C441" s="9"/>
    </row>
    <row r="442" ht="15.75" customHeight="1">
      <c r="C442" s="9"/>
    </row>
    <row r="443" ht="15.75" customHeight="1">
      <c r="C443" s="9"/>
    </row>
    <row r="444" ht="15.75" customHeight="1">
      <c r="C444" s="9"/>
    </row>
    <row r="445" ht="15.75" customHeight="1">
      <c r="C445" s="9"/>
    </row>
    <row r="446" ht="15.75" customHeight="1">
      <c r="C446" s="9"/>
    </row>
    <row r="447" ht="15.75" customHeight="1">
      <c r="C447" s="9"/>
    </row>
    <row r="448" ht="15.75" customHeight="1">
      <c r="C448" s="9"/>
    </row>
    <row r="449" ht="15.75" customHeight="1">
      <c r="C449" s="9"/>
    </row>
    <row r="450" ht="15.75" customHeight="1">
      <c r="C450" s="9"/>
    </row>
    <row r="451" ht="15.75" customHeight="1">
      <c r="C451" s="9"/>
    </row>
    <row r="452" ht="15.75" customHeight="1">
      <c r="C452" s="9"/>
    </row>
    <row r="453" ht="15.75" customHeight="1">
      <c r="C453" s="9"/>
    </row>
    <row r="454" ht="15.75" customHeight="1">
      <c r="C454" s="9"/>
    </row>
    <row r="455" ht="15.75" customHeight="1">
      <c r="C455" s="9"/>
    </row>
    <row r="456" ht="15.75" customHeight="1">
      <c r="C456" s="9"/>
    </row>
    <row r="457" ht="15.75" customHeight="1">
      <c r="C457" s="9"/>
    </row>
    <row r="458" ht="15.75" customHeight="1">
      <c r="C458" s="9"/>
    </row>
    <row r="459" ht="15.75" customHeight="1">
      <c r="C459" s="9"/>
    </row>
    <row r="460" ht="15.75" customHeight="1">
      <c r="C460" s="9"/>
    </row>
    <row r="461" ht="15.75" customHeight="1">
      <c r="C461" s="9"/>
    </row>
    <row r="462" ht="15.75" customHeight="1">
      <c r="C462" s="9"/>
    </row>
    <row r="463" ht="15.75" customHeight="1">
      <c r="C463" s="9"/>
    </row>
    <row r="464" ht="15.75" customHeight="1">
      <c r="C464" s="9"/>
    </row>
    <row r="465" ht="15.75" customHeight="1">
      <c r="C465" s="9"/>
    </row>
    <row r="466" ht="15.75" customHeight="1">
      <c r="C466" s="9"/>
    </row>
    <row r="467" ht="15.75" customHeight="1">
      <c r="C467" s="9"/>
    </row>
    <row r="468" ht="15.75" customHeight="1">
      <c r="C468" s="9"/>
    </row>
    <row r="469" ht="15.75" customHeight="1">
      <c r="C469" s="9"/>
    </row>
    <row r="470" ht="15.75" customHeight="1">
      <c r="C470" s="9"/>
    </row>
    <row r="471" ht="15.75" customHeight="1">
      <c r="C471" s="9"/>
    </row>
    <row r="472" ht="15.75" customHeight="1">
      <c r="C472" s="9"/>
    </row>
    <row r="473" ht="15.75" customHeight="1">
      <c r="C473" s="9"/>
    </row>
    <row r="474" ht="15.75" customHeight="1">
      <c r="C474" s="9"/>
    </row>
    <row r="475" ht="15.75" customHeight="1">
      <c r="C475" s="9"/>
    </row>
    <row r="476" ht="15.75" customHeight="1">
      <c r="C476" s="9"/>
    </row>
    <row r="477" ht="15.75" customHeight="1">
      <c r="C477" s="9"/>
    </row>
    <row r="478" ht="15.75" customHeight="1">
      <c r="C478" s="9"/>
    </row>
    <row r="479" ht="15.75" customHeight="1">
      <c r="C479" s="9"/>
    </row>
    <row r="480" ht="15.75" customHeight="1">
      <c r="C480" s="9"/>
    </row>
    <row r="481" ht="15.75" customHeight="1">
      <c r="C481" s="9"/>
    </row>
    <row r="482" ht="15.75" customHeight="1">
      <c r="C482" s="9"/>
    </row>
    <row r="483" ht="15.75" customHeight="1">
      <c r="C483" s="9"/>
    </row>
    <row r="484" ht="15.75" customHeight="1">
      <c r="C484" s="9"/>
    </row>
    <row r="485" ht="15.75" customHeight="1">
      <c r="C485" s="9"/>
    </row>
    <row r="486" ht="15.75" customHeight="1">
      <c r="C486" s="9"/>
    </row>
    <row r="487" ht="15.75" customHeight="1">
      <c r="C487" s="9"/>
    </row>
    <row r="488" ht="15.75" customHeight="1">
      <c r="C488" s="9"/>
    </row>
    <row r="489" ht="15.75" customHeight="1">
      <c r="C489" s="9"/>
    </row>
    <row r="490" ht="15.75" customHeight="1">
      <c r="C490" s="9"/>
    </row>
    <row r="491" ht="15.75" customHeight="1">
      <c r="C491" s="9"/>
    </row>
    <row r="492" ht="15.75" customHeight="1">
      <c r="C492" s="9"/>
    </row>
    <row r="493" ht="15.75" customHeight="1">
      <c r="C493" s="9"/>
    </row>
    <row r="494" ht="15.75" customHeight="1">
      <c r="C494" s="9"/>
    </row>
    <row r="495" ht="15.75" customHeight="1">
      <c r="C495" s="9"/>
    </row>
    <row r="496" ht="15.75" customHeight="1">
      <c r="C496" s="9"/>
    </row>
    <row r="497" ht="15.75" customHeight="1">
      <c r="C497" s="9"/>
    </row>
    <row r="498" ht="15.75" customHeight="1">
      <c r="C498" s="9"/>
    </row>
    <row r="499" ht="15.75" customHeight="1">
      <c r="C499" s="9"/>
    </row>
    <row r="500" ht="15.75" customHeight="1">
      <c r="C500" s="9"/>
    </row>
    <row r="501" ht="15.75" customHeight="1">
      <c r="C501" s="9"/>
    </row>
    <row r="502" ht="15.75" customHeight="1">
      <c r="C502" s="9"/>
    </row>
    <row r="503" ht="15.75" customHeight="1">
      <c r="C503" s="9"/>
    </row>
    <row r="504" ht="15.75" customHeight="1">
      <c r="C504" s="9"/>
    </row>
    <row r="505" ht="15.75" customHeight="1">
      <c r="C505" s="9"/>
    </row>
    <row r="506" ht="15.75" customHeight="1">
      <c r="C506" s="9"/>
    </row>
    <row r="507" ht="15.75" customHeight="1">
      <c r="C507" s="9"/>
    </row>
    <row r="508" ht="15.75" customHeight="1">
      <c r="C508" s="9"/>
    </row>
    <row r="509" ht="15.75" customHeight="1">
      <c r="C509" s="9"/>
    </row>
    <row r="510" ht="15.75" customHeight="1">
      <c r="C510" s="9"/>
    </row>
    <row r="511" ht="15.75" customHeight="1">
      <c r="C511" s="9"/>
    </row>
    <row r="512" ht="15.75" customHeight="1">
      <c r="C512" s="9"/>
    </row>
    <row r="513" ht="15.75" customHeight="1">
      <c r="C513" s="9"/>
    </row>
    <row r="514" ht="15.75" customHeight="1">
      <c r="C514" s="9"/>
    </row>
    <row r="515" ht="15.75" customHeight="1">
      <c r="C515" s="9"/>
    </row>
    <row r="516" ht="15.75" customHeight="1">
      <c r="C516" s="9"/>
    </row>
    <row r="517" ht="15.75" customHeight="1">
      <c r="C517" s="9"/>
    </row>
    <row r="518" ht="15.75" customHeight="1">
      <c r="C518" s="9"/>
    </row>
    <row r="519" ht="15.75" customHeight="1">
      <c r="C519" s="9"/>
    </row>
    <row r="520" ht="15.75" customHeight="1">
      <c r="C520" s="9"/>
    </row>
    <row r="521" ht="15.75" customHeight="1">
      <c r="C521" s="9"/>
    </row>
    <row r="522" ht="15.75" customHeight="1">
      <c r="C522" s="9"/>
    </row>
    <row r="523" ht="15.75" customHeight="1">
      <c r="C523" s="9"/>
    </row>
    <row r="524" ht="15.75" customHeight="1">
      <c r="C524" s="9"/>
    </row>
    <row r="525" ht="15.75" customHeight="1">
      <c r="C525" s="9"/>
    </row>
    <row r="526" ht="15.75" customHeight="1">
      <c r="C526" s="9"/>
    </row>
    <row r="527" ht="15.75" customHeight="1">
      <c r="C527" s="9"/>
    </row>
    <row r="528" ht="15.75" customHeight="1">
      <c r="C528" s="9"/>
    </row>
    <row r="529" ht="15.75" customHeight="1">
      <c r="C529" s="9"/>
    </row>
    <row r="530" ht="15.75" customHeight="1">
      <c r="C530" s="9"/>
    </row>
    <row r="531" ht="15.75" customHeight="1">
      <c r="C531" s="9"/>
    </row>
    <row r="532" ht="15.75" customHeight="1">
      <c r="C532" s="9"/>
    </row>
    <row r="533" ht="15.75" customHeight="1">
      <c r="C533" s="9"/>
    </row>
    <row r="534" ht="15.75" customHeight="1">
      <c r="C534" s="9"/>
    </row>
    <row r="535" ht="15.75" customHeight="1">
      <c r="C535" s="9"/>
    </row>
    <row r="536" ht="15.75" customHeight="1">
      <c r="C536" s="9"/>
    </row>
    <row r="537" ht="15.75" customHeight="1">
      <c r="C537" s="9"/>
    </row>
    <row r="538" ht="15.75" customHeight="1">
      <c r="C538" s="9"/>
    </row>
    <row r="539" ht="15.75" customHeight="1">
      <c r="C539" s="9"/>
    </row>
    <row r="540" ht="15.75" customHeight="1">
      <c r="C540" s="9"/>
    </row>
    <row r="541" ht="15.75" customHeight="1">
      <c r="C541" s="9"/>
    </row>
    <row r="542" ht="15.75" customHeight="1">
      <c r="C542" s="9"/>
    </row>
    <row r="543" ht="15.75" customHeight="1">
      <c r="C543" s="9"/>
    </row>
    <row r="544" ht="15.75" customHeight="1">
      <c r="C544" s="9"/>
    </row>
    <row r="545" ht="15.75" customHeight="1">
      <c r="C545" s="9"/>
    </row>
    <row r="546" ht="15.75" customHeight="1">
      <c r="C546" s="9"/>
    </row>
    <row r="547" ht="15.75" customHeight="1">
      <c r="C547" s="9"/>
    </row>
    <row r="548" ht="15.75" customHeight="1">
      <c r="C548" s="9"/>
    </row>
    <row r="549" ht="15.75" customHeight="1">
      <c r="C549" s="9"/>
    </row>
    <row r="550" ht="15.75" customHeight="1">
      <c r="C550" s="9"/>
    </row>
    <row r="551" ht="15.75" customHeight="1">
      <c r="C551" s="9"/>
    </row>
    <row r="552" ht="15.75" customHeight="1">
      <c r="C552" s="9"/>
    </row>
    <row r="553" ht="15.75" customHeight="1">
      <c r="C553" s="9"/>
    </row>
    <row r="554" ht="15.75" customHeight="1">
      <c r="C554" s="9"/>
    </row>
    <row r="555" ht="15.75" customHeight="1">
      <c r="C555" s="9"/>
    </row>
    <row r="556" ht="15.75" customHeight="1">
      <c r="C556" s="9"/>
    </row>
    <row r="557" ht="15.75" customHeight="1">
      <c r="C557" s="9"/>
    </row>
    <row r="558" ht="15.75" customHeight="1">
      <c r="C558" s="9"/>
    </row>
    <row r="559" ht="15.75" customHeight="1">
      <c r="C559" s="9"/>
    </row>
    <row r="560" ht="15.75" customHeight="1">
      <c r="C560" s="9"/>
    </row>
    <row r="561" ht="15.75" customHeight="1">
      <c r="C561" s="9"/>
    </row>
    <row r="562" ht="15.75" customHeight="1">
      <c r="C562" s="9"/>
    </row>
    <row r="563" ht="15.75" customHeight="1">
      <c r="C563" s="9"/>
    </row>
    <row r="564" ht="15.75" customHeight="1">
      <c r="C564" s="9"/>
    </row>
    <row r="565" ht="15.75" customHeight="1">
      <c r="C565" s="9"/>
    </row>
    <row r="566" ht="15.75" customHeight="1">
      <c r="C566" s="9"/>
    </row>
    <row r="567" ht="15.75" customHeight="1">
      <c r="C567" s="9"/>
    </row>
    <row r="568" ht="15.75" customHeight="1">
      <c r="C568" s="9"/>
    </row>
    <row r="569" ht="15.75" customHeight="1">
      <c r="C569" s="9"/>
    </row>
    <row r="570" ht="15.75" customHeight="1">
      <c r="C570" s="9"/>
    </row>
    <row r="571" ht="15.75" customHeight="1">
      <c r="C571" s="9"/>
    </row>
    <row r="572" ht="15.75" customHeight="1">
      <c r="C572" s="9"/>
    </row>
    <row r="573" ht="15.75" customHeight="1">
      <c r="C573" s="9"/>
    </row>
    <row r="574" ht="15.75" customHeight="1">
      <c r="C574" s="9"/>
    </row>
    <row r="575" ht="15.75" customHeight="1">
      <c r="C575" s="9"/>
    </row>
    <row r="576" ht="15.75" customHeight="1">
      <c r="C576" s="9"/>
    </row>
    <row r="577" ht="15.75" customHeight="1">
      <c r="C577" s="9"/>
    </row>
    <row r="578" ht="15.75" customHeight="1">
      <c r="C578" s="9"/>
    </row>
    <row r="579" ht="15.75" customHeight="1">
      <c r="C579" s="9"/>
    </row>
    <row r="580" ht="15.75" customHeight="1">
      <c r="C580" s="9"/>
    </row>
    <row r="581" ht="15.75" customHeight="1">
      <c r="C581" s="9"/>
    </row>
    <row r="582" ht="15.75" customHeight="1">
      <c r="C582" s="9"/>
    </row>
    <row r="583" ht="15.75" customHeight="1">
      <c r="C583" s="9"/>
    </row>
    <row r="584" ht="15.75" customHeight="1">
      <c r="C584" s="9"/>
    </row>
    <row r="585" ht="15.75" customHeight="1">
      <c r="C585" s="9"/>
    </row>
    <row r="586" ht="15.75" customHeight="1">
      <c r="C586" s="9"/>
    </row>
    <row r="587" ht="15.75" customHeight="1">
      <c r="C587" s="9"/>
    </row>
    <row r="588" ht="15.75" customHeight="1">
      <c r="C588" s="9"/>
    </row>
    <row r="589" ht="15.75" customHeight="1">
      <c r="C589" s="9"/>
    </row>
    <row r="590" ht="15.75" customHeight="1">
      <c r="C590" s="9"/>
    </row>
    <row r="591" ht="15.75" customHeight="1">
      <c r="C591" s="9"/>
    </row>
    <row r="592" ht="15.75" customHeight="1">
      <c r="C592" s="9"/>
    </row>
    <row r="593" ht="15.75" customHeight="1">
      <c r="C593" s="9"/>
    </row>
    <row r="594" ht="15.75" customHeight="1">
      <c r="C594" s="9"/>
    </row>
    <row r="595" ht="15.75" customHeight="1">
      <c r="C595" s="9"/>
    </row>
    <row r="596" ht="15.75" customHeight="1">
      <c r="C596" s="9"/>
    </row>
    <row r="597" ht="15.75" customHeight="1">
      <c r="C597" s="9"/>
    </row>
    <row r="598" ht="15.75" customHeight="1">
      <c r="C598" s="9"/>
    </row>
    <row r="599" ht="15.75" customHeight="1">
      <c r="C599" s="9"/>
    </row>
    <row r="600" ht="15.75" customHeight="1">
      <c r="C600" s="9"/>
    </row>
    <row r="601" ht="15.75" customHeight="1">
      <c r="C601" s="9"/>
    </row>
    <row r="602" ht="15.75" customHeight="1">
      <c r="C602" s="9"/>
    </row>
    <row r="603" ht="15.75" customHeight="1">
      <c r="C603" s="9"/>
    </row>
    <row r="604" ht="15.75" customHeight="1">
      <c r="C604" s="9"/>
    </row>
    <row r="605" ht="15.75" customHeight="1">
      <c r="C605" s="9"/>
    </row>
    <row r="606" ht="15.75" customHeight="1">
      <c r="C606" s="9"/>
    </row>
    <row r="607" ht="15.75" customHeight="1">
      <c r="C607" s="9"/>
    </row>
    <row r="608" ht="15.75" customHeight="1">
      <c r="C608" s="9"/>
    </row>
    <row r="609" ht="15.75" customHeight="1">
      <c r="C609" s="9"/>
    </row>
    <row r="610" ht="15.75" customHeight="1">
      <c r="C610" s="9"/>
    </row>
    <row r="611" ht="15.75" customHeight="1">
      <c r="C611" s="9"/>
    </row>
    <row r="612" ht="15.75" customHeight="1">
      <c r="C612" s="9"/>
    </row>
    <row r="613" ht="15.75" customHeight="1">
      <c r="C613" s="9"/>
    </row>
    <row r="614" ht="15.75" customHeight="1">
      <c r="C614" s="9"/>
    </row>
    <row r="615" ht="15.75" customHeight="1">
      <c r="C615" s="9"/>
    </row>
    <row r="616" ht="15.75" customHeight="1">
      <c r="C616" s="9"/>
    </row>
    <row r="617" ht="15.75" customHeight="1">
      <c r="C617" s="9"/>
    </row>
    <row r="618" ht="15.75" customHeight="1">
      <c r="C618" s="9"/>
    </row>
    <row r="619" ht="15.75" customHeight="1">
      <c r="C619" s="9"/>
    </row>
    <row r="620" ht="15.75" customHeight="1">
      <c r="C620" s="9"/>
    </row>
    <row r="621" ht="15.75" customHeight="1">
      <c r="C621" s="9"/>
    </row>
    <row r="622" ht="15.75" customHeight="1">
      <c r="C622" s="9"/>
    </row>
    <row r="623" ht="15.75" customHeight="1">
      <c r="C623" s="9"/>
    </row>
    <row r="624" ht="15.75" customHeight="1">
      <c r="C624" s="9"/>
    </row>
    <row r="625" ht="15.75" customHeight="1">
      <c r="C625" s="9"/>
    </row>
    <row r="626" ht="15.75" customHeight="1">
      <c r="C626" s="9"/>
    </row>
    <row r="627" ht="15.75" customHeight="1">
      <c r="C627" s="9"/>
    </row>
    <row r="628" ht="15.75" customHeight="1">
      <c r="C628" s="9"/>
    </row>
    <row r="629" ht="15.75" customHeight="1">
      <c r="C629" s="9"/>
    </row>
    <row r="630" ht="15.75" customHeight="1">
      <c r="C630" s="9"/>
    </row>
    <row r="631" ht="15.75" customHeight="1">
      <c r="C631" s="9"/>
    </row>
    <row r="632" ht="15.75" customHeight="1">
      <c r="C632" s="9"/>
    </row>
    <row r="633" ht="15.75" customHeight="1">
      <c r="C633" s="9"/>
    </row>
    <row r="634" ht="15.75" customHeight="1">
      <c r="C634" s="9"/>
    </row>
    <row r="635" ht="15.75" customHeight="1">
      <c r="C635" s="9"/>
    </row>
    <row r="636" ht="15.75" customHeight="1">
      <c r="C636" s="9"/>
    </row>
    <row r="637" ht="15.75" customHeight="1">
      <c r="C637" s="9"/>
    </row>
    <row r="638" ht="15.75" customHeight="1">
      <c r="C638" s="9"/>
    </row>
    <row r="639" ht="15.75" customHeight="1">
      <c r="C639" s="9"/>
    </row>
    <row r="640" ht="15.75" customHeight="1">
      <c r="C640" s="9"/>
    </row>
    <row r="641" ht="15.75" customHeight="1">
      <c r="C641" s="9"/>
    </row>
    <row r="642" ht="15.75" customHeight="1">
      <c r="C642" s="9"/>
    </row>
    <row r="643" ht="15.75" customHeight="1">
      <c r="C643" s="9"/>
    </row>
    <row r="644" ht="15.75" customHeight="1">
      <c r="C644" s="9"/>
    </row>
    <row r="645" ht="15.75" customHeight="1">
      <c r="C645" s="9"/>
    </row>
    <row r="646" ht="15.75" customHeight="1">
      <c r="C646" s="9"/>
    </row>
    <row r="647" ht="15.75" customHeight="1">
      <c r="C647" s="9"/>
    </row>
    <row r="648" ht="15.75" customHeight="1">
      <c r="C648" s="9"/>
    </row>
    <row r="649" ht="15.75" customHeight="1">
      <c r="C649" s="9"/>
    </row>
    <row r="650" ht="15.75" customHeight="1">
      <c r="C650" s="9"/>
    </row>
    <row r="651" ht="15.75" customHeight="1">
      <c r="C651" s="9"/>
    </row>
    <row r="652" ht="15.75" customHeight="1">
      <c r="C652" s="9"/>
    </row>
    <row r="653" ht="15.75" customHeight="1">
      <c r="C653" s="9"/>
    </row>
    <row r="654" ht="15.75" customHeight="1">
      <c r="C654" s="9"/>
    </row>
    <row r="655" ht="15.75" customHeight="1">
      <c r="C655" s="9"/>
    </row>
    <row r="656" ht="15.75" customHeight="1">
      <c r="C656" s="9"/>
    </row>
    <row r="657" ht="15.75" customHeight="1">
      <c r="C657" s="9"/>
    </row>
    <row r="658" ht="15.75" customHeight="1">
      <c r="C658" s="9"/>
    </row>
    <row r="659" ht="15.75" customHeight="1">
      <c r="C659" s="9"/>
    </row>
    <row r="660" ht="15.75" customHeight="1">
      <c r="C660" s="9"/>
    </row>
    <row r="661" ht="15.75" customHeight="1">
      <c r="C661" s="9"/>
    </row>
    <row r="662" ht="15.75" customHeight="1">
      <c r="C662" s="9"/>
    </row>
    <row r="663" ht="15.75" customHeight="1">
      <c r="C663" s="9"/>
    </row>
    <row r="664" ht="15.75" customHeight="1">
      <c r="C664" s="9"/>
    </row>
    <row r="665" ht="15.75" customHeight="1">
      <c r="C665" s="9"/>
    </row>
    <row r="666" ht="15.75" customHeight="1">
      <c r="C666" s="9"/>
    </row>
    <row r="667" ht="15.75" customHeight="1">
      <c r="C667" s="9"/>
    </row>
    <row r="668" ht="15.75" customHeight="1">
      <c r="C668" s="9"/>
    </row>
    <row r="669" ht="15.75" customHeight="1">
      <c r="C669" s="9"/>
    </row>
    <row r="670" ht="15.75" customHeight="1">
      <c r="C670" s="9"/>
    </row>
    <row r="671" ht="15.75" customHeight="1">
      <c r="C671" s="9"/>
    </row>
    <row r="672" ht="15.75" customHeight="1">
      <c r="C672" s="9"/>
    </row>
    <row r="673" ht="15.75" customHeight="1">
      <c r="C673" s="9"/>
    </row>
    <row r="674" ht="15.75" customHeight="1">
      <c r="C674" s="9"/>
    </row>
    <row r="675" ht="15.75" customHeight="1">
      <c r="C675" s="9"/>
    </row>
    <row r="676" ht="15.75" customHeight="1">
      <c r="C676" s="9"/>
    </row>
    <row r="677" ht="15.75" customHeight="1">
      <c r="C677" s="9"/>
    </row>
    <row r="678" ht="15.75" customHeight="1">
      <c r="C678" s="9"/>
    </row>
    <row r="679" ht="15.75" customHeight="1">
      <c r="C679" s="9"/>
    </row>
    <row r="680" ht="15.75" customHeight="1">
      <c r="C680" s="9"/>
    </row>
    <row r="681" ht="15.75" customHeight="1">
      <c r="C681" s="9"/>
    </row>
    <row r="682" ht="15.75" customHeight="1">
      <c r="C682" s="9"/>
    </row>
    <row r="683" ht="15.75" customHeight="1">
      <c r="C683" s="9"/>
    </row>
    <row r="684" ht="15.75" customHeight="1">
      <c r="C684" s="9"/>
    </row>
    <row r="685" ht="15.75" customHeight="1">
      <c r="C685" s="9"/>
    </row>
    <row r="686" ht="15.75" customHeight="1">
      <c r="C686" s="9"/>
    </row>
    <row r="687" ht="15.75" customHeight="1">
      <c r="C687" s="9"/>
    </row>
    <row r="688" ht="15.75" customHeight="1">
      <c r="C688" s="9"/>
    </row>
    <row r="689" ht="15.75" customHeight="1">
      <c r="C689" s="9"/>
    </row>
    <row r="690" ht="15.75" customHeight="1">
      <c r="C690" s="9"/>
    </row>
    <row r="691" ht="15.75" customHeight="1">
      <c r="C691" s="9"/>
    </row>
    <row r="692" ht="15.75" customHeight="1">
      <c r="C692" s="9"/>
    </row>
    <row r="693" ht="15.75" customHeight="1">
      <c r="C693" s="9"/>
    </row>
    <row r="694" ht="15.75" customHeight="1">
      <c r="C694" s="9"/>
    </row>
    <row r="695" ht="15.75" customHeight="1">
      <c r="C695" s="9"/>
    </row>
    <row r="696" ht="15.75" customHeight="1">
      <c r="C696" s="9"/>
    </row>
    <row r="697" ht="15.75" customHeight="1">
      <c r="C697" s="9"/>
    </row>
    <row r="698" ht="15.75" customHeight="1">
      <c r="C698" s="9"/>
    </row>
    <row r="699" ht="15.75" customHeight="1">
      <c r="C699" s="9"/>
    </row>
    <row r="700" ht="15.75" customHeight="1">
      <c r="C700" s="9"/>
    </row>
    <row r="701" ht="15.75" customHeight="1">
      <c r="C701" s="9"/>
    </row>
    <row r="702" ht="15.75" customHeight="1">
      <c r="C702" s="9"/>
    </row>
    <row r="703" ht="15.75" customHeight="1">
      <c r="C703" s="9"/>
    </row>
    <row r="704" ht="15.75" customHeight="1">
      <c r="C704" s="9"/>
    </row>
    <row r="705" ht="15.75" customHeight="1">
      <c r="C705" s="9"/>
    </row>
    <row r="706" ht="15.75" customHeight="1">
      <c r="C706" s="9"/>
    </row>
    <row r="707" ht="15.75" customHeight="1">
      <c r="C707" s="9"/>
    </row>
    <row r="708" ht="15.75" customHeight="1">
      <c r="C708" s="9"/>
    </row>
    <row r="709" ht="15.75" customHeight="1">
      <c r="C709" s="9"/>
    </row>
    <row r="710" ht="15.75" customHeight="1">
      <c r="C710" s="9"/>
    </row>
    <row r="711" ht="15.75" customHeight="1">
      <c r="C711" s="9"/>
    </row>
    <row r="712" ht="15.75" customHeight="1">
      <c r="C712" s="9"/>
    </row>
    <row r="713" ht="15.75" customHeight="1">
      <c r="C713" s="9"/>
    </row>
    <row r="714" ht="15.75" customHeight="1">
      <c r="C714" s="9"/>
    </row>
    <row r="715" ht="15.75" customHeight="1">
      <c r="C715" s="9"/>
    </row>
    <row r="716" ht="15.75" customHeight="1">
      <c r="C716" s="9"/>
    </row>
    <row r="717" ht="15.75" customHeight="1">
      <c r="C717" s="9"/>
    </row>
    <row r="718" ht="15.75" customHeight="1">
      <c r="C718" s="9"/>
    </row>
    <row r="719" ht="15.75" customHeight="1">
      <c r="C719" s="9"/>
    </row>
    <row r="720" ht="15.75" customHeight="1">
      <c r="C720" s="9"/>
    </row>
    <row r="721" ht="15.75" customHeight="1">
      <c r="C721" s="9"/>
    </row>
    <row r="722" ht="15.75" customHeight="1">
      <c r="C722" s="9"/>
    </row>
    <row r="723" ht="15.75" customHeight="1">
      <c r="C723" s="9"/>
    </row>
    <row r="724" ht="15.75" customHeight="1">
      <c r="C724" s="9"/>
    </row>
    <row r="725" ht="15.75" customHeight="1">
      <c r="C725" s="9"/>
    </row>
    <row r="726" ht="15.75" customHeight="1">
      <c r="C726" s="9"/>
    </row>
    <row r="727" ht="15.75" customHeight="1">
      <c r="C727" s="9"/>
    </row>
    <row r="728" ht="15.75" customHeight="1">
      <c r="C728" s="9"/>
    </row>
    <row r="729" ht="15.75" customHeight="1">
      <c r="C729" s="9"/>
    </row>
    <row r="730" ht="15.75" customHeight="1">
      <c r="C730" s="9"/>
    </row>
    <row r="731" ht="15.75" customHeight="1">
      <c r="C731" s="9"/>
    </row>
    <row r="732" ht="15.75" customHeight="1">
      <c r="C732" s="9"/>
    </row>
    <row r="733" ht="15.75" customHeight="1">
      <c r="C733" s="9"/>
    </row>
    <row r="734" ht="15.75" customHeight="1">
      <c r="C734" s="9"/>
    </row>
    <row r="735" ht="15.75" customHeight="1">
      <c r="C735" s="9"/>
    </row>
    <row r="736" ht="15.75" customHeight="1">
      <c r="C736" s="9"/>
    </row>
    <row r="737" ht="15.75" customHeight="1">
      <c r="C737" s="9"/>
    </row>
    <row r="738" ht="15.75" customHeight="1">
      <c r="C738" s="9"/>
    </row>
    <row r="739" ht="15.75" customHeight="1">
      <c r="C739" s="9"/>
    </row>
    <row r="740" ht="15.75" customHeight="1">
      <c r="C740" s="9"/>
    </row>
    <row r="741" ht="15.75" customHeight="1">
      <c r="C741" s="9"/>
    </row>
    <row r="742" ht="15.75" customHeight="1">
      <c r="C742" s="9"/>
    </row>
    <row r="743" ht="15.75" customHeight="1">
      <c r="C743" s="9"/>
    </row>
    <row r="744" ht="15.75" customHeight="1">
      <c r="C744" s="9"/>
    </row>
    <row r="745" ht="15.75" customHeight="1">
      <c r="C745" s="9"/>
    </row>
    <row r="746" ht="15.75" customHeight="1">
      <c r="C746" s="9"/>
    </row>
    <row r="747" ht="15.75" customHeight="1">
      <c r="C747" s="9"/>
    </row>
    <row r="748" ht="15.75" customHeight="1">
      <c r="C748" s="9"/>
    </row>
    <row r="749" ht="15.75" customHeight="1">
      <c r="C749" s="9"/>
    </row>
    <row r="750" ht="15.75" customHeight="1">
      <c r="C750" s="9"/>
    </row>
    <row r="751" ht="15.75" customHeight="1">
      <c r="C751" s="9"/>
    </row>
    <row r="752" ht="15.75" customHeight="1">
      <c r="C752" s="9"/>
    </row>
    <row r="753" ht="15.75" customHeight="1">
      <c r="C753" s="9"/>
    </row>
    <row r="754" ht="15.75" customHeight="1">
      <c r="C754" s="9"/>
    </row>
    <row r="755" ht="15.75" customHeight="1">
      <c r="C755" s="9"/>
    </row>
    <row r="756" ht="15.75" customHeight="1">
      <c r="C756" s="9"/>
    </row>
    <row r="757" ht="15.75" customHeight="1">
      <c r="C757" s="9"/>
    </row>
    <row r="758" ht="15.75" customHeight="1">
      <c r="C758" s="9"/>
    </row>
    <row r="759" ht="15.75" customHeight="1">
      <c r="C759" s="9"/>
    </row>
    <row r="760" ht="15.75" customHeight="1">
      <c r="C760" s="9"/>
    </row>
    <row r="761" ht="15.75" customHeight="1">
      <c r="C761" s="9"/>
    </row>
    <row r="762" ht="15.75" customHeight="1">
      <c r="C762" s="9"/>
    </row>
    <row r="763" ht="15.75" customHeight="1">
      <c r="C763" s="9"/>
    </row>
    <row r="764" ht="15.75" customHeight="1">
      <c r="C764" s="9"/>
    </row>
    <row r="765" ht="15.75" customHeight="1">
      <c r="C765" s="9"/>
    </row>
    <row r="766" ht="15.75" customHeight="1">
      <c r="C766" s="9"/>
    </row>
    <row r="767" ht="15.75" customHeight="1">
      <c r="C767" s="9"/>
    </row>
    <row r="768" ht="15.75" customHeight="1">
      <c r="C768" s="9"/>
    </row>
    <row r="769" ht="15.75" customHeight="1">
      <c r="C769" s="9"/>
    </row>
    <row r="770" ht="15.75" customHeight="1">
      <c r="C770" s="9"/>
    </row>
    <row r="771" ht="15.75" customHeight="1">
      <c r="C771" s="9"/>
    </row>
    <row r="772" ht="15.75" customHeight="1">
      <c r="C772" s="9"/>
    </row>
    <row r="773" ht="15.75" customHeight="1">
      <c r="C773" s="9"/>
    </row>
    <row r="774" ht="15.75" customHeight="1">
      <c r="C774" s="9"/>
    </row>
    <row r="775" ht="15.75" customHeight="1">
      <c r="C775" s="9"/>
    </row>
    <row r="776" ht="15.75" customHeight="1">
      <c r="C776" s="9"/>
    </row>
    <row r="777" ht="15.75" customHeight="1">
      <c r="C777" s="9"/>
    </row>
    <row r="778" ht="15.75" customHeight="1">
      <c r="C778" s="9"/>
    </row>
    <row r="779" ht="15.75" customHeight="1">
      <c r="C779" s="9"/>
    </row>
    <row r="780" ht="15.75" customHeight="1">
      <c r="C780" s="9"/>
    </row>
    <row r="781" ht="15.75" customHeight="1">
      <c r="C781" s="9"/>
    </row>
    <row r="782" ht="15.75" customHeight="1">
      <c r="C782" s="9"/>
    </row>
    <row r="783" ht="15.75" customHeight="1">
      <c r="C783" s="9"/>
    </row>
    <row r="784" ht="15.75" customHeight="1">
      <c r="C784" s="9"/>
    </row>
    <row r="785" ht="15.75" customHeight="1">
      <c r="C785" s="9"/>
    </row>
    <row r="786" ht="15.75" customHeight="1">
      <c r="C786" s="9"/>
    </row>
    <row r="787" ht="15.75" customHeight="1">
      <c r="C787" s="9"/>
    </row>
    <row r="788" ht="15.75" customHeight="1">
      <c r="C788" s="9"/>
    </row>
    <row r="789" ht="15.75" customHeight="1">
      <c r="C789" s="9"/>
    </row>
    <row r="790" ht="15.75" customHeight="1">
      <c r="C790" s="9"/>
    </row>
    <row r="791" ht="15.75" customHeight="1">
      <c r="C791" s="9"/>
    </row>
    <row r="792" ht="15.75" customHeight="1">
      <c r="C792" s="9"/>
    </row>
    <row r="793" ht="15.75" customHeight="1">
      <c r="C793" s="9"/>
    </row>
    <row r="794" ht="15.75" customHeight="1">
      <c r="C794" s="9"/>
    </row>
    <row r="795" ht="15.75" customHeight="1">
      <c r="C795" s="9"/>
    </row>
    <row r="796" ht="15.75" customHeight="1">
      <c r="C796" s="9"/>
    </row>
    <row r="797" ht="15.75" customHeight="1">
      <c r="C797" s="9"/>
    </row>
    <row r="798" ht="15.75" customHeight="1">
      <c r="C798" s="9"/>
    </row>
    <row r="799" ht="15.75" customHeight="1">
      <c r="C799" s="9"/>
    </row>
    <row r="800" ht="15.75" customHeight="1">
      <c r="C800" s="9"/>
    </row>
    <row r="801" ht="15.75" customHeight="1">
      <c r="C801" s="9"/>
    </row>
    <row r="802" ht="15.75" customHeight="1">
      <c r="C802" s="9"/>
    </row>
    <row r="803" ht="15.75" customHeight="1">
      <c r="C803" s="9"/>
    </row>
    <row r="804" ht="15.75" customHeight="1">
      <c r="C804" s="9"/>
    </row>
    <row r="805" ht="15.75" customHeight="1">
      <c r="C805" s="9"/>
    </row>
    <row r="806" ht="15.75" customHeight="1">
      <c r="C806" s="9"/>
    </row>
    <row r="807" ht="15.75" customHeight="1">
      <c r="C807" s="9"/>
    </row>
    <row r="808" ht="15.75" customHeight="1">
      <c r="C808" s="9"/>
    </row>
    <row r="809" ht="15.75" customHeight="1">
      <c r="C809" s="9"/>
    </row>
    <row r="810" ht="15.75" customHeight="1">
      <c r="C810" s="9"/>
    </row>
    <row r="811" ht="15.75" customHeight="1">
      <c r="C811" s="9"/>
    </row>
    <row r="812" ht="15.75" customHeight="1">
      <c r="C812" s="9"/>
    </row>
    <row r="813" ht="15.75" customHeight="1">
      <c r="C813" s="9"/>
    </row>
    <row r="814" ht="15.75" customHeight="1">
      <c r="C814" s="9"/>
    </row>
    <row r="815" ht="15.75" customHeight="1">
      <c r="C815" s="9"/>
    </row>
    <row r="816" ht="15.75" customHeight="1">
      <c r="C816" s="9"/>
    </row>
    <row r="817" ht="15.75" customHeight="1">
      <c r="C817" s="9"/>
    </row>
    <row r="818" ht="15.75" customHeight="1">
      <c r="C818" s="9"/>
    </row>
    <row r="819" ht="15.75" customHeight="1">
      <c r="C819" s="9"/>
    </row>
    <row r="820" ht="15.75" customHeight="1">
      <c r="C820" s="9"/>
    </row>
    <row r="821" ht="15.75" customHeight="1">
      <c r="C821" s="9"/>
    </row>
    <row r="822" ht="15.75" customHeight="1">
      <c r="C822" s="9"/>
    </row>
    <row r="823" ht="15.75" customHeight="1">
      <c r="C823" s="9"/>
    </row>
    <row r="824" ht="15.75" customHeight="1">
      <c r="C824" s="9"/>
    </row>
    <row r="825" ht="15.75" customHeight="1">
      <c r="C825" s="9"/>
    </row>
    <row r="826" ht="15.75" customHeight="1">
      <c r="C826" s="9"/>
    </row>
    <row r="827" ht="15.75" customHeight="1">
      <c r="C827" s="9"/>
    </row>
    <row r="828" ht="15.75" customHeight="1">
      <c r="C828" s="9"/>
    </row>
    <row r="829" ht="15.75" customHeight="1">
      <c r="C829" s="9"/>
    </row>
    <row r="830" ht="15.75" customHeight="1">
      <c r="C830" s="9"/>
    </row>
    <row r="831" ht="15.75" customHeight="1">
      <c r="C831" s="9"/>
    </row>
    <row r="832" ht="15.75" customHeight="1">
      <c r="C832" s="9"/>
    </row>
    <row r="833" ht="15.75" customHeight="1">
      <c r="C833" s="9"/>
    </row>
    <row r="834" ht="15.75" customHeight="1">
      <c r="C834" s="9"/>
    </row>
    <row r="835" ht="15.75" customHeight="1">
      <c r="C835" s="9"/>
    </row>
    <row r="836" ht="15.75" customHeight="1">
      <c r="C836" s="9"/>
    </row>
    <row r="837" ht="15.75" customHeight="1">
      <c r="C837" s="9"/>
    </row>
    <row r="838" ht="15.75" customHeight="1">
      <c r="C838" s="9"/>
    </row>
    <row r="839" ht="15.75" customHeight="1">
      <c r="C839" s="9"/>
    </row>
    <row r="840" ht="15.75" customHeight="1">
      <c r="C840" s="9"/>
    </row>
    <row r="841" ht="15.75" customHeight="1">
      <c r="C841" s="9"/>
    </row>
    <row r="842" ht="15.75" customHeight="1">
      <c r="C842" s="9"/>
    </row>
    <row r="843" ht="15.75" customHeight="1">
      <c r="C843" s="9"/>
    </row>
    <row r="844" ht="15.75" customHeight="1">
      <c r="C844" s="9"/>
    </row>
    <row r="845" ht="15.75" customHeight="1">
      <c r="C845" s="9"/>
    </row>
    <row r="846" ht="15.75" customHeight="1">
      <c r="C846" s="9"/>
    </row>
    <row r="847" ht="15.75" customHeight="1">
      <c r="C847" s="9"/>
    </row>
    <row r="848" ht="15.75" customHeight="1">
      <c r="C848" s="9"/>
    </row>
    <row r="849" ht="15.75" customHeight="1">
      <c r="C849" s="9"/>
    </row>
    <row r="850" ht="15.75" customHeight="1">
      <c r="C850" s="9"/>
    </row>
    <row r="851" ht="15.75" customHeight="1">
      <c r="C851" s="9"/>
    </row>
    <row r="852" ht="15.75" customHeight="1">
      <c r="C852" s="9"/>
    </row>
    <row r="853" ht="15.75" customHeight="1">
      <c r="C853" s="9"/>
    </row>
    <row r="854" ht="15.75" customHeight="1">
      <c r="C854" s="9"/>
    </row>
    <row r="855" ht="15.75" customHeight="1">
      <c r="C855" s="9"/>
    </row>
    <row r="856" ht="15.75" customHeight="1">
      <c r="C856" s="9"/>
    </row>
    <row r="857" ht="15.75" customHeight="1">
      <c r="C857" s="9"/>
    </row>
    <row r="858" ht="15.75" customHeight="1">
      <c r="C858" s="9"/>
    </row>
    <row r="859" ht="15.75" customHeight="1">
      <c r="C859" s="9"/>
    </row>
    <row r="860" ht="15.75" customHeight="1">
      <c r="C860" s="9"/>
    </row>
    <row r="861" ht="15.75" customHeight="1">
      <c r="C861" s="9"/>
    </row>
    <row r="862" ht="15.75" customHeight="1">
      <c r="C862" s="9"/>
    </row>
    <row r="863" ht="15.75" customHeight="1">
      <c r="C863" s="9"/>
    </row>
    <row r="864" ht="15.75" customHeight="1">
      <c r="C864" s="9"/>
    </row>
    <row r="865" ht="15.75" customHeight="1">
      <c r="C865" s="9"/>
    </row>
    <row r="866" ht="15.75" customHeight="1">
      <c r="C866" s="9"/>
    </row>
    <row r="867" ht="15.75" customHeight="1">
      <c r="C867" s="9"/>
    </row>
    <row r="868" ht="15.75" customHeight="1">
      <c r="C868" s="9"/>
    </row>
    <row r="869" ht="15.75" customHeight="1">
      <c r="C869" s="9"/>
    </row>
    <row r="870" ht="15.75" customHeight="1">
      <c r="C870" s="9"/>
    </row>
    <row r="871" ht="15.75" customHeight="1">
      <c r="C871" s="9"/>
    </row>
    <row r="872" ht="15.75" customHeight="1">
      <c r="C872" s="9"/>
    </row>
    <row r="873" ht="15.75" customHeight="1">
      <c r="C873" s="9"/>
    </row>
    <row r="874" ht="15.75" customHeight="1">
      <c r="C874" s="9"/>
    </row>
    <row r="875" ht="15.75" customHeight="1">
      <c r="C875" s="9"/>
    </row>
    <row r="876" ht="15.75" customHeight="1">
      <c r="C876" s="9"/>
    </row>
    <row r="877" ht="15.75" customHeight="1">
      <c r="C877" s="9"/>
    </row>
    <row r="878" ht="15.75" customHeight="1">
      <c r="C878" s="9"/>
    </row>
    <row r="879" ht="15.75" customHeight="1">
      <c r="C879" s="9"/>
    </row>
    <row r="880" ht="15.75" customHeight="1">
      <c r="C880" s="9"/>
    </row>
    <row r="881" ht="15.75" customHeight="1">
      <c r="C881" s="9"/>
    </row>
    <row r="882" ht="15.75" customHeight="1">
      <c r="C882" s="9"/>
    </row>
    <row r="883" ht="15.75" customHeight="1">
      <c r="C883" s="9"/>
    </row>
    <row r="884" ht="15.75" customHeight="1">
      <c r="C884" s="9"/>
    </row>
    <row r="885" ht="15.75" customHeight="1">
      <c r="C885" s="9"/>
    </row>
    <row r="886" ht="15.75" customHeight="1">
      <c r="C886" s="9"/>
    </row>
    <row r="887" ht="15.75" customHeight="1">
      <c r="C887" s="9"/>
    </row>
    <row r="888" ht="15.75" customHeight="1">
      <c r="C888" s="9"/>
    </row>
    <row r="889" ht="15.75" customHeight="1">
      <c r="C889" s="9"/>
    </row>
    <row r="890" ht="15.75" customHeight="1">
      <c r="C890" s="9"/>
    </row>
    <row r="891" ht="15.75" customHeight="1">
      <c r="C891" s="9"/>
    </row>
    <row r="892" ht="15.75" customHeight="1">
      <c r="C892" s="9"/>
    </row>
    <row r="893" ht="15.75" customHeight="1">
      <c r="C893" s="9"/>
    </row>
    <row r="894" ht="15.75" customHeight="1">
      <c r="C894" s="9"/>
    </row>
    <row r="895" ht="15.75" customHeight="1">
      <c r="C895" s="9"/>
    </row>
    <row r="896" ht="15.75" customHeight="1">
      <c r="C896" s="9"/>
    </row>
    <row r="897" ht="15.75" customHeight="1">
      <c r="C897" s="9"/>
    </row>
    <row r="898" ht="15.75" customHeight="1">
      <c r="C898" s="9"/>
    </row>
    <row r="899" ht="15.75" customHeight="1">
      <c r="C899" s="9"/>
    </row>
    <row r="900" ht="15.75" customHeight="1">
      <c r="C900" s="9"/>
    </row>
    <row r="901" ht="15.75" customHeight="1">
      <c r="C901" s="9"/>
    </row>
    <row r="902" ht="15.75" customHeight="1">
      <c r="C902" s="9"/>
    </row>
    <row r="903" ht="15.75" customHeight="1">
      <c r="C903" s="9"/>
    </row>
    <row r="904" ht="15.75" customHeight="1">
      <c r="C904" s="9"/>
    </row>
    <row r="905" ht="15.75" customHeight="1">
      <c r="C905" s="9"/>
    </row>
    <row r="906" ht="15.75" customHeight="1">
      <c r="C906" s="9"/>
    </row>
    <row r="907" ht="15.75" customHeight="1">
      <c r="C907" s="9"/>
    </row>
    <row r="908" ht="15.75" customHeight="1">
      <c r="C908" s="9"/>
    </row>
    <row r="909" ht="15.75" customHeight="1">
      <c r="C909" s="9"/>
    </row>
    <row r="910" ht="15.75" customHeight="1">
      <c r="C910" s="9"/>
    </row>
    <row r="911" ht="15.75" customHeight="1">
      <c r="C911" s="9"/>
    </row>
    <row r="912" ht="15.75" customHeight="1">
      <c r="C912" s="9"/>
    </row>
    <row r="913" ht="15.75" customHeight="1">
      <c r="C913" s="9"/>
    </row>
    <row r="914" ht="15.75" customHeight="1">
      <c r="C914" s="9"/>
    </row>
    <row r="915" ht="15.75" customHeight="1">
      <c r="C915" s="9"/>
    </row>
    <row r="916" ht="15.75" customHeight="1">
      <c r="C916" s="9"/>
    </row>
    <row r="917" ht="15.75" customHeight="1">
      <c r="C917" s="9"/>
    </row>
    <row r="918" ht="15.75" customHeight="1">
      <c r="C918" s="9"/>
    </row>
    <row r="919" ht="15.75" customHeight="1">
      <c r="C919" s="9"/>
    </row>
    <row r="920" ht="15.75" customHeight="1">
      <c r="C920" s="9"/>
    </row>
    <row r="921" ht="15.75" customHeight="1">
      <c r="C921" s="9"/>
    </row>
    <row r="922" ht="15.75" customHeight="1">
      <c r="C922" s="9"/>
    </row>
    <row r="923" ht="15.75" customHeight="1">
      <c r="C923" s="9"/>
    </row>
    <row r="924" ht="15.75" customHeight="1">
      <c r="C924" s="9"/>
    </row>
    <row r="925" ht="15.75" customHeight="1">
      <c r="C925" s="9"/>
    </row>
    <row r="926" ht="15.75" customHeight="1">
      <c r="C926" s="9"/>
    </row>
    <row r="927" ht="15.75" customHeight="1">
      <c r="C927" s="9"/>
    </row>
    <row r="928" ht="15.75" customHeight="1">
      <c r="C928" s="9"/>
    </row>
    <row r="929" ht="15.75" customHeight="1">
      <c r="C929" s="9"/>
    </row>
    <row r="930" ht="15.75" customHeight="1">
      <c r="C930" s="9"/>
    </row>
    <row r="931" ht="15.75" customHeight="1">
      <c r="C931" s="9"/>
    </row>
    <row r="932" ht="15.75" customHeight="1">
      <c r="C932" s="9"/>
    </row>
    <row r="933" ht="15.75" customHeight="1">
      <c r="C933" s="9"/>
    </row>
    <row r="934" ht="15.75" customHeight="1">
      <c r="C934" s="9"/>
    </row>
    <row r="935" ht="15.75" customHeight="1">
      <c r="C935" s="9"/>
    </row>
    <row r="936" ht="15.75" customHeight="1">
      <c r="C936" s="9"/>
    </row>
    <row r="937" ht="15.75" customHeight="1">
      <c r="C937" s="9"/>
    </row>
    <row r="938" ht="15.75" customHeight="1">
      <c r="C938" s="9"/>
    </row>
    <row r="939" ht="15.75" customHeight="1">
      <c r="C939" s="9"/>
    </row>
    <row r="940" ht="15.75" customHeight="1">
      <c r="C940" s="9"/>
    </row>
    <row r="941" ht="15.75" customHeight="1">
      <c r="C941" s="9"/>
    </row>
    <row r="942" ht="15.75" customHeight="1">
      <c r="C942" s="9"/>
    </row>
    <row r="943" ht="15.75" customHeight="1">
      <c r="C943" s="9"/>
    </row>
    <row r="944" ht="15.75" customHeight="1">
      <c r="C944" s="9"/>
    </row>
    <row r="945" ht="15.75" customHeight="1">
      <c r="C945" s="9"/>
    </row>
    <row r="946" ht="15.75" customHeight="1">
      <c r="C946" s="9"/>
    </row>
    <row r="947" ht="15.75" customHeight="1">
      <c r="C947" s="9"/>
    </row>
    <row r="948" ht="15.75" customHeight="1">
      <c r="C948" s="9"/>
    </row>
    <row r="949" ht="15.75" customHeight="1">
      <c r="C949" s="9"/>
    </row>
    <row r="950" ht="15.75" customHeight="1">
      <c r="C950" s="9"/>
    </row>
    <row r="951" ht="15.75" customHeight="1">
      <c r="C951" s="9"/>
    </row>
    <row r="952" ht="15.75" customHeight="1">
      <c r="C952" s="9"/>
    </row>
    <row r="953" ht="15.75" customHeight="1">
      <c r="C953" s="9"/>
    </row>
    <row r="954" ht="15.75" customHeight="1">
      <c r="C954" s="9"/>
    </row>
    <row r="955" ht="15.75" customHeight="1">
      <c r="C955" s="9"/>
    </row>
    <row r="956" ht="15.75" customHeight="1">
      <c r="C956" s="9"/>
    </row>
    <row r="957" ht="15.75" customHeight="1">
      <c r="C957" s="9"/>
    </row>
    <row r="958" ht="15.75" customHeight="1">
      <c r="C958" s="9"/>
    </row>
    <row r="959" ht="15.75" customHeight="1">
      <c r="C959" s="9"/>
    </row>
    <row r="960" ht="15.75" customHeight="1">
      <c r="C960" s="9"/>
    </row>
    <row r="961" ht="15.75" customHeight="1">
      <c r="C961" s="9"/>
    </row>
    <row r="962" ht="15.75" customHeight="1">
      <c r="C962" s="9"/>
    </row>
    <row r="963" ht="15.75" customHeight="1">
      <c r="C963" s="9"/>
    </row>
    <row r="964" ht="15.75" customHeight="1">
      <c r="C964" s="9"/>
    </row>
    <row r="965" ht="15.75" customHeight="1">
      <c r="C965" s="9"/>
    </row>
    <row r="966" ht="15.75" customHeight="1">
      <c r="C966" s="9"/>
    </row>
    <row r="967" ht="15.75" customHeight="1">
      <c r="C967" s="9"/>
    </row>
    <row r="968" ht="15.75" customHeight="1">
      <c r="C968" s="9"/>
    </row>
    <row r="969" ht="15.75" customHeight="1">
      <c r="C969" s="9"/>
    </row>
    <row r="970" ht="15.75" customHeight="1">
      <c r="C970" s="9"/>
    </row>
    <row r="971" ht="15.75" customHeight="1">
      <c r="C971" s="9"/>
    </row>
    <row r="972" ht="15.75" customHeight="1">
      <c r="C972" s="9"/>
    </row>
    <row r="973" ht="15.75" customHeight="1">
      <c r="C973" s="9"/>
    </row>
    <row r="974" ht="15.75" customHeight="1">
      <c r="C974" s="9"/>
    </row>
    <row r="975" ht="15.75" customHeight="1">
      <c r="C975" s="9"/>
    </row>
    <row r="976" ht="15.75" customHeight="1">
      <c r="C976" s="9"/>
    </row>
    <row r="977" ht="15.75" customHeight="1">
      <c r="C977" s="9"/>
    </row>
    <row r="978" ht="15.75" customHeight="1">
      <c r="C978" s="9"/>
    </row>
    <row r="979" ht="15.75" customHeight="1">
      <c r="C979" s="9"/>
    </row>
    <row r="980" ht="15.75" customHeight="1">
      <c r="C980" s="9"/>
    </row>
    <row r="981" ht="15.75" customHeight="1">
      <c r="C981" s="9"/>
    </row>
    <row r="982" ht="15.75" customHeight="1">
      <c r="C982" s="9"/>
    </row>
    <row r="983" ht="15.75" customHeight="1">
      <c r="C983" s="9"/>
    </row>
    <row r="984" ht="15.75" customHeight="1">
      <c r="C984" s="9"/>
    </row>
    <row r="985" ht="15.75" customHeight="1">
      <c r="C985" s="9"/>
    </row>
    <row r="986" ht="15.75" customHeight="1">
      <c r="C986" s="9"/>
    </row>
    <row r="987" ht="15.75" customHeight="1">
      <c r="C987" s="9"/>
    </row>
    <row r="988" ht="15.75" customHeight="1">
      <c r="C988" s="9"/>
    </row>
    <row r="989" ht="15.75" customHeight="1">
      <c r="C989" s="9"/>
    </row>
    <row r="990" ht="15.75" customHeight="1">
      <c r="C990" s="9"/>
    </row>
    <row r="991" ht="15.75" customHeight="1">
      <c r="C991" s="9"/>
    </row>
    <row r="992" ht="15.75" customHeight="1">
      <c r="C992" s="9"/>
    </row>
    <row r="993" ht="15.75" customHeight="1">
      <c r="C993" s="9"/>
    </row>
    <row r="994" ht="15.75" customHeight="1">
      <c r="C994" s="9"/>
    </row>
    <row r="995" ht="15.75" customHeight="1">
      <c r="C995" s="9"/>
    </row>
    <row r="996" ht="15.75" customHeight="1">
      <c r="C996" s="9"/>
    </row>
    <row r="997" ht="15.75" customHeight="1">
      <c r="C997" s="9"/>
    </row>
    <row r="998" ht="15.75" customHeight="1">
      <c r="C998" s="9"/>
    </row>
    <row r="999" ht="15.75" customHeight="1">
      <c r="C999" s="9"/>
    </row>
    <row r="1000" ht="15.75" customHeight="1">
      <c r="C1000" s="9"/>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9.0"/>
    <col customWidth="1" min="2" max="2" width="19.78"/>
    <col customWidth="1" min="3" max="3" width="42.33"/>
    <col customWidth="1" min="4" max="4" width="44.33"/>
    <col customWidth="1" min="5" max="5" width="41.89"/>
  </cols>
  <sheetData>
    <row r="1">
      <c r="A1" s="5" t="s">
        <v>2</v>
      </c>
      <c r="B1" s="14" t="s">
        <v>8</v>
      </c>
      <c r="C1" s="14" t="s">
        <v>7</v>
      </c>
      <c r="D1" s="14" t="s">
        <v>9</v>
      </c>
      <c r="E1" s="14" t="s">
        <v>10</v>
      </c>
    </row>
    <row r="2" hidden="1">
      <c r="A2" s="30" t="s">
        <v>50</v>
      </c>
      <c r="B2" s="30" t="s">
        <v>51</v>
      </c>
      <c r="C2" s="31"/>
      <c r="D2" s="31"/>
      <c r="E2" s="31"/>
    </row>
    <row r="3" hidden="1">
      <c r="A3" s="30" t="s">
        <v>58</v>
      </c>
      <c r="B3" s="30" t="s">
        <v>59</v>
      </c>
      <c r="C3" s="31"/>
      <c r="D3" s="31"/>
      <c r="E3" s="31"/>
    </row>
    <row r="4" hidden="1">
      <c r="A4" s="30" t="s">
        <v>64</v>
      </c>
      <c r="B4" s="30" t="s">
        <v>64</v>
      </c>
      <c r="C4" s="31"/>
      <c r="D4" s="31"/>
      <c r="E4" s="31"/>
    </row>
    <row r="5" hidden="1">
      <c r="A5" s="30" t="s">
        <v>74</v>
      </c>
      <c r="B5" s="30" t="s">
        <v>75</v>
      </c>
      <c r="C5" s="31"/>
      <c r="D5" s="31"/>
      <c r="E5" s="31"/>
    </row>
    <row r="6" hidden="1">
      <c r="A6" s="30" t="s">
        <v>87</v>
      </c>
      <c r="B6" s="30" t="s">
        <v>87</v>
      </c>
      <c r="C6" s="31"/>
      <c r="D6" s="31"/>
      <c r="E6" s="31"/>
    </row>
    <row r="7" hidden="1">
      <c r="A7" s="30" t="s">
        <v>108</v>
      </c>
      <c r="B7" s="30" t="s">
        <v>109</v>
      </c>
      <c r="C7" s="31"/>
      <c r="D7" s="31"/>
      <c r="E7" s="31"/>
    </row>
    <row r="8" hidden="1">
      <c r="A8" s="30" t="s">
        <v>108</v>
      </c>
      <c r="B8" s="30" t="s">
        <v>113</v>
      </c>
      <c r="C8" s="31"/>
      <c r="D8" s="31"/>
      <c r="E8" s="31"/>
    </row>
    <row r="9" hidden="1">
      <c r="A9" s="65" t="s">
        <v>119</v>
      </c>
      <c r="B9" s="65" t="s">
        <v>122</v>
      </c>
      <c r="C9" s="31" t="s">
        <v>124</v>
      </c>
      <c r="D9" s="31"/>
      <c r="E9" s="31"/>
    </row>
    <row r="10">
      <c r="A10" s="65" t="s">
        <v>42</v>
      </c>
      <c r="B10" s="65" t="s">
        <v>127</v>
      </c>
      <c r="C10" s="31" t="s">
        <v>129</v>
      </c>
      <c r="D10" s="31"/>
      <c r="E10" s="31"/>
      <c r="F10" s="89">
        <v>1.0</v>
      </c>
      <c r="G10" s="91" t="str">
        <f>IFERROR(__xludf.DUMMYFUNCTION("TRIM(REGEXREPLACE(C10, ""[0-9]+[a-f]?\."", """"))"),"Endline Survey")</f>
        <v>Endline Survey</v>
      </c>
      <c r="H10" s="91" t="str">
        <f>IFERROR(__xludf.DUMMYFUNCTION("TRIM(REGEXREPLACE(D10, ""[0-9]+[a-f]?\."", """"))"),"")</f>
        <v/>
      </c>
      <c r="I10" s="91" t="str">
        <f>IFERROR(__xludf.DUMMYFUNCTION("TRIM(REGEXREPLACE(E10, ""[0-9]+[a-f]?\."", """"))"),"")</f>
        <v/>
      </c>
      <c r="J10" s="91" t="str">
        <f>F10&amp;". "&amp;G10</f>
        <v>1. Endline Survey</v>
      </c>
      <c r="K10" s="91" t="str">
        <f t="shared" ref="K10:L10" si="1">$F10&amp;". "&amp;H10</f>
        <v>1. </v>
      </c>
      <c r="L10" s="91" t="str">
        <f t="shared" si="1"/>
        <v>1. </v>
      </c>
    </row>
    <row r="11" hidden="1">
      <c r="A11" s="30"/>
      <c r="B11" s="30"/>
      <c r="C11" s="31"/>
      <c r="D11" s="31"/>
      <c r="E11" s="31"/>
    </row>
    <row r="12" hidden="1">
      <c r="A12" s="67" t="s">
        <v>139</v>
      </c>
      <c r="B12" s="69" t="s">
        <v>141</v>
      </c>
      <c r="C12" s="31"/>
      <c r="D12" s="31"/>
      <c r="E12" s="31"/>
    </row>
    <row r="13" hidden="1">
      <c r="A13" s="65" t="s">
        <v>150</v>
      </c>
      <c r="B13" s="65" t="s">
        <v>151</v>
      </c>
      <c r="C13" s="31" t="s">
        <v>152</v>
      </c>
      <c r="D13" s="31"/>
      <c r="E13" s="31"/>
      <c r="F13" s="89">
        <v>2.0</v>
      </c>
      <c r="G13" s="91" t="str">
        <f>IFERROR(__xludf.DUMMYFUNCTION("TRIM(REGEXREPLACE(C13, ""[0-9]+[a-f]?\."", """"))"),"Enumerator Questions")</f>
        <v>Enumerator Questions</v>
      </c>
      <c r="H13" s="91" t="str">
        <f>IFERROR(__xludf.DUMMYFUNCTION("TRIM(REGEXREPLACE(D13, ""[0-9]+[a-f]?\."", """"))"),"")</f>
        <v/>
      </c>
      <c r="I13" s="91" t="str">
        <f>IFERROR(__xludf.DUMMYFUNCTION("TRIM(REGEXREPLACE(E13, ""[0-9]+[a-f]?\."", """"))"),"")</f>
        <v/>
      </c>
      <c r="J13" s="91" t="s">
        <v>178</v>
      </c>
      <c r="K13" s="91" t="s">
        <v>179</v>
      </c>
      <c r="L13" s="91" t="s">
        <v>180</v>
      </c>
    </row>
    <row r="14">
      <c r="A14" s="81" t="s">
        <v>156</v>
      </c>
      <c r="B14" s="82" t="s">
        <v>135</v>
      </c>
      <c r="C14" s="31" t="s">
        <v>181</v>
      </c>
      <c r="D14" s="31" t="s">
        <v>182</v>
      </c>
      <c r="E14" s="31" t="s">
        <v>183</v>
      </c>
      <c r="F14" s="89">
        <v>2.0</v>
      </c>
      <c r="G14" s="91" t="str">
        <f>IFERROR(__xludf.DUMMYFUNCTION("TRIM(REGEXREPLACE(C14, ""[0-9]+[a-f]?\."", """"))"),"Who is your team leader?")</f>
        <v>Who is your team leader?</v>
      </c>
      <c r="H14" s="91" t="str">
        <f>IFERROR(__xludf.DUMMYFUNCTION("TRIM(REGEXREPLACE(D14, ""[0-9]+[a-f]?\."", """"))"),"Qui est votre chef d'équipe?")</f>
        <v>Qui est votre chef d'équipe?</v>
      </c>
      <c r="I14" s="91" t="str">
        <f>IFERROR(__xludf.DUMMYFUNCTION("TRIM(REGEXREPLACE(E14, ""[0-9]+[a-f]?\."", """"))"),"Wanene shugaban tahiyar ku ?")</f>
        <v>Wanene shugaban tahiyar ku ?</v>
      </c>
      <c r="J14" s="91" t="str">
        <f t="shared" ref="J14:J15" si="3">F14&amp;". "&amp;G14</f>
        <v>2. Who is your team leader?</v>
      </c>
      <c r="K14" s="91" t="str">
        <f t="shared" ref="K14:L14" si="2">$F14&amp;". "&amp;H14</f>
        <v>2. Qui est votre chef d'équipe?</v>
      </c>
      <c r="L14" s="91" t="str">
        <f t="shared" si="2"/>
        <v>2. Wanene shugaban tahiyar ku ?</v>
      </c>
    </row>
    <row r="15">
      <c r="A15" s="65" t="s">
        <v>169</v>
      </c>
      <c r="B15" s="65" t="s">
        <v>157</v>
      </c>
      <c r="C15" s="31" t="s">
        <v>189</v>
      </c>
      <c r="D15" s="31" t="s">
        <v>190</v>
      </c>
      <c r="E15" s="31" t="s">
        <v>191</v>
      </c>
      <c r="F15" s="89">
        <v>3.0</v>
      </c>
      <c r="G15" s="91" t="str">
        <f>IFERROR(__xludf.DUMMYFUNCTION("TRIM(REGEXREPLACE(C15, ""[0-9]+[a-f]?\."", """"))"),"What is your name?")</f>
        <v>What is your name?</v>
      </c>
      <c r="H15" s="91" t="str">
        <f>IFERROR(__xludf.DUMMYFUNCTION("TRIM(REGEXREPLACE(D15, ""[0-9]+[a-f]?\."", """"))"),"Quel est votre nom?")</f>
        <v>Quel est votre nom?</v>
      </c>
      <c r="I15" s="91" t="str">
        <f>IFERROR(__xludf.DUMMYFUNCTION("TRIM(REGEXREPLACE(E15, ""[0-9]+[a-f]?\."", """"))"),"Menene sunanka?")</f>
        <v>Menene sunanka?</v>
      </c>
      <c r="J15" s="91" t="str">
        <f t="shared" si="3"/>
        <v>3. What is your name?</v>
      </c>
      <c r="K15" s="91" t="str">
        <f t="shared" ref="K15:L15" si="4">$F15&amp;". "&amp;H15</f>
        <v>3. Quel est votre nom?</v>
      </c>
      <c r="L15" s="91" t="str">
        <f t="shared" si="4"/>
        <v>3. Menene sunanka?</v>
      </c>
    </row>
    <row r="16" hidden="1">
      <c r="A16" s="65" t="s">
        <v>108</v>
      </c>
      <c r="B16" s="65" t="s">
        <v>184</v>
      </c>
      <c r="C16" s="31" t="s">
        <v>185</v>
      </c>
      <c r="D16" s="31"/>
      <c r="E16" s="31"/>
      <c r="F16" s="89">
        <v>4.0</v>
      </c>
      <c r="G16" s="91" t="str">
        <f>IFERROR(__xludf.DUMMYFUNCTION("TRIM(REGEXREPLACE(C16, ""[0-9]+[a-f]?\."", """"))"),"CALC: Pull enumerator name")</f>
        <v>CALC: Pull enumerator name</v>
      </c>
      <c r="H16" s="91" t="str">
        <f>IFERROR(__xludf.DUMMYFUNCTION("TRIM(REGEXREPLACE(D16, ""[0-9]+[a-f]?\."", """"))"),"")</f>
        <v/>
      </c>
      <c r="I16" s="91" t="str">
        <f>IFERROR(__xludf.DUMMYFUNCTION("TRIM(REGEXREPLACE(E16, ""[0-9]+[a-f]?\."", """"))"),"")</f>
        <v/>
      </c>
      <c r="J16" s="91" t="s">
        <v>189</v>
      </c>
      <c r="K16" s="91" t="s">
        <v>190</v>
      </c>
      <c r="L16" s="91" t="s">
        <v>191</v>
      </c>
    </row>
    <row r="17">
      <c r="A17" s="65" t="s">
        <v>169</v>
      </c>
      <c r="B17" s="65" t="s">
        <v>193</v>
      </c>
      <c r="C17" s="31" t="s">
        <v>197</v>
      </c>
      <c r="D17" s="31" t="s">
        <v>198</v>
      </c>
      <c r="E17" s="31" t="s">
        <v>199</v>
      </c>
      <c r="F17" s="89">
        <v>4.0</v>
      </c>
      <c r="G17" s="91" t="str">
        <f>IFERROR(__xludf.DUMMYFUNCTION("TRIM(REGEXREPLACE(C17, ""[0-9]+[a-f]?\."", """"))"),"What is your partner's name?")</f>
        <v>What is your partner's name?</v>
      </c>
      <c r="H17" s="91" t="str">
        <f>IFERROR(__xludf.DUMMYFUNCTION("TRIM(REGEXREPLACE(D17, ""[0-9]+[a-f]?\."", """"))"),"Quel est le nom de votre binôme?")</f>
        <v>Quel est le nom de votre binôme?</v>
      </c>
      <c r="I17" s="91" t="str">
        <f>IFERROR(__xludf.DUMMYFUNCTION("TRIM(REGEXREPLACE(E17, ""[0-9]+[a-f]?\."", """"))"),"Menene sunan abokin aikinka")</f>
        <v>Menene sunan abokin aikinka</v>
      </c>
      <c r="J17" s="91" t="str">
        <f>F17&amp;". "&amp;G17</f>
        <v>4. What is your partner's name?</v>
      </c>
      <c r="K17" s="91" t="str">
        <f t="shared" ref="K17:L17" si="5">$F17&amp;". "&amp;H17</f>
        <v>4. Quel est le nom de votre binôme?</v>
      </c>
      <c r="L17" s="91" t="str">
        <f t="shared" si="5"/>
        <v>4. Menene sunan abokin aikinka</v>
      </c>
    </row>
    <row r="18" hidden="1">
      <c r="A18" s="65" t="s">
        <v>108</v>
      </c>
      <c r="B18" s="65" t="s">
        <v>203</v>
      </c>
      <c r="C18" s="31" t="s">
        <v>185</v>
      </c>
      <c r="D18" s="31"/>
      <c r="E18" s="31"/>
      <c r="F18" s="89">
        <v>5.0</v>
      </c>
      <c r="G18" s="91" t="str">
        <f>IFERROR(__xludf.DUMMYFUNCTION("TRIM(REGEXREPLACE(C18, ""[0-9]+[a-f]?\."", """"))"),"CALC: Pull enumerator name")</f>
        <v>CALC: Pull enumerator name</v>
      </c>
      <c r="H18" s="91" t="str">
        <f>IFERROR(__xludf.DUMMYFUNCTION("TRIM(REGEXREPLACE(D18, ""[0-9]+[a-f]?\."", """"))"),"")</f>
        <v/>
      </c>
      <c r="I18" s="91" t="str">
        <f>IFERROR(__xludf.DUMMYFUNCTION("TRIM(REGEXREPLACE(E18, ""[0-9]+[a-f]?\."", """"))"),"")</f>
        <v/>
      </c>
      <c r="J18" s="91" t="s">
        <v>197</v>
      </c>
      <c r="K18" s="91" t="s">
        <v>198</v>
      </c>
      <c r="L18" s="91" t="s">
        <v>199</v>
      </c>
    </row>
    <row r="19">
      <c r="A19" s="65" t="s">
        <v>205</v>
      </c>
      <c r="B19" s="65" t="s">
        <v>147</v>
      </c>
      <c r="C19" s="31" t="s">
        <v>206</v>
      </c>
      <c r="D19" s="31" t="s">
        <v>207</v>
      </c>
      <c r="E19" s="31" t="s">
        <v>208</v>
      </c>
      <c r="F19" s="89">
        <v>5.0</v>
      </c>
      <c r="G19" s="91" t="str">
        <f>IFERROR(__xludf.DUMMYFUNCTION("TRIM(REGEXREPLACE(C19, ""[0-9]+[a-f]?\."", """"))"),"What commune are you surveying in?")</f>
        <v>What commune are you surveying in?</v>
      </c>
      <c r="H19" s="91" t="str">
        <f>IFERROR(__xludf.DUMMYFUNCTION("TRIM(REGEXREPLACE(D19, ""[0-9]+[a-f]?\."", """"))"),"Quelle est votre commune de travail ?")</f>
        <v>Quelle est votre commune de travail ?</v>
      </c>
      <c r="I19" s="91" t="str">
        <f>IFERROR(__xludf.DUMMYFUNCTION("TRIM(REGEXREPLACE(E19, ""[0-9]+[a-f]?\."", """"))"),"Cikin wane komin kake aiki?")</f>
        <v>Cikin wane komin kake aiki?</v>
      </c>
      <c r="J19" s="91" t="str">
        <f>F19&amp;". "&amp;G19</f>
        <v>5. What commune are you surveying in?</v>
      </c>
      <c r="K19" s="91" t="str">
        <f t="shared" ref="K19:L19" si="6">$F19&amp;". "&amp;H19</f>
        <v>5. Quelle est votre commune de travail ?</v>
      </c>
      <c r="L19" s="91" t="str">
        <f t="shared" si="6"/>
        <v>5. Cikin wane komin kake aiki?</v>
      </c>
    </row>
    <row r="20" hidden="1">
      <c r="A20" s="65" t="s">
        <v>108</v>
      </c>
      <c r="B20" s="65" t="s">
        <v>149</v>
      </c>
      <c r="C20" s="31" t="s">
        <v>211</v>
      </c>
      <c r="D20" s="31"/>
      <c r="E20" s="31"/>
      <c r="F20" s="89">
        <v>6.0</v>
      </c>
      <c r="G20" s="91" t="str">
        <f>IFERROR(__xludf.DUMMYFUNCTION("TRIM(REGEXREPLACE(C20, ""[0-9]+[a-f]?\."", """"))"),"CALC: Pull commune name")</f>
        <v>CALC: Pull commune name</v>
      </c>
      <c r="H20" s="91" t="str">
        <f>IFERROR(__xludf.DUMMYFUNCTION("TRIM(REGEXREPLACE(D20, ""[0-9]+[a-f]?\."", """"))"),"")</f>
        <v/>
      </c>
      <c r="I20" s="91" t="str">
        <f>IFERROR(__xludf.DUMMYFUNCTION("TRIM(REGEXREPLACE(E20, ""[0-9]+[a-f]?\."", """"))"),"")</f>
        <v/>
      </c>
      <c r="J20" s="91" t="s">
        <v>206</v>
      </c>
      <c r="K20" s="91" t="s">
        <v>207</v>
      </c>
      <c r="L20" s="91" t="s">
        <v>208</v>
      </c>
    </row>
    <row r="21" hidden="1">
      <c r="A21" s="104" t="s">
        <v>108</v>
      </c>
      <c r="B21" s="105" t="s">
        <v>216</v>
      </c>
      <c r="C21" s="31"/>
      <c r="D21" s="31"/>
      <c r="E21" s="31"/>
    </row>
    <row r="22" hidden="1">
      <c r="A22" s="65" t="s">
        <v>108</v>
      </c>
      <c r="B22" s="65" t="s">
        <v>148</v>
      </c>
      <c r="C22" s="31"/>
      <c r="D22" s="31"/>
      <c r="E22" s="31"/>
    </row>
    <row r="23">
      <c r="A23" s="65" t="s">
        <v>222</v>
      </c>
      <c r="B23" s="65" t="s">
        <v>153</v>
      </c>
      <c r="C23" s="31" t="s">
        <v>224</v>
      </c>
      <c r="D23" s="31" t="s">
        <v>225</v>
      </c>
      <c r="E23" s="31" t="s">
        <v>226</v>
      </c>
      <c r="F23" s="89">
        <v>6.0</v>
      </c>
      <c r="G23" s="91" t="str">
        <f>IFERROR(__xludf.DUMMYFUNCTION("TRIM(REGEXREPLACE(C23, ""[0-9]+[a-f]?\."", """"))"),"What village/neighborhood are you surveying in?")</f>
        <v>What village/neighborhood are you surveying in?</v>
      </c>
      <c r="H23" s="91" t="str">
        <f>IFERROR(__xludf.DUMMYFUNCTION("TRIM(REGEXREPLACE(D23, ""[0-9]+[a-f]?\."", """"))"),"Dans quelle ville/village faites-vous votre enquête ?")</f>
        <v>Dans quelle ville/village faites-vous votre enquête ?</v>
      </c>
      <c r="I23" s="91" t="str">
        <f>IFERROR(__xludf.DUMMYFUNCTION("TRIM(REGEXREPLACE(E23, ""[0-9]+[a-f]?\."", """"))"),"Cikin wane gari kake binciken?")</f>
        <v>Cikin wane gari kake binciken?</v>
      </c>
      <c r="J23" s="91" t="str">
        <f>F23&amp;". "&amp;G23</f>
        <v>6. What village/neighborhood are you surveying in?</v>
      </c>
      <c r="K23" s="91" t="str">
        <f t="shared" ref="K23:L23" si="7">$F23&amp;". "&amp;H23</f>
        <v>6. Dans quelle ville/village faites-vous votre enquête ?</v>
      </c>
      <c r="L23" s="91" t="str">
        <f t="shared" si="7"/>
        <v>6. Cikin wane gari kake binciken?</v>
      </c>
    </row>
    <row r="24" hidden="1">
      <c r="A24" s="65" t="s">
        <v>108</v>
      </c>
      <c r="B24" s="65" t="s">
        <v>155</v>
      </c>
      <c r="C24" s="31" t="s">
        <v>228</v>
      </c>
      <c r="D24" s="31"/>
      <c r="E24" s="31"/>
      <c r="F24" s="89">
        <v>7.0</v>
      </c>
      <c r="G24" s="91" t="str">
        <f>IFERROR(__xludf.DUMMYFUNCTION("TRIM(REGEXREPLACE(C24, ""[0-9]+[a-f]?\."", """"))"),"CALC: Pull locality name")</f>
        <v>CALC: Pull locality name</v>
      </c>
      <c r="H24" s="91" t="str">
        <f>IFERROR(__xludf.DUMMYFUNCTION("TRIM(REGEXREPLACE(D24, ""[0-9]+[a-f]?\."", """"))"),"")</f>
        <v/>
      </c>
      <c r="I24" s="91" t="str">
        <f>IFERROR(__xludf.DUMMYFUNCTION("TRIM(REGEXREPLACE(E24, ""[0-9]+[a-f]?\."", """"))"),"")</f>
        <v/>
      </c>
      <c r="J24" s="91" t="s">
        <v>224</v>
      </c>
      <c r="K24" s="91" t="s">
        <v>225</v>
      </c>
      <c r="L24" s="91" t="s">
        <v>226</v>
      </c>
    </row>
    <row r="25" hidden="1">
      <c r="A25" s="65" t="s">
        <v>108</v>
      </c>
      <c r="B25" s="65" t="s">
        <v>233</v>
      </c>
      <c r="C25" s="31"/>
      <c r="D25" s="31"/>
      <c r="E25" s="31"/>
    </row>
    <row r="26" hidden="1">
      <c r="A26" s="65" t="s">
        <v>108</v>
      </c>
      <c r="B26" s="65" t="s">
        <v>235</v>
      </c>
      <c r="C26" s="31"/>
      <c r="D26" s="31"/>
      <c r="E26" s="31"/>
    </row>
    <row r="27" hidden="1">
      <c r="A27" s="65" t="s">
        <v>236</v>
      </c>
      <c r="B27" s="65" t="s">
        <v>151</v>
      </c>
      <c r="C27" s="31" t="s">
        <v>152</v>
      </c>
      <c r="D27" s="31"/>
      <c r="E27" s="31"/>
    </row>
    <row r="28" hidden="1">
      <c r="A28" s="30"/>
      <c r="B28" s="30"/>
      <c r="C28" s="31"/>
      <c r="D28" s="31"/>
      <c r="E28" s="31"/>
    </row>
    <row r="29" hidden="1">
      <c r="A29" s="65" t="s">
        <v>150</v>
      </c>
      <c r="B29" s="65" t="s">
        <v>131</v>
      </c>
      <c r="C29" s="31"/>
      <c r="D29" s="31"/>
      <c r="E29" s="31"/>
    </row>
    <row r="30" hidden="1">
      <c r="A30" s="104" t="s">
        <v>108</v>
      </c>
      <c r="B30" s="106" t="s">
        <v>238</v>
      </c>
      <c r="C30" s="107"/>
      <c r="D30" s="107"/>
      <c r="E30" s="107"/>
    </row>
    <row r="31" hidden="1">
      <c r="A31" s="104" t="s">
        <v>108</v>
      </c>
      <c r="B31" s="106" t="s">
        <v>240</v>
      </c>
      <c r="C31" s="107"/>
      <c r="D31" s="107"/>
      <c r="E31" s="107"/>
    </row>
    <row r="32" hidden="1">
      <c r="A32" s="104" t="s">
        <v>108</v>
      </c>
      <c r="B32" s="106" t="s">
        <v>241</v>
      </c>
      <c r="C32" s="107"/>
      <c r="D32" s="107"/>
      <c r="E32" s="107"/>
    </row>
    <row r="33" hidden="1">
      <c r="A33" s="104" t="s">
        <v>108</v>
      </c>
      <c r="B33" s="106" t="s">
        <v>242</v>
      </c>
      <c r="C33" s="107"/>
      <c r="D33" s="107"/>
      <c r="E33" s="107"/>
      <c r="F33" s="89">
        <v>8.0</v>
      </c>
      <c r="G33" s="91" t="str">
        <f>IFERROR(__xludf.DUMMYFUNCTION("TRIM(REGEXREPLACE(C33, ""[0-9]+[a-f]?\."", """"))"),"")</f>
        <v/>
      </c>
      <c r="H33" s="91" t="str">
        <f>IFERROR(__xludf.DUMMYFUNCTION("TRIM(REGEXREPLACE(D33, ""[0-9]+[a-f]?\."", """"))"),"")</f>
        <v/>
      </c>
      <c r="I33" s="91" t="str">
        <f>IFERROR(__xludf.DUMMYFUNCTION("TRIM(REGEXREPLACE(E33, ""[0-9]+[a-f]?\."", """"))"),"")</f>
        <v/>
      </c>
      <c r="J33" s="91" t="s">
        <v>247</v>
      </c>
      <c r="K33" s="91" t="s">
        <v>248</v>
      </c>
      <c r="L33" s="91" t="s">
        <v>248</v>
      </c>
    </row>
    <row r="34" hidden="1">
      <c r="A34" s="104" t="s">
        <v>108</v>
      </c>
      <c r="B34" s="106" t="s">
        <v>250</v>
      </c>
      <c r="C34" s="107"/>
      <c r="D34" s="107"/>
      <c r="E34" s="107"/>
      <c r="F34" s="89">
        <v>8.0</v>
      </c>
      <c r="G34" s="91" t="str">
        <f>IFERROR(__xludf.DUMMYFUNCTION("TRIM(REGEXREPLACE(C34, ""[0-9]+[a-f]?\."", """"))"),"")</f>
        <v/>
      </c>
      <c r="H34" s="91" t="str">
        <f>IFERROR(__xludf.DUMMYFUNCTION("TRIM(REGEXREPLACE(D34, ""[0-9]+[a-f]?\."", """"))"),"")</f>
        <v/>
      </c>
      <c r="I34" s="91" t="str">
        <f>IFERROR(__xludf.DUMMYFUNCTION("TRIM(REGEXREPLACE(E34, ""[0-9]+[a-f]?\."", """"))"),"")</f>
        <v/>
      </c>
      <c r="J34" s="91" t="s">
        <v>247</v>
      </c>
      <c r="K34" s="91" t="s">
        <v>251</v>
      </c>
      <c r="L34" s="91" t="s">
        <v>252</v>
      </c>
    </row>
    <row r="35" hidden="1">
      <c r="A35" s="104" t="s">
        <v>108</v>
      </c>
      <c r="B35" s="106" t="s">
        <v>253</v>
      </c>
      <c r="C35" s="107"/>
      <c r="D35" s="107"/>
      <c r="E35" s="107"/>
    </row>
    <row r="36" hidden="1">
      <c r="A36" s="104" t="s">
        <v>108</v>
      </c>
      <c r="B36" s="106" t="s">
        <v>254</v>
      </c>
      <c r="C36" s="107"/>
      <c r="D36" s="107"/>
      <c r="E36" s="107"/>
    </row>
    <row r="37" hidden="1">
      <c r="A37" s="104" t="s">
        <v>108</v>
      </c>
      <c r="B37" s="106" t="s">
        <v>260</v>
      </c>
      <c r="C37" s="107"/>
      <c r="D37" s="107"/>
      <c r="E37" s="107"/>
    </row>
    <row r="38" hidden="1">
      <c r="A38" s="104" t="s">
        <v>108</v>
      </c>
      <c r="B38" s="106" t="s">
        <v>261</v>
      </c>
      <c r="C38" s="107"/>
      <c r="D38" s="107"/>
      <c r="E38" s="107"/>
    </row>
    <row r="39">
      <c r="A39" s="65" t="s">
        <v>262</v>
      </c>
      <c r="B39" s="65" t="s">
        <v>230</v>
      </c>
      <c r="C39" s="31" t="s">
        <v>247</v>
      </c>
      <c r="D39" s="31" t="s">
        <v>251</v>
      </c>
      <c r="E39" s="31" t="s">
        <v>252</v>
      </c>
      <c r="F39" s="89">
        <v>7.0</v>
      </c>
      <c r="G39" s="91" t="str">
        <f>IFERROR(__xludf.DUMMYFUNCTION("TRIM(REGEXREPLACE(C39, ""[0-9]+[a-f]?\."", """"))"),"Select the Household ID number:")</f>
        <v>Select the Household ID number:</v>
      </c>
      <c r="H39" s="91" t="str">
        <f>IFERROR(__xludf.DUMMYFUNCTION("TRIM(REGEXREPLACE(D39, ""[0-9]+[a-f]?\."", """"))"),"Sélectionnez le numéro d'identification du ménage :")</f>
        <v>Sélectionnez le numéro d'identification du ménage :</v>
      </c>
      <c r="I39" s="91" t="str">
        <f>IFERROR(__xludf.DUMMYFUNCTION("TRIM(REGEXREPLACE(E39, ""[0-9]+[a-f]?\."", """"))"),"Zaɓi lambar ID na Gida:")</f>
        <v>Zaɓi lambar ID na Gida:</v>
      </c>
      <c r="J39" s="91" t="str">
        <f>F39&amp;". "&amp;G39</f>
        <v>7. Select the Household ID number:</v>
      </c>
      <c r="K39" s="91" t="str">
        <f t="shared" ref="K39:L39" si="8">$F39&amp;". "&amp;H39</f>
        <v>7. Sélectionnez le numéro d'identification du ménage :</v>
      </c>
      <c r="L39" s="91" t="str">
        <f t="shared" si="8"/>
        <v>7. Zaɓi lambar ID na Gida:</v>
      </c>
    </row>
    <row r="40" hidden="1">
      <c r="A40" s="67" t="s">
        <v>108</v>
      </c>
      <c r="B40" s="72" t="s">
        <v>232</v>
      </c>
      <c r="C40" s="31"/>
      <c r="D40" s="31"/>
      <c r="E40" s="31"/>
    </row>
    <row r="41" hidden="1">
      <c r="A41" s="67" t="s">
        <v>108</v>
      </c>
      <c r="B41" s="72" t="s">
        <v>272</v>
      </c>
      <c r="C41" s="31"/>
      <c r="D41" s="31"/>
      <c r="E41" s="31"/>
    </row>
    <row r="42" hidden="1">
      <c r="A42" s="67" t="s">
        <v>108</v>
      </c>
      <c r="B42" s="72" t="s">
        <v>273</v>
      </c>
      <c r="C42" s="31"/>
      <c r="D42" s="31"/>
      <c r="E42" s="31"/>
    </row>
    <row r="43" hidden="1">
      <c r="A43" s="67" t="s">
        <v>108</v>
      </c>
      <c r="B43" s="72" t="s">
        <v>276</v>
      </c>
      <c r="C43" s="31"/>
      <c r="D43" s="31"/>
      <c r="E43" s="31"/>
    </row>
    <row r="44" hidden="1">
      <c r="A44" s="67" t="s">
        <v>108</v>
      </c>
      <c r="B44" s="72" t="s">
        <v>277</v>
      </c>
      <c r="C44" s="31"/>
      <c r="D44" s="31"/>
      <c r="E44" s="31"/>
    </row>
    <row r="45" hidden="1">
      <c r="A45" s="67" t="s">
        <v>108</v>
      </c>
      <c r="B45" s="72" t="s">
        <v>279</v>
      </c>
      <c r="C45" s="31"/>
      <c r="D45" s="31"/>
      <c r="E45" s="31"/>
    </row>
    <row r="46" hidden="1">
      <c r="A46" s="67" t="s">
        <v>108</v>
      </c>
      <c r="B46" s="72" t="s">
        <v>281</v>
      </c>
      <c r="C46" s="31"/>
      <c r="D46" s="31"/>
      <c r="E46" s="31"/>
    </row>
    <row r="47" hidden="1">
      <c r="A47" s="67" t="s">
        <v>108</v>
      </c>
      <c r="B47" s="72" t="s">
        <v>284</v>
      </c>
      <c r="C47" s="31"/>
      <c r="D47" s="31"/>
      <c r="E47" s="31"/>
    </row>
    <row r="48" hidden="1">
      <c r="A48" s="67" t="s">
        <v>108</v>
      </c>
      <c r="B48" s="72" t="s">
        <v>285</v>
      </c>
      <c r="C48" s="31"/>
      <c r="D48" s="31"/>
      <c r="E48" s="31"/>
      <c r="F48" s="89">
        <v>9.0</v>
      </c>
      <c r="G48" s="91" t="str">
        <f>IFERROR(__xludf.DUMMYFUNCTION("TRIM(REGEXREPLACE(C48, ""[0-9]+[a-f]?\."", """"))"),"")</f>
        <v/>
      </c>
      <c r="H48" s="91" t="str">
        <f>IFERROR(__xludf.DUMMYFUNCTION("TRIM(REGEXREPLACE(D48, ""[0-9]+[a-f]?\."", """"))"),"")</f>
        <v/>
      </c>
      <c r="I48" s="91" t="str">
        <f>IFERROR(__xludf.DUMMYFUNCTION("TRIM(REGEXREPLACE(E48, ""[0-9]+[a-f]?\."", """"))"),"")</f>
        <v/>
      </c>
      <c r="J48" s="91" t="s">
        <v>286</v>
      </c>
      <c r="K48" s="91" t="s">
        <v>289</v>
      </c>
      <c r="L48" s="91" t="s">
        <v>289</v>
      </c>
    </row>
    <row r="49" hidden="1">
      <c r="A49" s="67" t="s">
        <v>108</v>
      </c>
      <c r="B49" s="72" t="s">
        <v>292</v>
      </c>
      <c r="C49" s="31"/>
      <c r="D49" s="31"/>
      <c r="E49" s="31"/>
      <c r="F49" s="89">
        <v>1.0</v>
      </c>
      <c r="G49" s="91" t="str">
        <f>IFERROR(__xludf.DUMMYFUNCTION("TRIM(REGEXREPLACE(C49, ""[0-9]+[a-f]?\."", """"))"),"")</f>
        <v/>
      </c>
      <c r="H49" s="91" t="str">
        <f>IFERROR(__xludf.DUMMYFUNCTION("TRIM(REGEXREPLACE(D49, ""[0-9]+[a-f]?\."", """"))"),"")</f>
        <v/>
      </c>
      <c r="I49" s="91" t="str">
        <f>IFERROR(__xludf.DUMMYFUNCTION("TRIM(REGEXREPLACE(E49, ""[0-9]+[a-f]?\."", """"))"),"")</f>
        <v/>
      </c>
      <c r="J49" s="91" t="str">
        <f>F49 &amp; ". " &amp;G49</f>
        <v>1. </v>
      </c>
      <c r="K49" s="91" t="str">
        <f>F49 &amp; ". " &amp;H49</f>
        <v>1. </v>
      </c>
      <c r="L49" s="91" t="str">
        <f>F49 &amp; ". " &amp;I49</f>
        <v>1. </v>
      </c>
    </row>
    <row r="50" hidden="1">
      <c r="A50" s="67" t="s">
        <v>108</v>
      </c>
      <c r="B50" s="72" t="s">
        <v>298</v>
      </c>
      <c r="C50" s="31"/>
      <c r="D50" s="31"/>
      <c r="E50" s="31"/>
      <c r="F50" s="89">
        <v>10.0</v>
      </c>
      <c r="G50" s="91" t="str">
        <f>IFERROR(__xludf.DUMMYFUNCTION("TRIM(REGEXREPLACE(C50, ""[0-9]+[a-f]?\."", """"))"),"")</f>
        <v/>
      </c>
      <c r="H50" s="91" t="str">
        <f>IFERROR(__xludf.DUMMYFUNCTION("TRIM(REGEXREPLACE(D50, ""[0-9]+[a-f]?\."", """"))"),"")</f>
        <v/>
      </c>
      <c r="I50" s="91" t="str">
        <f>IFERROR(__xludf.DUMMYFUNCTION("TRIM(REGEXREPLACE(E50, ""[0-9]+[a-f]?\."", """"))"),"")</f>
        <v/>
      </c>
      <c r="J50" s="91" t="s">
        <v>300</v>
      </c>
      <c r="K50" s="91" t="s">
        <v>301</v>
      </c>
      <c r="L50" s="91" t="s">
        <v>301</v>
      </c>
    </row>
    <row r="51" hidden="1">
      <c r="A51" s="67" t="s">
        <v>108</v>
      </c>
      <c r="B51" s="72" t="s">
        <v>303</v>
      </c>
      <c r="C51" s="31"/>
      <c r="D51" s="31"/>
      <c r="E51" s="31"/>
      <c r="F51" s="89">
        <v>10.0</v>
      </c>
      <c r="G51" s="91" t="str">
        <f>IFERROR(__xludf.DUMMYFUNCTION("TRIM(REGEXREPLACE(C51, ""[0-9]+[a-f]?\."", """"))"),"")</f>
        <v/>
      </c>
      <c r="H51" s="91" t="str">
        <f>IFERROR(__xludf.DUMMYFUNCTION("TRIM(REGEXREPLACE(D51, ""[0-9]+[a-f]?\."", """"))"),"")</f>
        <v/>
      </c>
      <c r="I51" s="91" t="str">
        <f>IFERROR(__xludf.DUMMYFUNCTION("TRIM(REGEXREPLACE(E51, ""[0-9]+[a-f]?\."", """"))"),"")</f>
        <v/>
      </c>
      <c r="J51" s="91" t="s">
        <v>300</v>
      </c>
      <c r="K51" s="91" t="s">
        <v>308</v>
      </c>
      <c r="L51" s="91" t="s">
        <v>309</v>
      </c>
    </row>
    <row r="52" hidden="1">
      <c r="A52" s="67" t="s">
        <v>108</v>
      </c>
      <c r="B52" s="72" t="s">
        <v>310</v>
      </c>
      <c r="C52" s="31"/>
      <c r="D52" s="31"/>
      <c r="E52" s="31"/>
      <c r="F52" s="89">
        <v>11.0</v>
      </c>
      <c r="G52" s="91" t="str">
        <f>IFERROR(__xludf.DUMMYFUNCTION("TRIM(REGEXREPLACE(C52, ""[0-9]+[a-f]?\."", """"))"),"")</f>
        <v/>
      </c>
      <c r="H52" s="91" t="str">
        <f>IFERROR(__xludf.DUMMYFUNCTION("TRIM(REGEXREPLACE(D52, ""[0-9]+[a-f]?\."", """"))"),"")</f>
        <v/>
      </c>
      <c r="I52" s="91" t="str">
        <f>IFERROR(__xludf.DUMMYFUNCTION("TRIM(REGEXREPLACE(E52, ""[0-9]+[a-f]?\."", """"))"),"")</f>
        <v/>
      </c>
      <c r="J52" s="91" t="s">
        <v>311</v>
      </c>
      <c r="K52" s="91" t="s">
        <v>312</v>
      </c>
      <c r="L52" s="91" t="s">
        <v>313</v>
      </c>
    </row>
    <row r="53" hidden="1">
      <c r="A53" s="104" t="s">
        <v>108</v>
      </c>
      <c r="B53" s="106" t="s">
        <v>314</v>
      </c>
      <c r="C53" s="31"/>
      <c r="D53" s="31"/>
      <c r="E53" s="31"/>
      <c r="F53" s="89">
        <v>12.0</v>
      </c>
      <c r="G53" s="91" t="str">
        <f>IFERROR(__xludf.DUMMYFUNCTION("TRIM(REGEXREPLACE(C53, ""[0-9]+[a-f]?\."", """"))"),"")</f>
        <v/>
      </c>
      <c r="H53" s="91" t="str">
        <f>IFERROR(__xludf.DUMMYFUNCTION("TRIM(REGEXREPLACE(D53, ""[0-9]+[a-f]?\."", """"))"),"")</f>
        <v/>
      </c>
      <c r="I53" s="91" t="str">
        <f>IFERROR(__xludf.DUMMYFUNCTION("TRIM(REGEXREPLACE(E53, ""[0-9]+[a-f]?\."", """"))"),"")</f>
        <v/>
      </c>
      <c r="J53" s="91" t="s">
        <v>319</v>
      </c>
      <c r="K53" s="91" t="s">
        <v>320</v>
      </c>
      <c r="L53" s="91" t="s">
        <v>321</v>
      </c>
    </row>
    <row r="54">
      <c r="A54" s="65" t="s">
        <v>42</v>
      </c>
      <c r="B54" s="65" t="s">
        <v>322</v>
      </c>
      <c r="C54" s="31" t="s">
        <v>286</v>
      </c>
      <c r="D54" s="31" t="s">
        <v>323</v>
      </c>
      <c r="E54" s="31" t="s">
        <v>325</v>
      </c>
      <c r="F54" s="89">
        <v>8.0</v>
      </c>
      <c r="G54" s="91" t="str">
        <f>IFERROR(__xludf.DUMMYFUNCTION("TRIM(REGEXREPLACE(C54, ""[0-9]+[a-f]?\."", """"))"),"There are no women to survey in this HH. Complete the PM and the SHM survey, if not complete already.")</f>
        <v>There are no women to survey in this HH. Complete the PM and the SHM survey, if not complete already.</v>
      </c>
      <c r="H54" s="91" t="str">
        <f>IFERROR(__xludf.DUMMYFUNCTION("TRIM(REGEXREPLACE(D54, ""[0-9]+[a-f]?\."", """"))"),"Il n'y a aucune femme à enquêter dans ce ménage. Remplissez l'enquête PM et SHM, si ce n'est pas déjà fait.")</f>
        <v>Il n'y a aucune femme à enquêter dans ce ménage. Remplissez l'enquête PM et SHM, si ce n'est pas déjà fait.</v>
      </c>
      <c r="I54" s="91" t="str">
        <f>IFERROR(__xludf.DUMMYFUNCTION("TRIM(REGEXREPLACE(E54, ""[0-9]+[a-f]?\."", """"))"),"Babu mata da za su bada amsa a wannan gidan. Kammala da binciken PM da SHM, idan ba a gama ba tun tuni.")</f>
        <v>Babu mata da za su bada amsa a wannan gidan. Kammala da binciken PM da SHM, idan ba a gama ba tun tuni.</v>
      </c>
      <c r="J54" s="91" t="str">
        <f>F54&amp;". "&amp;G54</f>
        <v>8. There are no women to survey in this HH. Complete the PM and the SHM survey, if not complete already.</v>
      </c>
      <c r="K54" s="91" t="str">
        <f t="shared" ref="K54:L54" si="9">$F54&amp;". "&amp;H54</f>
        <v>8. Il n'y a aucune femme à enquêter dans ce ménage. Remplissez l'enquête PM et SHM, si ce n'est pas déjà fait.</v>
      </c>
      <c r="L54" s="91" t="str">
        <f t="shared" si="9"/>
        <v>8. Babu mata da za su bada amsa a wannan gidan. Kammala da binciken PM da SHM, idan ba a gama ba tun tuni.</v>
      </c>
    </row>
    <row r="55" hidden="1">
      <c r="A55" s="65" t="s">
        <v>150</v>
      </c>
      <c r="B55" s="65" t="s">
        <v>328</v>
      </c>
      <c r="C55" s="31" t="s">
        <v>330</v>
      </c>
      <c r="D55" s="31"/>
      <c r="E55" s="31"/>
      <c r="F55" s="89">
        <v>3.0</v>
      </c>
      <c r="G55" s="91" t="str">
        <f>IFERROR(__xludf.DUMMYFUNCTION("TRIM(REGEXREPLACE(C55, ""[0-9]+[a-f]?\."", """"))"),"HH has woman to survey")</f>
        <v>HH has woman to survey</v>
      </c>
      <c r="H55" s="91" t="str">
        <f>IFERROR(__xludf.DUMMYFUNCTION("TRIM(REGEXREPLACE(D55, ""[0-9]+[a-f]?\."", """"))"),"")</f>
        <v/>
      </c>
      <c r="I55" s="91" t="str">
        <f>IFERROR(__xludf.DUMMYFUNCTION("TRIM(REGEXREPLACE(E55, ""[0-9]+[a-f]?\."", """"))"),"")</f>
        <v/>
      </c>
      <c r="J55" s="91" t="str">
        <f>F55 &amp; ". " &amp;G55</f>
        <v>3. HH has woman to survey</v>
      </c>
      <c r="K55" s="91" t="str">
        <f>F55 &amp; ". " &amp;H55</f>
        <v>3. </v>
      </c>
      <c r="L55" s="91" t="str">
        <f>F55 &amp; ". " &amp;I55</f>
        <v>3. </v>
      </c>
    </row>
    <row r="56">
      <c r="A56" s="65" t="s">
        <v>338</v>
      </c>
      <c r="B56" s="65" t="s">
        <v>339</v>
      </c>
      <c r="C56" s="31" t="s">
        <v>300</v>
      </c>
      <c r="D56" s="31" t="s">
        <v>308</v>
      </c>
      <c r="E56" s="31" t="s">
        <v>309</v>
      </c>
      <c r="F56" s="89">
        <v>9.0</v>
      </c>
      <c r="G56" s="91" t="str">
        <f>IFERROR(__xludf.DUMMYFUNCTION("TRIM(REGEXREPLACE(C56, ""[0-9]+[a-f]?\."", """"))"),"You indicated that you are attempting to interview ${w_name} (age: ${w_age}). Is that correct?")</f>
        <v>You indicated that you are attempting to interview ${w_name} (age: ${w_age}). Is that correct?</v>
      </c>
      <c r="H56" s="91" t="str">
        <f>IFERROR(__xludf.DUMMYFUNCTION("TRIM(REGEXREPLACE(D56, ""[0-9]+[a-f]?\."", """"))"),"Vous avez indiqué que vous tentez d'interroger ${w_name} (âge : ${w_age}). Est-ce exact ?")</f>
        <v>Vous avez indiqué que vous tentez d'interroger ${w_name} (âge : ${w_age}). Est-ce exact ?</v>
      </c>
      <c r="I56" s="91" t="str">
        <f>IFERROR(__xludf.DUMMYFUNCTION("TRIM(REGEXREPLACE(E56, ""[0-9]+[a-f]?\."", """"))"),"Kun nuna cewa kuna ƙoƙarin yin hira da ${w_name} (shekaru: ${w_age}). Shin hakan daidai ne?")</f>
        <v>Kun nuna cewa kuna ƙoƙarin yin hira da ${w_name} (shekaru: ${w_age}). Shin hakan daidai ne?</v>
      </c>
      <c r="J56" s="91" t="str">
        <f t="shared" ref="J56:J63" si="11">F56&amp;". "&amp;G56</f>
        <v>9. You indicated that you are attempting to interview ${w_name} (age: ${w_age}). Is that correct?</v>
      </c>
      <c r="K56" s="91" t="str">
        <f t="shared" ref="K56:L56" si="10">$F56&amp;". "&amp;H56</f>
        <v>9. Vous avez indiqué que vous tentez d'interroger ${w_name} (âge : ${w_age}). Est-ce exact ?</v>
      </c>
      <c r="L56" s="91" t="str">
        <f t="shared" si="10"/>
        <v>9. Kun nuna cewa kuna ƙoƙarin yin hira da ${w_name} (shekaru: ${w_age}). Shin hakan daidai ne?</v>
      </c>
    </row>
    <row r="57">
      <c r="A57" s="65" t="s">
        <v>343</v>
      </c>
      <c r="B57" s="65" t="s">
        <v>344</v>
      </c>
      <c r="C57" s="31" t="s">
        <v>311</v>
      </c>
      <c r="D57" s="31" t="s">
        <v>312</v>
      </c>
      <c r="E57" s="31" t="s">
        <v>313</v>
      </c>
      <c r="F57" s="89">
        <v>10.0</v>
      </c>
      <c r="G57" s="91" t="str">
        <f>IFERROR(__xludf.DUMMYFUNCTION("TRIM(REGEXREPLACE(C57, ""[0-9]+[a-f]?\."", """"))"),"Who are you trying to interview? Here are the other respondents in this household:")</f>
        <v>Who are you trying to interview? Here are the other respondents in this household:</v>
      </c>
      <c r="H57" s="91" t="str">
        <f>IFERROR(__xludf.DUMMYFUNCTION("TRIM(REGEXREPLACE(D57, ""[0-9]+[a-f]?\."", """"))"),"Qui essayez-vous d’interroger ? Voici les autres répondants de ce foyer :")</f>
        <v>Qui essayez-vous d’interroger ? Voici les autres répondants de ce foyer :</v>
      </c>
      <c r="I57" s="91" t="str">
        <f>IFERROR(__xludf.DUMMYFUNCTION("TRIM(REGEXREPLACE(E57, ""[0-9]+[a-f]?\."", """"))"),"Wanene kuke ƙoƙarin yin hira da shi ? Ga sauran masu bada amsa a wannan gidan:")</f>
        <v>Wanene kuke ƙoƙarin yin hira da shi ? Ga sauran masu bada amsa a wannan gidan:</v>
      </c>
      <c r="J57" s="91" t="str">
        <f t="shared" si="11"/>
        <v>10. Who are you trying to interview? Here are the other respondents in this household:</v>
      </c>
      <c r="K57" s="91" t="str">
        <f t="shared" ref="K57:L57" si="12">$F57&amp;". "&amp;H57</f>
        <v>10. Qui essayez-vous d’interroger ? Voici les autres répondants de ce foyer :</v>
      </c>
      <c r="L57" s="91" t="str">
        <f t="shared" si="12"/>
        <v>10. Wanene kuke ƙoƙarin yin hira da shi ? Ga sauran masu bada amsa a wannan gidan:</v>
      </c>
    </row>
    <row r="58">
      <c r="A58" s="65" t="s">
        <v>42</v>
      </c>
      <c r="B58" s="65" t="s">
        <v>350</v>
      </c>
      <c r="C58" s="31" t="s">
        <v>319</v>
      </c>
      <c r="D58" s="31" t="s">
        <v>320</v>
      </c>
      <c r="E58" s="31" t="s">
        <v>321</v>
      </c>
      <c r="F58" s="89">
        <v>11.0</v>
      </c>
      <c r="G58" s="91" t="str">
        <f>IFERROR(__xludf.DUMMYFUNCTION("TRIM(REGEXREPLACE(C58, ""[0-9]+[a-f]?\."", """"))"),"End of survey. Please return and fill out the PM survey to collect survey responses.")</f>
        <v>End of survey. Please return and fill out the PM survey to collect survey responses.</v>
      </c>
      <c r="H58" s="91" t="str">
        <f>IFERROR(__xludf.DUMMYFUNCTION("TRIM(REGEXREPLACE(D58, ""[0-9]+[a-f]?\."", """"))"),"Fin de l'enquête. Veuillez revenir et remplir l'enquête PM pour recueillir les réponses aux questions.")</f>
        <v>Fin de l'enquête. Veuillez revenir et remplir l'enquête PM pour recueillir les réponses aux questions.</v>
      </c>
      <c r="I58" s="91" t="str">
        <f>IFERROR(__xludf.DUMMYFUNCTION("TRIM(REGEXREPLACE(E58, ""[0-9]+[a-f]?\."", """"))"),"Ƙarshen binciken kenan. Da fatan za a dawo a cika binciken PM don tattara amsoshin binciken.")</f>
        <v>Ƙarshen binciken kenan. Da fatan za a dawo a cika binciken PM don tattara amsoshin binciken.</v>
      </c>
      <c r="J58" s="91" t="str">
        <f t="shared" si="11"/>
        <v>11. End of survey. Please return and fill out the PM survey to collect survey responses.</v>
      </c>
      <c r="K58" s="91" t="str">
        <f t="shared" ref="K58:L58" si="13">$F58&amp;". "&amp;H58</f>
        <v>11. Fin de l'enquête. Veuillez revenir et remplir l'enquête PM pour recueillir les réponses aux questions.</v>
      </c>
      <c r="L58" s="91" t="str">
        <f t="shared" si="13"/>
        <v>11. Ƙarshen binciken kenan. Da fatan za a dawo a cika binciken PM don tattara amsoshin binciken.</v>
      </c>
    </row>
    <row r="59">
      <c r="A59" s="65" t="s">
        <v>42</v>
      </c>
      <c r="B59" s="65" t="s">
        <v>355</v>
      </c>
      <c r="C59" s="31" t="s">
        <v>356</v>
      </c>
      <c r="D59" s="31" t="s">
        <v>357</v>
      </c>
      <c r="E59" s="31" t="s">
        <v>359</v>
      </c>
      <c r="F59" s="89">
        <v>12.0</v>
      </c>
      <c r="G59" s="91" t="str">
        <f>IFERROR(__xludf.DUMMYFUNCTION("TRIM(REGEXREPLACE(C59, ""[0-9]+[a-f]?\."", """"))"),"End of survey. Please return and fill out the SHM survey to collect survey responses.")</f>
        <v>End of survey. Please return and fill out the SHM survey to collect survey responses.</v>
      </c>
      <c r="H59" s="91" t="str">
        <f>IFERROR(__xludf.DUMMYFUNCTION("TRIM(REGEXREPLACE(D59, ""[0-9]+[a-f]?\."", """"))"),"Fin de l'enquête. Veuillez revenir et remplir l'enquête du SHM pour recueillir les réponses aux questions.")</f>
        <v>Fin de l'enquête. Veuillez revenir et remplir l'enquête du SHM pour recueillir les réponses aux questions.</v>
      </c>
      <c r="I59" s="91" t="str">
        <f>IFERROR(__xludf.DUMMYFUNCTION("TRIM(REGEXREPLACE(E59, ""[0-9]+[a-f]?\."", """"))"),"Ƙarshen binciken kenan. Da fatan za a dawo baya a cika binciken SHM don tattara amsoshin binciken.")</f>
        <v>Ƙarshen binciken kenan. Da fatan za a dawo baya a cika binciken SHM don tattara amsoshin binciken.</v>
      </c>
      <c r="J59" s="91" t="str">
        <f t="shared" si="11"/>
        <v>12. End of survey. Please return and fill out the SHM survey to collect survey responses.</v>
      </c>
      <c r="K59" s="91" t="str">
        <f t="shared" ref="K59:L59" si="14">$F59&amp;". "&amp;H59</f>
        <v>12. Fin de l'enquête. Veuillez revenir et remplir l'enquête du SHM pour recueillir les réponses aux questions.</v>
      </c>
      <c r="L59" s="91" t="str">
        <f t="shared" si="14"/>
        <v>12. Ƙarshen binciken kenan. Da fatan za a dawo baya a cika binciken SHM don tattara amsoshin binciken.</v>
      </c>
    </row>
    <row r="60">
      <c r="A60" s="65" t="s">
        <v>42</v>
      </c>
      <c r="B60" s="65" t="s">
        <v>363</v>
      </c>
      <c r="C60" s="31" t="s">
        <v>365</v>
      </c>
      <c r="D60" s="31" t="s">
        <v>366</v>
      </c>
      <c r="E60" s="31" t="s">
        <v>367</v>
      </c>
      <c r="F60" s="89">
        <v>13.0</v>
      </c>
      <c r="G60" s="91" t="str">
        <f>IFERROR(__xludf.DUMMYFUNCTION("TRIM(REGEXREPLACE(C60, ""[0-9]+[a-f]?\."", """"))"),"End of survey. The woman respondent is the Secondary HH member. Please return and fill out the SHM survey to collect survey responses.")</f>
        <v>End of survey. The woman respondent is the Secondary HH member. Please return and fill out the SHM survey to collect survey responses.</v>
      </c>
      <c r="H60" s="91" t="str">
        <f>IFERROR(__xludf.DUMMYFUNCTION("TRIM(REGEXREPLACE(D60, ""[0-9]+[a-f]?\."", """"))"),"Fin de l'enquête. La femme interrogée est le second membre du ménage. Veuillez revenir en arrière et remplir l'enquête du SHM pour recueillir les réponses aux questions.")</f>
        <v>Fin de l'enquête. La femme interrogée est le second membre du ménage. Veuillez revenir en arrière et remplir l'enquête du SHM pour recueillir les réponses aux questions.</v>
      </c>
      <c r="I60" s="91" t="str">
        <f>IFERROR(__xludf.DUMMYFUNCTION("TRIM(REGEXREPLACE(E60, ""[0-9]+[a-f]?\."", """"))"),"Ƙarshen binciken kenan. Matar da ta bada amsa ita ce memba na biyu a gidan. Da fatan za a dawo a cika binciken SHM don tattara amsoshin tambayoyin.")</f>
        <v>Ƙarshen binciken kenan. Matar da ta bada amsa ita ce memba na biyu a gidan. Da fatan za a dawo a cika binciken SHM don tattara amsoshin tambayoyin.</v>
      </c>
      <c r="J60" s="91" t="str">
        <f t="shared" si="11"/>
        <v>13. End of survey. The woman respondent is the Secondary HH member. Please return and fill out the SHM survey to collect survey responses.</v>
      </c>
      <c r="K60" s="91" t="str">
        <f t="shared" ref="K60:L60" si="15">$F60&amp;". "&amp;H60</f>
        <v>13. Fin de l'enquête. La femme interrogée est le second membre du ménage. Veuillez revenir en arrière et remplir l'enquête du SHM pour recueillir les réponses aux questions.</v>
      </c>
      <c r="L60" s="91" t="str">
        <f t="shared" si="15"/>
        <v>13. Ƙarshen binciken kenan. Matar da ta bada amsa ita ce memba na biyu a gidan. Da fatan za a dawo a cika binciken SHM don tattara amsoshin tambayoyin.</v>
      </c>
    </row>
    <row r="61">
      <c r="A61" s="65" t="s">
        <v>338</v>
      </c>
      <c r="B61" s="65" t="s">
        <v>369</v>
      </c>
      <c r="C61" s="31" t="s">
        <v>370</v>
      </c>
      <c r="D61" s="31" t="s">
        <v>371</v>
      </c>
      <c r="E61" s="31" t="s">
        <v>372</v>
      </c>
      <c r="F61" s="89">
        <v>14.0</v>
      </c>
      <c r="G61" s="91" t="str">
        <f>IFERROR(__xludf.DUMMYFUNCTION("TRIM(REGEXREPLACE(C61, ""[0-9]+[a-f]?\."", """"))"),"Is ${w_name} available to be interviewed?")</f>
        <v>Is ${w_name} available to be interviewed?</v>
      </c>
      <c r="H61" s="91" t="str">
        <f>IFERROR(__xludf.DUMMYFUNCTION("TRIM(REGEXREPLACE(D61, ""[0-9]+[a-f]?\."", """"))"),"Est-ce que ${w_name} est disponible pour être interviewé ?")</f>
        <v>Est-ce que ${w_name} est disponible pour être interviewé ?</v>
      </c>
      <c r="I61" s="91" t="str">
        <f>IFERROR(__xludf.DUMMYFUNCTION("TRIM(REGEXREPLACE(E61, ""[0-9]+[a-f]?\."", """"))"),"Ko ${w_name} yana da damar yin hira mu?")</f>
        <v>Ko ${w_name} yana da damar yin hira mu?</v>
      </c>
      <c r="J61" s="91" t="str">
        <f t="shared" si="11"/>
        <v>14. Is ${w_name} available to be interviewed?</v>
      </c>
      <c r="K61" s="91" t="str">
        <f t="shared" ref="K61:L61" si="16">$F61&amp;". "&amp;H61</f>
        <v>14. Est-ce que ${w_name} est disponible pour être interviewé ?</v>
      </c>
      <c r="L61" s="91" t="str">
        <f t="shared" si="16"/>
        <v>14. Ko ${w_name} yana da damar yin hira mu?</v>
      </c>
    </row>
    <row r="62">
      <c r="A62" s="65" t="s">
        <v>378</v>
      </c>
      <c r="B62" s="65" t="s">
        <v>379</v>
      </c>
      <c r="C62" s="31" t="s">
        <v>380</v>
      </c>
      <c r="D62" s="31" t="s">
        <v>381</v>
      </c>
      <c r="E62" s="31" t="s">
        <v>382</v>
      </c>
      <c r="F62" s="89">
        <v>15.0</v>
      </c>
      <c r="G62" s="91" t="str">
        <f>IFERROR(__xludf.DUMMYFUNCTION("TRIM(REGEXREPLACE(C62, ""[0-9]+[a-f]?\."", """"))"),"Enumerator: Please specify why ${w_name} is not available right now:")</f>
        <v>Enumerator: Please specify why ${w_name} is not available right now:</v>
      </c>
      <c r="H62" s="91" t="str">
        <f>IFERROR(__xludf.DUMMYFUNCTION("TRIM(REGEXREPLACE(D62, ""[0-9]+[a-f]?\."", """"))"),"Enqueteur: veuillez specifier pourquoi ${w_name} n'est pas disponible maintenant")</f>
        <v>Enqueteur: veuillez specifier pourquoi ${w_name} n'est pas disponible maintenant</v>
      </c>
      <c r="I62" s="91" t="str">
        <f>IFERROR(__xludf.DUMMYFUNCTION("TRIM(REGEXREPLACE(E62, ""[0-9]+[a-f]?\."", """"))"),"Dan binkike: dan mine ${w_name} bai nan a yanzu")</f>
        <v>Dan binkike: dan mine ${w_name} bai nan a yanzu</v>
      </c>
      <c r="J62" s="91" t="str">
        <f t="shared" si="11"/>
        <v>15. Enumerator: Please specify why ${w_name} is not available right now:</v>
      </c>
      <c r="K62" s="91" t="str">
        <f t="shared" ref="K62:L62" si="17">$F62&amp;". "&amp;H62</f>
        <v>15. Enqueteur: veuillez specifier pourquoi ${w_name} n'est pas disponible maintenant</v>
      </c>
      <c r="L62" s="91" t="str">
        <f t="shared" si="17"/>
        <v>15. Dan binkike: dan mine ${w_name} bai nan a yanzu</v>
      </c>
    </row>
    <row r="63">
      <c r="A63" s="65" t="s">
        <v>214</v>
      </c>
      <c r="B63" s="65" t="s">
        <v>384</v>
      </c>
      <c r="C63" s="31" t="s">
        <v>386</v>
      </c>
      <c r="D63" s="31" t="s">
        <v>387</v>
      </c>
      <c r="E63" s="31" t="s">
        <v>388</v>
      </c>
      <c r="F63" s="89">
        <v>16.0</v>
      </c>
      <c r="G63" s="91" t="str">
        <f>IFERROR(__xludf.DUMMYFUNCTION("TRIM(REGEXREPLACE(C63, ""[0-9]+[a-f]?\."", """"))"),"Other, specify:")</f>
        <v>Other, specify:</v>
      </c>
      <c r="H63" s="91" t="str">
        <f>IFERROR(__xludf.DUMMYFUNCTION("TRIM(REGEXREPLACE(D63, ""[0-9]+[a-f]?\."", """"))"),"Autre précisez:")</f>
        <v>Autre précisez:</v>
      </c>
      <c r="I63" s="91" t="str">
        <f>IFERROR(__xludf.DUMMYFUNCTION("TRIM(REGEXREPLACE(E63, ""[0-9]+[a-f]?\."", """"))"),"Sauran, bayar da cikakkun bayanai:")</f>
        <v>Sauran, bayar da cikakkun bayanai:</v>
      </c>
      <c r="J63" s="91" t="str">
        <f t="shared" si="11"/>
        <v>16. Other, specify:</v>
      </c>
      <c r="K63" s="91" t="str">
        <f t="shared" ref="K63:L63" si="18">$F63&amp;". "&amp;H63</f>
        <v>16. Autre précisez:</v>
      </c>
      <c r="L63" s="91" t="str">
        <f t="shared" si="18"/>
        <v>16. Sauran, bayar da cikakkun bayanai:</v>
      </c>
    </row>
    <row r="64" hidden="1">
      <c r="A64" s="65" t="s">
        <v>236</v>
      </c>
      <c r="B64" s="65" t="s">
        <v>131</v>
      </c>
      <c r="C64" s="31"/>
      <c r="D64" s="31"/>
      <c r="E64" s="31"/>
      <c r="F64" s="89">
        <v>17.0</v>
      </c>
      <c r="G64" s="91" t="str">
        <f>IFERROR(__xludf.DUMMYFUNCTION("TRIM(REGEXREPLACE(C64, ""[0-9]+[a-f]?\."", """"))"),"")</f>
        <v/>
      </c>
      <c r="H64" s="91" t="str">
        <f>IFERROR(__xludf.DUMMYFUNCTION("TRIM(REGEXREPLACE(D64, ""[0-9]+[a-f]?\."", """"))"),"")</f>
        <v/>
      </c>
      <c r="I64" s="91" t="str">
        <f>IFERROR(__xludf.DUMMYFUNCTION("TRIM(REGEXREPLACE(E64, ""[0-9]+[a-f]?\."", """"))"),"")</f>
        <v/>
      </c>
      <c r="J64" s="91" t="s">
        <v>395</v>
      </c>
      <c r="K64" s="91" t="s">
        <v>396</v>
      </c>
      <c r="L64" s="91" t="s">
        <v>397</v>
      </c>
    </row>
    <row r="65">
      <c r="A65" s="65" t="s">
        <v>338</v>
      </c>
      <c r="B65" s="65" t="s">
        <v>399</v>
      </c>
      <c r="C65" s="31" t="s">
        <v>402</v>
      </c>
      <c r="D65" s="31" t="s">
        <v>403</v>
      </c>
      <c r="E65" s="31" t="s">
        <v>404</v>
      </c>
      <c r="F65" s="89">
        <v>17.0</v>
      </c>
      <c r="G65" s="91" t="str">
        <f>IFERROR(__xludf.DUMMYFUNCTION("TRIM(REGEXREPLACE(C65, ""[0-9]+[a-f]?\."", """"))"),"&lt;p&gt;&lt;span style=""color: #ff0000;""&gt;&lt;b&gt;ENUMERATOR: Starting now, you will read the questions out loud.&lt;/b&gt;&lt;/span&gt;
 &lt;br&gt; &lt;br&gt; 
 Great, I am visiting to ask you questions to learn about how you have been since the last time you spoke with us.&lt;br&gt; &lt;br&gt; 
 "&amp;"To remind you, we asked your permission to visit you once every 6 months and reach you by phone between our in-person visits. If you complete each in-person survey, we will send you ${treatment_cfa} in phone credit each time. You are free to skip any ques"&amp;"tions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65" s="91" t="str">
        <f>IFERROR(__xludf.DUMMYFUNCTION("TRIM(REGEXREPLACE(D65, ""[0-9]+[a-f]?\."", """"))"),"&lt;p&gt;&lt;span style=""color: #ff0000;""&gt;&lt;b&gt;ENQUETEUR : À partir de maintenant, vous lirez les questions à haute voix.&lt;/b&gt;&lt;/span&gt;
 &lt;br&gt; &lt;br&gt; 
 Super, je viens vous poser des questions afin de savoir comment vous allez depuis la dernière fois que vous nous ave"&amp;"z parlé.
 &lt;br&gt; &lt;br&gt; 
 Pour rappel, nous avons demandé votre autorisation pour vous rendre visite une fois tous les 6 mois. Si vous répondez à chaque enquête en personne, nous vous enverrons à chaque fois ${treatment_cfa} de crédit téléphonique. Vous ête"&amp;"s libre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65" s="91" t="str">
        <f>IFERROR(__xludf.DUMMYFUNCTION("TRIM(REGEXREPLACE(E65, ""[0-9]+[a-f]?\."", """"))"),"&lt;p&gt;&lt;span style=""color: #ff0000;""&gt;&lt;b&gt;Mai bincike: Daga yanzu, za ka karanta tambayoyin da babbar murya.&lt;/b&gt;&lt;/span&gt;
 &lt;br&gt; &lt;br&gt; 
 Madalla, na ziyarce ku ne domin in yi muku tambayoyi don sanin yadda kuka kasance tun lokacin da kuka yi magana da mu.&lt;br&gt; &lt;"&amp;"br&gt; 
 Don tunatar da ku, mun nemi izinin ku don ziyartar ku sau ɗaya a kowane watanni Idan kun bada amsa ga kowane binciken na gaba da gaba, za mu aika muku ${treatment_cfa} a kuɗin waya kowane lokaci. Kuna da ƴanci tsallake kowace tambaya idan ba ku so"&amp;" bada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65" s="91" t="str">
        <f>F65&amp;". "&amp;G65</f>
        <v>17.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K65" s="91" t="str">
        <f t="shared" ref="K65:L65" si="19">$F65&amp;". "&amp;H65</f>
        <v>17.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L65" s="91" t="str">
        <f t="shared" si="19"/>
        <v>17.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row>
    <row r="66" hidden="1">
      <c r="A66" s="67" t="s">
        <v>139</v>
      </c>
      <c r="B66" s="69" t="s">
        <v>411</v>
      </c>
      <c r="C66" s="31"/>
      <c r="D66" s="31"/>
      <c r="E66" s="31"/>
      <c r="F66" s="89">
        <v>5.0</v>
      </c>
      <c r="G66" s="91" t="str">
        <f>IFERROR(__xludf.DUMMYFUNCTION("TRIM(REGEXREPLACE(C66, ""[0-9]+[a-f]?\."", """"))"),"")</f>
        <v/>
      </c>
      <c r="H66" s="91" t="str">
        <f>IFERROR(__xludf.DUMMYFUNCTION("TRIM(REGEXREPLACE(D66, ""[0-9]+[a-f]?\."", """"))"),"")</f>
        <v/>
      </c>
      <c r="I66" s="91" t="str">
        <f>IFERROR(__xludf.DUMMYFUNCTION("TRIM(REGEXREPLACE(E66, ""[0-9]+[a-f]?\."", """"))"),"")</f>
        <v/>
      </c>
      <c r="J66" s="91" t="str">
        <f>F66 &amp; ". " &amp;G66</f>
        <v>5. </v>
      </c>
      <c r="K66" s="91" t="str">
        <f>F66 &amp; ". " &amp;H66</f>
        <v>5. </v>
      </c>
      <c r="L66" s="91" t="str">
        <f>F66 &amp; ". " &amp;I66</f>
        <v>5. </v>
      </c>
    </row>
    <row r="67" hidden="1">
      <c r="A67" s="65" t="s">
        <v>108</v>
      </c>
      <c r="B67" s="65" t="s">
        <v>412</v>
      </c>
      <c r="C67" s="31"/>
      <c r="D67" s="31"/>
      <c r="E67" s="31"/>
      <c r="F67" s="89">
        <v>18.0</v>
      </c>
      <c r="G67" s="91" t="str">
        <f>IFERROR(__xludf.DUMMYFUNCTION("TRIM(REGEXREPLACE(C67, ""[0-9]+[a-f]?\."", """"))"),"")</f>
        <v/>
      </c>
      <c r="H67" s="91" t="str">
        <f>IFERROR(__xludf.DUMMYFUNCTION("TRIM(REGEXREPLACE(D67, ""[0-9]+[a-f]?\."", """"))"),"")</f>
        <v/>
      </c>
      <c r="I67" s="91" t="str">
        <f>IFERROR(__xludf.DUMMYFUNCTION("TRIM(REGEXREPLACE(E67, ""[0-9]+[a-f]?\."", """"))"),"")</f>
        <v/>
      </c>
      <c r="J67" s="91" t="s">
        <v>416</v>
      </c>
      <c r="K67" s="91" t="s">
        <v>417</v>
      </c>
      <c r="L67" s="91" t="s">
        <v>417</v>
      </c>
    </row>
    <row r="68" hidden="1">
      <c r="A68" s="65" t="s">
        <v>150</v>
      </c>
      <c r="B68" s="65" t="s">
        <v>418</v>
      </c>
      <c r="C68" s="31" t="s">
        <v>419</v>
      </c>
      <c r="D68" s="31"/>
      <c r="E68" s="31"/>
      <c r="F68" s="89">
        <v>18.0</v>
      </c>
      <c r="G68" s="91" t="str">
        <f>IFERROR(__xludf.DUMMYFUNCTION("TRIM(REGEXREPLACE(C68, ""[0-9]+[a-f]?\."", """"))"),"Consent: Yes")</f>
        <v>Consent: Yes</v>
      </c>
      <c r="H68" s="91" t="str">
        <f>IFERROR(__xludf.DUMMYFUNCTION("TRIM(REGEXREPLACE(D68, ""[0-9]+[a-f]?\."", """"))"),"")</f>
        <v/>
      </c>
      <c r="I68" s="91" t="str">
        <f>IFERROR(__xludf.DUMMYFUNCTION("TRIM(REGEXREPLACE(E68, ""[0-9]+[a-f]?\."", """"))"),"")</f>
        <v/>
      </c>
      <c r="J68" s="91" t="s">
        <v>416</v>
      </c>
      <c r="K68" s="91" t="s">
        <v>417</v>
      </c>
      <c r="L68" s="91" t="s">
        <v>417</v>
      </c>
    </row>
    <row r="69" hidden="1">
      <c r="A69" s="65" t="s">
        <v>150</v>
      </c>
      <c r="B69" s="65" t="s">
        <v>424</v>
      </c>
      <c r="C69" s="31"/>
      <c r="D69" s="31"/>
      <c r="E69" s="31"/>
      <c r="F69" s="89">
        <v>6.0</v>
      </c>
      <c r="G69" s="91" t="str">
        <f>IFERROR(__xludf.DUMMYFUNCTION("TRIM(REGEXREPLACE(C69, ""[0-9]+[a-f]?\."", """"))"),"")</f>
        <v/>
      </c>
      <c r="H69" s="91" t="str">
        <f>IFERROR(__xludf.DUMMYFUNCTION("TRIM(REGEXREPLACE(D69, ""[0-9]+[a-f]?\."", """"))"),"")</f>
        <v/>
      </c>
      <c r="I69" s="91" t="str">
        <f>IFERROR(__xludf.DUMMYFUNCTION("TRIM(REGEXREPLACE(E69, ""[0-9]+[a-f]?\."", """"))"),"")</f>
        <v/>
      </c>
      <c r="J69" s="91" t="str">
        <f>F69 &amp; ". " &amp;G69</f>
        <v>6. </v>
      </c>
      <c r="K69" s="91" t="str">
        <f>F69 &amp; ". " &amp;H69</f>
        <v>6. </v>
      </c>
      <c r="L69" s="91" t="str">
        <f>F69 &amp; ". " &amp;I69</f>
        <v>6. </v>
      </c>
    </row>
    <row r="70" hidden="1">
      <c r="A70" s="65"/>
      <c r="B70" s="65"/>
      <c r="C70" s="31"/>
      <c r="D70" s="31"/>
      <c r="E70" s="31"/>
      <c r="F70" s="89">
        <v>20.0</v>
      </c>
      <c r="G70" s="91" t="str">
        <f>IFERROR(__xludf.DUMMYFUNCTION("TRIM(REGEXREPLACE(C70, ""[0-9]+[a-f]?\."", """"))"),"")</f>
        <v/>
      </c>
      <c r="H70" s="91" t="str">
        <f>IFERROR(__xludf.DUMMYFUNCTION("TRIM(REGEXREPLACE(D70, ""[0-9]+[a-f]?\."", """"))"),"")</f>
        <v/>
      </c>
      <c r="I70" s="91" t="str">
        <f>IFERROR(__xludf.DUMMYFUNCTION("TRIM(REGEXREPLACE(E70, ""[0-9]+[a-f]?\."", """"))"),"")</f>
        <v/>
      </c>
      <c r="J70" s="91" t="s">
        <v>431</v>
      </c>
      <c r="K70" s="91" t="s">
        <v>432</v>
      </c>
      <c r="L70" s="91" t="s">
        <v>433</v>
      </c>
    </row>
    <row r="71" hidden="1">
      <c r="A71" s="67" t="s">
        <v>139</v>
      </c>
      <c r="B71" s="69" t="s">
        <v>434</v>
      </c>
      <c r="C71" s="31"/>
      <c r="D71" s="31"/>
      <c r="E71" s="31"/>
      <c r="F71" s="89">
        <v>21.0</v>
      </c>
      <c r="G71" s="91" t="str">
        <f>IFERROR(__xludf.DUMMYFUNCTION("TRIM(REGEXREPLACE(C71, ""[0-9]+[a-f]?\."", """"))"),"")</f>
        <v/>
      </c>
      <c r="H71" s="91" t="str">
        <f>IFERROR(__xludf.DUMMYFUNCTION("TRIM(REGEXREPLACE(D71, ""[0-9]+[a-f]?\."", """"))"),"")</f>
        <v/>
      </c>
      <c r="I71" s="91" t="str">
        <f>IFERROR(__xludf.DUMMYFUNCTION("TRIM(REGEXREPLACE(E71, ""[0-9]+[a-f]?\."", """"))"),"")</f>
        <v/>
      </c>
      <c r="J71" s="91" t="s">
        <v>436</v>
      </c>
      <c r="K71" s="91" t="s">
        <v>438</v>
      </c>
      <c r="L71" s="91" t="s">
        <v>439</v>
      </c>
    </row>
    <row r="72" hidden="1">
      <c r="A72" s="122" t="s">
        <v>150</v>
      </c>
      <c r="B72" s="123" t="s">
        <v>440</v>
      </c>
      <c r="C72" s="31" t="s">
        <v>441</v>
      </c>
      <c r="D72" s="31"/>
      <c r="E72" s="31"/>
      <c r="F72" s="89">
        <v>22.0</v>
      </c>
      <c r="G72" s="91" t="str">
        <f>IFERROR(__xludf.DUMMYFUNCTION("TRIM(REGEXREPLACE(C72, ""[0-9]+[a-f]?\."", """"))"),"Woman Questionnaire")</f>
        <v>Woman Questionnaire</v>
      </c>
      <c r="H72" s="91" t="str">
        <f>IFERROR(__xludf.DUMMYFUNCTION("TRIM(REGEXREPLACE(D72, ""[0-9]+[a-f]?\."", """"))"),"")</f>
        <v/>
      </c>
      <c r="I72" s="91" t="str">
        <f>IFERROR(__xludf.DUMMYFUNCTION("TRIM(REGEXREPLACE(E72, ""[0-9]+[a-f]?\."", """"))"),"")</f>
        <v/>
      </c>
      <c r="J72" s="91" t="s">
        <v>445</v>
      </c>
      <c r="K72" s="91" t="s">
        <v>447</v>
      </c>
      <c r="L72" s="91" t="s">
        <v>448</v>
      </c>
    </row>
    <row r="73">
      <c r="A73" s="126" t="s">
        <v>42</v>
      </c>
      <c r="B73" s="127" t="s">
        <v>451</v>
      </c>
      <c r="C73" s="31" t="s">
        <v>452</v>
      </c>
      <c r="D73" s="31" t="s">
        <v>453</v>
      </c>
      <c r="E73" s="31" t="s">
        <v>454</v>
      </c>
      <c r="F73" s="89">
        <v>18.0</v>
      </c>
      <c r="G73" s="91" t="str">
        <f>IFERROR(__xludf.DUMMYFUNCTION("TRIM(REGEXREPLACE(C73, ""[0-9]+[a-f]?\."", """"))"),"Woman Questions")</f>
        <v>Woman Questions</v>
      </c>
      <c r="H73" s="91" t="str">
        <f>IFERROR(__xludf.DUMMYFUNCTION("TRIM(REGEXREPLACE(D73, ""[0-9]+[a-f]?\."", """"))"),"Questions de la femme")</f>
        <v>Questions de la femme</v>
      </c>
      <c r="I73" s="91" t="str">
        <f>IFERROR(__xludf.DUMMYFUNCTION("TRIM(REGEXREPLACE(E73, ""[0-9]+[a-f]?\."", """"))"),"Tambayoyin Mata")</f>
        <v>Tambayoyin Mata</v>
      </c>
      <c r="J73" s="91" t="str">
        <f>F73&amp;". "&amp;G73</f>
        <v>18. Woman Questions</v>
      </c>
      <c r="K73" s="91" t="str">
        <f t="shared" ref="K73:L73" si="20">$F73&amp;". "&amp;H73</f>
        <v>18. Questions de la femme</v>
      </c>
      <c r="L73" s="91" t="str">
        <f t="shared" si="20"/>
        <v>18. Tambayoyin Mata</v>
      </c>
    </row>
    <row r="74" hidden="1">
      <c r="A74" s="67" t="s">
        <v>139</v>
      </c>
      <c r="B74" s="69" t="s">
        <v>463</v>
      </c>
      <c r="C74" s="31"/>
      <c r="D74" s="31"/>
      <c r="E74" s="31"/>
      <c r="F74" s="89">
        <v>24.0</v>
      </c>
      <c r="G74" s="91" t="str">
        <f>IFERROR(__xludf.DUMMYFUNCTION("TRIM(REGEXREPLACE(C74, ""[0-9]+[a-f]?\."", """"))"),"")</f>
        <v/>
      </c>
      <c r="H74" s="91" t="str">
        <f>IFERROR(__xludf.DUMMYFUNCTION("TRIM(REGEXREPLACE(D74, ""[0-9]+[a-f]?\."", """"))"),"")</f>
        <v/>
      </c>
      <c r="I74" s="91" t="str">
        <f>IFERROR(__xludf.DUMMYFUNCTION("TRIM(REGEXREPLACE(E74, ""[0-9]+[a-f]?\."", """"))"),"")</f>
        <v/>
      </c>
      <c r="J74" s="91" t="s">
        <v>470</v>
      </c>
      <c r="K74" s="91" t="s">
        <v>474</v>
      </c>
      <c r="L74" s="91" t="s">
        <v>475</v>
      </c>
    </row>
    <row r="75">
      <c r="A75" s="128" t="s">
        <v>42</v>
      </c>
      <c r="B75" s="129" t="s">
        <v>478</v>
      </c>
      <c r="C75" s="31" t="s">
        <v>479</v>
      </c>
      <c r="D75" s="31" t="s">
        <v>480</v>
      </c>
      <c r="E75" s="31" t="s">
        <v>481</v>
      </c>
      <c r="F75" s="89">
        <v>19.0</v>
      </c>
      <c r="G75" s="91" t="str">
        <f>IFERROR(__xludf.DUMMYFUNCTION("TRIM(REGEXREPLACE(C75, ""[0-9]+[a-f]?\."", """"))"),"Before we begin, I would like to ask you about the locations of other respondents of this household")</f>
        <v>Before we begin, I would like to ask you about the locations of other respondents of this household</v>
      </c>
      <c r="H75" s="91" t="str">
        <f>IFERROR(__xludf.DUMMYFUNCTION("TRIM(REGEXREPLACE(D75, ""[0-9]+[a-f]?\."", """"))"),"Avant de commencer, j'aimerais vous poser des questions sur l'endroit où vivent les autres répondants de ce ménage.")</f>
        <v>Avant de commencer, j'aimerais vous poser des questions sur l'endroit où vivent les autres répondants de ce ménage.</v>
      </c>
      <c r="I75" s="91" t="str">
        <f>IFERROR(__xludf.DUMMYFUNCTION("TRIM(REGEXREPLACE(E75, ""[0-9]+[a-f]?\."", """"))"),"Kafin mu fara, Ina so in tambaye ku game da inda sauran masu bada amsan wannan gidan suke")</f>
        <v>Kafin mu fara, Ina so in tambaye ku game da inda sauran masu bada amsan wannan gidan suke</v>
      </c>
      <c r="J75" s="91" t="str">
        <f t="shared" ref="J75:J84" si="22">F75&amp;". "&amp;G75</f>
        <v>19. Before we begin, I would like to ask you about the locations of other respondents of this household</v>
      </c>
      <c r="K75" s="91" t="str">
        <f t="shared" ref="K75:L75" si="21">$F75&amp;". "&amp;H75</f>
        <v>19. Avant de commencer, j'aimerais vous poser des questions sur l'endroit où vivent les autres répondants de ce ménage.</v>
      </c>
      <c r="L75" s="91" t="str">
        <f t="shared" si="21"/>
        <v>19. Kafin mu fara, Ina so in tambaye ku game da inda sauran masu bada amsan wannan gidan suke</v>
      </c>
    </row>
    <row r="76">
      <c r="A76" s="81" t="s">
        <v>485</v>
      </c>
      <c r="B76" s="131" t="s">
        <v>486</v>
      </c>
      <c r="C76" s="31" t="s">
        <v>487</v>
      </c>
      <c r="D76" s="31" t="s">
        <v>488</v>
      </c>
      <c r="E76" s="31" t="s">
        <v>489</v>
      </c>
      <c r="F76" s="89">
        <v>20.0</v>
      </c>
      <c r="G76" s="91" t="str">
        <f>IFERROR(__xludf.DUMMYFUNCTION("TRIM(REGEXREPLACE(C76, ""[0-9]+[a-f]?\."", """"))"),"Is ${pm_name} currently living in your household?")</f>
        <v>Is ${pm_name} currently living in your household?</v>
      </c>
      <c r="H76" s="91" t="str">
        <f>IFERROR(__xludf.DUMMYFUNCTION("TRIM(REGEXREPLACE(D76, ""[0-9]+[a-f]?\."", """"))"),"${pm_name} vit-il actuellement dans votre ménage?")</f>
        <v>${pm_name} vit-il actuellement dans votre ménage?</v>
      </c>
      <c r="I76" s="91" t="str">
        <f>IFERROR(__xludf.DUMMYFUNCTION("TRIM(REGEXREPLACE(E76, ""[0-9]+[a-f]?\."", """"))"),"Ko ${pm_name} yana zaune a gidan ku a hali yanzu?")</f>
        <v>Ko ${pm_name} yana zaune a gidan ku a hali yanzu?</v>
      </c>
      <c r="J76" s="91" t="str">
        <f t="shared" si="22"/>
        <v>20. Is ${pm_name} currently living in your household?</v>
      </c>
      <c r="K76" s="91" t="str">
        <f t="shared" ref="K76:L76" si="23">$F76&amp;". "&amp;H76</f>
        <v>20. ${pm_name} vit-il actuellement dans votre ménage?</v>
      </c>
      <c r="L76" s="91" t="str">
        <f t="shared" si="23"/>
        <v>20. Ko ${pm_name} yana zaune a gidan ku a hali yanzu?</v>
      </c>
    </row>
    <row r="77">
      <c r="A77" s="81" t="s">
        <v>338</v>
      </c>
      <c r="B77" s="131" t="s">
        <v>495</v>
      </c>
      <c r="C77" s="31" t="s">
        <v>496</v>
      </c>
      <c r="D77" s="31" t="s">
        <v>497</v>
      </c>
      <c r="E77" s="31" t="s">
        <v>498</v>
      </c>
      <c r="F77" s="89">
        <v>21.0</v>
      </c>
      <c r="G77" s="91" t="str">
        <f>IFERROR(__xludf.DUMMYFUNCTION("TRIM(REGEXREPLACE(C77, ""[0-9]+[a-f]?\."", """"))"),"Where is ${pm_name} living right now?
 Enumerator: Is location in Niger?")</f>
        <v>Where is ${pm_name} living right now?
 Enumerator: Is location in Niger?</v>
      </c>
      <c r="H77" s="91" t="str">
        <f>IFERROR(__xludf.DUMMYFUNCTION("TRIM(REGEXREPLACE(D77, ""[0-9]+[a-f]?\."", """"))"),"Où est ${pm_name} en ce moment?
 Énquêteur: le lieu est-il au Niger?")</f>
        <v>Où est ${pm_name} en ce moment?
 Énquêteur: le lieu est-il au Niger?</v>
      </c>
      <c r="I77" s="91" t="str">
        <f>IFERROR(__xludf.DUMMYFUNCTION("TRIM(REGEXREPLACE(E77, ""[0-9]+[a-f]?\."", """"))"),"Ina ${pm_name} yake a yanzu?
 Dan bincike: Ko wurin a Nijar ne?")</f>
        <v>Ina ${pm_name} yake a yanzu?
 Dan bincike: Ko wurin a Nijar ne?</v>
      </c>
      <c r="J77" s="91" t="str">
        <f t="shared" si="22"/>
        <v>21. Where is ${pm_name} living right now?
 Enumerator: Is location in Niger?</v>
      </c>
      <c r="K77" s="91" t="str">
        <f t="shared" ref="K77:L77" si="24">$F77&amp;". "&amp;H77</f>
        <v>21. Où est ${pm_name} en ce moment?
 Énquêteur: le lieu est-il au Niger?</v>
      </c>
      <c r="L77" s="91" t="str">
        <f t="shared" si="24"/>
        <v>21. Ina ${pm_name} yake a yanzu?
 Dan bincike: Ko wurin a Nijar ne?</v>
      </c>
    </row>
    <row r="78">
      <c r="A78" s="81" t="s">
        <v>500</v>
      </c>
      <c r="B78" s="131" t="s">
        <v>502</v>
      </c>
      <c r="C78" s="31" t="s">
        <v>503</v>
      </c>
      <c r="D78" s="31" t="s">
        <v>504</v>
      </c>
      <c r="E78" s="31" t="s">
        <v>507</v>
      </c>
      <c r="F78" s="89">
        <v>22.0</v>
      </c>
      <c r="G78" s="91" t="str">
        <f>IFERROR(__xludf.DUMMYFUNCTION("TRIM(REGEXREPLACE(C78, ""[0-9]+[a-f]?\."", """"))"),"Enumerator: Select region in Niger")</f>
        <v>Enumerator: Select region in Niger</v>
      </c>
      <c r="H78" s="91" t="str">
        <f>IFERROR(__xludf.DUMMYFUNCTION("TRIM(REGEXREPLACE(D78, ""[0-9]+[a-f]?\."", """"))"),"Enquêteur : Sélectionnez une région au Niger")</f>
        <v>Enquêteur : Sélectionnez une région au Niger</v>
      </c>
      <c r="I78" s="91" t="str">
        <f>IFERROR(__xludf.DUMMYFUNCTION("TRIM(REGEXREPLACE(E78, ""[0-9]+[a-f]?\."", """"))"),"Ɗan bincike: Zaɓi Jaha ɗaya a Nijar")</f>
        <v>Ɗan bincike: Zaɓi Jaha ɗaya a Nijar</v>
      </c>
      <c r="J78" s="91" t="str">
        <f t="shared" si="22"/>
        <v>22. Enumerator: Select region in Niger</v>
      </c>
      <c r="K78" s="91" t="str">
        <f t="shared" ref="K78:L78" si="25">$F78&amp;". "&amp;H78</f>
        <v>22. Enquêteur : Sélectionnez une région au Niger</v>
      </c>
      <c r="L78" s="91" t="str">
        <f t="shared" si="25"/>
        <v>22. Ɗan bincike: Zaɓi Jaha ɗaya a Nijar</v>
      </c>
    </row>
    <row r="79">
      <c r="A79" s="81" t="s">
        <v>511</v>
      </c>
      <c r="B79" s="131" t="s">
        <v>512</v>
      </c>
      <c r="C79" s="31" t="s">
        <v>513</v>
      </c>
      <c r="D79" s="31" t="s">
        <v>515</v>
      </c>
      <c r="E79" s="31" t="s">
        <v>516</v>
      </c>
      <c r="F79" s="89">
        <v>23.0</v>
      </c>
      <c r="G79" s="91" t="str">
        <f>IFERROR(__xludf.DUMMYFUNCTION("TRIM(REGEXREPLACE(C79, ""[0-9]+[a-f]?\."", """"))"),"Enumerator: Select country")</f>
        <v>Enumerator: Select country</v>
      </c>
      <c r="H79" s="91" t="str">
        <f>IFERROR(__xludf.DUMMYFUNCTION("TRIM(REGEXREPLACE(D79, ""[0-9]+[a-f]?\."", """"))"),"Enquêteur : sélectionnez le pays")</f>
        <v>Enquêteur : sélectionnez le pays</v>
      </c>
      <c r="I79" s="91" t="str">
        <f>IFERROR(__xludf.DUMMYFUNCTION("TRIM(REGEXREPLACE(E79, ""[0-9]+[a-f]?\."", """"))"),"Ɗan bincike: Zaɓi ƙasa")</f>
        <v>Ɗan bincike: Zaɓi ƙasa</v>
      </c>
      <c r="J79" s="91" t="str">
        <f t="shared" si="22"/>
        <v>23. Enumerator: Select country</v>
      </c>
      <c r="K79" s="91" t="str">
        <f t="shared" ref="K79:L79" si="26">$F79&amp;". "&amp;H79</f>
        <v>23. Enquêteur : sélectionnez le pays</v>
      </c>
      <c r="L79" s="91" t="str">
        <f t="shared" si="26"/>
        <v>23. Ɗan bincike: Zaɓi ƙasa</v>
      </c>
    </row>
    <row r="80">
      <c r="A80" s="133" t="s">
        <v>214</v>
      </c>
      <c r="B80" s="134" t="s">
        <v>520</v>
      </c>
      <c r="C80" s="31" t="s">
        <v>522</v>
      </c>
      <c r="D80" s="31" t="s">
        <v>523</v>
      </c>
      <c r="E80" s="31" t="s">
        <v>524</v>
      </c>
      <c r="F80" s="89">
        <v>24.0</v>
      </c>
      <c r="G80" s="91" t="str">
        <f>IFERROR(__xludf.DUMMYFUNCTION("TRIM(REGEXREPLACE(C80, ""[0-9]+[a-f]?\."", """"))"),"Enumerator: Enter other country")</f>
        <v>Enumerator: Enter other country</v>
      </c>
      <c r="H80" s="91" t="str">
        <f>IFERROR(__xludf.DUMMYFUNCTION("TRIM(REGEXREPLACE(D80, ""[0-9]+[a-f]?\."", """"))"),"Enquêteur : Entrez un autre pays")</f>
        <v>Enquêteur : Entrez un autre pays</v>
      </c>
      <c r="I80" s="91" t="str">
        <f>IFERROR(__xludf.DUMMYFUNCTION("TRIM(REGEXREPLACE(E80, ""[0-9]+[a-f]?\."", """"))"),"Ɗan bincike: Shigar da wata ƙasa")</f>
        <v>Ɗan bincike: Shigar da wata ƙasa</v>
      </c>
      <c r="J80" s="91" t="str">
        <f t="shared" si="22"/>
        <v>24. Enumerator: Enter other country</v>
      </c>
      <c r="K80" s="91" t="str">
        <f t="shared" ref="K80:L80" si="27">$F80&amp;". "&amp;H80</f>
        <v>24. Enquêteur : Entrez un autre pays</v>
      </c>
      <c r="L80" s="91" t="str">
        <f t="shared" si="27"/>
        <v>24. Ɗan bincike: Shigar da wata ƙasa</v>
      </c>
    </row>
    <row r="81">
      <c r="A81" s="81" t="s">
        <v>529</v>
      </c>
      <c r="B81" s="131" t="s">
        <v>530</v>
      </c>
      <c r="C81" s="31" t="s">
        <v>531</v>
      </c>
      <c r="D81" s="31" t="s">
        <v>532</v>
      </c>
      <c r="E81" s="31" t="s">
        <v>533</v>
      </c>
      <c r="F81" s="89">
        <v>25.0</v>
      </c>
      <c r="G81" s="91" t="str">
        <f>IFERROR(__xludf.DUMMYFUNCTION("TRIM(REGEXREPLACE(C81, ""[0-9]+[a-f]?\."", """"))"),"Enumerator: Select town")</f>
        <v>Enumerator: Select town</v>
      </c>
      <c r="H81" s="91" t="str">
        <f>IFERROR(__xludf.DUMMYFUNCTION("TRIM(REGEXREPLACE(D81, ""[0-9]+[a-f]?\."", """"))"),"Enquêteur : Sélectionnez la ville")</f>
        <v>Enquêteur : Sélectionnez la ville</v>
      </c>
      <c r="I81" s="91" t="str">
        <f>IFERROR(__xludf.DUMMYFUNCTION("TRIM(REGEXREPLACE(E81, ""[0-9]+[a-f]?\."", """"))"),"Ɗan bincike: Zaɓi gari")</f>
        <v>Ɗan bincike: Zaɓi gari</v>
      </c>
      <c r="J81" s="91" t="str">
        <f t="shared" si="22"/>
        <v>25. Enumerator: Select town</v>
      </c>
      <c r="K81" s="91" t="str">
        <f t="shared" ref="K81:L81" si="28">$F81&amp;". "&amp;H81</f>
        <v>25. Enquêteur : Sélectionnez la ville</v>
      </c>
      <c r="L81" s="91" t="str">
        <f t="shared" si="28"/>
        <v>25. Ɗan bincike: Zaɓi gari</v>
      </c>
    </row>
    <row r="82">
      <c r="A82" s="133" t="s">
        <v>214</v>
      </c>
      <c r="B82" s="134" t="s">
        <v>534</v>
      </c>
      <c r="C82" s="31" t="s">
        <v>535</v>
      </c>
      <c r="D82" s="31" t="s">
        <v>537</v>
      </c>
      <c r="E82" s="31" t="s">
        <v>538</v>
      </c>
      <c r="F82" s="89">
        <v>26.0</v>
      </c>
      <c r="G82" s="91" t="str">
        <f>IFERROR(__xludf.DUMMYFUNCTION("TRIM(REGEXREPLACE(C82, ""[0-9]+[a-f]?\."", """"))"),"Enumerator: Enter other town")</f>
        <v>Enumerator: Enter other town</v>
      </c>
      <c r="H82" s="91" t="str">
        <f>IFERROR(__xludf.DUMMYFUNCTION("TRIM(REGEXREPLACE(D82, ""[0-9]+[a-f]?\."", """"))"),"Enquêteur : Entrez un autre ville")</f>
        <v>Enquêteur : Entrez un autre ville</v>
      </c>
      <c r="I82" s="91" t="str">
        <f>IFERROR(__xludf.DUMMYFUNCTION("TRIM(REGEXREPLACE(E82, ""[0-9]+[a-f]?\."", """"))"),"Ɗan bincike: Shigar da wata gari")</f>
        <v>Ɗan bincike: Shigar da wata gari</v>
      </c>
      <c r="J82" s="91" t="str">
        <f t="shared" si="22"/>
        <v>26. Enumerator: Enter other town</v>
      </c>
      <c r="K82" s="91" t="str">
        <f t="shared" ref="K82:L82" si="29">$F82&amp;". "&amp;H82</f>
        <v>26. Enquêteur : Entrez un autre ville</v>
      </c>
      <c r="L82" s="91" t="str">
        <f t="shared" si="29"/>
        <v>26. Ɗan bincike: Shigar da wata gari</v>
      </c>
    </row>
    <row r="83">
      <c r="A83" s="81" t="s">
        <v>485</v>
      </c>
      <c r="B83" s="131" t="s">
        <v>542</v>
      </c>
      <c r="C83" s="31" t="s">
        <v>543</v>
      </c>
      <c r="D83" s="31" t="s">
        <v>544</v>
      </c>
      <c r="E83" s="31" t="s">
        <v>546</v>
      </c>
      <c r="F83" s="89">
        <v>27.0</v>
      </c>
      <c r="G83" s="91" t="str">
        <f>IFERROR(__xludf.DUMMYFUNCTION("TRIM(REGEXREPLACE(C83, ""[0-9]+[a-f]?\."", """"))"),"Will ${pm_name} be in the household within the next two weeks?")</f>
        <v>Will ${pm_name} be in the household within the next two weeks?</v>
      </c>
      <c r="H83" s="91" t="str">
        <f>IFERROR(__xludf.DUMMYFUNCTION("TRIM(REGEXREPLACE(D83, ""[0-9]+[a-f]?\."", """"))"),"Est-ce que ${pm_name} sera dans le ménage au cours des deux prochaines semaines ?")</f>
        <v>Est-ce que ${pm_name} sera dans le ménage au cours des deux prochaines semaines ?</v>
      </c>
      <c r="I83" s="91" t="str">
        <f>IFERROR(__xludf.DUMMYFUNCTION("TRIM(REGEXREPLACE(E83, ""[0-9]+[a-f]?\."", """"))"),"Ko ${pm_name} zai kasance a gidan nan cikin sati biyu masu zuwa?")</f>
        <v>Ko ${pm_name} zai kasance a gidan nan cikin sati biyu masu zuwa?</v>
      </c>
      <c r="J83" s="91" t="str">
        <f t="shared" si="22"/>
        <v>27. Will ${pm_name} be in the household within the next two weeks?</v>
      </c>
      <c r="K83" s="91" t="str">
        <f t="shared" ref="K83:L83" si="30">$F83&amp;". "&amp;H83</f>
        <v>27. Est-ce que ${pm_name} sera dans le ménage au cours des deux prochaines semaines ?</v>
      </c>
      <c r="L83" s="91" t="str">
        <f t="shared" si="30"/>
        <v>27. Ko ${pm_name} zai kasance a gidan nan cikin sati biyu masu zuwa?</v>
      </c>
    </row>
    <row r="84">
      <c r="A84" s="131" t="s">
        <v>338</v>
      </c>
      <c r="B84" s="131" t="s">
        <v>547</v>
      </c>
      <c r="C84" s="31" t="s">
        <v>548</v>
      </c>
      <c r="D84" s="31" t="s">
        <v>549</v>
      </c>
      <c r="E84" s="31" t="s">
        <v>551</v>
      </c>
      <c r="F84" s="89">
        <v>28.0</v>
      </c>
      <c r="G84" s="91" t="str">
        <f>IFERROR(__xludf.DUMMYFUNCTION("TRIM(REGEXREPLACE(C84, ""[0-9]+[a-f]?\."", """"))"),"Have you spoken with ${pm_name} in the past month?")</f>
        <v>Have you spoken with ${pm_name} in the past month?</v>
      </c>
      <c r="H84" s="91" t="str">
        <f>IFERROR(__xludf.DUMMYFUNCTION("TRIM(REGEXREPLACE(D84, ""[0-9]+[a-f]?\."", """"))"),"Avez-vous parlé à ${pm_name} au cours du mois dernier ?")</f>
        <v>Avez-vous parlé à ${pm_name} au cours du mois dernier ?</v>
      </c>
      <c r="I84" s="91" t="str">
        <f>IFERROR(__xludf.DUMMYFUNCTION("TRIM(REGEXREPLACE(E84, ""[0-9]+[a-f]?\."", """"))"),"Ko kun yi magana da ${pm_name} a cikin watan da ya gabata?")</f>
        <v>Ko kun yi magana da ${pm_name} a cikin watan da ya gabata?</v>
      </c>
      <c r="J84" s="91" t="str">
        <f t="shared" si="22"/>
        <v>28. Have you spoken with ${pm_name} in the past month?</v>
      </c>
      <c r="K84" s="91" t="str">
        <f t="shared" ref="K84:L84" si="31">$F84&amp;". "&amp;H84</f>
        <v>28. Avez-vous parlé à ${pm_name} au cours du mois dernier ?</v>
      </c>
      <c r="L84" s="91" t="str">
        <f t="shared" si="31"/>
        <v>28. Ko kun yi magana da ${pm_name} a cikin watan da ya gabata?</v>
      </c>
    </row>
    <row r="85" hidden="1">
      <c r="A85" s="135"/>
      <c r="B85" s="135"/>
      <c r="C85" s="31"/>
      <c r="D85" s="31"/>
      <c r="E85" s="31"/>
    </row>
    <row r="86">
      <c r="A86" s="81" t="s">
        <v>485</v>
      </c>
      <c r="B86" s="131" t="s">
        <v>556</v>
      </c>
      <c r="C86" s="31" t="s">
        <v>557</v>
      </c>
      <c r="D86" s="31" t="s">
        <v>558</v>
      </c>
      <c r="E86" s="31" t="s">
        <v>559</v>
      </c>
      <c r="F86" s="89">
        <v>29.0</v>
      </c>
      <c r="G86" s="91" t="str">
        <f>IFERROR(__xludf.DUMMYFUNCTION("TRIM(REGEXREPLACE(C86, ""[0-9]+[a-f]?\."", """"))"),"Is ${shm_name} currently living in your household?")</f>
        <v>Is ${shm_name} currently living in your household?</v>
      </c>
      <c r="H86" s="91" t="str">
        <f>IFERROR(__xludf.DUMMYFUNCTION("TRIM(REGEXREPLACE(D86, ""[0-9]+[a-f]?\."", """"))"),"${shm_name} vit-il actuellement dans votre ménage?")</f>
        <v>${shm_name} vit-il actuellement dans votre ménage?</v>
      </c>
      <c r="I86" s="91" t="str">
        <f>IFERROR(__xludf.DUMMYFUNCTION("TRIM(REGEXREPLACE(E86, ""[0-9]+[a-f]?\."", """"))"),"Ko ${shm_name} yana zaune a gidan ku a hali yanzu?")</f>
        <v>Ko ${shm_name} yana zaune a gidan ku a hali yanzu?</v>
      </c>
      <c r="J86" s="91" t="str">
        <f t="shared" ref="J86:J93" si="33">F86&amp;". "&amp;G86</f>
        <v>29. Is ${shm_name} currently living in your household?</v>
      </c>
      <c r="K86" s="91" t="str">
        <f t="shared" ref="K86:L86" si="32">$F86&amp;". "&amp;H86</f>
        <v>29. ${shm_name} vit-il actuellement dans votre ménage?</v>
      </c>
      <c r="L86" s="91" t="str">
        <f t="shared" si="32"/>
        <v>29. Ko ${shm_name} yana zaune a gidan ku a hali yanzu?</v>
      </c>
    </row>
    <row r="87">
      <c r="A87" s="81" t="s">
        <v>338</v>
      </c>
      <c r="B87" s="131" t="s">
        <v>565</v>
      </c>
      <c r="C87" s="31" t="s">
        <v>566</v>
      </c>
      <c r="D87" s="31" t="s">
        <v>567</v>
      </c>
      <c r="E87" s="31" t="s">
        <v>568</v>
      </c>
      <c r="F87" s="89">
        <v>30.0</v>
      </c>
      <c r="G87" s="91" t="str">
        <f>IFERROR(__xludf.DUMMYFUNCTION("TRIM(REGEXREPLACE(C87, ""[0-9]+[a-f]?\."", """"))"),"Where is ${shm_name} living?
 Enumerator: Is location in Niger?")</f>
        <v>Where is ${shm_name} living?
 Enumerator: Is location in Niger?</v>
      </c>
      <c r="H87" s="91" t="str">
        <f>IFERROR(__xludf.DUMMYFUNCTION("TRIM(REGEXREPLACE(D87, ""[0-9]+[a-f]?\."", """"))"),"Où habite ${shm_name}?
 Enquêteur : le lieu est-il au Niger?")</f>
        <v>Où habite ${shm_name}?
 Enquêteur : le lieu est-il au Niger?</v>
      </c>
      <c r="I87" s="91" t="str">
        <f>IFERROR(__xludf.DUMMYFUNCTION("TRIM(REGEXREPLACE(E87, ""[0-9]+[a-f]?\."", """"))"),"A ina ${shm_name} ya zaune?
 Mai bincike: Wurin a Nijar ne?")</f>
        <v>A ina ${shm_name} ya zaune?
 Mai bincike: Wurin a Nijar ne?</v>
      </c>
      <c r="J87" s="91" t="str">
        <f t="shared" si="33"/>
        <v>30. Where is ${shm_name} living?
 Enumerator: Is location in Niger?</v>
      </c>
      <c r="K87" s="91" t="str">
        <f t="shared" ref="K87:L87" si="34">$F87&amp;". "&amp;H87</f>
        <v>30. Où habite ${shm_name}?
 Enquêteur : le lieu est-il au Niger?</v>
      </c>
      <c r="L87" s="91" t="str">
        <f t="shared" si="34"/>
        <v>30. A ina ${shm_name} ya zaune?
 Mai bincike: Wurin a Nijar ne?</v>
      </c>
    </row>
    <row r="88">
      <c r="A88" s="81" t="s">
        <v>500</v>
      </c>
      <c r="B88" s="131" t="s">
        <v>569</v>
      </c>
      <c r="C88" s="31" t="s">
        <v>570</v>
      </c>
      <c r="D88" s="31" t="s">
        <v>571</v>
      </c>
      <c r="E88" s="31" t="s">
        <v>572</v>
      </c>
      <c r="F88" s="89">
        <v>31.0</v>
      </c>
      <c r="G88" s="91" t="str">
        <f>IFERROR(__xludf.DUMMYFUNCTION("TRIM(REGEXREPLACE(C88, ""[0-9]+[a-f]?\."", """"))"),"Enumerator: Select region in Niger")</f>
        <v>Enumerator: Select region in Niger</v>
      </c>
      <c r="H88" s="91" t="str">
        <f>IFERROR(__xludf.DUMMYFUNCTION("TRIM(REGEXREPLACE(D88, ""[0-9]+[a-f]?\."", """"))"),"Enquêteur : Sélectionnez une région au Niger")</f>
        <v>Enquêteur : Sélectionnez une région au Niger</v>
      </c>
      <c r="I88" s="91" t="str">
        <f>IFERROR(__xludf.DUMMYFUNCTION("TRIM(REGEXREPLACE(E88, ""[0-9]+[a-f]?\."", """"))"),"Ɗan bincike: Zaɓi Jaha ɗaya a Nijar")</f>
        <v>Ɗan bincike: Zaɓi Jaha ɗaya a Nijar</v>
      </c>
      <c r="J88" s="91" t="str">
        <f t="shared" si="33"/>
        <v>31. Enumerator: Select region in Niger</v>
      </c>
      <c r="K88" s="91" t="str">
        <f t="shared" ref="K88:L88" si="35">$F88&amp;". "&amp;H88</f>
        <v>31. Enquêteur : Sélectionnez une région au Niger</v>
      </c>
      <c r="L88" s="91" t="str">
        <f t="shared" si="35"/>
        <v>31. Ɗan bincike: Zaɓi Jaha ɗaya a Nijar</v>
      </c>
    </row>
    <row r="89">
      <c r="A89" s="81" t="s">
        <v>511</v>
      </c>
      <c r="B89" s="131" t="s">
        <v>575</v>
      </c>
      <c r="C89" s="31" t="s">
        <v>576</v>
      </c>
      <c r="D89" s="31" t="s">
        <v>577</v>
      </c>
      <c r="E89" s="31" t="s">
        <v>578</v>
      </c>
      <c r="F89" s="89">
        <v>32.0</v>
      </c>
      <c r="G89" s="91" t="str">
        <f>IFERROR(__xludf.DUMMYFUNCTION("TRIM(REGEXREPLACE(C89, ""[0-9]+[a-f]?\."", """"))"),"Enumerator: Select country")</f>
        <v>Enumerator: Select country</v>
      </c>
      <c r="H89" s="91" t="str">
        <f>IFERROR(__xludf.DUMMYFUNCTION("TRIM(REGEXREPLACE(D89, ""[0-9]+[a-f]?\."", """"))"),"Enquêteur : sélectionnez le pays")</f>
        <v>Enquêteur : sélectionnez le pays</v>
      </c>
      <c r="I89" s="91" t="str">
        <f>IFERROR(__xludf.DUMMYFUNCTION("TRIM(REGEXREPLACE(E89, ""[0-9]+[a-f]?\."", """"))"),"Ɗan bincike: Zaɓi ƙasa")</f>
        <v>Ɗan bincike: Zaɓi ƙasa</v>
      </c>
      <c r="J89" s="91" t="str">
        <f t="shared" si="33"/>
        <v>32. Enumerator: Select country</v>
      </c>
      <c r="K89" s="91" t="str">
        <f t="shared" ref="K89:L89" si="36">$F89&amp;". "&amp;H89</f>
        <v>32. Enquêteur : sélectionnez le pays</v>
      </c>
      <c r="L89" s="91" t="str">
        <f t="shared" si="36"/>
        <v>32. Ɗan bincike: Zaɓi ƙasa</v>
      </c>
    </row>
    <row r="90">
      <c r="A90" s="133" t="s">
        <v>214</v>
      </c>
      <c r="B90" s="134" t="s">
        <v>579</v>
      </c>
      <c r="C90" s="31" t="s">
        <v>580</v>
      </c>
      <c r="D90" s="31" t="s">
        <v>581</v>
      </c>
      <c r="E90" s="31" t="s">
        <v>582</v>
      </c>
      <c r="F90" s="89">
        <v>33.0</v>
      </c>
      <c r="G90" s="91" t="str">
        <f>IFERROR(__xludf.DUMMYFUNCTION("TRIM(REGEXREPLACE(C90, ""[0-9]+[a-f]?\."", """"))"),"Enumerator: Enter other country")</f>
        <v>Enumerator: Enter other country</v>
      </c>
      <c r="H90" s="91" t="str">
        <f>IFERROR(__xludf.DUMMYFUNCTION("TRIM(REGEXREPLACE(D90, ""[0-9]+[a-f]?\."", """"))"),"Enquêteur : Entrez un autre pays")</f>
        <v>Enquêteur : Entrez un autre pays</v>
      </c>
      <c r="I90" s="91" t="str">
        <f>IFERROR(__xludf.DUMMYFUNCTION("TRIM(REGEXREPLACE(E90, ""[0-9]+[a-f]?\."", """"))"),"Ɗan bincike: Shigar da wata ƙasa")</f>
        <v>Ɗan bincike: Shigar da wata ƙasa</v>
      </c>
      <c r="J90" s="91" t="str">
        <f t="shared" si="33"/>
        <v>33. Enumerator: Enter other country</v>
      </c>
      <c r="K90" s="91" t="str">
        <f t="shared" ref="K90:L90" si="37">$F90&amp;". "&amp;H90</f>
        <v>33. Enquêteur : Entrez un autre pays</v>
      </c>
      <c r="L90" s="91" t="str">
        <f t="shared" si="37"/>
        <v>33. Ɗan bincike: Shigar da wata ƙasa</v>
      </c>
    </row>
    <row r="91">
      <c r="A91" s="81" t="s">
        <v>529</v>
      </c>
      <c r="B91" s="131" t="s">
        <v>586</v>
      </c>
      <c r="C91" s="31" t="s">
        <v>590</v>
      </c>
      <c r="D91" s="31" t="s">
        <v>591</v>
      </c>
      <c r="E91" s="31" t="s">
        <v>592</v>
      </c>
      <c r="F91" s="89">
        <v>34.0</v>
      </c>
      <c r="G91" s="91" t="str">
        <f>IFERROR(__xludf.DUMMYFUNCTION("TRIM(REGEXREPLACE(C91, ""[0-9]+[a-f]?\."", """"))"),"Enumerator: Select town")</f>
        <v>Enumerator: Select town</v>
      </c>
      <c r="H91" s="91" t="str">
        <f>IFERROR(__xludf.DUMMYFUNCTION("TRIM(REGEXREPLACE(D91, ""[0-9]+[a-f]?\."", """"))"),"Enquêteur : Sélectionnez la ville")</f>
        <v>Enquêteur : Sélectionnez la ville</v>
      </c>
      <c r="I91" s="91" t="str">
        <f>IFERROR(__xludf.DUMMYFUNCTION("TRIM(REGEXREPLACE(E91, ""[0-9]+[a-f]?\."", """"))"),"Ɗan bincike: Zaɓi gari")</f>
        <v>Ɗan bincike: Zaɓi gari</v>
      </c>
      <c r="J91" s="91" t="str">
        <f t="shared" si="33"/>
        <v>34. Enumerator: Select town</v>
      </c>
      <c r="K91" s="91" t="str">
        <f t="shared" ref="K91:L91" si="38">$F91&amp;". "&amp;H91</f>
        <v>34. Enquêteur : Sélectionnez la ville</v>
      </c>
      <c r="L91" s="91" t="str">
        <f t="shared" si="38"/>
        <v>34. Ɗan bincike: Zaɓi gari</v>
      </c>
    </row>
    <row r="92">
      <c r="A92" s="133" t="s">
        <v>214</v>
      </c>
      <c r="B92" s="134" t="s">
        <v>595</v>
      </c>
      <c r="C92" s="31" t="s">
        <v>597</v>
      </c>
      <c r="D92" s="31" t="s">
        <v>598</v>
      </c>
      <c r="E92" s="31" t="s">
        <v>599</v>
      </c>
      <c r="F92" s="89">
        <v>35.0</v>
      </c>
      <c r="G92" s="91" t="str">
        <f>IFERROR(__xludf.DUMMYFUNCTION("TRIM(REGEXREPLACE(C92, ""[0-9]+[a-f]?\."", """"))"),"Enumerator: Enter other town")</f>
        <v>Enumerator: Enter other town</v>
      </c>
      <c r="H92" s="91" t="str">
        <f>IFERROR(__xludf.DUMMYFUNCTION("TRIM(REGEXREPLACE(D92, ""[0-9]+[a-f]?\."", """"))"),"Enquêteur : Entrez un autre ville")</f>
        <v>Enquêteur : Entrez un autre ville</v>
      </c>
      <c r="I92" s="91" t="str">
        <f>IFERROR(__xludf.DUMMYFUNCTION("TRIM(REGEXREPLACE(E92, ""[0-9]+[a-f]?\."", """"))"),"Ɗan bincike: Shigar da wata gari")</f>
        <v>Ɗan bincike: Shigar da wata gari</v>
      </c>
      <c r="J92" s="91" t="str">
        <f t="shared" si="33"/>
        <v>35. Enumerator: Enter other town</v>
      </c>
      <c r="K92" s="91" t="str">
        <f t="shared" ref="K92:L92" si="39">$F92&amp;". "&amp;H92</f>
        <v>35. Enquêteur : Entrez un autre ville</v>
      </c>
      <c r="L92" s="91" t="str">
        <f t="shared" si="39"/>
        <v>35. Ɗan bincike: Shigar da wata gari</v>
      </c>
    </row>
    <row r="93">
      <c r="A93" s="81" t="s">
        <v>485</v>
      </c>
      <c r="B93" s="131" t="s">
        <v>601</v>
      </c>
      <c r="C93" s="31" t="s">
        <v>602</v>
      </c>
      <c r="D93" s="31" t="s">
        <v>604</v>
      </c>
      <c r="E93" s="31" t="s">
        <v>606</v>
      </c>
      <c r="F93" s="89">
        <v>36.0</v>
      </c>
      <c r="G93" s="91" t="str">
        <f>IFERROR(__xludf.DUMMYFUNCTION("TRIM(REGEXREPLACE(C93, ""[0-9]+[a-f]?\."", """"))"),"Will ${shm_name} be in the household within the next two weeks?")</f>
        <v>Will ${shm_name} be in the household within the next two weeks?</v>
      </c>
      <c r="H93" s="91" t="str">
        <f>IFERROR(__xludf.DUMMYFUNCTION("TRIM(REGEXREPLACE(D93, ""[0-9]+[a-f]?\."", """"))"),"Est-ce que ${shm_name} sera dans le ménage au cours des deux prochaines semaines ?")</f>
        <v>Est-ce que ${shm_name} sera dans le ménage au cours des deux prochaines semaines ?</v>
      </c>
      <c r="I93" s="91" t="str">
        <f>IFERROR(__xludf.DUMMYFUNCTION("TRIM(REGEXREPLACE(E93, ""[0-9]+[a-f]?\."", """"))"),"Ko ${shm_name} zai kasance a gidan nan cikin sati biyu masu zuwa?")</f>
        <v>Ko ${shm_name} zai kasance a gidan nan cikin sati biyu masu zuwa?</v>
      </c>
      <c r="J93" s="91" t="str">
        <f t="shared" si="33"/>
        <v>36. Will ${shm_name} be in the household within the next two weeks?</v>
      </c>
      <c r="K93" s="91" t="str">
        <f t="shared" ref="K93:L93" si="40">$F93&amp;". "&amp;H93</f>
        <v>36. Est-ce que ${shm_name} sera dans le ménage au cours des deux prochaines semaines ?</v>
      </c>
      <c r="L93" s="91" t="str">
        <f t="shared" si="40"/>
        <v>36. Ko ${shm_name} zai kasance a gidan nan cikin sati biyu masu zuwa?</v>
      </c>
    </row>
    <row r="94" hidden="1">
      <c r="A94" s="67" t="s">
        <v>139</v>
      </c>
      <c r="B94" s="69" t="s">
        <v>609</v>
      </c>
      <c r="C94" s="31"/>
      <c r="D94" s="31"/>
      <c r="E94" s="31"/>
      <c r="F94" s="89">
        <v>39.0</v>
      </c>
      <c r="G94" s="91" t="str">
        <f>IFERROR(__xludf.DUMMYFUNCTION("TRIM(REGEXREPLACE(C94, ""[0-9]+[a-f]?\."", """"))"),"")</f>
        <v/>
      </c>
      <c r="H94" s="91" t="str">
        <f>IFERROR(__xludf.DUMMYFUNCTION("TRIM(REGEXREPLACE(D94, ""[0-9]+[a-f]?\."", """"))"),"")</f>
        <v/>
      </c>
      <c r="I94" s="91" t="str">
        <f>IFERROR(__xludf.DUMMYFUNCTION("TRIM(REGEXREPLACE(E94, ""[0-9]+[a-f]?\."", """"))"),"")</f>
        <v/>
      </c>
      <c r="J94" s="91" t="s">
        <v>614</v>
      </c>
      <c r="K94" s="91" t="s">
        <v>615</v>
      </c>
      <c r="L94" s="91" t="s">
        <v>616</v>
      </c>
    </row>
    <row r="95" hidden="1">
      <c r="A95" s="67" t="s">
        <v>108</v>
      </c>
      <c r="B95" s="69" t="s">
        <v>617</v>
      </c>
      <c r="C95" s="31"/>
      <c r="D95" s="31"/>
      <c r="E95" s="31"/>
      <c r="F95" s="89">
        <v>38.0</v>
      </c>
      <c r="G95" s="91" t="str">
        <f>IFERROR(__xludf.DUMMYFUNCTION("TRIM(REGEXREPLACE(C95, ""[0-9]+[a-f]?\."", """"))"),"")</f>
        <v/>
      </c>
      <c r="H95" s="91" t="str">
        <f>IFERROR(__xludf.DUMMYFUNCTION("TRIM(REGEXREPLACE(D95, ""[0-9]+[a-f]?\."", """"))"),"")</f>
        <v/>
      </c>
      <c r="I95" s="91" t="str">
        <f>IFERROR(__xludf.DUMMYFUNCTION("TRIM(REGEXREPLACE(E95, ""[0-9]+[a-f]?\."", """"))"),"")</f>
        <v/>
      </c>
      <c r="J95" s="91" t="s">
        <v>621</v>
      </c>
      <c r="K95" s="91" t="s">
        <v>622</v>
      </c>
      <c r="L95" s="91" t="s">
        <v>623</v>
      </c>
    </row>
    <row r="96" hidden="1">
      <c r="A96" s="67" t="s">
        <v>139</v>
      </c>
      <c r="B96" s="141" t="s">
        <v>624</v>
      </c>
      <c r="C96" s="31"/>
      <c r="D96" s="31"/>
      <c r="E96" s="31"/>
      <c r="F96" s="89">
        <v>39.0</v>
      </c>
      <c r="G96" s="91" t="str">
        <f>IFERROR(__xludf.DUMMYFUNCTION("TRIM(REGEXREPLACE(C96, ""[0-9]+[a-f]?\."", """"))"),"")</f>
        <v/>
      </c>
      <c r="H96" s="91" t="str">
        <f>IFERROR(__xludf.DUMMYFUNCTION("TRIM(REGEXREPLACE(D96, ""[0-9]+[a-f]?\."", """"))"),"")</f>
        <v/>
      </c>
      <c r="I96" s="91" t="str">
        <f>IFERROR(__xludf.DUMMYFUNCTION("TRIM(REGEXREPLACE(E96, ""[0-9]+[a-f]?\."", """"))"),"")</f>
        <v/>
      </c>
      <c r="J96" s="91" t="s">
        <v>626</v>
      </c>
      <c r="K96" s="91" t="s">
        <v>628</v>
      </c>
      <c r="L96" s="91" t="s">
        <v>629</v>
      </c>
    </row>
    <row r="97">
      <c r="A97" s="126" t="s">
        <v>42</v>
      </c>
      <c r="B97" s="127" t="s">
        <v>630</v>
      </c>
      <c r="C97" s="31" t="s">
        <v>631</v>
      </c>
      <c r="D97" s="31" t="s">
        <v>632</v>
      </c>
      <c r="E97" s="31" t="s">
        <v>633</v>
      </c>
      <c r="F97" s="89">
        <v>37.0</v>
      </c>
      <c r="G97" s="91" t="str">
        <f>IFERROR(__xludf.DUMMYFUNCTION("TRIM(REGEXREPLACE(C97, ""[0-9]+[a-f]?\."", """"))"),"I would like to ask you about different ways you may use money that you earn.")</f>
        <v>I would like to ask you about different ways you may use money that you earn.</v>
      </c>
      <c r="H97" s="91" t="str">
        <f>IFERROR(__xludf.DUMMYFUNCTION("TRIM(REGEXREPLACE(D97, ""[0-9]+[a-f]?\."", """"))"),"Maintenant, je voudrais vous poser des questions sur les différentes façons dont vous pouvez utiliser l'argent que vous gagnez.")</f>
        <v>Maintenant, je voudrais vous poser des questions sur les différentes façons dont vous pouvez utiliser l'argent que vous gagnez.</v>
      </c>
      <c r="I97" s="91" t="str">
        <f>IFERROR(__xludf.DUMMYFUNCTION("TRIM(REGEXREPLACE(E97, ""[0-9]+[a-f]?\."", """"))"),"Yanzu ina so in tambaye ku hanyoyi daban-daban da zaku iya amfani da su wajen kashe kuɗin da kuke samu.")</f>
        <v>Yanzu ina so in tambaye ku hanyoyi daban-daban da zaku iya amfani da su wajen kashe kuɗin da kuke samu.</v>
      </c>
      <c r="J97" s="91" t="str">
        <f t="shared" ref="J97:J99" si="42">F97&amp;". "&amp;G97</f>
        <v>37. I would like to ask you about different ways you may use money that you earn.</v>
      </c>
      <c r="K97" s="91" t="str">
        <f t="shared" ref="K97:L97" si="41">$F97&amp;". "&amp;H97</f>
        <v>37. Maintenant, je voudrais vous poser des questions sur les différentes façons dont vous pouvez utiliser l'argent que vous gagnez.</v>
      </c>
      <c r="L97" s="91" t="str">
        <f t="shared" si="41"/>
        <v>37. Yanzu ina so in tambaye ku hanyoyi daban-daban da zaku iya amfani da su wajen kashe kuɗin da kuke samu.</v>
      </c>
    </row>
    <row r="98">
      <c r="A98" s="81" t="s">
        <v>637</v>
      </c>
      <c r="B98" s="142" t="s">
        <v>638</v>
      </c>
      <c r="C98" s="31" t="s">
        <v>639</v>
      </c>
      <c r="D98" s="31" t="s">
        <v>640</v>
      </c>
      <c r="E98" s="31" t="s">
        <v>641</v>
      </c>
      <c r="F98" s="89">
        <v>38.0</v>
      </c>
      <c r="G98" s="91" t="str">
        <f>IFERROR(__xludf.DUMMYFUNCTION("TRIM(REGEXREPLACE(C98, ""[0-9]+[a-f]?\."", """"))"),"Do you currently have savings of each of the following types that you have put aside for yourself, separate from your household?")</f>
        <v>Do you currently have savings of each of the following types that you have put aside for yourself, separate from your household?</v>
      </c>
      <c r="H98" s="91" t="str">
        <f>IFERROR(__xludf.DUMMYFUNCTION("TRIM(REGEXREPLACE(D98,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98" s="91" t="str">
        <f>IFERROR(__xludf.DUMMYFUNCTION("TRIM(REGEXREPLACE(E98, ""[0-9]+[a-f]?\."", """"))"),"Ko a halin yanzu kuna da tanadi na kowane nau'in waɗannan nau'ikan da kuka ware wa kanku?")</f>
        <v>Ko a halin yanzu kuna da tanadi na kowane nau'in waɗannan nau'ikan da kuka ware wa kanku?</v>
      </c>
      <c r="J98" s="91" t="str">
        <f t="shared" si="42"/>
        <v>38. Do you currently have savings of each of the following types that you have put aside for yourself, separate from your household?</v>
      </c>
      <c r="K98" s="91" t="str">
        <f t="shared" ref="K98:L98" si="43">$F98&amp;". "&amp;H98</f>
        <v>38. Avez-vous actuellement des économies de chacun des types suivants que vous avez mises de côté pour vous-même, séparément de votre ménage ?</v>
      </c>
      <c r="L98" s="91" t="str">
        <f t="shared" si="43"/>
        <v>38. Ko a halin yanzu kuna da tanadi na kowane nau'in waɗannan nau'ikan da kuka ware wa kanku?</v>
      </c>
    </row>
    <row r="99">
      <c r="A99" s="133" t="s">
        <v>214</v>
      </c>
      <c r="B99" s="143" t="s">
        <v>644</v>
      </c>
      <c r="C99" s="31" t="s">
        <v>645</v>
      </c>
      <c r="D99" s="31" t="s">
        <v>646</v>
      </c>
      <c r="E99" s="31" t="s">
        <v>647</v>
      </c>
      <c r="F99" s="89">
        <v>39.0</v>
      </c>
      <c r="G99" s="91" t="str">
        <f>IFERROR(__xludf.DUMMYFUNCTION("TRIM(REGEXREPLACE(C99, ""[0-9]+[a-f]?\."", """"))"),"Specify other:")</f>
        <v>Specify other:</v>
      </c>
      <c r="H99" s="91" t="str">
        <f>IFERROR(__xludf.DUMMYFUNCTION("TRIM(REGEXREPLACE(D99, ""[0-9]+[a-f]?\."", """"))"),"Précisez autre :")</f>
        <v>Précisez autre :</v>
      </c>
      <c r="I99" s="91" t="str">
        <f>IFERROR(__xludf.DUMMYFUNCTION("TRIM(REGEXREPLACE(E99, ""[0-9]+[a-f]?\."", """"))"),"Ƙayyade wasu:")</f>
        <v>Ƙayyade wasu:</v>
      </c>
      <c r="J99" s="91" t="str">
        <f t="shared" si="42"/>
        <v>39. Specify other:</v>
      </c>
      <c r="K99" s="91" t="str">
        <f t="shared" ref="K99:L99" si="44">$F99&amp;". "&amp;H99</f>
        <v>39. Précisez autre :</v>
      </c>
      <c r="L99" s="91" t="str">
        <f t="shared" si="44"/>
        <v>39. Ƙayyade wasu:</v>
      </c>
    </row>
    <row r="100" hidden="1">
      <c r="A100" s="144" t="s">
        <v>648</v>
      </c>
      <c r="B100" s="145" t="s">
        <v>649</v>
      </c>
      <c r="C100" s="31" t="s">
        <v>650</v>
      </c>
      <c r="D100" s="31" t="s">
        <v>651</v>
      </c>
      <c r="E100" s="31" t="s">
        <v>653</v>
      </c>
      <c r="F100" s="89">
        <v>43.0</v>
      </c>
      <c r="G100" s="91" t="str">
        <f>IFERROR(__xludf.DUMMYFUNCTION("TRIM(REGEXREPLACE(C100, ""[0-9]+[a-f]?\."", """"))"),"Savings Amount")</f>
        <v>Savings Amount</v>
      </c>
      <c r="H100" s="91" t="str">
        <f>IFERROR(__xludf.DUMMYFUNCTION("TRIM(REGEXREPLACE(D100, ""[0-9]+[a-f]?\."", """"))"),"Montant de l'épargne")</f>
        <v>Montant de l'épargne</v>
      </c>
      <c r="I100" s="91" t="str">
        <f>IFERROR(__xludf.DUMMYFUNCTION("TRIM(REGEXREPLACE(E100, ""[0-9]+[a-f]?\."", """"))"),"Yawan kuɗin ajiye")</f>
        <v>Yawan kuɗin ajiye</v>
      </c>
      <c r="J100" s="91" t="s">
        <v>655</v>
      </c>
      <c r="K100" s="91" t="s">
        <v>656</v>
      </c>
      <c r="L100" s="91" t="s">
        <v>657</v>
      </c>
    </row>
    <row r="101" hidden="1">
      <c r="A101" s="104" t="s">
        <v>108</v>
      </c>
      <c r="B101" s="105" t="s">
        <v>658</v>
      </c>
      <c r="C101" s="31" t="s">
        <v>659</v>
      </c>
      <c r="D101" s="31" t="s">
        <v>660</v>
      </c>
      <c r="E101" s="31" t="s">
        <v>661</v>
      </c>
      <c r="F101" s="89">
        <v>40.0</v>
      </c>
      <c r="G101" s="91" t="str">
        <f>IFERROR(__xludf.DUMMYFUNCTION("TRIM(REGEXREPLACE(C101, ""[0-9]+[a-f]?\."", """"))"),"Savings Type Name")</f>
        <v>Savings Type Name</v>
      </c>
      <c r="H101" s="91" t="str">
        <f>IFERROR(__xludf.DUMMYFUNCTION("TRIM(REGEXREPLACE(D101, ""[0-9]+[a-f]?\."", """"))"),"Nom du type d'épargne")</f>
        <v>Nom du type d'épargne</v>
      </c>
      <c r="I101" s="91" t="str">
        <f>IFERROR(__xludf.DUMMYFUNCTION("TRIM(REGEXREPLACE(E101, ""[0-9]+[a-f]?\."", """"))"),"Sunan Nau'in Ajiya")</f>
        <v>Sunan Nau'in Ajiya</v>
      </c>
      <c r="J101" s="91" t="s">
        <v>665</v>
      </c>
      <c r="K101" s="91" t="s">
        <v>667</v>
      </c>
      <c r="L101" s="91" t="s">
        <v>668</v>
      </c>
    </row>
    <row r="102">
      <c r="A102" s="146" t="s">
        <v>237</v>
      </c>
      <c r="B102" s="147" t="s">
        <v>669</v>
      </c>
      <c r="C102" s="31" t="s">
        <v>671</v>
      </c>
      <c r="D102" s="31" t="s">
        <v>672</v>
      </c>
      <c r="E102" s="31" t="s">
        <v>673</v>
      </c>
      <c r="F102" s="89">
        <v>40.0</v>
      </c>
      <c r="G102" s="91" t="str">
        <f>IFERROR(__xludf.DUMMYFUNCTION("TRIM(REGEXREPLACE(C102, ""[0-9]+[a-f]?\."", """"))"),"Please share with us your best estimate of the value in CFA ${w_savings_name}")</f>
        <v>Please share with us your best estimate of the value in CFA ${w_savings_name}</v>
      </c>
      <c r="H102" s="91" t="str">
        <f>IFERROR(__xludf.DUMMYFUNCTION("TRIM(REGEXREPLACE(D102, ""[0-9]+[a-f]?\."", """"))"),"Veuillez partager avec nous votre meilleure estimation de la valeur en CFA ${w_savings_name}")</f>
        <v>Veuillez partager avec nous votre meilleure estimation de la valeur en CFA ${w_savings_name}</v>
      </c>
      <c r="I102" s="91" t="str">
        <f>IFERROR(__xludf.DUMMYFUNCTION("TRIM(REGEXREPLACE(E102, ""[0-9]+[a-f]?\."", """"))"),"Da fatan zaku faɗa mana ƙimar da kuke ganin yayi daidai a cikin CFA ${w_savings_name}")</f>
        <v>Da fatan zaku faɗa mana ƙimar da kuke ganin yayi daidai a cikin CFA ${w_savings_name}</v>
      </c>
      <c r="J102" s="91" t="str">
        <f t="shared" ref="J102:J103" si="46">F102&amp;". "&amp;G102</f>
        <v>40. Please share with us your best estimate of the value in CFA ${w_savings_name}</v>
      </c>
      <c r="K102" s="91" t="str">
        <f t="shared" ref="K102:L102" si="45">$F102&amp;". "&amp;H102</f>
        <v>40. Veuillez partager avec nous votre meilleure estimation de la valeur en CFA ${w_savings_name}</v>
      </c>
      <c r="L102" s="91" t="str">
        <f t="shared" si="45"/>
        <v>40. Da fatan zaku faɗa mana ƙimar da kuke ganin yayi daidai a cikin CFA ${w_savings_name}</v>
      </c>
    </row>
    <row r="103">
      <c r="A103" s="149" t="s">
        <v>485</v>
      </c>
      <c r="B103" s="142" t="s">
        <v>683</v>
      </c>
      <c r="C103" s="31" t="s">
        <v>684</v>
      </c>
      <c r="D103" s="31" t="s">
        <v>685</v>
      </c>
      <c r="E103" s="31" t="s">
        <v>687</v>
      </c>
      <c r="F103" s="89">
        <v>41.0</v>
      </c>
      <c r="G103" s="91" t="str">
        <f>IFERROR(__xludf.DUMMYFUNCTION("TRIM(REGEXREPLACE(C103, ""[0-9]+[a-f]?\."", """"))"),"Do you earn interest on this money ${w_savings_name}?")</f>
        <v>Do you earn interest on this money ${w_savings_name}?</v>
      </c>
      <c r="H103" s="91" t="str">
        <f>IFERROR(__xludf.DUMMYFUNCTION("TRIM(REGEXREPLACE(D103, ""[0-9]+[a-f]?\."", """"))"),"Gagnez-vous des intérêts sur cet argent ${w_savings_name} ?")</f>
        <v>Gagnez-vous des intérêts sur cet argent ${w_savings_name} ?</v>
      </c>
      <c r="I103" s="91" t="str">
        <f>IFERROR(__xludf.DUMMYFUNCTION("TRIM(REGEXREPLACE(E103, ""[0-9]+[a-f]?\."", """"))"),"Kuna samun riba akan wannan kuɗin ${w_savings_name}?")</f>
        <v>Kuna samun riba akan wannan kuɗin ${w_savings_name}?</v>
      </c>
      <c r="J103" s="91" t="str">
        <f t="shared" si="46"/>
        <v>41. Do you earn interest on this money ${w_savings_name}?</v>
      </c>
      <c r="K103" s="91" t="str">
        <f t="shared" ref="K103:L103" si="47">$F103&amp;". "&amp;H103</f>
        <v>41. Gagnez-vous des intérêts sur cet argent ${w_savings_name} ?</v>
      </c>
      <c r="L103" s="91" t="str">
        <f t="shared" si="47"/>
        <v>41. Kuna samun riba akan wannan kuɗin ${w_savings_name}?</v>
      </c>
    </row>
    <row r="104" hidden="1">
      <c r="A104" s="144" t="s">
        <v>691</v>
      </c>
      <c r="B104" s="150" t="s">
        <v>649</v>
      </c>
      <c r="C104" s="31" t="s">
        <v>650</v>
      </c>
      <c r="D104" s="31" t="s">
        <v>651</v>
      </c>
      <c r="E104" s="31" t="s">
        <v>653</v>
      </c>
      <c r="F104" s="89">
        <v>43.0</v>
      </c>
      <c r="G104" s="91" t="str">
        <f>IFERROR(__xludf.DUMMYFUNCTION("TRIM(REGEXREPLACE(C104, ""[0-9]+[a-f]?\."", """"))"),"Savings Amount")</f>
        <v>Savings Amount</v>
      </c>
      <c r="H104" s="91" t="str">
        <f>IFERROR(__xludf.DUMMYFUNCTION("TRIM(REGEXREPLACE(D104, ""[0-9]+[a-f]?\."", """"))"),"Montant de l'épargne")</f>
        <v>Montant de l'épargne</v>
      </c>
      <c r="I104" s="91" t="str">
        <f>IFERROR(__xludf.DUMMYFUNCTION("TRIM(REGEXREPLACE(E104, ""[0-9]+[a-f]?\."", """"))"),"Yawan kuɗin ajiye")</f>
        <v>Yawan kuɗin ajiye</v>
      </c>
      <c r="J104" s="91" t="s">
        <v>696</v>
      </c>
      <c r="K104" s="91" t="s">
        <v>697</v>
      </c>
      <c r="L104" s="91" t="s">
        <v>698</v>
      </c>
    </row>
    <row r="105">
      <c r="A105" s="147" t="s">
        <v>699</v>
      </c>
      <c r="B105" s="147" t="s">
        <v>700</v>
      </c>
      <c r="C105" s="31" t="s">
        <v>701</v>
      </c>
      <c r="D105" s="31" t="s">
        <v>702</v>
      </c>
      <c r="E105" s="31" t="s">
        <v>703</v>
      </c>
      <c r="F105" s="89">
        <v>42.0</v>
      </c>
      <c r="G105" s="91" t="str">
        <f>IFERROR(__xludf.DUMMYFUNCTION("TRIM(REGEXREPLACE(C105, ""[0-9]+[a-f]?\."", """"))"),"Do you already have a plan for using the money you have saved?")</f>
        <v>Do you already have a plan for using the money you have saved?</v>
      </c>
      <c r="H105" s="91" t="str">
        <f>IFERROR(__xludf.DUMMYFUNCTION("TRIM(REGEXREPLACE(D105, ""[0-9]+[a-f]?\."", """"))"),"Avez-vous déjà prévu d'utiliser l'argent que vous avez économisé ?")</f>
        <v>Avez-vous déjà prévu d'utiliser l'argent que vous avez économisé ?</v>
      </c>
      <c r="I105" s="91" t="str">
        <f>IFERROR(__xludf.DUMMYFUNCTION("TRIM(REGEXREPLACE(E105, ""[0-9]+[a-f]?\."", """"))"),"Shin kuna da shirin yin amfani da kuɗin da kuka adana?")</f>
        <v>Shin kuna da shirin yin amfani da kuɗin da kuka adana?</v>
      </c>
      <c r="J105" s="91" t="str">
        <f t="shared" ref="J105:J108" si="49">F105&amp;". "&amp;G105</f>
        <v>42. Do you already have a plan for using the money you have saved?</v>
      </c>
      <c r="K105" s="91" t="str">
        <f t="shared" ref="K105:L105" si="48">$F105&amp;". "&amp;H105</f>
        <v>42. Avez-vous déjà prévu d'utiliser l'argent que vous avez économisé ?</v>
      </c>
      <c r="L105" s="91" t="str">
        <f t="shared" si="48"/>
        <v>42. Shin kuna da shirin yin amfani da kuɗin da kuka adana?</v>
      </c>
    </row>
    <row r="106">
      <c r="A106" s="147" t="s">
        <v>214</v>
      </c>
      <c r="B106" s="147" t="s">
        <v>706</v>
      </c>
      <c r="C106" s="31" t="s">
        <v>708</v>
      </c>
      <c r="D106" s="31" t="s">
        <v>709</v>
      </c>
      <c r="E106" s="31" t="s">
        <v>710</v>
      </c>
      <c r="F106" s="89">
        <v>43.0</v>
      </c>
      <c r="G106" s="91" t="str">
        <f>IFERROR(__xludf.DUMMYFUNCTION("TRIM(REGEXREPLACE(C106, ""[0-9]+[a-f]?\."", """"))"),"Specify other:")</f>
        <v>Specify other:</v>
      </c>
      <c r="H106" s="91" t="str">
        <f>IFERROR(__xludf.DUMMYFUNCTION("TRIM(REGEXREPLACE(D106, ""[0-9]+[a-f]?\."", """"))"),"Autre à préciser")</f>
        <v>Autre à préciser</v>
      </c>
      <c r="I106" s="91" t="str">
        <f>IFERROR(__xludf.DUMMYFUNCTION("TRIM(REGEXREPLACE(E106, ""[0-9]+[a-f]?\."", """"))"),"Wani daban a baiyana")</f>
        <v>Wani daban a baiyana</v>
      </c>
      <c r="J106" s="91" t="str">
        <f t="shared" si="49"/>
        <v>43. Specify other:</v>
      </c>
      <c r="K106" s="91" t="str">
        <f t="shared" ref="K106:L106" si="50">$F106&amp;". "&amp;H106</f>
        <v>43. Autre à préciser</v>
      </c>
      <c r="L106" s="91" t="str">
        <f t="shared" si="50"/>
        <v>43. Wani daban a baiyana</v>
      </c>
    </row>
    <row r="107">
      <c r="A107" s="147" t="s">
        <v>712</v>
      </c>
      <c r="B107" s="147" t="s">
        <v>713</v>
      </c>
      <c r="C107" s="31" t="s">
        <v>714</v>
      </c>
      <c r="D107" s="31" t="s">
        <v>715</v>
      </c>
      <c r="E107" s="31" t="s">
        <v>716</v>
      </c>
      <c r="F107" s="89">
        <v>44.0</v>
      </c>
      <c r="G107" s="91" t="str">
        <f>IFERROR(__xludf.DUMMYFUNCTION("TRIM(REGEXREPLACE(C107, ""[0-9]+[a-f]?\."", """"))"),"You mentioned that you are saving for a major purchase. What are you planning to buy?")</f>
        <v>You mentioned that you are saving for a major purchase. What are you planning to buy?</v>
      </c>
      <c r="H107" s="91" t="str">
        <f>IFERROR(__xludf.DUMMYFUNCTION("TRIM(REGEXREPLACE(D107, ""[0-9]+[a-f]?\."", """"))"),"Vous avez mentionné que vous économisez pour un achat important. Qu'envisagez-vous d'acheter ?")</f>
        <v>Vous avez mentionné que vous économisez pour un achat important. Qu'envisagez-vous d'acheter ?</v>
      </c>
      <c r="I107" s="91" t="str">
        <f>IFERROR(__xludf.DUMMYFUNCTION("TRIM(REGEXREPLACE(E107, ""[0-9]+[a-f]?\."", """"))"),"Kun ambaci cewa kuna tanadi don sayen wani abu mai muhimmanci. Me kuke shirin saye?")</f>
        <v>Kun ambaci cewa kuna tanadi don sayen wani abu mai muhimmanci. Me kuke shirin saye?</v>
      </c>
      <c r="J107" s="91" t="str">
        <f t="shared" si="49"/>
        <v>44. You mentioned that you are saving for a major purchase. What are you planning to buy?</v>
      </c>
      <c r="K107" s="91" t="str">
        <f t="shared" ref="K107:L107" si="51">$F107&amp;". "&amp;H107</f>
        <v>44. Vous avez mentionné que vous économisez pour un achat important. Qu'envisagez-vous d'acheter ?</v>
      </c>
      <c r="L107" s="91" t="str">
        <f t="shared" si="51"/>
        <v>44. Kun ambaci cewa kuna tanadi don sayen wani abu mai muhimmanci. Me kuke shirin saye?</v>
      </c>
    </row>
    <row r="108">
      <c r="A108" s="147" t="s">
        <v>214</v>
      </c>
      <c r="B108" s="147" t="s">
        <v>721</v>
      </c>
      <c r="C108" s="31" t="s">
        <v>708</v>
      </c>
      <c r="D108" s="31" t="s">
        <v>709</v>
      </c>
      <c r="E108" s="31" t="s">
        <v>710</v>
      </c>
      <c r="F108" s="89">
        <v>45.0</v>
      </c>
      <c r="G108" s="91" t="str">
        <f>IFERROR(__xludf.DUMMYFUNCTION("TRIM(REGEXREPLACE(C108, ""[0-9]+[a-f]?\."", """"))"),"Specify other:")</f>
        <v>Specify other:</v>
      </c>
      <c r="H108" s="91" t="str">
        <f>IFERROR(__xludf.DUMMYFUNCTION("TRIM(REGEXREPLACE(D108, ""[0-9]+[a-f]?\."", """"))"),"Autre à préciser")</f>
        <v>Autre à préciser</v>
      </c>
      <c r="I108" s="91" t="str">
        <f>IFERROR(__xludf.DUMMYFUNCTION("TRIM(REGEXREPLACE(E108, ""[0-9]+[a-f]?\."", """"))"),"Wani daban a baiyana")</f>
        <v>Wani daban a baiyana</v>
      </c>
      <c r="J108" s="91" t="str">
        <f t="shared" si="49"/>
        <v>45. Specify other:</v>
      </c>
      <c r="K108" s="91" t="str">
        <f t="shared" ref="K108:L108" si="52">$F108&amp;". "&amp;H108</f>
        <v>45. Autre à préciser</v>
      </c>
      <c r="L108" s="91" t="str">
        <f t="shared" si="52"/>
        <v>45. Wani daban a baiyana</v>
      </c>
    </row>
    <row r="109" hidden="1">
      <c r="A109" s="67" t="s">
        <v>139</v>
      </c>
      <c r="B109" s="141" t="s">
        <v>728</v>
      </c>
      <c r="C109" s="31"/>
      <c r="D109" s="31"/>
      <c r="E109" s="31"/>
      <c r="F109" s="89">
        <v>48.0</v>
      </c>
      <c r="G109" s="91" t="str">
        <f>IFERROR(__xludf.DUMMYFUNCTION("TRIM(REGEXREPLACE(C109, ""[0-9]+[a-f]?\."", """"))"),"")</f>
        <v/>
      </c>
      <c r="H109" s="91" t="str">
        <f>IFERROR(__xludf.DUMMYFUNCTION("TRIM(REGEXREPLACE(D109, ""[0-9]+[a-f]?\."", """"))"),"")</f>
        <v/>
      </c>
      <c r="I109" s="91" t="str">
        <f>IFERROR(__xludf.DUMMYFUNCTION("TRIM(REGEXREPLACE(E109, ""[0-9]+[a-f]?\."", """"))"),"")</f>
        <v/>
      </c>
      <c r="J109" s="91" t="s">
        <v>730</v>
      </c>
      <c r="K109" s="91" t="s">
        <v>731</v>
      </c>
      <c r="L109" s="91" t="s">
        <v>732</v>
      </c>
    </row>
    <row r="110" hidden="1">
      <c r="A110" s="67" t="s">
        <v>108</v>
      </c>
      <c r="B110" s="69" t="s">
        <v>733</v>
      </c>
      <c r="C110" s="31"/>
      <c r="D110" s="31"/>
      <c r="E110" s="31"/>
      <c r="F110" s="89">
        <v>49.0</v>
      </c>
      <c r="G110" s="91" t="str">
        <f>IFERROR(__xludf.DUMMYFUNCTION("TRIM(REGEXREPLACE(C110, ""[0-9]+[a-f]?\."", """"))"),"")</f>
        <v/>
      </c>
      <c r="H110" s="91" t="str">
        <f>IFERROR(__xludf.DUMMYFUNCTION("TRIM(REGEXREPLACE(D110, ""[0-9]+[a-f]?\."", """"))"),"")</f>
        <v/>
      </c>
      <c r="I110" s="91" t="str">
        <f>IFERROR(__xludf.DUMMYFUNCTION("TRIM(REGEXREPLACE(E110, ""[0-9]+[a-f]?\."", """"))"),"")</f>
        <v/>
      </c>
      <c r="J110" s="91" t="s">
        <v>734</v>
      </c>
      <c r="K110" s="91" t="s">
        <v>735</v>
      </c>
      <c r="L110" s="91" t="s">
        <v>736</v>
      </c>
    </row>
    <row r="111" hidden="1">
      <c r="A111" s="104"/>
      <c r="B111" s="141"/>
      <c r="C111" s="31"/>
      <c r="D111" s="31"/>
      <c r="E111" s="31"/>
      <c r="F111" s="89">
        <v>50.0</v>
      </c>
      <c r="G111" s="91" t="str">
        <f>IFERROR(__xludf.DUMMYFUNCTION("TRIM(REGEXREPLACE(C111, ""[0-9]+[a-f]?\."", """"))"),"")</f>
        <v/>
      </c>
      <c r="H111" s="91" t="str">
        <f>IFERROR(__xludf.DUMMYFUNCTION("TRIM(REGEXREPLACE(D111, ""[0-9]+[a-f]?\."", """"))"),"")</f>
        <v/>
      </c>
      <c r="I111" s="91" t="str">
        <f>IFERROR(__xludf.DUMMYFUNCTION("TRIM(REGEXREPLACE(E111, ""[0-9]+[a-f]?\."", """"))"),"")</f>
        <v/>
      </c>
      <c r="J111" s="91" t="s">
        <v>740</v>
      </c>
      <c r="K111" s="91" t="s">
        <v>742</v>
      </c>
      <c r="L111" s="91" t="s">
        <v>743</v>
      </c>
    </row>
    <row r="112" hidden="1">
      <c r="A112" s="135"/>
      <c r="B112" s="135"/>
      <c r="C112" s="31"/>
      <c r="D112" s="31"/>
      <c r="E112" s="31"/>
      <c r="F112" s="89">
        <v>53.0</v>
      </c>
      <c r="G112" s="91" t="str">
        <f>IFERROR(__xludf.DUMMYFUNCTION("TRIM(REGEXREPLACE(C112, ""[0-9]+[a-f]?\."", """"))"),"")</f>
        <v/>
      </c>
      <c r="H112" s="91" t="str">
        <f>IFERROR(__xludf.DUMMYFUNCTION("TRIM(REGEXREPLACE(D112, ""[0-9]+[a-f]?\."", """"))"),"")</f>
        <v/>
      </c>
      <c r="I112" s="91" t="str">
        <f>IFERROR(__xludf.DUMMYFUNCTION("TRIM(REGEXREPLACE(E112, ""[0-9]+[a-f]?\."", """"))"),"")</f>
        <v/>
      </c>
      <c r="J112" s="91" t="s">
        <v>746</v>
      </c>
      <c r="K112" s="91" t="s">
        <v>747</v>
      </c>
      <c r="L112" s="91" t="s">
        <v>748</v>
      </c>
    </row>
    <row r="113" hidden="1">
      <c r="A113" s="104" t="s">
        <v>139</v>
      </c>
      <c r="B113" s="141" t="s">
        <v>749</v>
      </c>
      <c r="C113" s="31"/>
      <c r="D113" s="31"/>
      <c r="E113" s="31"/>
      <c r="F113" s="89">
        <v>54.0</v>
      </c>
      <c r="G113" s="91" t="str">
        <f>IFERROR(__xludf.DUMMYFUNCTION("TRIM(REGEXREPLACE(C113, ""[0-9]+[a-f]?\."", """"))"),"")</f>
        <v/>
      </c>
      <c r="H113" s="91" t="str">
        <f>IFERROR(__xludf.DUMMYFUNCTION("TRIM(REGEXREPLACE(D113, ""[0-9]+[a-f]?\."", """"))"),"")</f>
        <v/>
      </c>
      <c r="I113" s="91" t="str">
        <f>IFERROR(__xludf.DUMMYFUNCTION("TRIM(REGEXREPLACE(E113, ""[0-9]+[a-f]?\."", """"))"),"")</f>
        <v/>
      </c>
      <c r="J113" s="91" t="s">
        <v>750</v>
      </c>
      <c r="K113" s="91" t="s">
        <v>751</v>
      </c>
      <c r="L113" s="91" t="s">
        <v>752</v>
      </c>
    </row>
    <row r="114" hidden="1">
      <c r="A114" s="67" t="s">
        <v>150</v>
      </c>
      <c r="B114" s="69" t="s">
        <v>753</v>
      </c>
      <c r="C114" s="31"/>
      <c r="D114" s="31"/>
      <c r="E114" s="31"/>
      <c r="F114" s="89">
        <v>51.0</v>
      </c>
      <c r="G114" s="91" t="str">
        <f>IFERROR(__xludf.DUMMYFUNCTION("TRIM(REGEXREPLACE(C114, ""[0-9]+[a-f]?\."", """"))"),"")</f>
        <v/>
      </c>
      <c r="H114" s="91" t="str">
        <f>IFERROR(__xludf.DUMMYFUNCTION("TRIM(REGEXREPLACE(D114, ""[0-9]+[a-f]?\."", """"))"),"")</f>
        <v/>
      </c>
      <c r="I114" s="91" t="str">
        <f>IFERROR(__xludf.DUMMYFUNCTION("TRIM(REGEXREPLACE(E114, ""[0-9]+[a-f]?\."", """"))"),"")</f>
        <v/>
      </c>
      <c r="J114" s="91" t="s">
        <v>757</v>
      </c>
      <c r="K114" s="91" t="s">
        <v>759</v>
      </c>
      <c r="L114" s="91" t="s">
        <v>760</v>
      </c>
    </row>
    <row r="115">
      <c r="A115" s="126" t="s">
        <v>42</v>
      </c>
      <c r="B115" s="127" t="s">
        <v>763</v>
      </c>
      <c r="C115" s="31" t="s">
        <v>764</v>
      </c>
      <c r="D115" s="31" t="s">
        <v>765</v>
      </c>
      <c r="E115" s="31" t="s">
        <v>766</v>
      </c>
      <c r="F115" s="89">
        <v>46.0</v>
      </c>
      <c r="G115" s="91" t="str">
        <f>IFERROR(__xludf.DUMMYFUNCTION("TRIM(REGEXREPLACE(C115, ""[0-9]+[a-f]?\."", """"))"),"I would like to ask you a few questions about your health and wellbeing")</f>
        <v>I would like to ask you a few questions about your health and wellbeing</v>
      </c>
      <c r="H115" s="91" t="str">
        <f>IFERROR(__xludf.DUMMYFUNCTION("TRIM(REGEXREPLACE(D115, ""[0-9]+[a-f]?\."", """"))"),"Je voudrais vous poser quelques questions sur votre santé et votre bien-être")</f>
        <v>Je voudrais vous poser quelques questions sur votre santé et votre bien-être</v>
      </c>
      <c r="I115" s="91" t="str">
        <f>IFERROR(__xludf.DUMMYFUNCTION("TRIM(REGEXREPLACE(E115, ""[0-9]+[a-f]?\."", """"))"),"Ina so in yi muku wasu ƴan tambayoyi game da lafiyar jikinku da jin daɗin ku")</f>
        <v>Ina so in yi muku wasu ƴan tambayoyi game da lafiyar jikinku da jin daɗin ku</v>
      </c>
      <c r="J115" s="91" t="str">
        <f t="shared" ref="J115:J125" si="54">F115&amp;". "&amp;G115</f>
        <v>46. I would like to ask you a few questions about your health and wellbeing</v>
      </c>
      <c r="K115" s="91" t="str">
        <f t="shared" ref="K115:L115" si="53">$F115&amp;". "&amp;H115</f>
        <v>46. Je voudrais vous poser quelques questions sur votre santé et votre bien-être</v>
      </c>
      <c r="L115" s="91" t="str">
        <f t="shared" si="53"/>
        <v>46. Ina so in yi muku wasu ƴan tambayoyi game da lafiyar jikinku da jin daɗin ku</v>
      </c>
    </row>
    <row r="116">
      <c r="A116" s="81" t="s">
        <v>767</v>
      </c>
      <c r="B116" s="142" t="s">
        <v>768</v>
      </c>
      <c r="C116" s="31" t="s">
        <v>769</v>
      </c>
      <c r="D116" s="31" t="s">
        <v>770</v>
      </c>
      <c r="E116" s="31" t="s">
        <v>772</v>
      </c>
      <c r="F116" s="89">
        <v>47.0</v>
      </c>
      <c r="G116" s="91" t="str">
        <f>IFERROR(__xludf.DUMMYFUNCTION("TRIM(REGEXREPLACE(C116, ""[0-9]+[a-f]?\."", """"))"),"In general, how would you characterize your physical health?")</f>
        <v>In general, how would you characterize your physical health?</v>
      </c>
      <c r="H116" s="91" t="str">
        <f>IFERROR(__xludf.DUMMYFUNCTION("TRIM(REGEXREPLACE(D116, ""[0-9]+[a-f]?\."", """"))"),"En général, comment caractériseriez-vous votre santé physique ?")</f>
        <v>En général, comment caractériseriez-vous votre santé physique ?</v>
      </c>
      <c r="I116" s="91" t="str">
        <f>IFERROR(__xludf.DUMMYFUNCTION("TRIM(REGEXREPLACE(E116, ""[0-9]+[a-f]?\."", """"))"),"A taƙaice, yaya za ku siffanta lafiyar jikin ku?")</f>
        <v>A taƙaice, yaya za ku siffanta lafiyar jikin ku?</v>
      </c>
      <c r="J116" s="91" t="str">
        <f t="shared" si="54"/>
        <v>47. In general, how would you characterize your physical health?</v>
      </c>
      <c r="K116" s="91" t="str">
        <f t="shared" ref="K116:L116" si="55">$F116&amp;". "&amp;H116</f>
        <v>47. En général, comment caractériseriez-vous votre santé physique ?</v>
      </c>
      <c r="L116" s="91" t="str">
        <f t="shared" si="55"/>
        <v>47. A taƙaice, yaya za ku siffanta lafiyar jikin ku?</v>
      </c>
    </row>
    <row r="117">
      <c r="A117" s="81" t="s">
        <v>338</v>
      </c>
      <c r="B117" s="142" t="s">
        <v>777</v>
      </c>
      <c r="C117" s="31" t="s">
        <v>778</v>
      </c>
      <c r="D117" s="31" t="s">
        <v>779</v>
      </c>
      <c r="E117" s="31" t="s">
        <v>780</v>
      </c>
      <c r="F117" s="89">
        <v>48.0</v>
      </c>
      <c r="G117" s="91" t="str">
        <f>IFERROR(__xludf.DUMMYFUNCTION("TRIM(REGEXREPLACE(C117, ""[0-9]+[a-f]?\."", """"))"),"Do you currently suffer from any illness or disability that limits your ability to travel or work?")</f>
        <v>Do you currently suffer from any illness or disability that limits your ability to travel or work?</v>
      </c>
      <c r="H117" s="91" t="str">
        <f>IFERROR(__xludf.DUMMYFUNCTION("TRIM(REGEXREPLACE(D117, ""[0-9]+[a-f]?\."", """"))"),"Souffrez-vous actuellement d'une maladie ou d'un handicap qui limite votre capacité à voyager ou à travailler ?")</f>
        <v>Souffrez-vous actuellement d'une maladie ou d'un handicap qui limite votre capacité à voyager ou à travailler ?</v>
      </c>
      <c r="I117" s="91" t="str">
        <f>IFERROR(__xludf.DUMMYFUNCTION("TRIM(REGEXREPLACE(E117, ""[0-9]+[a-f]?\."", """"))"),"A halin yanzu, ko kuna fama da wata rashin lafiya ko naƙasa da ke iya kawo muku cikas game da tahiya bulaguro ko yin aiki?")</f>
        <v>A halin yanzu, ko kuna fama da wata rashin lafiya ko naƙasa da ke iya kawo muku cikas game da tahiya bulaguro ko yin aiki?</v>
      </c>
      <c r="J117" s="91" t="str">
        <f t="shared" si="54"/>
        <v>48. Do you currently suffer from any illness or disability that limits your ability to travel or work?</v>
      </c>
      <c r="K117" s="91" t="str">
        <f t="shared" ref="K117:L117" si="56">$F117&amp;". "&amp;H117</f>
        <v>48. Souffrez-vous actuellement d'une maladie ou d'un handicap qui limite votre capacité à voyager ou à travailler ?</v>
      </c>
      <c r="L117" s="91" t="str">
        <f t="shared" si="56"/>
        <v>48. A halin yanzu, ko kuna fama da wata rashin lafiya ko naƙasa da ke iya kawo muku cikas game da tahiya bulaguro ko yin aiki?</v>
      </c>
    </row>
    <row r="118">
      <c r="A118" s="149" t="s">
        <v>781</v>
      </c>
      <c r="B118" s="142" t="s">
        <v>782</v>
      </c>
      <c r="C118" s="31" t="s">
        <v>783</v>
      </c>
      <c r="D118" s="31" t="s">
        <v>784</v>
      </c>
      <c r="E118" s="31" t="s">
        <v>785</v>
      </c>
      <c r="F118" s="89">
        <v>49.0</v>
      </c>
      <c r="G118" s="91" t="str">
        <f>IFERROR(__xludf.DUMMYFUNCTION("TRIM(REGEXREPLACE(C118, ""[0-9]+[a-f]?\."", """"))"),"What illness limits you in this way?")</f>
        <v>What illness limits you in this way?</v>
      </c>
      <c r="H118" s="91" t="str">
        <f>IFERROR(__xludf.DUMMYFUNCTION("TRIM(REGEXREPLACE(D118, ""[0-9]+[a-f]?\."", """"))"),"Quelle maladie vous limite de cette manière ?")</f>
        <v>Quelle maladie vous limite de cette manière ?</v>
      </c>
      <c r="I118" s="91" t="str">
        <f>IFERROR(__xludf.DUMMYFUNCTION("TRIM(REGEXREPLACE(E118, ""[0-9]+[a-f]?\."", """"))"),"Wace cuta ce ke tsaida ku a kan wannan?")</f>
        <v>Wace cuta ce ke tsaida ku a kan wannan?</v>
      </c>
      <c r="J118" s="91" t="str">
        <f t="shared" si="54"/>
        <v>49. What illness limits you in this way?</v>
      </c>
      <c r="K118" s="91" t="str">
        <f t="shared" ref="K118:L118" si="57">$F118&amp;". "&amp;H118</f>
        <v>49. Quelle maladie vous limite de cette manière ?</v>
      </c>
      <c r="L118" s="91" t="str">
        <f t="shared" si="57"/>
        <v>49. Wace cuta ce ke tsaida ku a kan wannan?</v>
      </c>
    </row>
    <row r="119">
      <c r="A119" s="133" t="s">
        <v>214</v>
      </c>
      <c r="B119" s="143" t="s">
        <v>791</v>
      </c>
      <c r="C119" s="31" t="s">
        <v>792</v>
      </c>
      <c r="D119" s="31" t="s">
        <v>793</v>
      </c>
      <c r="E119" s="31" t="s">
        <v>795</v>
      </c>
      <c r="F119" s="89">
        <v>50.0</v>
      </c>
      <c r="G119" s="91" t="str">
        <f>IFERROR(__xludf.DUMMYFUNCTION("TRIM(REGEXREPLACE(C119, ""[0-9]+[a-f]?\."", """"))"),"Other, specify:")</f>
        <v>Other, specify:</v>
      </c>
      <c r="H119" s="91" t="str">
        <f>IFERROR(__xludf.DUMMYFUNCTION("TRIM(REGEXREPLACE(D119, ""[0-9]+[a-f]?\."", """"))"),"Autre précisez:")</f>
        <v>Autre précisez:</v>
      </c>
      <c r="I119" s="91" t="str">
        <f>IFERROR(__xludf.DUMMYFUNCTION("TRIM(REGEXREPLACE(E119, ""[0-9]+[a-f]?\."", """"))"),"Sauran, bayar da cikakkun bayanai:")</f>
        <v>Sauran, bayar da cikakkun bayanai:</v>
      </c>
      <c r="J119" s="91" t="str">
        <f t="shared" si="54"/>
        <v>50. Other, specify:</v>
      </c>
      <c r="K119" s="91" t="str">
        <f t="shared" ref="K119:L119" si="58">$F119&amp;". "&amp;H119</f>
        <v>50. Autre précisez:</v>
      </c>
      <c r="L119" s="91" t="str">
        <f t="shared" si="58"/>
        <v>50. Sauran, bayar da cikakkun bayanai:</v>
      </c>
    </row>
    <row r="120">
      <c r="A120" s="81" t="s">
        <v>338</v>
      </c>
      <c r="B120" s="142" t="s">
        <v>796</v>
      </c>
      <c r="C120" s="31" t="s">
        <v>797</v>
      </c>
      <c r="D120" s="31" t="s">
        <v>798</v>
      </c>
      <c r="E120" s="31" t="s">
        <v>799</v>
      </c>
      <c r="F120" s="89">
        <v>51.0</v>
      </c>
      <c r="G120" s="91" t="str">
        <f>IFERROR(__xludf.DUMMYFUNCTION("TRIM(REGEXREPLACE(C120, ""[0-9]+[a-f]?\."", """"))"),"In the past six months, did you suffer from an illness or injury that disrupted your daily life?")</f>
        <v>In the past six months, did you suffer from an illness or injury that disrupted your daily life?</v>
      </c>
      <c r="H120" s="91" t="str">
        <f>IFERROR(__xludf.DUMMYFUNCTION("TRIM(REGEXREPLACE(D120, ""[0-9]+[a-f]?\."", """"))"),"Au cours des six derniers mois, avez-vous souffert d'une maladie ou d'une blessure qui a perturbé votre quotidien ?")</f>
        <v>Au cours des six derniers mois, avez-vous souffert d'une maladie ou d'une blessure qui a perturbé votre quotidien ?</v>
      </c>
      <c r="I120" s="91" t="str">
        <f>IFERROR(__xludf.DUMMYFUNCTION("TRIM(REGEXREPLACE(E120, ""[0-9]+[a-f]?\."", """"))"),"A cikin watanni shida da suka gabata, ko kun yi fama da rashin lafiya ko rauni wanda ya kawo cikas ga rayuwar yau da kullun?")</f>
        <v>A cikin watanni shida da suka gabata, ko kun yi fama da rashin lafiya ko rauni wanda ya kawo cikas ga rayuwar yau da kullun?</v>
      </c>
      <c r="J120" s="91" t="str">
        <f t="shared" si="54"/>
        <v>51. In the past six months, did you suffer from an illness or injury that disrupted your daily life?</v>
      </c>
      <c r="K120" s="91" t="str">
        <f t="shared" ref="K120:L120" si="59">$F120&amp;". "&amp;H120</f>
        <v>51. Au cours des six derniers mois, avez-vous souffert d'une maladie ou d'une blessure qui a perturbé votre quotidien ?</v>
      </c>
      <c r="L120" s="91" t="str">
        <f t="shared" si="59"/>
        <v>51. A cikin watanni shida da suka gabata, ko kun yi fama da rashin lafiya ko rauni wanda ya kawo cikas ga rayuwar yau da kullun?</v>
      </c>
    </row>
    <row r="121">
      <c r="A121" s="149" t="s">
        <v>781</v>
      </c>
      <c r="B121" s="142" t="s">
        <v>801</v>
      </c>
      <c r="C121" s="31" t="s">
        <v>802</v>
      </c>
      <c r="D121" s="31" t="s">
        <v>803</v>
      </c>
      <c r="E121" s="31" t="s">
        <v>805</v>
      </c>
      <c r="F121" s="89">
        <v>52.0</v>
      </c>
      <c r="G121" s="91" t="str">
        <f>IFERROR(__xludf.DUMMYFUNCTION("TRIM(REGEXREPLACE(C121, ""[0-9]+[a-f]?\."", """"))"),"What type of illness or injury did you experience?")</f>
        <v>What type of illness or injury did you experience?</v>
      </c>
      <c r="H121" s="91" t="str">
        <f>IFERROR(__xludf.DUMMYFUNCTION("TRIM(REGEXREPLACE(D121, ""[0-9]+[a-f]?\."", """"))"),"Preciser le type de maladie ou de blessure")</f>
        <v>Preciser le type de maladie ou de blessure</v>
      </c>
      <c r="I121" s="91" t="str">
        <f>IFERROR(__xludf.DUMMYFUNCTION("TRIM(REGEXREPLACE(E121, ""[0-9]+[a-f]?\."", """"))"),"Baiyana irin ciwo ko raunin da kuka yi fama da shi?")</f>
        <v>Baiyana irin ciwo ko raunin da kuka yi fama da shi?</v>
      </c>
      <c r="J121" s="91" t="str">
        <f t="shared" si="54"/>
        <v>52. What type of illness or injury did you experience?</v>
      </c>
      <c r="K121" s="91" t="str">
        <f t="shared" ref="K121:L121" si="60">$F121&amp;". "&amp;H121</f>
        <v>52. Preciser le type de maladie ou de blessure</v>
      </c>
      <c r="L121" s="91" t="str">
        <f t="shared" si="60"/>
        <v>52. Baiyana irin ciwo ko raunin da kuka yi fama da shi?</v>
      </c>
    </row>
    <row r="122">
      <c r="A122" s="133" t="s">
        <v>214</v>
      </c>
      <c r="B122" s="143" t="s">
        <v>809</v>
      </c>
      <c r="C122" s="31" t="s">
        <v>810</v>
      </c>
      <c r="D122" s="31" t="s">
        <v>811</v>
      </c>
      <c r="E122" s="31" t="s">
        <v>812</v>
      </c>
      <c r="F122" s="89">
        <v>53.0</v>
      </c>
      <c r="G122" s="91" t="str">
        <f>IFERROR(__xludf.DUMMYFUNCTION("TRIM(REGEXREPLACE(C122, ""[0-9]+[a-f]?\."", """"))"),"Specify other illness or injury")</f>
        <v>Specify other illness or injury</v>
      </c>
      <c r="H122" s="91" t="str">
        <f>IFERROR(__xludf.DUMMYFUNCTION("TRIM(REGEXREPLACE(D122, ""[0-9]+[a-f]?\."", """"))"),"Preciser le type de maladie ou de blessure")</f>
        <v>Preciser le type de maladie ou de blessure</v>
      </c>
      <c r="I122" s="91" t="str">
        <f>IFERROR(__xludf.DUMMYFUNCTION("TRIM(REGEXREPLACE(E122, ""[0-9]+[a-f]?\."", """"))"),"Baiyana irin ciwo ko raunin da kuka yi fama da shi?")</f>
        <v>Baiyana irin ciwo ko raunin da kuka yi fama da shi?</v>
      </c>
      <c r="J122" s="91" t="str">
        <f t="shared" si="54"/>
        <v>53. Specify other illness or injury</v>
      </c>
      <c r="K122" s="91" t="str">
        <f t="shared" ref="K122:L122" si="61">$F122&amp;". "&amp;H122</f>
        <v>53. Preciser le type de maladie ou de blessure</v>
      </c>
      <c r="L122" s="91" t="str">
        <f t="shared" si="61"/>
        <v>53. Baiyana irin ciwo ko raunin da kuka yi fama da shi?</v>
      </c>
    </row>
    <row r="123">
      <c r="A123" s="81" t="s">
        <v>338</v>
      </c>
      <c r="B123" s="142" t="s">
        <v>813</v>
      </c>
      <c r="C123" s="31" t="s">
        <v>814</v>
      </c>
      <c r="D123" s="31" t="s">
        <v>815</v>
      </c>
      <c r="E123" s="31" t="s">
        <v>816</v>
      </c>
      <c r="F123" s="89">
        <v>54.0</v>
      </c>
      <c r="G123" s="91" t="str">
        <f>IFERROR(__xludf.DUMMYFUNCTION("TRIM(REGEXREPLACE(C123, ""[0-9]+[a-f]?\."", """"))"),"Did you seek any treatment for any illness or injury?")</f>
        <v>Did you seek any treatment for any illness or injury?</v>
      </c>
      <c r="H123" s="91" t="str">
        <f>IFERROR(__xludf.DUMMYFUNCTION("TRIM(REGEXREPLACE(D123, ""[0-9]+[a-f]?\."", """"))"),"Avez-vous cherché un traitement pour une maladie ou une blessure ?")</f>
        <v>Avez-vous cherché un traitement pour une maladie ou une blessure ?</v>
      </c>
      <c r="I123" s="91" t="str">
        <f>IFERROR(__xludf.DUMMYFUNCTION("TRIM(REGEXREPLACE(E123, ""[0-9]+[a-f]?\."", """"))"),"Ko kun nemi wani magani don wata cuta ko rauni?")</f>
        <v>Ko kun nemi wani magani don wata cuta ko rauni?</v>
      </c>
      <c r="J123" s="91" t="str">
        <f t="shared" si="54"/>
        <v>54. Did you seek any treatment for any illness or injury?</v>
      </c>
      <c r="K123" s="91" t="str">
        <f t="shared" ref="K123:L123" si="62">$F123&amp;". "&amp;H123</f>
        <v>54. Avez-vous cherché un traitement pour une maladie ou une blessure ?</v>
      </c>
      <c r="L123" s="91" t="str">
        <f t="shared" si="62"/>
        <v>54. Ko kun nemi wani magani don wata cuta ko rauni?</v>
      </c>
    </row>
    <row r="124">
      <c r="A124" s="126" t="s">
        <v>42</v>
      </c>
      <c r="B124" s="127" t="s">
        <v>819</v>
      </c>
      <c r="C124" s="31" t="s">
        <v>820</v>
      </c>
      <c r="D124" s="31" t="s">
        <v>821</v>
      </c>
      <c r="E124" s="31" t="s">
        <v>822</v>
      </c>
      <c r="F124" s="89">
        <v>55.0</v>
      </c>
      <c r="G124" s="91" t="str">
        <f>IFERROR(__xludf.DUMMYFUNCTION("TRIM(REGEXREPLACE(C124, ""[0-9]+[a-f]?\."", """"))"),"Now I want to ask you about the past week (7 days)")</f>
        <v>Now I want to ask you about the past week (7 days)</v>
      </c>
      <c r="H124" s="91" t="str">
        <f>IFERROR(__xludf.DUMMYFUNCTION("TRIM(REGEXREPLACE(D124, ""[0-9]+[a-f]?\."", """"))"),"Maintenant, je veux vous poser des questions sur la semaine dernière (7 jours)")</f>
        <v>Maintenant, je veux vous poser des questions sur la semaine dernière (7 jours)</v>
      </c>
      <c r="I124" s="91" t="str">
        <f>IFERROR(__xludf.DUMMYFUNCTION("TRIM(REGEXREPLACE(E124, ""[0-9]+[a-f]?\."", """"))"),"Yanzu ina son in muku tambayoyi bisa satin (makon) da ya wuce (kwana 7)")</f>
        <v>Yanzu ina son in muku tambayoyi bisa satin (makon) da ya wuce (kwana 7)</v>
      </c>
      <c r="J124" s="91" t="str">
        <f t="shared" si="54"/>
        <v>55. Now I want to ask you about the past week (7 days)</v>
      </c>
      <c r="K124" s="91" t="str">
        <f t="shared" ref="K124:L124" si="63">$F124&amp;". "&amp;H124</f>
        <v>55. Maintenant, je veux vous poser des questions sur la semaine dernière (7 jours)</v>
      </c>
      <c r="L124" s="91" t="str">
        <f t="shared" si="63"/>
        <v>55. Yanzu ina son in muku tambayoyi bisa satin (makon) da ya wuce (kwana 7)</v>
      </c>
    </row>
    <row r="125">
      <c r="A125" s="146" t="s">
        <v>237</v>
      </c>
      <c r="B125" s="147" t="s">
        <v>823</v>
      </c>
      <c r="C125" s="31" t="s">
        <v>825</v>
      </c>
      <c r="D125" s="31" t="s">
        <v>826</v>
      </c>
      <c r="E125" s="31" t="s">
        <v>828</v>
      </c>
      <c r="F125" s="89">
        <v>56.0</v>
      </c>
      <c r="G125" s="91" t="str">
        <f>IFERROR(__xludf.DUMMYFUNCTION("TRIM(REGEXREPLACE(C125, ""[0-9]+[a-f]?\."", """"))"),"How many hours of sleep per night did you get on average in the last seven days?")</f>
        <v>How many hours of sleep per night did you get on average in the last seven days?</v>
      </c>
      <c r="H125" s="91" t="str">
        <f>IFERROR(__xludf.DUMMYFUNCTION("TRIM(REGEXREPLACE(D125, ""[0-9]+[a-f]?\."", """"))"),"Combien d'heures de sommeil par nuit avez-vous dormi en moyenne au cours des sept derniers jours ?")</f>
        <v>Combien d'heures de sommeil par nuit avez-vous dormi en moyenne au cours des sept derniers jours ?</v>
      </c>
      <c r="I125" s="91" t="str">
        <f>IFERROR(__xludf.DUMMYFUNCTION("TRIM(REGEXREPLACE(E125, ""[0-9]+[a-f]?\."", """"))"),"Misalin Sa'o'i nawa a taƙaice kuke yin barci a kowane dare a cikin kwanaki bakwai na ƙarshe da suka wuce?")</f>
        <v>Misalin Sa'o'i nawa a taƙaice kuke yin barci a kowane dare a cikin kwanaki bakwai na ƙarshe da suka wuce?</v>
      </c>
      <c r="J125" s="91" t="str">
        <f t="shared" si="54"/>
        <v>56. How many hours of sleep per night did you get on average in the last seven days?</v>
      </c>
      <c r="K125" s="91" t="str">
        <f t="shared" ref="K125:L125" si="64">$F125&amp;". "&amp;H125</f>
        <v>56. Combien d'heures de sommeil par nuit avez-vous dormi en moyenne au cours des sept derniers jours ?</v>
      </c>
      <c r="L125" s="91" t="str">
        <f t="shared" si="64"/>
        <v>56. Misalin Sa'o'i nawa a taƙaice kuke yin barci a kowane dare a cikin kwanaki bakwai na ƙarshe da suka wuce?</v>
      </c>
    </row>
    <row r="126" hidden="1">
      <c r="A126" s="122"/>
      <c r="B126" s="123"/>
      <c r="C126" s="31"/>
      <c r="D126" s="31"/>
      <c r="E126" s="31"/>
      <c r="F126" s="89">
        <v>17.0</v>
      </c>
      <c r="G126" s="91" t="str">
        <f>IFERROR(__xludf.DUMMYFUNCTION("TRIM(REGEXREPLACE(C126, ""[0-9]+[a-f]?\."", """"))"),"")</f>
        <v/>
      </c>
      <c r="H126" s="91" t="str">
        <f>IFERROR(__xludf.DUMMYFUNCTION("TRIM(REGEXREPLACE(D126, ""[0-9]+[a-f]?\."", """"))"),"")</f>
        <v/>
      </c>
      <c r="I126" s="91" t="str">
        <f>IFERROR(__xludf.DUMMYFUNCTION("TRIM(REGEXREPLACE(E126, ""[0-9]+[a-f]?\."", """"))"),"")</f>
        <v/>
      </c>
      <c r="J126" s="91" t="str">
        <f>F126 &amp; ". " &amp;G126</f>
        <v>17. </v>
      </c>
      <c r="K126" s="91" t="str">
        <f>F126 &amp; ". " &amp;H126</f>
        <v>17. </v>
      </c>
      <c r="L126" s="91" t="str">
        <f>F126 &amp; ". " &amp;I126</f>
        <v>17. </v>
      </c>
    </row>
    <row r="127" hidden="1">
      <c r="A127" s="122" t="s">
        <v>150</v>
      </c>
      <c r="B127" s="123" t="s">
        <v>836</v>
      </c>
      <c r="C127" s="31"/>
      <c r="D127" s="31"/>
      <c r="E127" s="31"/>
      <c r="F127" s="89">
        <v>63.0</v>
      </c>
      <c r="G127" s="91" t="str">
        <f>IFERROR(__xludf.DUMMYFUNCTION("TRIM(REGEXREPLACE(C127, ""[0-9]+[a-f]?\."", """"))"),"")</f>
        <v/>
      </c>
      <c r="H127" s="91" t="str">
        <f>IFERROR(__xludf.DUMMYFUNCTION("TRIM(REGEXREPLACE(D127, ""[0-9]+[a-f]?\."", """"))"),"")</f>
        <v/>
      </c>
      <c r="I127" s="91" t="str">
        <f>IFERROR(__xludf.DUMMYFUNCTION("TRIM(REGEXREPLACE(E127, ""[0-9]+[a-f]?\."", """"))"),"")</f>
        <v/>
      </c>
      <c r="J127" s="91" t="s">
        <v>838</v>
      </c>
      <c r="K127" s="91" t="s">
        <v>839</v>
      </c>
      <c r="L127" s="91" t="s">
        <v>840</v>
      </c>
    </row>
    <row r="128">
      <c r="A128" s="81" t="s">
        <v>841</v>
      </c>
      <c r="B128" s="142" t="s">
        <v>842</v>
      </c>
      <c r="C128" s="31" t="s">
        <v>843</v>
      </c>
      <c r="D128" s="31" t="s">
        <v>844</v>
      </c>
      <c r="E128" s="31" t="s">
        <v>845</v>
      </c>
      <c r="F128" s="89">
        <v>57.0</v>
      </c>
      <c r="G128" s="91" t="str">
        <f>IFERROR(__xludf.DUMMYFUNCTION("TRIM(REGEXREPLACE(C128, ""[0-9]+[a-f]?\."", """"))"),"In the past week, how often did you experience the following feelings?")</f>
        <v>In the past week, how often did you experience the following feelings?</v>
      </c>
      <c r="H128" s="91" t="str">
        <f>IFERROR(__xludf.DUMMYFUNCTION("TRIM(REGEXREPLACE(D128, ""[0-9]+[a-f]?\."", """"))"),"Au cours de la semaine dernière, à quelle fréquence avez-vous ressenti les sentiments suivants ?")</f>
        <v>Au cours de la semaine dernière, à quelle fréquence avez-vous ressenti les sentiments suivants ?</v>
      </c>
      <c r="I128" s="91" t="str">
        <f>IFERROR(__xludf.DUMMYFUNCTION("TRIM(REGEXREPLACE(E128, ""[0-9]+[a-f]?\."", """"))"),"A cikin satin da ya wuce, sau nawa kuka ji irin waɗannan abubuwan a ranku?")</f>
        <v>A cikin satin da ya wuce, sau nawa kuka ji irin waɗannan abubuwan a ranku?</v>
      </c>
      <c r="J128" s="91" t="str">
        <f t="shared" ref="J128:J135" si="66">F128&amp;". "&amp;G128</f>
        <v>57. In the past week, how often did you experience the following feelings?</v>
      </c>
      <c r="K128" s="91" t="str">
        <f t="shared" ref="K128:L128" si="65">$F128&amp;". "&amp;H128</f>
        <v>57. Au cours de la semaine dernière, à quelle fréquence avez-vous ressenti les sentiments suivants ?</v>
      </c>
      <c r="L128" s="91" t="str">
        <f t="shared" si="65"/>
        <v>57. A cikin satin da ya wuce, sau nawa kuka ji irin waɗannan abubuwan a ranku?</v>
      </c>
    </row>
    <row r="129">
      <c r="A129" s="81" t="s">
        <v>841</v>
      </c>
      <c r="B129" s="142" t="s">
        <v>850</v>
      </c>
      <c r="C129" s="31" t="s">
        <v>851</v>
      </c>
      <c r="D129" s="31" t="s">
        <v>852</v>
      </c>
      <c r="E129" s="31" t="s">
        <v>853</v>
      </c>
      <c r="F129" s="89">
        <v>58.0</v>
      </c>
      <c r="G129" s="91" t="str">
        <f>IFERROR(__xludf.DUMMYFUNCTION("TRIM(REGEXREPLACE(C129, ""[0-9]+[a-f]?\."", """"))"),"Enjoyment")</f>
        <v>Enjoyment</v>
      </c>
      <c r="H129" s="91" t="str">
        <f>IFERROR(__xludf.DUMMYFUNCTION("TRIM(REGEXREPLACE(D129, ""[0-9]+[a-f]?\."", """"))"),"Plaisir")</f>
        <v>Plaisir</v>
      </c>
      <c r="I129" s="91" t="str">
        <f>IFERROR(__xludf.DUMMYFUNCTION("TRIM(REGEXREPLACE(E129, ""[0-9]+[a-f]?\."", """"))"),"jin daɗi")</f>
        <v>jin daɗi</v>
      </c>
      <c r="J129" s="91" t="str">
        <f t="shared" si="66"/>
        <v>58. Enjoyment</v>
      </c>
      <c r="K129" s="91" t="str">
        <f t="shared" ref="K129:L129" si="67">$F129&amp;". "&amp;H129</f>
        <v>58. Plaisir</v>
      </c>
      <c r="L129" s="91" t="str">
        <f t="shared" si="67"/>
        <v>58. jin daɗi</v>
      </c>
    </row>
    <row r="130">
      <c r="A130" s="81" t="s">
        <v>841</v>
      </c>
      <c r="B130" s="142" t="s">
        <v>855</v>
      </c>
      <c r="C130" s="31" t="s">
        <v>857</v>
      </c>
      <c r="D130" s="31" t="s">
        <v>858</v>
      </c>
      <c r="E130" s="31" t="s">
        <v>860</v>
      </c>
      <c r="F130" s="89">
        <v>59.0</v>
      </c>
      <c r="G130" s="91" t="str">
        <f>IFERROR(__xludf.DUMMYFUNCTION("TRIM(REGEXREPLACE(C130, ""[0-9]+[a-f]?\."", """"))"),"Happiness")</f>
        <v>Happiness</v>
      </c>
      <c r="H130" s="91" t="str">
        <f>IFERROR(__xludf.DUMMYFUNCTION("TRIM(REGEXREPLACE(D130, ""[0-9]+[a-f]?\."", """"))"),"Bonheur")</f>
        <v>Bonheur</v>
      </c>
      <c r="I130" s="91" t="str">
        <f>IFERROR(__xludf.DUMMYFUNCTION("TRIM(REGEXREPLACE(E130, ""[0-9]+[a-f]?\."", """"))"),"Farin ciki")</f>
        <v>Farin ciki</v>
      </c>
      <c r="J130" s="91" t="str">
        <f t="shared" si="66"/>
        <v>59. Happiness</v>
      </c>
      <c r="K130" s="91" t="str">
        <f t="shared" ref="K130:L130" si="68">$F130&amp;". "&amp;H130</f>
        <v>59. Bonheur</v>
      </c>
      <c r="L130" s="91" t="str">
        <f t="shared" si="68"/>
        <v>59. Farin ciki</v>
      </c>
    </row>
    <row r="131">
      <c r="A131" s="81" t="s">
        <v>841</v>
      </c>
      <c r="B131" s="142" t="s">
        <v>863</v>
      </c>
      <c r="C131" s="31" t="s">
        <v>864</v>
      </c>
      <c r="D131" s="31" t="s">
        <v>864</v>
      </c>
      <c r="E131" s="31" t="s">
        <v>865</v>
      </c>
      <c r="F131" s="89">
        <v>60.0</v>
      </c>
      <c r="G131" s="91" t="str">
        <f>IFERROR(__xludf.DUMMYFUNCTION("TRIM(REGEXREPLACE(C131, ""[0-9]+[a-f]?\."", """"))"),"Stress")</f>
        <v>Stress</v>
      </c>
      <c r="H131" s="91" t="str">
        <f>IFERROR(__xludf.DUMMYFUNCTION("TRIM(REGEXREPLACE(D131, ""[0-9]+[a-f]?\."", """"))"),"Stress")</f>
        <v>Stress</v>
      </c>
      <c r="I131" s="91" t="str">
        <f>IFERROR(__xludf.DUMMYFUNCTION("TRIM(REGEXREPLACE(E131, ""[0-9]+[a-f]?\."", """"))"),"Babbar Damuwa")</f>
        <v>Babbar Damuwa</v>
      </c>
      <c r="J131" s="91" t="str">
        <f t="shared" si="66"/>
        <v>60. Stress</v>
      </c>
      <c r="K131" s="91" t="str">
        <f t="shared" ref="K131:L131" si="69">$F131&amp;". "&amp;H131</f>
        <v>60. Stress</v>
      </c>
      <c r="L131" s="91" t="str">
        <f t="shared" si="69"/>
        <v>60. Babbar Damuwa</v>
      </c>
    </row>
    <row r="132">
      <c r="A132" s="81" t="s">
        <v>841</v>
      </c>
      <c r="B132" s="142" t="s">
        <v>867</v>
      </c>
      <c r="C132" s="31" t="s">
        <v>868</v>
      </c>
      <c r="D132" s="31" t="s">
        <v>869</v>
      </c>
      <c r="E132" s="31" t="s">
        <v>871</v>
      </c>
      <c r="F132" s="89">
        <v>61.0</v>
      </c>
      <c r="G132" s="91" t="str">
        <f>IFERROR(__xludf.DUMMYFUNCTION("TRIM(REGEXREPLACE(C132, ""[0-9]+[a-f]?\."", """"))"),"Worry")</f>
        <v>Worry</v>
      </c>
      <c r="H132" s="91" t="str">
        <f>IFERROR(__xludf.DUMMYFUNCTION("TRIM(REGEXREPLACE(D132, ""[0-9]+[a-f]?\."", """"))"),"Inquiétude")</f>
        <v>Inquiétude</v>
      </c>
      <c r="I132" s="91" t="str">
        <f>IFERROR(__xludf.DUMMYFUNCTION("TRIM(REGEXREPLACE(E132, ""[0-9]+[a-f]?\."", """"))"),"Damuwa")</f>
        <v>Damuwa</v>
      </c>
      <c r="J132" s="91" t="str">
        <f t="shared" si="66"/>
        <v>61. Worry</v>
      </c>
      <c r="K132" s="91" t="str">
        <f t="shared" ref="K132:L132" si="70">$F132&amp;". "&amp;H132</f>
        <v>61. Inquiétude</v>
      </c>
      <c r="L132" s="91" t="str">
        <f t="shared" si="70"/>
        <v>61. Damuwa</v>
      </c>
    </row>
    <row r="133">
      <c r="A133" s="81" t="s">
        <v>841</v>
      </c>
      <c r="B133" s="142" t="s">
        <v>875</v>
      </c>
      <c r="C133" s="31" t="s">
        <v>876</v>
      </c>
      <c r="D133" s="31" t="s">
        <v>877</v>
      </c>
      <c r="E133" s="31" t="s">
        <v>878</v>
      </c>
      <c r="F133" s="89">
        <v>62.0</v>
      </c>
      <c r="G133" s="91" t="str">
        <f>IFERROR(__xludf.DUMMYFUNCTION("TRIM(REGEXREPLACE(C133, ""[0-9]+[a-f]?\."", """"))"),"Anger")</f>
        <v>Anger</v>
      </c>
      <c r="H133" s="91" t="str">
        <f>IFERROR(__xludf.DUMMYFUNCTION("TRIM(REGEXREPLACE(D133, ""[0-9]+[a-f]?\."", """"))"),"Colère")</f>
        <v>Colère</v>
      </c>
      <c r="I133" s="91" t="str">
        <f>IFERROR(__xludf.DUMMYFUNCTION("TRIM(REGEXREPLACE(E133, ""[0-9]+[a-f]?\."", """"))"),"Fushi")</f>
        <v>Fushi</v>
      </c>
      <c r="J133" s="91" t="str">
        <f t="shared" si="66"/>
        <v>62. Anger</v>
      </c>
      <c r="K133" s="91" t="str">
        <f t="shared" ref="K133:L133" si="71">$F133&amp;". "&amp;H133</f>
        <v>62. Colère</v>
      </c>
      <c r="L133" s="91" t="str">
        <f t="shared" si="71"/>
        <v>62. Fushi</v>
      </c>
    </row>
    <row r="134">
      <c r="A134" s="81" t="s">
        <v>841</v>
      </c>
      <c r="B134" s="142" t="s">
        <v>883</v>
      </c>
      <c r="C134" s="31" t="s">
        <v>884</v>
      </c>
      <c r="D134" s="31" t="s">
        <v>885</v>
      </c>
      <c r="E134" s="31" t="s">
        <v>886</v>
      </c>
      <c r="F134" s="89">
        <v>63.0</v>
      </c>
      <c r="G134" s="91" t="str">
        <f>IFERROR(__xludf.DUMMYFUNCTION("TRIM(REGEXREPLACE(C134, ""[0-9]+[a-f]?\."", """"))"),"Physical pain")</f>
        <v>Physical pain</v>
      </c>
      <c r="H134" s="91" t="str">
        <f>IFERROR(__xludf.DUMMYFUNCTION("TRIM(REGEXREPLACE(D134, ""[0-9]+[a-f]?\."", """"))"),"Douleur physique")</f>
        <v>Douleur physique</v>
      </c>
      <c r="I134" s="91" t="str">
        <f>IFERROR(__xludf.DUMMYFUNCTION("TRIM(REGEXREPLACE(E134, ""[0-9]+[a-f]?\."", """"))"),"ciwon jiki")</f>
        <v>ciwon jiki</v>
      </c>
      <c r="J134" s="91" t="str">
        <f t="shared" si="66"/>
        <v>63. Physical pain</v>
      </c>
      <c r="K134" s="91" t="str">
        <f t="shared" ref="K134:L134" si="72">$F134&amp;". "&amp;H134</f>
        <v>63. Douleur physique</v>
      </c>
      <c r="L134" s="91" t="str">
        <f t="shared" si="72"/>
        <v>63. ciwon jiki</v>
      </c>
    </row>
    <row r="135">
      <c r="A135" s="81" t="s">
        <v>841</v>
      </c>
      <c r="B135" s="142" t="s">
        <v>890</v>
      </c>
      <c r="C135" s="31" t="s">
        <v>891</v>
      </c>
      <c r="D135" s="31" t="s">
        <v>892</v>
      </c>
      <c r="E135" s="31" t="s">
        <v>893</v>
      </c>
      <c r="F135" s="89">
        <v>64.0</v>
      </c>
      <c r="G135" s="91" t="str">
        <f>IFERROR(__xludf.DUMMYFUNCTION("TRIM(REGEXREPLACE(C135, ""[0-9]+[a-f]?\."", """"))"),"Loneliness")</f>
        <v>Loneliness</v>
      </c>
      <c r="H135" s="91" t="str">
        <f>IFERROR(__xludf.DUMMYFUNCTION("TRIM(REGEXREPLACE(D135, ""[0-9]+[a-f]?\."", """"))"),"Solitude")</f>
        <v>Solitude</v>
      </c>
      <c r="I135" s="91" t="str">
        <f>IFERROR(__xludf.DUMMYFUNCTION("TRIM(REGEXREPLACE(E135, ""[0-9]+[a-f]?\."", """"))"),"kadaici")</f>
        <v>kadaici</v>
      </c>
      <c r="J135" s="91" t="str">
        <f t="shared" si="66"/>
        <v>64. Loneliness</v>
      </c>
      <c r="K135" s="91" t="str">
        <f t="shared" ref="K135:L135" si="73">$F135&amp;". "&amp;H135</f>
        <v>64. Solitude</v>
      </c>
      <c r="L135" s="91" t="str">
        <f t="shared" si="73"/>
        <v>64. kadaici</v>
      </c>
    </row>
    <row r="136" hidden="1">
      <c r="A136" s="122" t="s">
        <v>236</v>
      </c>
      <c r="B136" s="153" t="s">
        <v>836</v>
      </c>
      <c r="C136" s="31"/>
      <c r="D136" s="31"/>
      <c r="E136" s="31"/>
      <c r="F136" s="89">
        <v>68.0</v>
      </c>
      <c r="G136" s="91" t="str">
        <f>IFERROR(__xludf.DUMMYFUNCTION("TRIM(REGEXREPLACE(C136, ""[0-9]+[a-f]?\."", """"))"),"")</f>
        <v/>
      </c>
      <c r="H136" s="91" t="str">
        <f>IFERROR(__xludf.DUMMYFUNCTION("TRIM(REGEXREPLACE(D136, ""[0-9]+[a-f]?\."", """"))"),"")</f>
        <v/>
      </c>
      <c r="I136" s="91" t="str">
        <f>IFERROR(__xludf.DUMMYFUNCTION("TRIM(REGEXREPLACE(E136, ""[0-9]+[a-f]?\."", """"))"),"")</f>
        <v/>
      </c>
      <c r="J136" s="91" t="s">
        <v>898</v>
      </c>
      <c r="K136" s="91" t="s">
        <v>899</v>
      </c>
      <c r="L136" s="91" t="s">
        <v>900</v>
      </c>
    </row>
    <row r="137" hidden="1">
      <c r="A137" s="122" t="s">
        <v>150</v>
      </c>
      <c r="B137" s="123" t="s">
        <v>902</v>
      </c>
      <c r="C137" s="31"/>
      <c r="D137" s="31"/>
      <c r="E137" s="31"/>
      <c r="F137" s="89">
        <v>69.0</v>
      </c>
      <c r="G137" s="91" t="str">
        <f>IFERROR(__xludf.DUMMYFUNCTION("TRIM(REGEXREPLACE(C137, ""[0-9]+[a-f]?\."", """"))"),"")</f>
        <v/>
      </c>
      <c r="H137" s="91" t="str">
        <f>IFERROR(__xludf.DUMMYFUNCTION("TRIM(REGEXREPLACE(D137, ""[0-9]+[a-f]?\."", """"))"),"")</f>
        <v/>
      </c>
      <c r="I137" s="91" t="str">
        <f>IFERROR(__xludf.DUMMYFUNCTION("TRIM(REGEXREPLACE(E137, ""[0-9]+[a-f]?\."", """"))"),"")</f>
        <v/>
      </c>
      <c r="J137" s="91" t="s">
        <v>903</v>
      </c>
      <c r="K137" s="91" t="s">
        <v>904</v>
      </c>
      <c r="L137" s="91" t="s">
        <v>905</v>
      </c>
    </row>
    <row r="138">
      <c r="A138" s="81" t="s">
        <v>906</v>
      </c>
      <c r="B138" s="142" t="s">
        <v>907</v>
      </c>
      <c r="C138" s="31" t="s">
        <v>908</v>
      </c>
      <c r="D138" s="31" t="s">
        <v>909</v>
      </c>
      <c r="E138" s="31" t="s">
        <v>910</v>
      </c>
      <c r="F138" s="89">
        <v>65.0</v>
      </c>
      <c r="G138" s="91" t="str">
        <f>IFERROR(__xludf.DUMMYFUNCTION("TRIM(REGEXREPLACE(C138, ""[0-9]+[a-f]?\."", """"))"),"I will now read out several statements. You should tell me whether these statements are true for you by using the following scale.")</f>
        <v>I will now read out several statements. You should tell me whether these statements are true for you by using the following scale.</v>
      </c>
      <c r="H138" s="91" t="str">
        <f>IFERROR(__xludf.DUMMYFUNCTION("TRIM(REGEXREPLACE(D138,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138" s="91" t="str">
        <f>IFERROR(__xludf.DUMMYFUNCTION("TRIM(REGEXREPLACE(E138,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138" s="91" t="str">
        <f t="shared" ref="J138:J140" si="75">F138&amp;". "&amp;G138</f>
        <v>65. I will now read out several statements. You should tell me whether these statements are true for you by using the following scale.</v>
      </c>
      <c r="K138" s="91" t="str">
        <f t="shared" ref="K138:L138" si="74">$F138&amp;". "&amp;H138</f>
        <v>65. Je vais maintenant lire plusieurs déclarations. Vous devez me dire si ces affirmations sont vraies pour vous en utilisant l'échelle suivante.</v>
      </c>
      <c r="L138" s="91" t="str">
        <f t="shared" si="74"/>
        <v>65. Yanzu zan karanta wasu maganganu da yawa. Za ku gaya mini ko waɗannan maganganun sun yi daidai da ku ta hanyar yin amfani da kuranga mai zuwa.</v>
      </c>
    </row>
    <row r="139">
      <c r="A139" s="81" t="s">
        <v>906</v>
      </c>
      <c r="B139" s="142" t="s">
        <v>914</v>
      </c>
      <c r="C139" s="31" t="s">
        <v>915</v>
      </c>
      <c r="D139" s="31" t="s">
        <v>916</v>
      </c>
      <c r="E139" s="31" t="s">
        <v>917</v>
      </c>
      <c r="F139" s="89">
        <v>66.0</v>
      </c>
      <c r="G139" s="91" t="str">
        <f>IFERROR(__xludf.DUMMYFUNCTION("TRIM(REGEXREPLACE(C139, ""[0-9]+[a-f]?\."", """"))"),"I feel I do not have much to be proud of.")</f>
        <v>I feel I do not have much to be proud of.</v>
      </c>
      <c r="H139" s="91" t="str">
        <f>IFERROR(__xludf.DUMMYFUNCTION("TRIM(REGEXREPLACE(D139, ""[0-9]+[a-f]?\."", """"))"),"Je sens que je n'ai pas beaucoup de raisons d'être fier (comblé).")</f>
        <v>Je sens que je n'ai pas beaucoup de raisons d'être fier (comblé).</v>
      </c>
      <c r="I139" s="91" t="str">
        <f>IFERROR(__xludf.DUMMYFUNCTION("TRIM(REGEXREPLACE(E139, ""[0-9]+[a-f]?\."", """"))"),"Ina jin ba ni da hujjojin ji da kai na.")</f>
        <v>Ina jin ba ni da hujjojin ji da kai na.</v>
      </c>
      <c r="J139" s="91" t="str">
        <f t="shared" si="75"/>
        <v>66. I feel I do not have much to be proud of.</v>
      </c>
      <c r="K139" s="91" t="str">
        <f t="shared" ref="K139:L139" si="76">$F139&amp;". "&amp;H139</f>
        <v>66. Je sens que je n'ai pas beaucoup de raisons d'être fier (comblé).</v>
      </c>
      <c r="L139" s="91" t="str">
        <f t="shared" si="76"/>
        <v>66. Ina jin ba ni da hujjojin ji da kai na.</v>
      </c>
    </row>
    <row r="140">
      <c r="A140" s="81" t="s">
        <v>906</v>
      </c>
      <c r="B140" s="142" t="s">
        <v>920</v>
      </c>
      <c r="C140" s="31" t="s">
        <v>921</v>
      </c>
      <c r="D140" s="31" t="s">
        <v>922</v>
      </c>
      <c r="E140" s="31" t="s">
        <v>923</v>
      </c>
      <c r="F140" s="89">
        <v>67.0</v>
      </c>
      <c r="G140" s="91" t="str">
        <f>IFERROR(__xludf.DUMMYFUNCTION("TRIM(REGEXREPLACE(C140, ""[0-9]+[a-f]?\."", """"))"),"At times I think I am no good at all.")</f>
        <v>At times I think I am no good at all.</v>
      </c>
      <c r="H140" s="91" t="str">
        <f>IFERROR(__xludf.DUMMYFUNCTION("TRIM(REGEXREPLACE(D140, ""[0-9]+[a-f]?\."", """"))"),"Parfois, je pense que je suis utile a rien")</f>
        <v>Parfois, je pense que je suis utile a rien</v>
      </c>
      <c r="I140" s="91" t="str">
        <f>IFERROR(__xludf.DUMMYFUNCTION("TRIM(REGEXREPLACE(E140, ""[0-9]+[a-f]?\."", """"))"),"A wasu lokuta ina ganin bani da amfani komai.")</f>
        <v>A wasu lokuta ina ganin bani da amfani komai.</v>
      </c>
      <c r="J140" s="91" t="str">
        <f t="shared" si="75"/>
        <v>67. At times I think I am no good at all.</v>
      </c>
      <c r="K140" s="91" t="str">
        <f t="shared" ref="K140:L140" si="77">$F140&amp;". "&amp;H140</f>
        <v>67. Parfois, je pense que je suis utile a rien</v>
      </c>
      <c r="L140" s="91" t="str">
        <f t="shared" si="77"/>
        <v>67. A wasu lokuta ina ganin bani da amfani komai.</v>
      </c>
    </row>
    <row r="141" hidden="1">
      <c r="A141" s="122" t="s">
        <v>236</v>
      </c>
      <c r="B141" s="153" t="s">
        <v>902</v>
      </c>
      <c r="C141" s="31"/>
      <c r="D141" s="31"/>
      <c r="E141" s="31"/>
      <c r="F141" s="89">
        <v>20.0</v>
      </c>
      <c r="G141" s="91" t="str">
        <f>IFERROR(__xludf.DUMMYFUNCTION("TRIM(REGEXREPLACE(C141, ""[0-9]+[a-f]?\."", """"))"),"")</f>
        <v/>
      </c>
      <c r="H141" s="91" t="str">
        <f>IFERROR(__xludf.DUMMYFUNCTION("TRIM(REGEXREPLACE(D141, ""[0-9]+[a-f]?\."", """"))"),"")</f>
        <v/>
      </c>
      <c r="I141" s="91" t="str">
        <f>IFERROR(__xludf.DUMMYFUNCTION("TRIM(REGEXREPLACE(E141, ""[0-9]+[a-f]?\."", """"))"),"")</f>
        <v/>
      </c>
      <c r="J141" s="91" t="str">
        <f>F141 &amp; ". " &amp;G141</f>
        <v>20. </v>
      </c>
      <c r="K141" s="91" t="str">
        <f>F141 &amp; ". " &amp;H141</f>
        <v>20. </v>
      </c>
      <c r="L141" s="91" t="str">
        <f>F141 &amp; ". " &amp;I141</f>
        <v>20. </v>
      </c>
    </row>
    <row r="142">
      <c r="A142" s="146" t="s">
        <v>237</v>
      </c>
      <c r="B142" s="147" t="s">
        <v>930</v>
      </c>
      <c r="C142" s="31" t="s">
        <v>931</v>
      </c>
      <c r="D142" s="31" t="s">
        <v>932</v>
      </c>
      <c r="E142" s="31" t="s">
        <v>933</v>
      </c>
      <c r="F142" s="89">
        <v>68.0</v>
      </c>
      <c r="G142" s="91" t="str">
        <f>IFERROR(__xludf.DUMMYFUNCTION("TRIM(REGEXREPLACE(C142, ""[0-9]+[a-f]?\."", """"))"),"Please imagine a ladder with steps numbered from zero at the bottom to ten at the top. Suppose we say that the top of the ladder represents the best possible life for you and the bottom of the ladder represents the worst possible life for you. If the top "&amp;"step is 10 and the bottom step is 0, on which step of the ladder do you feel you personally stand at the present time?")</f>
        <v>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142" s="91" t="str">
        <f>IFERROR(__xludf.DUMMYFUNCTION("TRIM(REGEXREPLACE(D142, ""[0-9]+[a-f]?\."", """"))"),"Veuillez imaginer une échelle avec des marches numérotées de 0 en bas à 10 en haut. Supposons que le haut de l'échelle représente la meilleure vie possible pour vous et que le bas de l'échelle représente la pire vie possible pour vous. Si l'échelon supéri"&amp;"eur est 10 et l'échelon inférieur est 0, sur quel échelon de l'échelle pensez-vous que vous vous situez personnellement à l'heure actuelle ?")</f>
        <v>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142" s="91" t="str">
        <f>IFERROR(__xludf.DUMMYFUNCTION("TRIM(REGEXREPLACE(E142, ""[0-9]+[a-f]?\."", """"))"),"Ku ƙaddara da wani ma'auni mai lambobi daga 0 a ƙasa zuwa 10 goma a sama. A ce saman mataki yana nuna mafi kyawun rayuwa a gare ku kuma kasan mataki yana nuna mafi munin rayuwa a gare ku. Idan matakin saman ya kasance 10 kuma matakin ƙasa shine 0, akan wa"&amp;"ne mataki na kurangar kake jin kai da kanka kake a halin yanzu?")</f>
        <v>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v>
      </c>
      <c r="J142" s="91" t="str">
        <f>F142&amp;". "&amp;G142</f>
        <v>68.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K142" s="91" t="str">
        <f t="shared" ref="K142:L142" si="78">$F142&amp;". "&amp;H142</f>
        <v>68.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L142" s="91" t="str">
        <f t="shared" si="78"/>
        <v>68.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v>
      </c>
    </row>
    <row r="143" hidden="1">
      <c r="A143" s="122"/>
      <c r="B143" s="123"/>
      <c r="C143" s="31"/>
      <c r="D143" s="31"/>
      <c r="E143" s="31"/>
      <c r="F143" s="89">
        <v>76.0</v>
      </c>
      <c r="G143" s="91" t="str">
        <f>IFERROR(__xludf.DUMMYFUNCTION("TRIM(REGEXREPLACE(C143, ""[0-9]+[a-f]?\."", """"))"),"")</f>
        <v/>
      </c>
      <c r="H143" s="91" t="str">
        <f>IFERROR(__xludf.DUMMYFUNCTION("TRIM(REGEXREPLACE(D143, ""[0-9]+[a-f]?\."", """"))"),"")</f>
        <v/>
      </c>
      <c r="I143" s="91" t="str">
        <f>IFERROR(__xludf.DUMMYFUNCTION("TRIM(REGEXREPLACE(E143, ""[0-9]+[a-f]?\."", """"))"),"")</f>
        <v/>
      </c>
    </row>
    <row r="144" hidden="1">
      <c r="A144" s="122" t="s">
        <v>150</v>
      </c>
      <c r="B144" s="123" t="s">
        <v>936</v>
      </c>
      <c r="C144" s="31" t="s">
        <v>937</v>
      </c>
      <c r="D144" s="31"/>
      <c r="E144" s="31"/>
      <c r="F144" s="89">
        <v>76.0</v>
      </c>
      <c r="G144" s="91" t="str">
        <f>IFERROR(__xludf.DUMMYFUNCTION("TRIM(REGEXREPLACE(C144, ""[0-9]+[a-f]?\."", """"))"),"Worries")</f>
        <v>Worries</v>
      </c>
      <c r="H144" s="91" t="str">
        <f>IFERROR(__xludf.DUMMYFUNCTION("TRIM(REGEXREPLACE(D144, ""[0-9]+[a-f]?\."", """"))"),"")</f>
        <v/>
      </c>
      <c r="I144" s="91" t="str">
        <f>IFERROR(__xludf.DUMMYFUNCTION("TRIM(REGEXREPLACE(E144, ""[0-9]+[a-f]?\."", """"))"),"")</f>
        <v/>
      </c>
      <c r="J144" s="91" t="s">
        <v>939</v>
      </c>
      <c r="K144" s="91" t="s">
        <v>940</v>
      </c>
      <c r="L144" s="91" t="s">
        <v>942</v>
      </c>
    </row>
    <row r="145">
      <c r="A145" s="126" t="s">
        <v>42</v>
      </c>
      <c r="B145" s="127" t="s">
        <v>944</v>
      </c>
      <c r="C145" s="31" t="s">
        <v>945</v>
      </c>
      <c r="D145" s="31" t="s">
        <v>946</v>
      </c>
      <c r="E145" s="31" t="s">
        <v>947</v>
      </c>
      <c r="F145" s="89">
        <v>69.0</v>
      </c>
      <c r="G145" s="91" t="str">
        <f>IFERROR(__xludf.DUMMYFUNCTION("TRIM(REGEXREPLACE(C145, ""[0-9]+[a-f]?\."", """"))"),"Now I am going to ask you about the areas of your life that worry you.")</f>
        <v>Now I am going to ask you about the areas of your life that worry you.</v>
      </c>
      <c r="H145" s="91" t="str">
        <f>IFERROR(__xludf.DUMMYFUNCTION("TRIM(REGEXREPLACE(D145, ""[0-9]+[a-f]?\."", """"))"),"Je voudrais maintenant vous poser des questions sur les choses qui vous inquiètent dans votre vie.")</f>
        <v>Je voudrais maintenant vous poser des questions sur les choses qui vous inquiètent dans votre vie.</v>
      </c>
      <c r="I145" s="91" t="str">
        <f>IFERROR(__xludf.DUMMYFUNCTION("TRIM(REGEXREPLACE(E145, ""[0-9]+[a-f]?\."", """"))"),"Yanzu ina son in tambaye ku bisa abubuwan da ke damun ku a cikin rayuwar ku.")</f>
        <v>Yanzu ina son in tambaye ku bisa abubuwan da ke damun ku a cikin rayuwar ku.</v>
      </c>
      <c r="J145" s="91" t="str">
        <f t="shared" ref="J145:J157" si="80">F145&amp;". "&amp;G145</f>
        <v>69. Now I am going to ask you about the areas of your life that worry you.</v>
      </c>
      <c r="K145" s="91" t="str">
        <f t="shared" ref="K145:L145" si="79">$F145&amp;". "&amp;H145</f>
        <v>69. Je voudrais maintenant vous poser des questions sur les choses qui vous inquiètent dans votre vie.</v>
      </c>
      <c r="L145" s="91" t="str">
        <f t="shared" si="79"/>
        <v>69. Yanzu ina son in tambaye ku bisa abubuwan da ke damun ku a cikin rayuwar ku.</v>
      </c>
    </row>
    <row r="146">
      <c r="A146" s="81" t="s">
        <v>949</v>
      </c>
      <c r="B146" s="142" t="s">
        <v>950</v>
      </c>
      <c r="C146" s="31" t="s">
        <v>951</v>
      </c>
      <c r="D146" s="31" t="s">
        <v>953</v>
      </c>
      <c r="E146" s="31" t="s">
        <v>954</v>
      </c>
      <c r="F146" s="89">
        <v>70.0</v>
      </c>
      <c r="G146" s="91" t="str">
        <f>IFERROR(__xludf.DUMMYFUNCTION("TRIM(REGEXREPLACE(C146, ""[0-9]+[a-f]?\."", """"))"),"How stressed are you about the following areas of your life?")</f>
        <v>How stressed are you about the following areas of your life?</v>
      </c>
      <c r="H146" s="91" t="str">
        <f>IFERROR(__xludf.DUMMYFUNCTION("TRIM(REGEXREPLACE(D146, ""[0-9]+[a-f]?\."", """"))"),"Dans quelle mesure êtes-vous stressé par les domaines suivants de votre vie ?")</f>
        <v>Dans quelle mesure êtes-vous stressé par les domaines suivants de votre vie ?</v>
      </c>
      <c r="I146" s="91" t="str">
        <f>IFERROR(__xludf.DUMMYFUNCTION("TRIM(REGEXREPLACE(E146, ""[0-9]+[a-f]?\."", """"))"),"Yaya damuwarku game da abubuwa na rayuwarku da zan zana?")</f>
        <v>Yaya damuwarku game da abubuwa na rayuwarku da zan zana?</v>
      </c>
      <c r="J146" s="91" t="str">
        <f t="shared" si="80"/>
        <v>70. How stressed are you about the following areas of your life?</v>
      </c>
      <c r="K146" s="91" t="str">
        <f t="shared" ref="K146:L146" si="81">$F146&amp;". "&amp;H146</f>
        <v>70. Dans quelle mesure êtes-vous stressé par les domaines suivants de votre vie ?</v>
      </c>
      <c r="L146" s="91" t="str">
        <f t="shared" si="81"/>
        <v>70. Yaya damuwarku game da abubuwa na rayuwarku da zan zana?</v>
      </c>
    </row>
    <row r="147">
      <c r="A147" s="81" t="s">
        <v>949</v>
      </c>
      <c r="B147" s="142" t="s">
        <v>959</v>
      </c>
      <c r="C147" s="31" t="s">
        <v>960</v>
      </c>
      <c r="D147" s="31" t="s">
        <v>961</v>
      </c>
      <c r="E147" s="31" t="s">
        <v>962</v>
      </c>
      <c r="F147" s="89">
        <v>71.0</v>
      </c>
      <c r="G147" s="91" t="str">
        <f>IFERROR(__xludf.DUMMYFUNCTION("TRIM(REGEXREPLACE(C147, ""[0-9]+[a-f]?\."", """"))"),"Your own health problems, illness")</f>
        <v>Your own health problems, illness</v>
      </c>
      <c r="H147" s="91" t="str">
        <f>IFERROR(__xludf.DUMMYFUNCTION("TRIM(REGEXREPLACE(D147, ""[0-9]+[a-f]?\."", """"))"),"Vos propres problèmes de santé")</f>
        <v>Vos propres problèmes de santé</v>
      </c>
      <c r="I147" s="91" t="str">
        <f>IFERROR(__xludf.DUMMYFUNCTION("TRIM(REGEXREPLACE(E147, ""[0-9]+[a-f]?\."", """"))"),"Matsalolin lafiyar jikinku")</f>
        <v>Matsalolin lafiyar jikinku</v>
      </c>
      <c r="J147" s="91" t="str">
        <f t="shared" si="80"/>
        <v>71. Your own health problems, illness</v>
      </c>
      <c r="K147" s="91" t="str">
        <f t="shared" ref="K147:L147" si="82">$F147&amp;". "&amp;H147</f>
        <v>71. Vos propres problèmes de santé</v>
      </c>
      <c r="L147" s="91" t="str">
        <f t="shared" si="82"/>
        <v>71. Matsalolin lafiyar jikinku</v>
      </c>
    </row>
    <row r="148">
      <c r="A148" s="81" t="s">
        <v>949</v>
      </c>
      <c r="B148" s="142" t="s">
        <v>966</v>
      </c>
      <c r="C148" s="31" t="s">
        <v>968</v>
      </c>
      <c r="D148" s="31" t="s">
        <v>970</v>
      </c>
      <c r="E148" s="31" t="s">
        <v>971</v>
      </c>
      <c r="F148" s="89">
        <v>72.0</v>
      </c>
      <c r="G148" s="91" t="str">
        <f>IFERROR(__xludf.DUMMYFUNCTION("TRIM(REGEXREPLACE(C148, ""[0-9]+[a-f]?\."", """"))"),"Problems at home and with relatives")</f>
        <v>Problems at home and with relatives</v>
      </c>
      <c r="H148" s="91" t="str">
        <f>IFERROR(__xludf.DUMMYFUNCTION("TRIM(REGEXREPLACE(D148, ""[0-9]+[a-f]?\."", """"))"),"Problèmes dans le ménage et avec les proches")</f>
        <v>Problèmes dans le ménage et avec les proches</v>
      </c>
      <c r="I148" s="91" t="str">
        <f>IFERROR(__xludf.DUMMYFUNCTION("TRIM(REGEXREPLACE(E148, ""[0-9]+[a-f]?\."", """"))"),"Matsaloli na cikin gida da na dangi")</f>
        <v>Matsaloli na cikin gida da na dangi</v>
      </c>
      <c r="J148" s="91" t="str">
        <f t="shared" si="80"/>
        <v>72. Problems at home and with relatives</v>
      </c>
      <c r="K148" s="91" t="str">
        <f t="shared" ref="K148:L148" si="83">$F148&amp;". "&amp;H148</f>
        <v>72. Problèmes dans le ménage et avec les proches</v>
      </c>
      <c r="L148" s="91" t="str">
        <f t="shared" si="83"/>
        <v>72. Matsaloli na cikin gida da na dangi</v>
      </c>
    </row>
    <row r="149">
      <c r="A149" s="81" t="s">
        <v>949</v>
      </c>
      <c r="B149" s="142" t="s">
        <v>974</v>
      </c>
      <c r="C149" s="31" t="s">
        <v>975</v>
      </c>
      <c r="D149" s="31" t="s">
        <v>976</v>
      </c>
      <c r="E149" s="31" t="s">
        <v>977</v>
      </c>
      <c r="F149" s="89">
        <v>73.0</v>
      </c>
      <c r="G149" s="91" t="str">
        <f>IFERROR(__xludf.DUMMYFUNCTION("TRIM(REGEXREPLACE(C149, ""[0-9]+[a-f]?\."", """"))"),"Accidents and disasters")</f>
        <v>Accidents and disasters</v>
      </c>
      <c r="H149" s="91" t="str">
        <f>IFERROR(__xludf.DUMMYFUNCTION("TRIM(REGEXREPLACE(D149, ""[0-9]+[a-f]?\."", """"))"),"Accidents et catastrophes")</f>
        <v>Accidents et catastrophes</v>
      </c>
      <c r="I149" s="91" t="str">
        <f>IFERROR(__xludf.DUMMYFUNCTION("TRIM(REGEXREPLACE(E149, ""[0-9]+[a-f]?\."", """"))"),"Hatsari da ibtila'i")</f>
        <v>Hatsari da ibtila'i</v>
      </c>
      <c r="J149" s="91" t="str">
        <f t="shared" si="80"/>
        <v>73. Accidents and disasters</v>
      </c>
      <c r="K149" s="91" t="str">
        <f t="shared" ref="K149:L149" si="84">$F149&amp;". "&amp;H149</f>
        <v>73. Accidents et catastrophes</v>
      </c>
      <c r="L149" s="91" t="str">
        <f t="shared" si="84"/>
        <v>73. Hatsari da ibtila'i</v>
      </c>
    </row>
    <row r="150">
      <c r="A150" s="81" t="s">
        <v>949</v>
      </c>
      <c r="B150" s="142" t="s">
        <v>981</v>
      </c>
      <c r="C150" s="142" t="s">
        <v>982</v>
      </c>
      <c r="D150" s="142" t="s">
        <v>983</v>
      </c>
      <c r="E150" s="142" t="s">
        <v>984</v>
      </c>
      <c r="F150" s="89">
        <v>74.0</v>
      </c>
      <c r="G150" s="91" t="str">
        <f>IFERROR(__xludf.DUMMYFUNCTION("TRIM(REGEXREPLACE(C150, ""[0-9]+[a-f]?\."", """"))"),"Problems with people in other ethnic groups")</f>
        <v>Problems with people in other ethnic groups</v>
      </c>
      <c r="H150" s="91" t="str">
        <f>IFERROR(__xludf.DUMMYFUNCTION("TRIM(REGEXREPLACE(D150, ""[0-9]+[a-f]?\."", """"))"),"Problèmes avec les personnes d'autres groupes ethniques")</f>
        <v>Problèmes avec les personnes d'autres groupes ethniques</v>
      </c>
      <c r="I150" s="91" t="str">
        <f>IFERROR(__xludf.DUMMYFUNCTION("TRIM(REGEXREPLACE(E150, ""[0-9]+[a-f]?\."", """"))"),"Matsaloli da mutanen wasu kabilu daban")</f>
        <v>Matsaloli da mutanen wasu kabilu daban</v>
      </c>
      <c r="J150" s="91" t="str">
        <f t="shared" si="80"/>
        <v>74. Problems with people in other ethnic groups</v>
      </c>
      <c r="K150" s="91" t="str">
        <f t="shared" ref="K150:L150" si="85">$F150&amp;". "&amp;H150</f>
        <v>74. Problèmes avec les personnes d'autres groupes ethniques</v>
      </c>
      <c r="L150" s="91" t="str">
        <f t="shared" si="85"/>
        <v>74. Matsaloli da mutanen wasu kabilu daban</v>
      </c>
    </row>
    <row r="151">
      <c r="A151" s="81" t="s">
        <v>949</v>
      </c>
      <c r="B151" s="142" t="s">
        <v>989</v>
      </c>
      <c r="C151" s="31" t="s">
        <v>990</v>
      </c>
      <c r="D151" s="31" t="s">
        <v>991</v>
      </c>
      <c r="E151" s="31" t="s">
        <v>993</v>
      </c>
      <c r="F151" s="89">
        <v>75.0</v>
      </c>
      <c r="G151" s="91" t="str">
        <f>IFERROR(__xludf.DUMMYFUNCTION("TRIM(REGEXREPLACE(C151, ""[0-9]+[a-f]?\."", """"))"),"Not enough money for basic needs (sucha as food and clothing)")</f>
        <v>Not enough money for basic needs (sucha as food and clothing)</v>
      </c>
      <c r="H151" s="91" t="str">
        <f>IFERROR(__xludf.DUMMYFUNCTION("TRIM(REGEXREPLACE(D151, ""[0-9]+[a-f]?\."", """"))"),"Pas assez d'argent pour les besoins de base (tels que la nourriture et les vêtements)")</f>
        <v>Pas assez d'argent pour les besoins de base (tels que la nourriture et les vêtements)</v>
      </c>
      <c r="I151" s="91" t="str">
        <f>IFERROR(__xludf.DUMMYFUNCTION("TRIM(REGEXREPLACE(E151, ""[0-9]+[a-f]?\."", """"))"),"Rashin isassun kuɗi don buƙatun asali (kamar abinci da sutura)")</f>
        <v>Rashin isassun kuɗi don buƙatun asali (kamar abinci da sutura)</v>
      </c>
      <c r="J151" s="91" t="str">
        <f t="shared" si="80"/>
        <v>75. Not enough money for basic needs (sucha as food and clothing)</v>
      </c>
      <c r="K151" s="91" t="str">
        <f t="shared" ref="K151:L151" si="86">$F151&amp;". "&amp;H151</f>
        <v>75. Pas assez d'argent pour les besoins de base (tels que la nourriture et les vêtements)</v>
      </c>
      <c r="L151" s="91" t="str">
        <f t="shared" si="86"/>
        <v>75. Rashin isassun kuɗi don buƙatun asali (kamar abinci da sutura)</v>
      </c>
    </row>
    <row r="152">
      <c r="A152" s="81" t="s">
        <v>949</v>
      </c>
      <c r="B152" s="142" t="s">
        <v>999</v>
      </c>
      <c r="C152" s="31" t="s">
        <v>1000</v>
      </c>
      <c r="D152" s="31" t="s">
        <v>1002</v>
      </c>
      <c r="E152" s="31" t="s">
        <v>1004</v>
      </c>
      <c r="F152" s="89">
        <v>76.0</v>
      </c>
      <c r="G152" s="91" t="str">
        <f>IFERROR(__xludf.DUMMYFUNCTION("TRIM(REGEXREPLACE(C152, ""[0-9]+[a-f]?\."", """"))"),"Not being able to educate all children")</f>
        <v>Not being able to educate all children</v>
      </c>
      <c r="H152" s="91" t="str">
        <f>IFERROR(__xludf.DUMMYFUNCTION("TRIM(REGEXREPLACE(D152, ""[0-9]+[a-f]?\."", """"))"),"Ne pas pouvoir scolariser tous les enfants")</f>
        <v>Ne pas pouvoir scolariser tous les enfants</v>
      </c>
      <c r="I152" s="91" t="str">
        <f>IFERROR(__xludf.DUMMYFUNCTION("TRIM(REGEXREPLACE(E152, ""[0-9]+[a-f]?\."", """"))"),"Rashin iya rubuta dukkan yara a makarantar boko")</f>
        <v>Rashin iya rubuta dukkan yara a makarantar boko</v>
      </c>
      <c r="J152" s="91" t="str">
        <f t="shared" si="80"/>
        <v>76. Not being able to educate all children</v>
      </c>
      <c r="K152" s="91" t="str">
        <f t="shared" ref="K152:L152" si="87">$F152&amp;". "&amp;H152</f>
        <v>76. Ne pas pouvoir scolariser tous les enfants</v>
      </c>
      <c r="L152" s="91" t="str">
        <f t="shared" si="87"/>
        <v>76. Rashin iya rubuta dukkan yara a makarantar boko</v>
      </c>
    </row>
    <row r="153">
      <c r="A153" s="81" t="s">
        <v>949</v>
      </c>
      <c r="B153" s="142" t="s">
        <v>1007</v>
      </c>
      <c r="C153" s="31" t="s">
        <v>1009</v>
      </c>
      <c r="D153" s="31" t="s">
        <v>1010</v>
      </c>
      <c r="E153" s="31" t="s">
        <v>1011</v>
      </c>
      <c r="F153" s="89">
        <v>77.0</v>
      </c>
      <c r="G153" s="91" t="str">
        <f>IFERROR(__xludf.DUMMYFUNCTION("TRIM(REGEXREPLACE(C153, ""[0-9]+[a-f]?\."", """"))"),"Difficulty finding work")</f>
        <v>Difficulty finding work</v>
      </c>
      <c r="H153" s="91" t="str">
        <f>IFERROR(__xludf.DUMMYFUNCTION("TRIM(REGEXREPLACE(D153, ""[0-9]+[a-f]?\."", """"))"),"Difficulté à trouver du travail")</f>
        <v>Difficulté à trouver du travail</v>
      </c>
      <c r="I153" s="91" t="str">
        <f>IFERROR(__xludf.DUMMYFUNCTION("TRIM(REGEXREPLACE(E153, ""[0-9]+[a-f]?\."", """"))"),"Wahalar neman aiki")</f>
        <v>Wahalar neman aiki</v>
      </c>
      <c r="J153" s="91" t="str">
        <f t="shared" si="80"/>
        <v>77. Difficulty finding work</v>
      </c>
      <c r="K153" s="91" t="str">
        <f t="shared" ref="K153:L153" si="88">$F153&amp;". "&amp;H153</f>
        <v>77. Difficulté à trouver du travail</v>
      </c>
      <c r="L153" s="91" t="str">
        <f t="shared" si="88"/>
        <v>77. Wahalar neman aiki</v>
      </c>
    </row>
    <row r="154">
      <c r="A154" s="81" t="s">
        <v>949</v>
      </c>
      <c r="B154" s="142" t="s">
        <v>1017</v>
      </c>
      <c r="C154" s="31" t="s">
        <v>1019</v>
      </c>
      <c r="D154" s="31" t="s">
        <v>1020</v>
      </c>
      <c r="E154" s="31" t="s">
        <v>1021</v>
      </c>
      <c r="F154" s="89">
        <v>78.0</v>
      </c>
      <c r="G154" s="91" t="str">
        <f>IFERROR(__xludf.DUMMYFUNCTION("TRIM(REGEXREPLACE(C154, ""[0-9]+[a-f]?\."", """"))"),"Idleness of children or spouse")</f>
        <v>Idleness of children or spouse</v>
      </c>
      <c r="H154" s="91" t="str">
        <f>IFERROR(__xludf.DUMMYFUNCTION("TRIM(REGEXREPLACE(D154, ""[0-9]+[a-f]?\."", """"))"),"L'oisiveté des enfants ou du conjoint")</f>
        <v>L'oisiveté des enfants ou du conjoint</v>
      </c>
      <c r="I154" s="91" t="str">
        <f>IFERROR(__xludf.DUMMYFUNCTION("TRIM(REGEXREPLACE(E154, ""[0-9]+[a-f]?\."", """"))"),"Zaman banza na yara ko mata")</f>
        <v>Zaman banza na yara ko mata</v>
      </c>
      <c r="J154" s="91" t="str">
        <f t="shared" si="80"/>
        <v>78. Idleness of children or spouse</v>
      </c>
      <c r="K154" s="91" t="str">
        <f t="shared" ref="K154:L154" si="89">$F154&amp;". "&amp;H154</f>
        <v>78. L'oisiveté des enfants ou du conjoint</v>
      </c>
      <c r="L154" s="91" t="str">
        <f t="shared" si="89"/>
        <v>78. Zaman banza na yara ko mata</v>
      </c>
    </row>
    <row r="155">
      <c r="A155" s="81" t="s">
        <v>949</v>
      </c>
      <c r="B155" s="142" t="s">
        <v>1024</v>
      </c>
      <c r="C155" s="31" t="s">
        <v>1026</v>
      </c>
      <c r="D155" s="31" t="s">
        <v>1027</v>
      </c>
      <c r="E155" s="31" t="s">
        <v>1029</v>
      </c>
      <c r="F155" s="89">
        <v>79.0</v>
      </c>
      <c r="G155" s="91" t="str">
        <f>IFERROR(__xludf.DUMMYFUNCTION("TRIM(REGEXREPLACE(C155, ""[0-9]+[a-f]?\."", """"))"),"Alcohol comsumption of children or spouse")</f>
        <v>Alcohol comsumption of children or spouse</v>
      </c>
      <c r="H155" s="91" t="str">
        <f>IFERROR(__xludf.DUMMYFUNCTION("TRIM(REGEXREPLACE(D155, ""[0-9]+[a-f]?\."", """"))"),"Consommation d'alcool des enfants ou du conjoint")</f>
        <v>Consommation d'alcool des enfants ou du conjoint</v>
      </c>
      <c r="I155" s="91" t="str">
        <f>IFERROR(__xludf.DUMMYFUNCTION("TRIM(REGEXREPLACE(E155, ""[0-9]+[a-f]?\."", """"))"),"Shan giya na yara ko mata")</f>
        <v>Shan giya na yara ko mata</v>
      </c>
      <c r="J155" s="91" t="str">
        <f t="shared" si="80"/>
        <v>79. Alcohol comsumption of children or spouse</v>
      </c>
      <c r="K155" s="91" t="str">
        <f t="shared" ref="K155:L155" si="90">$F155&amp;". "&amp;H155</f>
        <v>79. Consommation d'alcool des enfants ou du conjoint</v>
      </c>
      <c r="L155" s="91" t="str">
        <f t="shared" si="90"/>
        <v>79. Shan giya na yara ko mata</v>
      </c>
    </row>
    <row r="156">
      <c r="A156" s="81" t="s">
        <v>949</v>
      </c>
      <c r="B156" s="142" t="s">
        <v>1031</v>
      </c>
      <c r="C156" s="31" t="s">
        <v>1033</v>
      </c>
      <c r="D156" s="31" t="s">
        <v>1035</v>
      </c>
      <c r="E156" s="31" t="s">
        <v>1036</v>
      </c>
      <c r="F156" s="89">
        <v>80.0</v>
      </c>
      <c r="G156" s="91" t="str">
        <f>IFERROR(__xludf.DUMMYFUNCTION("TRIM(REGEXREPLACE(C156, ""[0-9]+[a-f]?\."", """"))"),"Death of a family member")</f>
        <v>Death of a family member</v>
      </c>
      <c r="H156" s="91" t="str">
        <f>IFERROR(__xludf.DUMMYFUNCTION("TRIM(REGEXREPLACE(D156, ""[0-9]+[a-f]?\."", """"))"),"Décès d'un membre de la famille")</f>
        <v>Décès d'un membre de la famille</v>
      </c>
      <c r="I156" s="91" t="str">
        <f>IFERROR(__xludf.DUMMYFUNCTION("TRIM(REGEXREPLACE(E156, ""[0-9]+[a-f]?\."", """"))"),"Mutuwar wani ɗan uwa")</f>
        <v>Mutuwar wani ɗan uwa</v>
      </c>
      <c r="J156" s="91" t="str">
        <f t="shared" si="80"/>
        <v>80. Death of a family member</v>
      </c>
      <c r="K156" s="91" t="str">
        <f t="shared" ref="K156:L156" si="91">$F156&amp;". "&amp;H156</f>
        <v>80. Décès d'un membre de la famille</v>
      </c>
      <c r="L156" s="91" t="str">
        <f t="shared" si="91"/>
        <v>80. Mutuwar wani ɗan uwa</v>
      </c>
    </row>
    <row r="157">
      <c r="A157" s="81" t="s">
        <v>949</v>
      </c>
      <c r="B157" s="142" t="s">
        <v>1042</v>
      </c>
      <c r="C157" s="31" t="s">
        <v>1043</v>
      </c>
      <c r="D157" s="31" t="s">
        <v>1044</v>
      </c>
      <c r="E157" s="31" t="s">
        <v>1045</v>
      </c>
      <c r="F157" s="89">
        <v>81.0</v>
      </c>
      <c r="G157" s="91" t="str">
        <f>IFERROR(__xludf.DUMMYFUNCTION("TRIM(REGEXREPLACE(C157, ""[0-9]+[a-f]?\."", """"))"),"Debts owed to others")</f>
        <v>Debts owed to others</v>
      </c>
      <c r="H157" s="91" t="str">
        <f>IFERROR(__xludf.DUMMYFUNCTION("TRIM(REGEXREPLACE(D157, ""[0-9]+[a-f]?\."", """"))"),"Dettes envers autrui")</f>
        <v>Dettes envers autrui</v>
      </c>
      <c r="I157" s="91" t="str">
        <f>IFERROR(__xludf.DUMMYFUNCTION("TRIM(REGEXREPLACE(E157, ""[0-9]+[a-f]?\."", """"))"),"Bashi da wasu ke binku")</f>
        <v>Bashi da wasu ke binku</v>
      </c>
      <c r="J157" s="91" t="str">
        <f t="shared" si="80"/>
        <v>81. Debts owed to others</v>
      </c>
      <c r="K157" s="91" t="str">
        <f t="shared" ref="K157:L157" si="92">$F157&amp;". "&amp;H157</f>
        <v>81. Dettes envers autrui</v>
      </c>
      <c r="L157" s="91" t="str">
        <f t="shared" si="92"/>
        <v>81. Bashi da wasu ke binku</v>
      </c>
    </row>
    <row r="158" hidden="1">
      <c r="A158" s="122" t="s">
        <v>236</v>
      </c>
      <c r="B158" s="153" t="s">
        <v>936</v>
      </c>
      <c r="C158" s="31" t="s">
        <v>937</v>
      </c>
      <c r="D158" s="31"/>
      <c r="E158" s="31"/>
      <c r="F158" s="89">
        <v>31.0</v>
      </c>
      <c r="G158" s="91" t="str">
        <f>IFERROR(__xludf.DUMMYFUNCTION("TRIM(REGEXREPLACE(C158, ""[0-9]+[a-f]?\."", """"))"),"Worries")</f>
        <v>Worries</v>
      </c>
      <c r="H158" s="91" t="str">
        <f>IFERROR(__xludf.DUMMYFUNCTION("TRIM(REGEXREPLACE(D158, ""[0-9]+[a-f]?\."", """"))"),"")</f>
        <v/>
      </c>
      <c r="I158" s="91" t="str">
        <f>IFERROR(__xludf.DUMMYFUNCTION("TRIM(REGEXREPLACE(E158, ""[0-9]+[a-f]?\."", """"))"),"")</f>
        <v/>
      </c>
      <c r="J158" s="91" t="str">
        <f t="shared" ref="J158:J159" si="93">F158 &amp; ". " &amp;G158</f>
        <v>31. Worries</v>
      </c>
      <c r="K158" s="91" t="str">
        <f t="shared" ref="K158:K159" si="94">F158 &amp; ". " &amp;H158</f>
        <v>31. </v>
      </c>
      <c r="L158" s="91" t="str">
        <f t="shared" ref="L158:L159" si="95">F158 &amp; ". " &amp;I158</f>
        <v>31. </v>
      </c>
    </row>
    <row r="159" hidden="1">
      <c r="A159" s="122"/>
      <c r="B159" s="123"/>
      <c r="C159" s="31"/>
      <c r="D159" s="31"/>
      <c r="E159" s="31"/>
      <c r="F159" s="89">
        <v>32.0</v>
      </c>
      <c r="G159" s="91" t="str">
        <f>IFERROR(__xludf.DUMMYFUNCTION("TRIM(REGEXREPLACE(C159, ""[0-9]+[a-f]?\."", """"))"),"")</f>
        <v/>
      </c>
      <c r="H159" s="91" t="str">
        <f>IFERROR(__xludf.DUMMYFUNCTION("TRIM(REGEXREPLACE(D159, ""[0-9]+[a-f]?\."", """"))"),"")</f>
        <v/>
      </c>
      <c r="I159" s="91" t="str">
        <f>IFERROR(__xludf.DUMMYFUNCTION("TRIM(REGEXREPLACE(E159, ""[0-9]+[a-f]?\."", """"))"),"")</f>
        <v/>
      </c>
      <c r="J159" s="91" t="str">
        <f t="shared" si="93"/>
        <v>32. </v>
      </c>
      <c r="K159" s="91" t="str">
        <f t="shared" si="94"/>
        <v>32. </v>
      </c>
      <c r="L159" s="91" t="str">
        <f t="shared" si="95"/>
        <v>32. </v>
      </c>
    </row>
    <row r="160">
      <c r="A160" s="126" t="s">
        <v>42</v>
      </c>
      <c r="B160" s="129" t="s">
        <v>1061</v>
      </c>
      <c r="C160" s="31" t="s">
        <v>1063</v>
      </c>
      <c r="D160" s="31"/>
      <c r="E160" s="31"/>
      <c r="F160" s="89">
        <v>82.0</v>
      </c>
      <c r="G160" s="91" t="str">
        <f>IFERROR(__xludf.DUMMYFUNCTION("TRIM(REGEXREPLACE(C160, ""[0-9]+[a-f]?\."", """"))"),"Now I will ask about some things that may have happened to you during the past six months.")</f>
        <v>Now I will ask about some things that may have happened to you during the past six months.</v>
      </c>
      <c r="H160" s="91" t="str">
        <f>IFERROR(__xludf.DUMMYFUNCTION("TRIM(REGEXREPLACE(D160, ""[0-9]+[a-f]?\."", """"))"),"")</f>
        <v/>
      </c>
      <c r="I160" s="91" t="str">
        <f>IFERROR(__xludf.DUMMYFUNCTION("TRIM(REGEXREPLACE(E160, ""[0-9]+[a-f]?\."", """"))"),"")</f>
        <v/>
      </c>
      <c r="J160" s="91" t="str">
        <f t="shared" ref="J160:J162" si="97">F160&amp;". "&amp;G160</f>
        <v>82. Now I will ask about some things that may have happened to you during the past six months.</v>
      </c>
      <c r="K160" s="91" t="str">
        <f t="shared" ref="K160:L160" si="96">$F160&amp;". "&amp;H160</f>
        <v>82. </v>
      </c>
      <c r="L160" s="91" t="str">
        <f t="shared" si="96"/>
        <v>82. </v>
      </c>
    </row>
    <row r="161">
      <c r="A161" s="81" t="s">
        <v>841</v>
      </c>
      <c r="B161" s="142" t="s">
        <v>1068</v>
      </c>
      <c r="C161" s="31" t="s">
        <v>1070</v>
      </c>
      <c r="D161" s="31" t="s">
        <v>1071</v>
      </c>
      <c r="E161" s="31" t="s">
        <v>1073</v>
      </c>
      <c r="F161" s="89">
        <v>83.0</v>
      </c>
      <c r="G161" s="91" t="str">
        <f>IFERROR(__xludf.DUMMYFUNCTION("TRIM(REGEXREPLACE(C161, ""[0-9]+[a-f]?\."", """"))"),"How often, if at all, were you personally discriminated against based on your identity (ethnicity, religion, nationality)?")</f>
        <v>How often, if at all, were you personally discriminated against based on your identity (ethnicity, religion, nationality)?</v>
      </c>
      <c r="H161" s="91" t="str">
        <f>IFERROR(__xludf.DUMMYFUNCTION("TRIM(REGEXREPLACE(D161,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161" s="91" t="str">
        <f>IFERROR(__xludf.DUMMYFUNCTION("TRIM(REGEXREPLACE(E161, ""[0-9]+[a-f]?\."", """"))"),"Sau nawa, idan ya faru a gareku, aka nuna muku wariya dangance da kabilarku, ko addininku, ko ƙasarku2?")</f>
        <v>Sau nawa, idan ya faru a gareku, aka nuna muku wariya dangance da kabilarku, ko addininku, ko ƙasarku2?</v>
      </c>
      <c r="J161" s="91" t="str">
        <f t="shared" si="97"/>
        <v>83. How often, if at all, were you personally discriminated against based on your identity (ethnicity, religion, nationality)?</v>
      </c>
      <c r="K161" s="91" t="str">
        <f t="shared" ref="K161:L161" si="98">$F161&amp;". "&amp;H161</f>
        <v>83. À quelle fréquence, si ça vous est déjà arrivé, avez-vous personnellement été victime de discrimination liée a votre identité (ethnie, religion, nationalité) ?</v>
      </c>
      <c r="L161" s="91" t="str">
        <f t="shared" si="98"/>
        <v>83. Sau nawa, idan ya faru a gareku, aka nuna muku wariya dangance da kabilarku, ko addininku, ko ƙasarku2?</v>
      </c>
    </row>
    <row r="162">
      <c r="A162" s="81" t="s">
        <v>841</v>
      </c>
      <c r="B162" s="142" t="s">
        <v>1076</v>
      </c>
      <c r="C162" s="31" t="s">
        <v>1077</v>
      </c>
      <c r="D162" s="31" t="s">
        <v>1078</v>
      </c>
      <c r="E162" s="31" t="s">
        <v>1079</v>
      </c>
      <c r="F162" s="89">
        <v>84.0</v>
      </c>
      <c r="G162" s="91" t="str">
        <f>IFERROR(__xludf.DUMMYFUNCTION("TRIM(REGEXREPLACE(C162, ""[0-9]+[a-f]?\."", """"))"),"How often, if ever, have you felt unsafe walking in the neighborhood where you are staying?")</f>
        <v>How often, if ever, have you felt unsafe walking in the neighborhood where you are staying?</v>
      </c>
      <c r="H162" s="91" t="str">
        <f>IFERROR(__xludf.DUMMYFUNCTION("TRIM(REGEXREPLACE(D162, ""[0-9]+[a-f]?\."", """"))"),"Combien de fois, vous vous êtes-vous senti en danger en vous promenant dans le quartier où vous séjournez, si cela vous est jamais arrivé ?")</f>
        <v>Combien de fois, vous vous êtes-vous senti en danger en vous promenant dans le quartier où vous séjournez, si cela vous est jamais arrivé ?</v>
      </c>
      <c r="I162" s="91" t="str">
        <f>IFERROR(__xludf.DUMMYFUNCTION("TRIM(REGEXREPLACE(E162, ""[0-9]+[a-f]?\."", """"))"),"Sau nawa, idan ya faru a gareku, kuka ji kuna cikin hatsari yayin da kuke yawo a cikin unguwar da kuke zaune?")</f>
        <v>Sau nawa, idan ya faru a gareku, kuka ji kuna cikin hatsari yayin da kuke yawo a cikin unguwar da kuke zaune?</v>
      </c>
      <c r="J162" s="91" t="str">
        <f t="shared" si="97"/>
        <v>84. How often, if ever, have you felt unsafe walking in the neighborhood where you are staying?</v>
      </c>
      <c r="K162" s="91" t="str">
        <f t="shared" ref="K162:L162" si="99">$F162&amp;". "&amp;H162</f>
        <v>84. Combien de fois, vous vous êtes-vous senti en danger en vous promenant dans le quartier où vous séjournez, si cela vous est jamais arrivé ?</v>
      </c>
      <c r="L162" s="91" t="str">
        <f t="shared" si="99"/>
        <v>84. Sau nawa, idan ya faru a gareku, kuka ji kuna cikin hatsari yayin da kuke yawo a cikin unguwar da kuke zaune?</v>
      </c>
    </row>
    <row r="163" hidden="1">
      <c r="A163" s="166"/>
      <c r="B163" s="167"/>
      <c r="C163" s="31"/>
      <c r="D163" s="31"/>
      <c r="E163" s="31"/>
      <c r="F163" s="89">
        <v>91.0</v>
      </c>
      <c r="G163" s="91" t="str">
        <f>IFERROR(__xludf.DUMMYFUNCTION("TRIM(REGEXREPLACE(C163, ""[0-9]+[a-f]?\."", """"))"),"")</f>
        <v/>
      </c>
      <c r="H163" s="91" t="str">
        <f>IFERROR(__xludf.DUMMYFUNCTION("TRIM(REGEXREPLACE(D163, ""[0-9]+[a-f]?\."", """"))"),"")</f>
        <v/>
      </c>
      <c r="I163" s="91" t="str">
        <f>IFERROR(__xludf.DUMMYFUNCTION("TRIM(REGEXREPLACE(E163, ""[0-9]+[a-f]?\."", """"))"),"")</f>
        <v/>
      </c>
      <c r="J163" s="91" t="s">
        <v>1084</v>
      </c>
      <c r="K163" s="91" t="s">
        <v>1085</v>
      </c>
      <c r="L163" s="91" t="s">
        <v>1086</v>
      </c>
    </row>
    <row r="164" hidden="1">
      <c r="A164" s="122" t="s">
        <v>150</v>
      </c>
      <c r="B164" s="123" t="s">
        <v>1089</v>
      </c>
      <c r="C164" s="31"/>
      <c r="D164" s="31"/>
      <c r="E164" s="31"/>
      <c r="F164" s="89">
        <v>35.0</v>
      </c>
      <c r="G164" s="91" t="str">
        <f>IFERROR(__xludf.DUMMYFUNCTION("TRIM(REGEXREPLACE(C164, ""[0-9]+[a-f]?\."", """"))"),"")</f>
        <v/>
      </c>
      <c r="H164" s="91" t="str">
        <f>IFERROR(__xludf.DUMMYFUNCTION("TRIM(REGEXREPLACE(D164, ""[0-9]+[a-f]?\."", """"))"),"")</f>
        <v/>
      </c>
      <c r="I164" s="91" t="str">
        <f>IFERROR(__xludf.DUMMYFUNCTION("TRIM(REGEXREPLACE(E164, ""[0-9]+[a-f]?\."", """"))"),"")</f>
        <v/>
      </c>
      <c r="J164" s="91" t="str">
        <f>F164 &amp; ". " &amp;G164</f>
        <v>35. </v>
      </c>
      <c r="K164" s="91" t="str">
        <f>F164 &amp; ". " &amp;H164</f>
        <v>35. </v>
      </c>
      <c r="L164" s="91" t="str">
        <f>F164 &amp; ". " &amp;I164</f>
        <v>35. </v>
      </c>
    </row>
    <row r="165">
      <c r="A165" s="81" t="s">
        <v>338</v>
      </c>
      <c r="B165" s="142" t="s">
        <v>1094</v>
      </c>
      <c r="C165" s="31" t="s">
        <v>1095</v>
      </c>
      <c r="D165" s="31" t="s">
        <v>1096</v>
      </c>
      <c r="E165" s="31" t="s">
        <v>1097</v>
      </c>
      <c r="F165" s="89">
        <v>85.0</v>
      </c>
      <c r="G165" s="91" t="str">
        <f>IFERROR(__xludf.DUMMYFUNCTION("TRIM(REGEXREPLACE(C165, ""[0-9]+[a-f]?\."", """"))"),"Have you experienced any of the following during ${period}?")</f>
        <v>Have you experienced any of the following during ${period}?</v>
      </c>
      <c r="H165" s="91" t="str">
        <f>IFERROR(__xludf.DUMMYFUNCTION("TRIM(REGEXREPLACE(D165, ""[0-9]+[a-f]?\."", """"))"),"Avez-vous vécu l'une des situations suivantes depuis le debut de ${period_french} ?")</f>
        <v>Avez-vous vécu l'une des situations suivantes depuis le debut de ${period_french} ?</v>
      </c>
      <c r="I165" s="91" t="str">
        <f>IFERROR(__xludf.DUMMYFUNCTION("TRIM(REGEXREPLACE(E165, ""[0-9]+[a-f]?\."", """"))"),"Ko kun taɓa fuskantar ɗayan waɗannan abubuwan a wannan wurin, lokacin ${period_hausa}?")</f>
        <v>Ko kun taɓa fuskantar ɗayan waɗannan abubuwan a wannan wurin, lokacin ${period_hausa}?</v>
      </c>
      <c r="J165" s="91" t="str">
        <f t="shared" ref="J165:J169" si="101">F165&amp;". "&amp;G165</f>
        <v>85. Have you experienced any of the following during ${period}?</v>
      </c>
      <c r="K165" s="91" t="str">
        <f t="shared" ref="K165:L165" si="100">$F165&amp;". "&amp;H165</f>
        <v>85. Avez-vous vécu l'une des situations suivantes depuis le debut de ${period_french} ?</v>
      </c>
      <c r="L165" s="91" t="str">
        <f t="shared" si="100"/>
        <v>85. Ko kun taɓa fuskantar ɗayan waɗannan abubuwan a wannan wurin, lokacin ${period_hausa}?</v>
      </c>
    </row>
    <row r="166">
      <c r="A166" s="81" t="s">
        <v>338</v>
      </c>
      <c r="B166" s="142" t="s">
        <v>1104</v>
      </c>
      <c r="C166" s="31" t="s">
        <v>1105</v>
      </c>
      <c r="D166" s="31" t="s">
        <v>1106</v>
      </c>
      <c r="E166" s="31" t="s">
        <v>1107</v>
      </c>
      <c r="F166" s="89">
        <v>86.0</v>
      </c>
      <c r="G166" s="91" t="str">
        <f>IFERROR(__xludf.DUMMYFUNCTION("TRIM(REGEXREPLACE(C166, ""[0-9]+[a-f]?\."", """"))"),"Physical attack")</f>
        <v>Physical attack</v>
      </c>
      <c r="H166" s="91" t="str">
        <f>IFERROR(__xludf.DUMMYFUNCTION("TRIM(REGEXREPLACE(D166, ""[0-9]+[a-f]?\."", """"))"),"Attaque physique")</f>
        <v>Attaque physique</v>
      </c>
      <c r="I166" s="91" t="str">
        <f>IFERROR(__xludf.DUMMYFUNCTION("TRIM(REGEXREPLACE(E166, ""[0-9]+[a-f]?\."", """"))"),"harin jiki")</f>
        <v>harin jiki</v>
      </c>
      <c r="J166" s="91" t="str">
        <f t="shared" si="101"/>
        <v>86. Physical attack</v>
      </c>
      <c r="K166" s="91" t="str">
        <f t="shared" ref="K166:L166" si="102">$F166&amp;". "&amp;H166</f>
        <v>86. Attaque physique</v>
      </c>
      <c r="L166" s="91" t="str">
        <f t="shared" si="102"/>
        <v>86. harin jiki</v>
      </c>
    </row>
    <row r="167">
      <c r="A167" s="81" t="s">
        <v>338</v>
      </c>
      <c r="B167" s="142" t="s">
        <v>1111</v>
      </c>
      <c r="C167" s="31" t="s">
        <v>1112</v>
      </c>
      <c r="D167" s="31" t="s">
        <v>1114</v>
      </c>
      <c r="E167" s="31" t="s">
        <v>1116</v>
      </c>
      <c r="F167" s="89">
        <v>87.0</v>
      </c>
      <c r="G167" s="91" t="str">
        <f>IFERROR(__xludf.DUMMYFUNCTION("TRIM(REGEXREPLACE(C167, ""[0-9]+[a-f]?\."", """"))"),"Threat of physical violence/attack")</f>
        <v>Threat of physical violence/attack</v>
      </c>
      <c r="H167" s="91" t="str">
        <f>IFERROR(__xludf.DUMMYFUNCTION("TRIM(REGEXREPLACE(D167, ""[0-9]+[a-f]?\."", """"))"),"Menace de violence physique/agression")</f>
        <v>Menace de violence physique/agression</v>
      </c>
      <c r="I167" s="91" t="str">
        <f>IFERROR(__xludf.DUMMYFUNCTION("TRIM(REGEXREPLACE(E167, ""[0-9]+[a-f]?\."", """"))"),"Barazanar ​​harin jiki")</f>
        <v>Barazanar ​​harin jiki</v>
      </c>
      <c r="J167" s="91" t="str">
        <f t="shared" si="101"/>
        <v>87. Threat of physical violence/attack</v>
      </c>
      <c r="K167" s="91" t="str">
        <f t="shared" ref="K167:L167" si="103">$F167&amp;". "&amp;H167</f>
        <v>87. Menace de violence physique/agression</v>
      </c>
      <c r="L167" s="91" t="str">
        <f t="shared" si="103"/>
        <v>87. Barazanar ​​harin jiki</v>
      </c>
    </row>
    <row r="168">
      <c r="A168" s="81" t="s">
        <v>338</v>
      </c>
      <c r="B168" s="142" t="s">
        <v>1118</v>
      </c>
      <c r="C168" s="31" t="s">
        <v>1120</v>
      </c>
      <c r="D168" s="31" t="s">
        <v>1122</v>
      </c>
      <c r="E168" s="31" t="s">
        <v>1124</v>
      </c>
      <c r="F168" s="89">
        <v>88.0</v>
      </c>
      <c r="G168" s="91" t="str">
        <f>IFERROR(__xludf.DUMMYFUNCTION("TRIM(REGEXREPLACE(C168, ""[0-9]+[a-f]?\."", """"))"),"Theft of either money or property?")</f>
        <v>Theft of either money or property?</v>
      </c>
      <c r="H168" s="91" t="str">
        <f>IFERROR(__xludf.DUMMYFUNCTION("TRIM(REGEXREPLACE(D168, ""[0-9]+[a-f]?\."", """"))"),"Vol d'argent ou de propriété?")</f>
        <v>Vol d'argent ou de propriété?</v>
      </c>
      <c r="I168" s="91" t="str">
        <f>IFERROR(__xludf.DUMMYFUNCTION("TRIM(REGEXREPLACE(E168, ""[0-9]+[a-f]?\."", """"))"),"Satar kudi ko kaya?")</f>
        <v>Satar kudi ko kaya?</v>
      </c>
      <c r="J168" s="91" t="str">
        <f t="shared" si="101"/>
        <v>88. Theft of either money or property?</v>
      </c>
      <c r="K168" s="91" t="str">
        <f t="shared" ref="K168:L168" si="104">$F168&amp;". "&amp;H168</f>
        <v>88. Vol d'argent ou de propriété?</v>
      </c>
      <c r="L168" s="91" t="str">
        <f t="shared" si="104"/>
        <v>88. Satar kudi ko kaya?</v>
      </c>
    </row>
    <row r="169">
      <c r="A169" s="81" t="s">
        <v>338</v>
      </c>
      <c r="B169" s="142" t="s">
        <v>1126</v>
      </c>
      <c r="C169" s="31" t="s">
        <v>1127</v>
      </c>
      <c r="D169" s="31" t="s">
        <v>1128</v>
      </c>
      <c r="E169" s="31" t="s">
        <v>1129</v>
      </c>
      <c r="F169" s="89">
        <v>89.0</v>
      </c>
      <c r="G169" s="91" t="str">
        <f>IFERROR(__xludf.DUMMYFUNCTION("TRIM(REGEXREPLACE(C169, ""[0-9]+[a-f]?\."", """"))"),"Detention or arrest by state security forces?")</f>
        <v>Detention or arrest by state security forces?</v>
      </c>
      <c r="H169" s="91" t="str">
        <f>IFERROR(__xludf.DUMMYFUNCTION("TRIM(REGEXREPLACE(D169, ""[0-9]+[a-f]?\."", """"))"),"Détention ou arrestation par les forces de sécurité de l'État ?")</f>
        <v>Détention ou arrestation par les forces de sécurité de l'État ?</v>
      </c>
      <c r="I169" s="91" t="str">
        <f>IFERROR(__xludf.DUMMYFUNCTION("TRIM(REGEXREPLACE(E169, ""[0-9]+[a-f]?\."", """"))"),"Kaso ko kamu daga jami'an tsaron gwamnati?")</f>
        <v>Kaso ko kamu daga jami'an tsaron gwamnati?</v>
      </c>
      <c r="J169" s="91" t="str">
        <f t="shared" si="101"/>
        <v>89. Detention or arrest by state security forces?</v>
      </c>
      <c r="K169" s="91" t="str">
        <f t="shared" ref="K169:L169" si="105">$F169&amp;". "&amp;H169</f>
        <v>89. Détention ou arrestation par les forces de sécurité de l'État ?</v>
      </c>
      <c r="L169" s="91" t="str">
        <f t="shared" si="105"/>
        <v>89. Kaso ko kamu daga jami'an tsaron gwamnati?</v>
      </c>
    </row>
    <row r="170" hidden="1">
      <c r="A170" s="122" t="s">
        <v>236</v>
      </c>
      <c r="B170" s="153" t="s">
        <v>1089</v>
      </c>
      <c r="C170" s="31"/>
      <c r="D170" s="31"/>
      <c r="E170" s="31"/>
      <c r="F170" s="89">
        <v>38.0</v>
      </c>
      <c r="G170" s="91" t="str">
        <f>IFERROR(__xludf.DUMMYFUNCTION("TRIM(REGEXREPLACE(C170, ""[0-9]+[a-f]?\."", """"))"),"")</f>
        <v/>
      </c>
      <c r="H170" s="91" t="str">
        <f>IFERROR(__xludf.DUMMYFUNCTION("TRIM(REGEXREPLACE(D170, ""[0-9]+[a-f]?\."", """"))"),"")</f>
        <v/>
      </c>
      <c r="I170" s="91" t="str">
        <f>IFERROR(__xludf.DUMMYFUNCTION("TRIM(REGEXREPLACE(E170, ""[0-9]+[a-f]?\."", """"))"),"")</f>
        <v/>
      </c>
      <c r="J170" s="91" t="str">
        <f t="shared" ref="J170:J171" si="106">F170 &amp; ". " &amp;G170</f>
        <v>38. </v>
      </c>
      <c r="K170" s="91" t="str">
        <f t="shared" ref="K170:K171" si="107">F170 &amp; ". " &amp;H170</f>
        <v>38. </v>
      </c>
      <c r="L170" s="91" t="str">
        <f t="shared" ref="L170:L171" si="108">F170 &amp; ". " &amp;I170</f>
        <v>38. </v>
      </c>
    </row>
    <row r="171" hidden="1">
      <c r="A171" s="122" t="s">
        <v>150</v>
      </c>
      <c r="B171" s="123" t="s">
        <v>1132</v>
      </c>
      <c r="C171" s="31"/>
      <c r="D171" s="31"/>
      <c r="E171" s="31"/>
      <c r="F171" s="89">
        <v>39.0</v>
      </c>
      <c r="G171" s="91" t="str">
        <f>IFERROR(__xludf.DUMMYFUNCTION("TRIM(REGEXREPLACE(C171, ""[0-9]+[a-f]?\."", """"))"),"")</f>
        <v/>
      </c>
      <c r="H171" s="91" t="str">
        <f>IFERROR(__xludf.DUMMYFUNCTION("TRIM(REGEXREPLACE(D171, ""[0-9]+[a-f]?\."", """"))"),"")</f>
        <v/>
      </c>
      <c r="I171" s="91" t="str">
        <f>IFERROR(__xludf.DUMMYFUNCTION("TRIM(REGEXREPLACE(E171, ""[0-9]+[a-f]?\."", """"))"),"")</f>
        <v/>
      </c>
      <c r="J171" s="91" t="str">
        <f t="shared" si="106"/>
        <v>39. </v>
      </c>
      <c r="K171" s="91" t="str">
        <f t="shared" si="107"/>
        <v>39. </v>
      </c>
      <c r="L171" s="91" t="str">
        <f t="shared" si="108"/>
        <v>39. </v>
      </c>
    </row>
    <row r="172">
      <c r="A172" s="126" t="s">
        <v>42</v>
      </c>
      <c r="B172" s="127" t="s">
        <v>1137</v>
      </c>
      <c r="C172" s="31" t="s">
        <v>1139</v>
      </c>
      <c r="D172" s="31" t="s">
        <v>1140</v>
      </c>
      <c r="E172" s="31" t="s">
        <v>1142</v>
      </c>
      <c r="F172" s="89">
        <v>90.0</v>
      </c>
      <c r="G172" s="91" t="str">
        <f>IFERROR(__xludf.DUMMYFUNCTION("TRIM(REGEXREPLACE(C172, ""[0-9]+[a-f]?\."", """"))"),"Now I would like to ask you to tell me more about your specific experience with:")</f>
        <v>Now I would like to ask you to tell me more about your specific experience with:</v>
      </c>
      <c r="H172" s="91" t="str">
        <f>IFERROR(__xludf.DUMMYFUNCTION("TRIM(REGEXREPLACE(D172, ""[0-9]+[a-f]?\."", """"))"),"J'aimerais maintenant vous demander de m'en dire un peu plus sur votre expérience spécifique avec :")</f>
        <v>J'aimerais maintenant vous demander de m'en dire un peu plus sur votre expérience spécifique avec :</v>
      </c>
      <c r="I172" s="91" t="str">
        <f>IFERROR(__xludf.DUMMYFUNCTION("TRIM(REGEXREPLACE(E172, ""[0-9]+[a-f]?\."", """"))"),"Yanzu ina so in tambaye ku ƙarin bayani game da abin da ka fuskanta masamman game da:")</f>
        <v>Yanzu ina so in tambaye ku ƙarin bayani game da abin da ka fuskanta masamman game da:</v>
      </c>
      <c r="J172" s="91" t="str">
        <f t="shared" ref="J172:J176" si="110">F172&amp;". "&amp;G172</f>
        <v>90. Now I would like to ask you to tell me more about your specific experience with:</v>
      </c>
      <c r="K172" s="91" t="str">
        <f t="shared" ref="K172:L172" si="109">$F172&amp;". "&amp;H172</f>
        <v>90. J'aimerais maintenant vous demander de m'en dire un peu plus sur votre expérience spécifique avec :</v>
      </c>
      <c r="L172" s="91" t="str">
        <f t="shared" si="109"/>
        <v>90. Yanzu ina so in tambaye ku ƙarin bayani game da abin da ka fuskanta masamman game da:</v>
      </c>
    </row>
    <row r="173">
      <c r="A173" s="133" t="s">
        <v>214</v>
      </c>
      <c r="B173" s="143" t="s">
        <v>1145</v>
      </c>
      <c r="C173" s="31" t="s">
        <v>1146</v>
      </c>
      <c r="D173" s="31" t="s">
        <v>1150</v>
      </c>
      <c r="E173" s="31" t="s">
        <v>1152</v>
      </c>
      <c r="F173" s="89">
        <v>91.0</v>
      </c>
      <c r="G173" s="91" t="str">
        <f>IFERROR(__xludf.DUMMYFUNCTION("TRIM(REGEXREPLACE(C173, ""[0-9]+[a-f]?\."", """"))"),"Physical attack")</f>
        <v>Physical attack</v>
      </c>
      <c r="H173" s="91" t="str">
        <f>IFERROR(__xludf.DUMMYFUNCTION("TRIM(REGEXREPLACE(D173, ""[0-9]+[a-f]?\."", """"))"),"Attaque physique")</f>
        <v>Attaque physique</v>
      </c>
      <c r="I173" s="91" t="str">
        <f>IFERROR(__xludf.DUMMYFUNCTION("TRIM(REGEXREPLACE(E173, ""[0-9]+[a-f]?\."", """"))"),"harin jiki")</f>
        <v>harin jiki</v>
      </c>
      <c r="J173" s="91" t="str">
        <f t="shared" si="110"/>
        <v>91. Physical attack</v>
      </c>
      <c r="K173" s="91" t="str">
        <f t="shared" ref="K173:L173" si="111">$F173&amp;". "&amp;H173</f>
        <v>91. Attaque physique</v>
      </c>
      <c r="L173" s="91" t="str">
        <f t="shared" si="111"/>
        <v>91. harin jiki</v>
      </c>
    </row>
    <row r="174">
      <c r="A174" s="133" t="s">
        <v>214</v>
      </c>
      <c r="B174" s="143" t="s">
        <v>1154</v>
      </c>
      <c r="C174" s="31" t="s">
        <v>1155</v>
      </c>
      <c r="D174" s="31" t="s">
        <v>1156</v>
      </c>
      <c r="E174" s="31" t="s">
        <v>1157</v>
      </c>
      <c r="F174" s="89">
        <v>92.0</v>
      </c>
      <c r="G174" s="91" t="str">
        <f>IFERROR(__xludf.DUMMYFUNCTION("TRIM(REGEXREPLACE(C174, ""[0-9]+[a-f]?\."", """"))"),"Threat of physical violence/attack")</f>
        <v>Threat of physical violence/attack</v>
      </c>
      <c r="H174" s="91" t="str">
        <f>IFERROR(__xludf.DUMMYFUNCTION("TRIM(REGEXREPLACE(D174, ""[0-9]+[a-f]?\."", """"))"),"Menace de violence physique/agression")</f>
        <v>Menace de violence physique/agression</v>
      </c>
      <c r="I174" s="91" t="str">
        <f>IFERROR(__xludf.DUMMYFUNCTION("TRIM(REGEXREPLACE(E174, ""[0-9]+[a-f]?\."", """"))"),"Barazanar ​​harin jiki")</f>
        <v>Barazanar ​​harin jiki</v>
      </c>
      <c r="J174" s="91" t="str">
        <f t="shared" si="110"/>
        <v>92. Threat of physical violence/attack</v>
      </c>
      <c r="K174" s="91" t="str">
        <f t="shared" ref="K174:L174" si="112">$F174&amp;". "&amp;H174</f>
        <v>92. Menace de violence physique/agression</v>
      </c>
      <c r="L174" s="91" t="str">
        <f t="shared" si="112"/>
        <v>92. Barazanar ​​harin jiki</v>
      </c>
    </row>
    <row r="175">
      <c r="A175" s="133" t="s">
        <v>214</v>
      </c>
      <c r="B175" s="143" t="s">
        <v>1162</v>
      </c>
      <c r="C175" s="31" t="s">
        <v>1163</v>
      </c>
      <c r="D175" s="31" t="s">
        <v>1164</v>
      </c>
      <c r="E175" s="31" t="s">
        <v>1166</v>
      </c>
      <c r="F175" s="89">
        <v>93.0</v>
      </c>
      <c r="G175" s="91" t="str">
        <f>IFERROR(__xludf.DUMMYFUNCTION("TRIM(REGEXREPLACE(C175, ""[0-9]+[a-f]?\."", """"))"),"Theft of either money or property?")</f>
        <v>Theft of either money or property?</v>
      </c>
      <c r="H175" s="91" t="str">
        <f>IFERROR(__xludf.DUMMYFUNCTION("TRIM(REGEXREPLACE(D175, ""[0-9]+[a-f]?\."", """"))"),"Vol d'argent ou de propriété?")</f>
        <v>Vol d'argent ou de propriété?</v>
      </c>
      <c r="I175" s="91" t="str">
        <f>IFERROR(__xludf.DUMMYFUNCTION("TRIM(REGEXREPLACE(E175, ""[0-9]+[a-f]?\."", """"))"),"Satar kudi ko dukiya?")</f>
        <v>Satar kudi ko dukiya?</v>
      </c>
      <c r="J175" s="91" t="str">
        <f t="shared" si="110"/>
        <v>93. Theft of either money or property?</v>
      </c>
      <c r="K175" s="91" t="str">
        <f t="shared" ref="K175:L175" si="113">$F175&amp;". "&amp;H175</f>
        <v>93. Vol d'argent ou de propriété?</v>
      </c>
      <c r="L175" s="91" t="str">
        <f t="shared" si="113"/>
        <v>93. Satar kudi ko dukiya?</v>
      </c>
    </row>
    <row r="176">
      <c r="A176" s="133" t="s">
        <v>214</v>
      </c>
      <c r="B176" s="143" t="s">
        <v>1172</v>
      </c>
      <c r="C176" s="31" t="s">
        <v>1173</v>
      </c>
      <c r="D176" s="31" t="s">
        <v>1174</v>
      </c>
      <c r="E176" s="31" t="s">
        <v>1175</v>
      </c>
      <c r="F176" s="89">
        <v>94.0</v>
      </c>
      <c r="G176" s="91" t="str">
        <f>IFERROR(__xludf.DUMMYFUNCTION("TRIM(REGEXREPLACE(C176, ""[0-9]+[a-f]?\."", """"))"),"Detention or arrest by state security forces?")</f>
        <v>Detention or arrest by state security forces?</v>
      </c>
      <c r="H176" s="91" t="str">
        <f>IFERROR(__xludf.DUMMYFUNCTION("TRIM(REGEXREPLACE(D176, ""[0-9]+[a-f]?\."", """"))"),"Détention ou arrestation par les forces de sécurité de l'État ?")</f>
        <v>Détention ou arrestation par les forces de sécurité de l'État ?</v>
      </c>
      <c r="I176" s="91" t="str">
        <f>IFERROR(__xludf.DUMMYFUNCTION("TRIM(REGEXREPLACE(E176, ""[0-9]+[a-f]?\."", """"))"),"Kaso ko kamu daga jami'an tsaron gwamnati?")</f>
        <v>Kaso ko kamu daga jami'an tsaron gwamnati?</v>
      </c>
      <c r="J176" s="91" t="str">
        <f t="shared" si="110"/>
        <v>94. Detention or arrest by state security forces?</v>
      </c>
      <c r="K176" s="91" t="str">
        <f t="shared" ref="K176:L176" si="114">$F176&amp;". "&amp;H176</f>
        <v>94. Détention ou arrestation par les forces de sécurité de l'État ?</v>
      </c>
      <c r="L176" s="91" t="str">
        <f t="shared" si="114"/>
        <v>94. Kaso ko kamu daga jami'an tsaron gwamnati?</v>
      </c>
    </row>
    <row r="177" hidden="1">
      <c r="A177" s="122" t="s">
        <v>236</v>
      </c>
      <c r="B177" s="153" t="s">
        <v>1132</v>
      </c>
      <c r="C177" s="31"/>
      <c r="D177" s="31"/>
      <c r="E177" s="31"/>
      <c r="F177" s="89">
        <v>41.0</v>
      </c>
      <c r="G177" s="91" t="str">
        <f>IFERROR(__xludf.DUMMYFUNCTION("TRIM(REGEXREPLACE(C177, ""[0-9]+[a-f]?\."", """"))"),"")</f>
        <v/>
      </c>
      <c r="H177" s="91" t="str">
        <f>IFERROR(__xludf.DUMMYFUNCTION("TRIM(REGEXREPLACE(D177, ""[0-9]+[a-f]?\."", """"))"),"")</f>
        <v/>
      </c>
      <c r="I177" s="91" t="str">
        <f>IFERROR(__xludf.DUMMYFUNCTION("TRIM(REGEXREPLACE(E177, ""[0-9]+[a-f]?\."", """"))"),"")</f>
        <v/>
      </c>
      <c r="J177" s="91" t="str">
        <f>F177 &amp; ". " &amp;G177</f>
        <v>41. </v>
      </c>
      <c r="K177" s="91" t="str">
        <f>F177 &amp; ". " &amp;H177</f>
        <v>41. </v>
      </c>
      <c r="L177" s="91" t="str">
        <f>F177 &amp; ". " &amp;I177</f>
        <v>41. </v>
      </c>
    </row>
    <row r="178" hidden="1">
      <c r="A178" s="122"/>
      <c r="B178" s="123"/>
      <c r="C178" s="31"/>
      <c r="D178" s="31"/>
      <c r="E178" s="31"/>
      <c r="F178" s="89">
        <v>81.0</v>
      </c>
      <c r="G178" s="91" t="str">
        <f>IFERROR(__xludf.DUMMYFUNCTION("TRIM(REGEXREPLACE(C178, ""[0-9]+[a-f]?\."", """"))"),"")</f>
        <v/>
      </c>
      <c r="H178" s="91" t="str">
        <f>IFERROR(__xludf.DUMMYFUNCTION("TRIM(REGEXREPLACE(D178, ""[0-9]+[a-f]?\."", """"))"),"")</f>
        <v/>
      </c>
      <c r="I178" s="91" t="str">
        <f>IFERROR(__xludf.DUMMYFUNCTION("TRIM(REGEXREPLACE(E178, ""[0-9]+[a-f]?\."", """"))"),"")</f>
        <v/>
      </c>
      <c r="J178" s="91" t="s">
        <v>1176</v>
      </c>
      <c r="K178" s="91" t="s">
        <v>1177</v>
      </c>
      <c r="L178" s="91" t="s">
        <v>1178</v>
      </c>
    </row>
    <row r="179">
      <c r="A179" s="126" t="s">
        <v>42</v>
      </c>
      <c r="B179" s="127" t="s">
        <v>1179</v>
      </c>
      <c r="C179" s="31" t="s">
        <v>1180</v>
      </c>
      <c r="D179" s="31" t="s">
        <v>1181</v>
      </c>
      <c r="E179" s="31" t="s">
        <v>1182</v>
      </c>
      <c r="F179" s="89">
        <v>95.0</v>
      </c>
      <c r="G179" s="91" t="str">
        <f>IFERROR(__xludf.DUMMYFUNCTION("TRIM(REGEXREPLACE(C179, ""[0-9]+[a-f]?\."", """"))"),"I will now ask you about meals people in your household have consumed in the past 7 days.")</f>
        <v>I will now ask you about meals people in your household have consumed in the past 7 days.</v>
      </c>
      <c r="H179" s="91" t="str">
        <f>IFERROR(__xludf.DUMMYFUNCTION("TRIM(REGEXREPLACE(D179,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179" s="91" t="str">
        <f>IFERROR(__xludf.DUMMYFUNCTION("TRIM(REGEXREPLACE(E179, ""[0-9]+[a-f]?\."", """"))"),"Yanzu zan tambaye ku bisa abincin da mutanen gidanku suka ci a cikin kwanaki 7 da suka wuce.")</f>
        <v>Yanzu zan tambaye ku bisa abincin da mutanen gidanku suka ci a cikin kwanaki 7 da suka wuce.</v>
      </c>
      <c r="J179" s="91" t="str">
        <f t="shared" ref="J179:J189" si="116">F179&amp;". "&amp;G179</f>
        <v>95. I will now ask you about meals people in your household have consumed in the past 7 days.</v>
      </c>
      <c r="K179" s="91" t="str">
        <f t="shared" ref="K179:L179" si="115">$F179&amp;". "&amp;H179</f>
        <v>95. Je vais maintenant vous poser des questions sur les repas que les membres de votre ménage ont consommé au cours des 7 derniers jours.</v>
      </c>
      <c r="L179" s="91" t="str">
        <f t="shared" si="115"/>
        <v>95. Yanzu zan tambaye ku bisa abincin da mutanen gidanku suka ci a cikin kwanaki 7 da suka wuce.</v>
      </c>
    </row>
    <row r="180">
      <c r="A180" s="81" t="s">
        <v>485</v>
      </c>
      <c r="B180" s="142" t="s">
        <v>1188</v>
      </c>
      <c r="C180" s="31" t="s">
        <v>1190</v>
      </c>
      <c r="D180" s="31" t="s">
        <v>1192</v>
      </c>
      <c r="E180" s="31" t="s">
        <v>1193</v>
      </c>
      <c r="F180" s="89">
        <v>96.0</v>
      </c>
      <c r="G180" s="91" t="str">
        <f>IFERROR(__xludf.DUMMYFUNCTION("TRIM(REGEXREPLACE(C180, ""[0-9]+[a-f]?\."", """"))"),"In the last 7 days, have adults gone a whole day without meals?")</f>
        <v>In the last 7 days, have adults gone a whole day without meals?</v>
      </c>
      <c r="H180" s="91" t="str">
        <f>IFERROR(__xludf.DUMMYFUNCTION("TRIM(REGEXREPLACE(D180, ""[0-9]+[a-f]?\."", """"))"),"Au cours des 7 derniers jours, des adultes sont-ils restés une journée entière sans manger de repas ?")</f>
        <v>Au cours des 7 derniers jours, des adultes sont-ils restés une journée entière sans manger de repas ?</v>
      </c>
      <c r="I180" s="91" t="str">
        <f>IFERROR(__xludf.DUMMYFUNCTION("TRIM(REGEXREPLACE(E180, ""[0-9]+[a-f]?\."", """"))"),"A cikin kwanaki 7 da suka wuce, ko manya gidanku sun zauna tsawon wuni guda basu ci abinci ba?")</f>
        <v>A cikin kwanaki 7 da suka wuce, ko manya gidanku sun zauna tsawon wuni guda basu ci abinci ba?</v>
      </c>
      <c r="J180" s="91" t="str">
        <f t="shared" si="116"/>
        <v>96. In the last 7 days, have adults gone a whole day without meals?</v>
      </c>
      <c r="K180" s="91" t="str">
        <f t="shared" ref="K180:L180" si="117">$F180&amp;". "&amp;H180</f>
        <v>96. Au cours des 7 derniers jours, des adultes sont-ils restés une journée entière sans manger de repas ?</v>
      </c>
      <c r="L180" s="91" t="str">
        <f t="shared" si="117"/>
        <v>96. A cikin kwanaki 7 da suka wuce, ko manya gidanku sun zauna tsawon wuni guda basu ci abinci ba?</v>
      </c>
    </row>
    <row r="181">
      <c r="A181" s="146" t="s">
        <v>237</v>
      </c>
      <c r="B181" s="147" t="s">
        <v>1194</v>
      </c>
      <c r="C181" s="31" t="s">
        <v>1195</v>
      </c>
      <c r="D181" s="31" t="s">
        <v>1196</v>
      </c>
      <c r="E181" s="31" t="s">
        <v>1197</v>
      </c>
      <c r="F181" s="89">
        <v>97.0</v>
      </c>
      <c r="G181" s="91" t="str">
        <f>IFERROR(__xludf.DUMMYFUNCTION("TRIM(REGEXREPLACE(C181, ""[0-9]+[a-f]?\."", """"))"),"How many days?")</f>
        <v>How many days?</v>
      </c>
      <c r="H181" s="91" t="str">
        <f>IFERROR(__xludf.DUMMYFUNCTION("TRIM(REGEXREPLACE(D181, ""[0-9]+[a-f]?\."", """"))"),"Pendant combien de jours?")</f>
        <v>Pendant combien de jours?</v>
      </c>
      <c r="I181" s="91" t="str">
        <f>IFERROR(__xludf.DUMMYFUNCTION("TRIM(REGEXREPLACE(E181, ""[0-9]+[a-f]?\."", """"))"),"151a Tsawon kwanaki nawa?")</f>
        <v>151a Tsawon kwanaki nawa?</v>
      </c>
      <c r="J181" s="91" t="str">
        <f t="shared" si="116"/>
        <v>97. How many days?</v>
      </c>
      <c r="K181" s="91" t="str">
        <f t="shared" ref="K181:L181" si="118">$F181&amp;". "&amp;H181</f>
        <v>97. Pendant combien de jours?</v>
      </c>
      <c r="L181" s="91" t="str">
        <f t="shared" si="118"/>
        <v>97. 151a Tsawon kwanaki nawa?</v>
      </c>
    </row>
    <row r="182">
      <c r="A182" s="81" t="s">
        <v>485</v>
      </c>
      <c r="B182" s="142" t="s">
        <v>1201</v>
      </c>
      <c r="C182" s="31" t="s">
        <v>1202</v>
      </c>
      <c r="D182" s="31" t="s">
        <v>1203</v>
      </c>
      <c r="E182" s="31" t="s">
        <v>1204</v>
      </c>
      <c r="F182" s="89">
        <v>98.0</v>
      </c>
      <c r="G182" s="91" t="str">
        <f>IFERROR(__xludf.DUMMYFUNCTION("TRIM(REGEXREPLACE(C182, ""[0-9]+[a-f]?\."", """"))"),"In the last 7 days, have adults cut the size of meals or skipped meals?")</f>
        <v>In the last 7 days, have adults cut the size of meals or skipped meals?</v>
      </c>
      <c r="H182" s="91" t="str">
        <f>IFERROR(__xludf.DUMMYFUNCTION("TRIM(REGEXREPLACE(D182, ""[0-9]+[a-f]?\."", """"))"),"Au cours des 7 derniers jours, les adultes ont-ils réduit la taille de leur repas ou les ont-ils sauté?")</f>
        <v>Au cours des 7 derniers jours, les adultes ont-ils réduit la taille de leur repas ou les ont-ils sauté?</v>
      </c>
      <c r="I182" s="91" t="str">
        <f>IFERROR(__xludf.DUMMYFUNCTION("TRIM(REGEXREPLACE(E182, ""[0-9]+[a-f]?\."", """"))"),"A cikin kwanaki 7 na ƙarshe, ko manyan gidanku sun rage yawan abincin da suka saba ci ko sun tsallake shi?")</f>
        <v>A cikin kwanaki 7 na ƙarshe, ko manyan gidanku sun rage yawan abincin da suka saba ci ko sun tsallake shi?</v>
      </c>
      <c r="J182" s="91" t="str">
        <f t="shared" si="116"/>
        <v>98. In the last 7 days, have adults cut the size of meals or skipped meals?</v>
      </c>
      <c r="K182" s="91" t="str">
        <f t="shared" ref="K182:L182" si="119">$F182&amp;". "&amp;H182</f>
        <v>98. Au cours des 7 derniers jours, les adultes ont-ils réduit la taille de leur repas ou les ont-ils sauté?</v>
      </c>
      <c r="L182" s="91" t="str">
        <f t="shared" si="119"/>
        <v>98. A cikin kwanaki 7 na ƙarshe, ko manyan gidanku sun rage yawan abincin da suka saba ci ko sun tsallake shi?</v>
      </c>
    </row>
    <row r="183">
      <c r="A183" s="146" t="s">
        <v>237</v>
      </c>
      <c r="B183" s="147" t="s">
        <v>1208</v>
      </c>
      <c r="C183" s="31" t="s">
        <v>1209</v>
      </c>
      <c r="D183" s="31" t="s">
        <v>1210</v>
      </c>
      <c r="E183" s="31" t="s">
        <v>1211</v>
      </c>
      <c r="F183" s="89">
        <v>99.0</v>
      </c>
      <c r="G183" s="91" t="str">
        <f>IFERROR(__xludf.DUMMYFUNCTION("TRIM(REGEXREPLACE(C183, ""[0-9]+[a-f]?\."", """"))"),"How many days?")</f>
        <v>How many days?</v>
      </c>
      <c r="H183" s="91" t="str">
        <f>IFERROR(__xludf.DUMMYFUNCTION("TRIM(REGEXREPLACE(D183, ""[0-9]+[a-f]?\."", """"))"),"Pendant combien de jours?")</f>
        <v>Pendant combien de jours?</v>
      </c>
      <c r="I183" s="91" t="str">
        <f>IFERROR(__xludf.DUMMYFUNCTION("TRIM(REGEXREPLACE(E183, ""[0-9]+[a-f]?\."", """"))"),"Tsawon kwana nawa?")</f>
        <v>Tsawon kwana nawa?</v>
      </c>
      <c r="J183" s="91" t="str">
        <f t="shared" si="116"/>
        <v>99. How many days?</v>
      </c>
      <c r="K183" s="91" t="str">
        <f t="shared" ref="K183:L183" si="120">$F183&amp;". "&amp;H183</f>
        <v>99. Pendant combien de jours?</v>
      </c>
      <c r="L183" s="91" t="str">
        <f t="shared" si="120"/>
        <v>99. Tsawon kwana nawa?</v>
      </c>
    </row>
    <row r="184">
      <c r="A184" s="146" t="s">
        <v>237</v>
      </c>
      <c r="B184" s="147" t="s">
        <v>1217</v>
      </c>
      <c r="C184" s="31" t="s">
        <v>1219</v>
      </c>
      <c r="D184" s="31" t="s">
        <v>1221</v>
      </c>
      <c r="E184" s="31" t="s">
        <v>1222</v>
      </c>
      <c r="F184" s="89">
        <v>100.0</v>
      </c>
      <c r="G184" s="91" t="str">
        <f>IFERROR(__xludf.DUMMYFUNCTION("TRIM(REGEXREPLACE(C184, ""[0-9]+[a-f]?\."", """"))"),"In the past week how many days have adults in your household consumed animal protein (including fish, meat, poultry)?")</f>
        <v>In the past week how many days have adults in your household consumed animal protein (including fish, meat, poultry)?</v>
      </c>
      <c r="H184" s="91" t="str">
        <f>IFERROR(__xludf.DUMMYFUNCTION("TRIM(REGEXREPLACE(D184,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184" s="91" t="str">
        <f>IFERROR(__xludf.DUMMYFUNCTION("TRIM(REGEXREPLACE(E184, ""[0-9]+[a-f]?\."", """"))"),"A cikin kwanaki 7 da suka wuce sau nawa manyan gidanku suka ci abinci masu gina jiki kamar su kifi ko nama ko kaji?")</f>
        <v>A cikin kwanaki 7 da suka wuce sau nawa manyan gidanku suka ci abinci masu gina jiki kamar su kifi ko nama ko kaji?</v>
      </c>
      <c r="J184" s="91" t="str">
        <f t="shared" si="116"/>
        <v>100. In the past week how many days have adults in your household consumed animal protein (including fish, meat, poultry)?</v>
      </c>
      <c r="K184" s="91" t="str">
        <f t="shared" ref="K184:L184" si="121">$F184&amp;". "&amp;H184</f>
        <v>100. Au cours des 7 derniers jours, combien de fois les adultes de votre ménage ont-ils consommé des protéines animales (y compris poisson, viande, volaille) ?</v>
      </c>
      <c r="L184" s="91" t="str">
        <f t="shared" si="121"/>
        <v>100. A cikin kwanaki 7 da suka wuce sau nawa manyan gidanku suka ci abinci masu gina jiki kamar su kifi ko nama ko kaji?</v>
      </c>
    </row>
    <row r="185">
      <c r="A185" s="81" t="s">
        <v>485</v>
      </c>
      <c r="B185" s="142" t="s">
        <v>1226</v>
      </c>
      <c r="C185" s="31" t="s">
        <v>1227</v>
      </c>
      <c r="D185" s="31" t="s">
        <v>1228</v>
      </c>
      <c r="E185" s="31" t="s">
        <v>1229</v>
      </c>
      <c r="F185" s="89">
        <v>101.0</v>
      </c>
      <c r="G185" s="91" t="str">
        <f>IFERROR(__xludf.DUMMYFUNCTION("TRIM(REGEXREPLACE(C185, ""[0-9]+[a-f]?\."", """"))"),"In the last 7 days, have children (&lt;14) gone a whole day without meals?")</f>
        <v>In the last 7 days, have children (&lt;14) gone a whole day without meals?</v>
      </c>
      <c r="H185" s="91" t="str">
        <f>IFERROR(__xludf.DUMMYFUNCTION("TRIM(REGEXREPLACE(D185, ""[0-9]+[a-f]?\."", """"))"),"Au cours des 7 derniers jours, des enfants (&lt;14) ont-ils passé une journée entière sans manger de repas ?")</f>
        <v>Au cours des 7 derniers jours, des enfants (&lt;14) ont-ils passé une journée entière sans manger de repas ?</v>
      </c>
      <c r="I185" s="91" t="str">
        <f>IFERROR(__xludf.DUMMYFUNCTION("TRIM(REGEXREPLACE(E185, ""[0-9]+[a-f]?\."", """"))"),"A cikin kwana 7 na ƙarshe, ko yara ƴan ƙasa da shekara goma sha huɗu sun zauna tsawon wuni guda ba su ci da abinci ba?")</f>
        <v>A cikin kwana 7 na ƙarshe, ko yara ƴan ƙasa da shekara goma sha huɗu sun zauna tsawon wuni guda ba su ci da abinci ba?</v>
      </c>
      <c r="J185" s="91" t="str">
        <f t="shared" si="116"/>
        <v>101. In the last 7 days, have children (&lt;14) gone a whole day without meals?</v>
      </c>
      <c r="K185" s="91" t="str">
        <f t="shared" ref="K185:L185" si="122">$F185&amp;". "&amp;H185</f>
        <v>101. Au cours des 7 derniers jours, des enfants (&lt;14) ont-ils passé une journée entière sans manger de repas ?</v>
      </c>
      <c r="L185" s="91" t="str">
        <f t="shared" si="122"/>
        <v>101. A cikin kwana 7 na ƙarshe, ko yara ƴan ƙasa da shekara goma sha huɗu sun zauna tsawon wuni guda ba su ci da abinci ba?</v>
      </c>
    </row>
    <row r="186">
      <c r="A186" s="146" t="s">
        <v>237</v>
      </c>
      <c r="B186" s="147" t="s">
        <v>1238</v>
      </c>
      <c r="C186" s="31" t="s">
        <v>1239</v>
      </c>
      <c r="D186" s="31" t="s">
        <v>1240</v>
      </c>
      <c r="E186" s="31" t="s">
        <v>1241</v>
      </c>
      <c r="F186" s="89">
        <v>102.0</v>
      </c>
      <c r="G186" s="91" t="str">
        <f>IFERROR(__xludf.DUMMYFUNCTION("TRIM(REGEXREPLACE(C186, ""[0-9]+[a-f]?\."", """"))"),"How many days?")</f>
        <v>How many days?</v>
      </c>
      <c r="H186" s="91" t="str">
        <f>IFERROR(__xludf.DUMMYFUNCTION("TRIM(REGEXREPLACE(D186, ""[0-9]+[a-f]?\."", """"))"),"Pendant combien de jours?")</f>
        <v>Pendant combien de jours?</v>
      </c>
      <c r="I186" s="91" t="str">
        <f>IFERROR(__xludf.DUMMYFUNCTION("TRIM(REGEXREPLACE(E186, ""[0-9]+[a-f]?\."", """"))"),"154a Tsawon kwanaki nawa?")</f>
        <v>154a Tsawon kwanaki nawa?</v>
      </c>
      <c r="J186" s="91" t="str">
        <f t="shared" si="116"/>
        <v>102. How many days?</v>
      </c>
      <c r="K186" s="91" t="str">
        <f t="shared" ref="K186:L186" si="123">$F186&amp;". "&amp;H186</f>
        <v>102. Pendant combien de jours?</v>
      </c>
      <c r="L186" s="91" t="str">
        <f t="shared" si="123"/>
        <v>102. 154a Tsawon kwanaki nawa?</v>
      </c>
    </row>
    <row r="187">
      <c r="A187" s="81" t="s">
        <v>485</v>
      </c>
      <c r="B187" s="142" t="s">
        <v>1245</v>
      </c>
      <c r="C187" s="31" t="s">
        <v>1246</v>
      </c>
      <c r="D187" s="31" t="s">
        <v>1247</v>
      </c>
      <c r="E187" s="31" t="s">
        <v>1248</v>
      </c>
      <c r="F187" s="89">
        <v>103.0</v>
      </c>
      <c r="G187" s="91" t="str">
        <f>IFERROR(__xludf.DUMMYFUNCTION("TRIM(REGEXREPLACE(C187, ""[0-9]+[a-f]?\."", """"))"),"In the last 7 days, have children (&lt;14) cut the size of meals or skipped meals?")</f>
        <v>In the last 7 days, have children (&lt;14) cut the size of meals or skipped meals?</v>
      </c>
      <c r="H187" s="91" t="str">
        <f>IFERROR(__xludf.DUMMYFUNCTION("TRIM(REGEXREPLACE(D187, ""[0-9]+[a-f]?\."", """"))"),"Au cours des 7 derniers jours, des enfants (&lt;14) ont-ils réduit la taille de leurs repas ou les ont-ils sauté?")</f>
        <v>Au cours des 7 derniers jours, des enfants (&lt;14) ont-ils réduit la taille de leurs repas ou les ont-ils sauté?</v>
      </c>
      <c r="I187" s="91" t="str">
        <f>IFERROR(__xludf.DUMMYFUNCTION("TRIM(REGEXREPLACE(E187, ""[0-9]+[a-f]?\."", """"))"),"A cikin kwanaki 7 na ƙarshe, suna da yara (&lt;14) sun rage yawan abinci ko sun rasa gaba ɗaya?")</f>
        <v>A cikin kwanaki 7 na ƙarshe, suna da yara (&lt;14) sun rage yawan abinci ko sun rasa gaba ɗaya?</v>
      </c>
      <c r="J187" s="91" t="str">
        <f t="shared" si="116"/>
        <v>103. In the last 7 days, have children (&lt;14) cut the size of meals or skipped meals?</v>
      </c>
      <c r="K187" s="91" t="str">
        <f t="shared" ref="K187:L187" si="124">$F187&amp;". "&amp;H187</f>
        <v>103. Au cours des 7 derniers jours, des enfants (&lt;14) ont-ils réduit la taille de leurs repas ou les ont-ils sauté?</v>
      </c>
      <c r="L187" s="91" t="str">
        <f t="shared" si="124"/>
        <v>103. A cikin kwanaki 7 na ƙarshe, suna da yara (&lt;14) sun rage yawan abinci ko sun rasa gaba ɗaya?</v>
      </c>
    </row>
    <row r="188">
      <c r="A188" s="146" t="s">
        <v>237</v>
      </c>
      <c r="B188" s="147" t="s">
        <v>1256</v>
      </c>
      <c r="C188" s="31" t="s">
        <v>1258</v>
      </c>
      <c r="D188" s="31" t="s">
        <v>1259</v>
      </c>
      <c r="E188" s="31" t="s">
        <v>1260</v>
      </c>
      <c r="F188" s="89">
        <v>104.0</v>
      </c>
      <c r="G188" s="91" t="str">
        <f>IFERROR(__xludf.DUMMYFUNCTION("TRIM(REGEXREPLACE(C188, ""[0-9]+[a-f]?\."", """"))"),"How many days?")</f>
        <v>How many days?</v>
      </c>
      <c r="H188" s="91" t="str">
        <f>IFERROR(__xludf.DUMMYFUNCTION("TRIM(REGEXREPLACE(D188, ""[0-9]+[a-f]?\."", """"))"),"Pendant combien de jours?")</f>
        <v>Pendant combien de jours?</v>
      </c>
      <c r="I188" s="91" t="str">
        <f>IFERROR(__xludf.DUMMYFUNCTION("TRIM(REGEXREPLACE(E188, ""[0-9]+[a-f]?\."", """"))"),"155a Tsawon kwana nawa?")</f>
        <v>155a Tsawon kwana nawa?</v>
      </c>
      <c r="J188" s="91" t="str">
        <f t="shared" si="116"/>
        <v>104. How many days?</v>
      </c>
      <c r="K188" s="91" t="str">
        <f t="shared" ref="K188:L188" si="125">$F188&amp;". "&amp;H188</f>
        <v>104. Pendant combien de jours?</v>
      </c>
      <c r="L188" s="91" t="str">
        <f t="shared" si="125"/>
        <v>104. 155a Tsawon kwana nawa?</v>
      </c>
    </row>
    <row r="189">
      <c r="A189" s="146" t="s">
        <v>237</v>
      </c>
      <c r="B189" s="147" t="s">
        <v>1261</v>
      </c>
      <c r="C189" s="31" t="s">
        <v>1262</v>
      </c>
      <c r="D189" s="31" t="s">
        <v>1263</v>
      </c>
      <c r="E189" s="31" t="s">
        <v>1265</v>
      </c>
      <c r="F189" s="89">
        <v>105.0</v>
      </c>
      <c r="G189" s="91" t="str">
        <f>IFERROR(__xludf.DUMMYFUNCTION("TRIM(REGEXREPLACE(C189, ""[0-9]+[a-f]?\."", """"))"),"In the past week how many days have children in your household consumed animal protein (inlcuding fish, meat, poultry)?")</f>
        <v>In the past week how many days have children in your household consumed animal protein (inlcuding fish, meat, poultry)?</v>
      </c>
      <c r="H189" s="91" t="str">
        <f>IFERROR(__xludf.DUMMYFUNCTION("TRIM(REGEXREPLACE(D189,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189" s="91" t="str">
        <f>IFERROR(__xludf.DUMMYFUNCTION("TRIM(REGEXREPLACE(E189, ""[0-9]+[a-f]?\."", """"))"),"A cikin kwanaki 7 da suka gabata sau nawa yara a cikin gidanku suka ci abinci masu gina jiki kamar su kifi, nama, kaji ?")</f>
        <v>A cikin kwanaki 7 da suka gabata sau nawa yara a cikin gidanku suka ci abinci masu gina jiki kamar su kifi, nama, kaji ?</v>
      </c>
      <c r="J189" s="91" t="str">
        <f t="shared" si="116"/>
        <v>105. In the past week how many days have children in your household consumed animal protein (inlcuding fish, meat, poultry)?</v>
      </c>
      <c r="K189" s="91" t="str">
        <f t="shared" ref="K189:L189" si="126">$F189&amp;". "&amp;H189</f>
        <v>105. Au cours des 7 derniers jours, combien de fois les enfants de votre ménage ont-ils consommé des protéines animales (y compris poisson, viande, volaille) ?</v>
      </c>
      <c r="L189" s="91" t="str">
        <f t="shared" si="126"/>
        <v>105. A cikin kwanaki 7 da suka gabata sau nawa yara a cikin gidanku suka ci abinci masu gina jiki kamar su kifi, nama, kaji ?</v>
      </c>
    </row>
    <row r="190" hidden="1">
      <c r="A190" s="169"/>
      <c r="B190" s="170"/>
      <c r="C190" s="31" t="s">
        <v>53</v>
      </c>
      <c r="D190" s="31" t="s">
        <v>53</v>
      </c>
      <c r="E190" s="31" t="s">
        <v>53</v>
      </c>
      <c r="F190" s="89">
        <v>105.0</v>
      </c>
      <c r="G190" s="91" t="str">
        <f>IFERROR(__xludf.DUMMYFUNCTION("TRIM(REGEXREPLACE(C190, ""[0-9]+[a-f]?\."", """"))"),"")</f>
        <v/>
      </c>
      <c r="H190" s="91" t="str">
        <f>IFERROR(__xludf.DUMMYFUNCTION("TRIM(REGEXREPLACE(D190, ""[0-9]+[a-f]?\."", """"))"),"")</f>
        <v/>
      </c>
      <c r="I190" s="91" t="str">
        <f>IFERROR(__xludf.DUMMYFUNCTION("TRIM(REGEXREPLACE(E190, ""[0-9]+[a-f]?\."", """"))"),"")</f>
        <v/>
      </c>
      <c r="J190" s="91" t="s">
        <v>1268</v>
      </c>
      <c r="K190" s="91" t="s">
        <v>1269</v>
      </c>
      <c r="L190" s="91" t="s">
        <v>1270</v>
      </c>
    </row>
    <row r="191" hidden="1">
      <c r="A191" s="122" t="s">
        <v>150</v>
      </c>
      <c r="B191" s="171" t="s">
        <v>1271</v>
      </c>
      <c r="C191" s="31"/>
      <c r="D191" s="31"/>
      <c r="E191" s="31"/>
      <c r="F191" s="89">
        <v>42.0</v>
      </c>
      <c r="G191" s="91" t="str">
        <f>IFERROR(__xludf.DUMMYFUNCTION("TRIM(REGEXREPLACE(C191, ""[0-9]+[a-f]?\."", """"))"),"")</f>
        <v/>
      </c>
      <c r="H191" s="91" t="str">
        <f>IFERROR(__xludf.DUMMYFUNCTION("TRIM(REGEXREPLACE(D191, ""[0-9]+[a-f]?\."", """"))"),"")</f>
        <v/>
      </c>
      <c r="I191" s="91" t="str">
        <f>IFERROR(__xludf.DUMMYFUNCTION("TRIM(REGEXREPLACE(E191, ""[0-9]+[a-f]?\."", """"))"),"")</f>
        <v/>
      </c>
      <c r="J191" s="91" t="str">
        <f>F191 &amp; ". " &amp;G191</f>
        <v>42. </v>
      </c>
      <c r="K191" s="91" t="str">
        <f>F191 &amp; ". " &amp;H191</f>
        <v>42. </v>
      </c>
      <c r="L191" s="91" t="str">
        <f>F191 &amp; ". " &amp;I191</f>
        <v>42. </v>
      </c>
    </row>
    <row r="192">
      <c r="A192" s="81" t="s">
        <v>1272</v>
      </c>
      <c r="B192" s="142" t="s">
        <v>1273</v>
      </c>
      <c r="C192" s="31" t="s">
        <v>1274</v>
      </c>
      <c r="D192" s="31" t="s">
        <v>1275</v>
      </c>
      <c r="E192" s="31" t="s">
        <v>1276</v>
      </c>
      <c r="F192" s="89">
        <v>106.0</v>
      </c>
      <c r="G192" s="91" t="str">
        <f>IFERROR(__xludf.DUMMYFUNCTION("TRIM(REGEXREPLACE(C192, ""[0-9]+[a-f]?\."", """"))"),"Has your household spent money on the following types of expenses in the past month?")</f>
        <v>Has your household spent money on the following types of expenses in the past month?</v>
      </c>
      <c r="H192" s="91" t="str">
        <f>IFERROR(__xludf.DUMMYFUNCTION("TRIM(REGEXREPLACE(D192, ""[0-9]+[a-f]?\."", """"))"),"Votre ménage a-t-il dépensé de l'argent pour les types de dépenses suivants au cours du dernier mois ?")</f>
        <v>Votre ménage a-t-il dépensé de l'argent pour les types de dépenses suivants au cours du dernier mois ?</v>
      </c>
      <c r="I192" s="91" t="str">
        <f>IFERROR(__xludf.DUMMYFUNCTION("TRIM(REGEXREPLACE(E192, ""[0-9]+[a-f]?\."", """"))"),"Shin gidanku ya kashe kuɗi akan irin waɗannan abubuwan a cikin watan da ya gabata?")</f>
        <v>Shin gidanku ya kashe kuɗi akan irin waɗannan abubuwan a cikin watan da ya gabata?</v>
      </c>
      <c r="J192" s="91" t="str">
        <f>F192&amp;". "&amp;G192</f>
        <v>106. Has your household spent money on the following types of expenses in the past month?</v>
      </c>
      <c r="K192" s="91" t="str">
        <f t="shared" ref="K192:L192" si="127">$F192&amp;". "&amp;H192</f>
        <v>106. Votre ménage a-t-il dépensé de l'argent pour les types de dépenses suivants au cours du dernier mois ?</v>
      </c>
      <c r="L192" s="91" t="str">
        <f t="shared" si="127"/>
        <v>106. Shin gidanku ya kashe kuɗi akan irin waɗannan abubuwan a cikin watan da ya gabata?</v>
      </c>
    </row>
    <row r="193" hidden="1">
      <c r="A193" s="144" t="s">
        <v>648</v>
      </c>
      <c r="B193" s="145" t="s">
        <v>1281</v>
      </c>
      <c r="C193" s="31" t="s">
        <v>1282</v>
      </c>
      <c r="D193" s="31" t="s">
        <v>1283</v>
      </c>
      <c r="E193" s="31" t="s">
        <v>1284</v>
      </c>
      <c r="F193" s="89">
        <v>108.0</v>
      </c>
      <c r="G193" s="91" t="str">
        <f>IFERROR(__xludf.DUMMYFUNCTION("TRIM(REGEXREPLACE(C193, ""[0-9]+[a-f]?\."", """"))"),"Consumption - Monthly")</f>
        <v>Consumption - Monthly</v>
      </c>
      <c r="H193" s="91" t="str">
        <f>IFERROR(__xludf.DUMMYFUNCTION("TRIM(REGEXREPLACE(D193, ""[0-9]+[a-f]?\."", """"))"),"Consommation - Mensuelle")</f>
        <v>Consommation - Mensuelle</v>
      </c>
      <c r="I193" s="91" t="str">
        <f>IFERROR(__xludf.DUMMYFUNCTION("TRIM(REGEXREPLACE(E193, ""[0-9]+[a-f]?\."", """"))"),"Cimaka - kowane wata")</f>
        <v>Cimaka - kowane wata</v>
      </c>
    </row>
    <row r="194" hidden="1">
      <c r="A194" s="104" t="s">
        <v>108</v>
      </c>
      <c r="B194" s="105" t="s">
        <v>1285</v>
      </c>
      <c r="C194" s="31" t="s">
        <v>1286</v>
      </c>
      <c r="D194" s="31" t="s">
        <v>1287</v>
      </c>
      <c r="E194" s="31" t="s">
        <v>1288</v>
      </c>
      <c r="F194" s="89">
        <v>109.0</v>
      </c>
      <c r="G194" s="91" t="str">
        <f>IFERROR(__xludf.DUMMYFUNCTION("TRIM(REGEXREPLACE(C194, ""[0-9]+[a-f]?\."", """"))"),"item")</f>
        <v>item</v>
      </c>
      <c r="H194" s="91" t="str">
        <f>IFERROR(__xludf.DUMMYFUNCTION("TRIM(REGEXREPLACE(D194, ""[0-9]+[a-f]?\."", """"))"),"article")</f>
        <v>article</v>
      </c>
      <c r="I194" s="91" t="str">
        <f>IFERROR(__xludf.DUMMYFUNCTION("TRIM(REGEXREPLACE(E194, ""[0-9]+[a-f]?\."", """"))"),"kaya")</f>
        <v>kaya</v>
      </c>
    </row>
    <row r="195">
      <c r="A195" s="146" t="s">
        <v>237</v>
      </c>
      <c r="B195" s="147" t="s">
        <v>1289</v>
      </c>
      <c r="C195" s="31" t="s">
        <v>1290</v>
      </c>
      <c r="D195" s="31" t="s">
        <v>1292</v>
      </c>
      <c r="E195" s="31" t="s">
        <v>1293</v>
      </c>
      <c r="F195" s="89">
        <v>107.0</v>
      </c>
      <c r="G195" s="91" t="str">
        <f>IFERROR(__xludf.DUMMYFUNCTION("TRIM(REGEXREPLACE(C195, ""[0-9]+[a-f]?\."", """"))"),"How much did your household spend on ${w_item} in the past month (in CFA)?")</f>
        <v>How much did your household spend on ${w_item} in the past month (in CFA)?</v>
      </c>
      <c r="H195" s="91" t="str">
        <f>IFERROR(__xludf.DUMMYFUNCTION("TRIM(REGEXREPLACE(D195, ""[0-9]+[a-f]?\."", """"))"),"Combien votre ménage a-t-il dépensé pour ${w_item} au cours du dernier mois (en CFA) ?")</f>
        <v>Combien votre ménage a-t-il dépensé pour ${w_item} au cours du dernier mois (en CFA) ?</v>
      </c>
      <c r="I195" s="91" t="str">
        <f>IFERROR(__xludf.DUMMYFUNCTION("TRIM(REGEXREPLACE(E195, ""[0-9]+[a-f]?\."", """"))"),"Nawa ne (a CFA) gidanku ya kashe akan ${w_item} cikin watan da ya gabata ?")</f>
        <v>Nawa ne (a CFA) gidanku ya kashe akan ${w_item} cikin watan da ya gabata ?</v>
      </c>
      <c r="J195" s="91" t="str">
        <f>F195&amp;". "&amp;G195</f>
        <v>107. How much did your household spend on ${w_item} in the past month (in CFA)?</v>
      </c>
      <c r="K195" s="91" t="str">
        <f t="shared" ref="K195:L195" si="128">$F195&amp;". "&amp;H195</f>
        <v>107. Combien votre ménage a-t-il dépensé pour ${w_item} au cours du dernier mois (en CFA) ?</v>
      </c>
      <c r="L195" s="91" t="str">
        <f t="shared" si="128"/>
        <v>107. Nawa ne (a CFA) gidanku ya kashe akan ${w_item} cikin watan da ya gabata ?</v>
      </c>
    </row>
    <row r="196" hidden="1">
      <c r="A196" s="144" t="s">
        <v>691</v>
      </c>
      <c r="B196" s="150" t="s">
        <v>1281</v>
      </c>
      <c r="C196" s="31" t="s">
        <v>1282</v>
      </c>
      <c r="D196" s="31" t="s">
        <v>1283</v>
      </c>
      <c r="E196" s="31" t="s">
        <v>1284</v>
      </c>
      <c r="F196" s="89">
        <v>44.0</v>
      </c>
      <c r="G196" s="91" t="str">
        <f>IFERROR(__xludf.DUMMYFUNCTION("TRIM(REGEXREPLACE(C196, ""[0-9]+[a-f]?\."", """"))"),"Consumption - Monthly")</f>
        <v>Consumption - Monthly</v>
      </c>
      <c r="H196" s="91" t="str">
        <f>IFERROR(__xludf.DUMMYFUNCTION("TRIM(REGEXREPLACE(D196, ""[0-9]+[a-f]?\."", """"))"),"Consommation - Mensuelle")</f>
        <v>Consommation - Mensuelle</v>
      </c>
      <c r="I196" s="91" t="str">
        <f>IFERROR(__xludf.DUMMYFUNCTION("TRIM(REGEXREPLACE(E196, ""[0-9]+[a-f]?\."", """"))"),"Cimaka - kowane wata")</f>
        <v>Cimaka - kowane wata</v>
      </c>
      <c r="J196" s="91" t="str">
        <f>F196 &amp; ". " &amp;G196</f>
        <v>44. Consumption - Monthly</v>
      </c>
      <c r="K196" s="91" t="str">
        <f>F196 &amp; ". " &amp;H196</f>
        <v>44. Consommation - Mensuelle</v>
      </c>
      <c r="L196" s="91" t="str">
        <f>F196 &amp; ". " &amp;I196</f>
        <v>44. Cimaka - kowane wata</v>
      </c>
    </row>
    <row r="197">
      <c r="A197" s="81" t="s">
        <v>1301</v>
      </c>
      <c r="B197" s="142" t="s">
        <v>1302</v>
      </c>
      <c r="C197" s="31" t="s">
        <v>1303</v>
      </c>
      <c r="D197" s="31" t="s">
        <v>1304</v>
      </c>
      <c r="E197" s="31" t="s">
        <v>1307</v>
      </c>
      <c r="F197" s="89">
        <v>108.0</v>
      </c>
      <c r="G197" s="91" t="str">
        <f>IFERROR(__xludf.DUMMYFUNCTION("TRIM(REGEXREPLACE(C197, ""[0-9]+[a-f]?\."", """"))"),"Has your household spent money on the following types of expenses in the past week?")</f>
        <v>Has your household spent money on the following types of expenses in the past week?</v>
      </c>
      <c r="H197" s="91" t="str">
        <f>IFERROR(__xludf.DUMMYFUNCTION("TRIM(REGEXREPLACE(D197, ""[0-9]+[a-f]?\."", """"))"),"Votre ménage a-t-il dépensé de l'argent pour les types de dépenses suivants au cours de la semaine dernière ?")</f>
        <v>Votre ménage a-t-il dépensé de l'argent pour les types de dépenses suivants au cours de la semaine dernière ?</v>
      </c>
      <c r="I197" s="91" t="str">
        <f>IFERROR(__xludf.DUMMYFUNCTION("TRIM(REGEXREPLACE(E197, ""[0-9]+[a-f]?\."", """"))"),"Ko a gidanku an kashe kuɗi akan ire iren waɗannan abubuwan a cikin satin da ya gabata?")</f>
        <v>Ko a gidanku an kashe kuɗi akan ire iren waɗannan abubuwan a cikin satin da ya gabata?</v>
      </c>
      <c r="J197" s="91" t="str">
        <f>F197&amp;". "&amp;G197</f>
        <v>108. Has your household spent money on the following types of expenses in the past week?</v>
      </c>
      <c r="K197" s="91" t="str">
        <f t="shared" ref="K197:L197" si="129">$F197&amp;". "&amp;H197</f>
        <v>108. Votre ménage a-t-il dépensé de l'argent pour les types de dépenses suivants au cours de la semaine dernière ?</v>
      </c>
      <c r="L197" s="91" t="str">
        <f t="shared" si="129"/>
        <v>108. Ko a gidanku an kashe kuɗi akan ire iren waɗannan abubuwan a cikin satin da ya gabata?</v>
      </c>
    </row>
    <row r="198" hidden="1">
      <c r="A198" s="144" t="s">
        <v>648</v>
      </c>
      <c r="B198" s="145" t="s">
        <v>1310</v>
      </c>
      <c r="C198" s="31" t="s">
        <v>1311</v>
      </c>
      <c r="D198" s="31" t="s">
        <v>1312</v>
      </c>
      <c r="E198" s="31" t="s">
        <v>1313</v>
      </c>
      <c r="F198" s="89">
        <v>111.0</v>
      </c>
      <c r="G198" s="91" t="str">
        <f>IFERROR(__xludf.DUMMYFUNCTION("TRIM(REGEXREPLACE(C198, ""[0-9]+[a-f]?\."", """"))"),"Consumption - Weekly")</f>
        <v>Consumption - Weekly</v>
      </c>
      <c r="H198" s="91" t="str">
        <f>IFERROR(__xludf.DUMMYFUNCTION("TRIM(REGEXREPLACE(D198, ""[0-9]+[a-f]?\."", """"))"),"Consommation - Hebdomadaire")</f>
        <v>Consommation - Hebdomadaire</v>
      </c>
      <c r="I198" s="91" t="str">
        <f>IFERROR(__xludf.DUMMYFUNCTION("TRIM(REGEXREPLACE(E198, ""[0-9]+[a-f]?\."", """"))"),"Cimakar - sati-sati")</f>
        <v>Cimakar - sati-sati</v>
      </c>
      <c r="J198" s="91" t="s">
        <v>1315</v>
      </c>
      <c r="K198" s="91" t="s">
        <v>1316</v>
      </c>
      <c r="L198" s="91" t="s">
        <v>1317</v>
      </c>
    </row>
    <row r="199" hidden="1">
      <c r="A199" s="104" t="s">
        <v>108</v>
      </c>
      <c r="B199" s="105" t="s">
        <v>1319</v>
      </c>
      <c r="C199" s="31" t="s">
        <v>1320</v>
      </c>
      <c r="D199" s="31" t="s">
        <v>1321</v>
      </c>
      <c r="E199" s="31" t="s">
        <v>1322</v>
      </c>
      <c r="F199" s="89">
        <v>112.0</v>
      </c>
      <c r="G199" s="91" t="str">
        <f>IFERROR(__xludf.DUMMYFUNCTION("TRIM(REGEXREPLACE(C199, ""[0-9]+[a-f]?\."", """"))"),"item weekly")</f>
        <v>item weekly</v>
      </c>
      <c r="H199" s="91" t="str">
        <f>IFERROR(__xludf.DUMMYFUNCTION("TRIM(REGEXREPLACE(D199, ""[0-9]+[a-f]?\."", """"))"),"article hebdomadaire")</f>
        <v>article hebdomadaire</v>
      </c>
      <c r="I199" s="91" t="str">
        <f>IFERROR(__xludf.DUMMYFUNCTION("TRIM(REGEXREPLACE(E199, ""[0-9]+[a-f]?\."", """"))"),"kayan sati-sati")</f>
        <v>kayan sati-sati</v>
      </c>
      <c r="J199" s="91" t="s">
        <v>1324</v>
      </c>
      <c r="K199" s="91" t="s">
        <v>1325</v>
      </c>
      <c r="L199" s="91" t="s">
        <v>1326</v>
      </c>
    </row>
    <row r="200">
      <c r="A200" s="146" t="s">
        <v>237</v>
      </c>
      <c r="B200" s="147" t="s">
        <v>1329</v>
      </c>
      <c r="C200" s="31" t="s">
        <v>1330</v>
      </c>
      <c r="D200" s="31" t="s">
        <v>1331</v>
      </c>
      <c r="E200" s="31" t="s">
        <v>1333</v>
      </c>
      <c r="F200" s="89">
        <v>109.0</v>
      </c>
      <c r="G200" s="91" t="str">
        <f>IFERROR(__xludf.DUMMYFUNCTION("TRIM(REGEXREPLACE(C200, ""[0-9]+[a-f]?\."", """"))"),"How much did your household spend on ${w_item_week} in the past week (in CFA)?")</f>
        <v>How much did your household spend on ${w_item_week} in the past week (in CFA)?</v>
      </c>
      <c r="H200" s="91" t="str">
        <f>IFERROR(__xludf.DUMMYFUNCTION("TRIM(REGEXREPLACE(D200, ""[0-9]+[a-f]?\."", """"))"),"Combien votre ménage a-t-il dépensé en ${w_item_week} la semaine dernière (en CFA) ?")</f>
        <v>Combien votre ménage a-t-il dépensé en ${w_item_week} la semaine dernière (en CFA) ?</v>
      </c>
      <c r="I200" s="91" t="str">
        <f>IFERROR(__xludf.DUMMYFUNCTION("TRIM(REGEXREPLACE(E200, ""[0-9]+[a-f]?\."", """"))"),"Nawa ne gidan ku ya kashe (a CFA) a ${w_item_week} satin da ya gabata ?")</f>
        <v>Nawa ne gidan ku ya kashe (a CFA) a ${w_item_week} satin da ya gabata ?</v>
      </c>
      <c r="J200" s="91" t="str">
        <f>F200&amp;". "&amp;G200</f>
        <v>109. How much did your household spend on ${w_item_week} in the past week (in CFA)?</v>
      </c>
      <c r="K200" s="91" t="str">
        <f t="shared" ref="K200:L200" si="130">$F200&amp;". "&amp;H200</f>
        <v>109. Combien votre ménage a-t-il dépensé en ${w_item_week} la semaine dernière (en CFA) ?</v>
      </c>
      <c r="L200" s="91" t="str">
        <f t="shared" si="130"/>
        <v>109. Nawa ne gidan ku ya kashe (a CFA) a ${w_item_week} satin da ya gabata ?</v>
      </c>
    </row>
    <row r="201" hidden="1">
      <c r="A201" s="144" t="s">
        <v>691</v>
      </c>
      <c r="B201" s="150" t="s">
        <v>1310</v>
      </c>
      <c r="C201" s="31" t="s">
        <v>1311</v>
      </c>
      <c r="D201" s="31" t="s">
        <v>1312</v>
      </c>
      <c r="E201" s="31" t="s">
        <v>1313</v>
      </c>
      <c r="F201" s="89">
        <v>46.0</v>
      </c>
      <c r="G201" s="91" t="str">
        <f>IFERROR(__xludf.DUMMYFUNCTION("TRIM(REGEXREPLACE(C201, ""[0-9]+[a-f]?\."", """"))"),"Consumption - Weekly")</f>
        <v>Consumption - Weekly</v>
      </c>
      <c r="H201" s="91" t="str">
        <f>IFERROR(__xludf.DUMMYFUNCTION("TRIM(REGEXREPLACE(D201, ""[0-9]+[a-f]?\."", """"))"),"Consommation - Hebdomadaire")</f>
        <v>Consommation - Hebdomadaire</v>
      </c>
      <c r="I201" s="91" t="str">
        <f>IFERROR(__xludf.DUMMYFUNCTION("TRIM(REGEXREPLACE(E201, ""[0-9]+[a-f]?\."", """"))"),"Cimakar - sati-sati")</f>
        <v>Cimakar - sati-sati</v>
      </c>
      <c r="J201" s="91" t="str">
        <f t="shared" ref="J201:J202" si="131">F201 &amp; ". " &amp;G201</f>
        <v>46. Consumption - Weekly</v>
      </c>
      <c r="K201" s="91" t="str">
        <f t="shared" ref="K201:K202" si="132">F201 &amp; ". " &amp;H201</f>
        <v>46. Consommation - Hebdomadaire</v>
      </c>
      <c r="L201" s="91" t="str">
        <f t="shared" ref="L201:L202" si="133">F201 &amp; ". " &amp;I201</f>
        <v>46. Cimakar - sati-sati</v>
      </c>
    </row>
    <row r="202" hidden="1">
      <c r="A202" s="122" t="s">
        <v>150</v>
      </c>
      <c r="B202" s="69" t="s">
        <v>1340</v>
      </c>
      <c r="C202" s="31"/>
      <c r="D202" s="31"/>
      <c r="E202" s="31"/>
      <c r="F202" s="89">
        <v>47.0</v>
      </c>
      <c r="G202" s="91" t="str">
        <f>IFERROR(__xludf.DUMMYFUNCTION("TRIM(REGEXREPLACE(C202, ""[0-9]+[a-f]?\."", """"))"),"")</f>
        <v/>
      </c>
      <c r="H202" s="91" t="str">
        <f>IFERROR(__xludf.DUMMYFUNCTION("TRIM(REGEXREPLACE(D202, ""[0-9]+[a-f]?\."", """"))"),"")</f>
        <v/>
      </c>
      <c r="I202" s="91" t="str">
        <f>IFERROR(__xludf.DUMMYFUNCTION("TRIM(REGEXREPLACE(E202, ""[0-9]+[a-f]?\."", """"))"),"")</f>
        <v/>
      </c>
      <c r="J202" s="91" t="str">
        <f t="shared" si="131"/>
        <v>47. </v>
      </c>
      <c r="K202" s="91" t="str">
        <f t="shared" si="132"/>
        <v>47. </v>
      </c>
      <c r="L202" s="91" t="str">
        <f t="shared" si="133"/>
        <v>47. </v>
      </c>
    </row>
    <row r="203">
      <c r="A203" s="81" t="s">
        <v>485</v>
      </c>
      <c r="B203" s="131" t="s">
        <v>1345</v>
      </c>
      <c r="C203" s="31" t="s">
        <v>1346</v>
      </c>
      <c r="D203" s="31" t="s">
        <v>1347</v>
      </c>
      <c r="E203" s="31" t="s">
        <v>1348</v>
      </c>
      <c r="F203" s="89">
        <v>110.0</v>
      </c>
      <c r="G203" s="91" t="str">
        <f>IFERROR(__xludf.DUMMYFUNCTION("TRIM(REGEXREPLACE(C203, ""[0-9]+[a-f]?\."", """"))"),"For tabaski, did your household purchase any of the following?")</f>
        <v>For tabaski, did your household purchase any of the following?</v>
      </c>
      <c r="H203" s="91" t="str">
        <f>IFERROR(__xludf.DUMMYFUNCTION("TRIM(REGEXREPLACE(D203, ""[0-9]+[a-f]?\."", """"))"),"Pour la Tabaski, votre menage a-t-il acheté l'un des articles suivants ?")</f>
        <v>Pour la Tabaski, votre menage a-t-il acheté l'un des articles suivants ?</v>
      </c>
      <c r="I203" s="91" t="str">
        <f>IFERROR(__xludf.DUMMYFUNCTION("TRIM(REGEXREPLACE(E203, ""[0-9]+[a-f]?\."", """"))"),"Don sallar laiya, gidanku sun sayi ɗaya daga cikin waɗannan abubuwan ?")</f>
        <v>Don sallar laiya, gidanku sun sayi ɗaya daga cikin waɗannan abubuwan ?</v>
      </c>
      <c r="J203" s="91" t="str">
        <f t="shared" ref="J203:J207" si="135">F203&amp;". "&amp;G203</f>
        <v>110. For tabaski, did your household purchase any of the following?</v>
      </c>
      <c r="K203" s="91" t="str">
        <f t="shared" ref="K203:L203" si="134">$F203&amp;". "&amp;H203</f>
        <v>110. Pour la Tabaski, votre menage a-t-il acheté l'un des articles suivants ?</v>
      </c>
      <c r="L203" s="91" t="str">
        <f t="shared" si="134"/>
        <v>110. Don sallar laiya, gidanku sun sayi ɗaya daga cikin waɗannan abubuwan ?</v>
      </c>
    </row>
    <row r="204">
      <c r="A204" s="81" t="s">
        <v>485</v>
      </c>
      <c r="B204" s="131" t="s">
        <v>1352</v>
      </c>
      <c r="C204" s="31" t="s">
        <v>1353</v>
      </c>
      <c r="D204" s="31" t="s">
        <v>1354</v>
      </c>
      <c r="E204" s="31" t="s">
        <v>1355</v>
      </c>
      <c r="F204" s="89">
        <v>111.0</v>
      </c>
      <c r="G204" s="91" t="str">
        <f>IFERROR(__xludf.DUMMYFUNCTION("TRIM(REGEXREPLACE(C204, ""[0-9]+[a-f]?\."", """"))"),"Clothing")</f>
        <v>Clothing</v>
      </c>
      <c r="H204" s="91" t="str">
        <f>IFERROR(__xludf.DUMMYFUNCTION("TRIM(REGEXREPLACE(D204, ""[0-9]+[a-f]?\."", """"))"),"Vêtements")</f>
        <v>Vêtements</v>
      </c>
      <c r="I204" s="91" t="str">
        <f>IFERROR(__xludf.DUMMYFUNCTION("TRIM(REGEXREPLACE(E204, ""[0-9]+[a-f]?\."", """"))"),"Tufafi")</f>
        <v>Tufafi</v>
      </c>
      <c r="J204" s="91" t="str">
        <f t="shared" si="135"/>
        <v>111. Clothing</v>
      </c>
      <c r="K204" s="91" t="str">
        <f t="shared" ref="K204:L204" si="136">$F204&amp;". "&amp;H204</f>
        <v>111. Vêtements</v>
      </c>
      <c r="L204" s="91" t="str">
        <f t="shared" si="136"/>
        <v>111. Tufafi</v>
      </c>
    </row>
    <row r="205">
      <c r="A205" s="81" t="s">
        <v>485</v>
      </c>
      <c r="B205" s="131" t="s">
        <v>1360</v>
      </c>
      <c r="C205" s="31" t="s">
        <v>1361</v>
      </c>
      <c r="D205" s="31" t="s">
        <v>1362</v>
      </c>
      <c r="E205" s="31" t="s">
        <v>1363</v>
      </c>
      <c r="F205" s="89">
        <v>112.0</v>
      </c>
      <c r="G205" s="91" t="str">
        <f>IFERROR(__xludf.DUMMYFUNCTION("TRIM(REGEXREPLACE(C205, ""[0-9]+[a-f]?\."", """"))"),"Sheep")</f>
        <v>Sheep</v>
      </c>
      <c r="H205" s="91" t="str">
        <f>IFERROR(__xludf.DUMMYFUNCTION("TRIM(REGEXREPLACE(D205, ""[0-9]+[a-f]?\."", """"))"),"Mouton")</f>
        <v>Mouton</v>
      </c>
      <c r="I205" s="91" t="str">
        <f>IFERROR(__xludf.DUMMYFUNCTION("TRIM(REGEXREPLACE(E205, ""[0-9]+[a-f]?\."", """"))"),"Rago")</f>
        <v>Rago</v>
      </c>
      <c r="J205" s="91" t="str">
        <f t="shared" si="135"/>
        <v>112. Sheep</v>
      </c>
      <c r="K205" s="91" t="str">
        <f t="shared" ref="K205:L205" si="137">$F205&amp;". "&amp;H205</f>
        <v>112. Mouton</v>
      </c>
      <c r="L205" s="91" t="str">
        <f t="shared" si="137"/>
        <v>112. Rago</v>
      </c>
    </row>
    <row r="206">
      <c r="A206" s="81" t="s">
        <v>485</v>
      </c>
      <c r="B206" s="131" t="s">
        <v>1367</v>
      </c>
      <c r="C206" s="31" t="s">
        <v>1368</v>
      </c>
      <c r="D206" s="31" t="s">
        <v>1369</v>
      </c>
      <c r="E206" s="31" t="s">
        <v>1371</v>
      </c>
      <c r="F206" s="89">
        <v>113.0</v>
      </c>
      <c r="G206" s="91" t="str">
        <f>IFERROR(__xludf.DUMMYFUNCTION("TRIM(REGEXREPLACE(C206, ""[0-9]+[a-f]?\."", """"))"),"Goat")</f>
        <v>Goat</v>
      </c>
      <c r="H206" s="91" t="str">
        <f>IFERROR(__xludf.DUMMYFUNCTION("TRIM(REGEXREPLACE(D206, ""[0-9]+[a-f]?\."", """"))"),"Chèvre")</f>
        <v>Chèvre</v>
      </c>
      <c r="I206" s="91" t="str">
        <f>IFERROR(__xludf.DUMMYFUNCTION("TRIM(REGEXREPLACE(E206, ""[0-9]+[a-f]?\."", """"))"),"Akuya")</f>
        <v>Akuya</v>
      </c>
      <c r="J206" s="91" t="str">
        <f t="shared" si="135"/>
        <v>113. Goat</v>
      </c>
      <c r="K206" s="91" t="str">
        <f t="shared" ref="K206:L206" si="138">$F206&amp;". "&amp;H206</f>
        <v>113. Chèvre</v>
      </c>
      <c r="L206" s="91" t="str">
        <f t="shared" si="138"/>
        <v>113. Akuya</v>
      </c>
    </row>
    <row r="207">
      <c r="A207" s="81" t="s">
        <v>485</v>
      </c>
      <c r="B207" s="131" t="s">
        <v>1372</v>
      </c>
      <c r="C207" s="31" t="s">
        <v>1373</v>
      </c>
      <c r="D207" s="31" t="s">
        <v>1374</v>
      </c>
      <c r="E207" s="31" t="s">
        <v>1376</v>
      </c>
      <c r="F207" s="89">
        <v>114.0</v>
      </c>
      <c r="G207" s="91" t="str">
        <f>IFERROR(__xludf.DUMMYFUNCTION("TRIM(REGEXREPLACE(C207, ""[0-9]+[a-f]?\."", """"))"),"Poultry")</f>
        <v>Poultry</v>
      </c>
      <c r="H207" s="91" t="str">
        <f>IFERROR(__xludf.DUMMYFUNCTION("TRIM(REGEXREPLACE(D207, ""[0-9]+[a-f]?\."", """"))"),"Volaille")</f>
        <v>Volaille</v>
      </c>
      <c r="I207" s="91" t="str">
        <f>IFERROR(__xludf.DUMMYFUNCTION("TRIM(REGEXREPLACE(E207, ""[0-9]+[a-f]?\."", """"))"),"Kaji/zabi")</f>
        <v>Kaji/zabi</v>
      </c>
      <c r="J207" s="91" t="str">
        <f t="shared" si="135"/>
        <v>114. Poultry</v>
      </c>
      <c r="K207" s="91" t="str">
        <f t="shared" ref="K207:L207" si="139">$F207&amp;". "&amp;H207</f>
        <v>114. Volaille</v>
      </c>
      <c r="L207" s="91" t="str">
        <f t="shared" si="139"/>
        <v>114. Kaji/zabi</v>
      </c>
    </row>
    <row r="208" hidden="1">
      <c r="A208" s="122" t="s">
        <v>236</v>
      </c>
      <c r="B208" s="69" t="s">
        <v>1340</v>
      </c>
      <c r="C208" s="31"/>
      <c r="D208" s="31"/>
      <c r="E208" s="31"/>
      <c r="F208" s="89">
        <v>51.0</v>
      </c>
      <c r="G208" s="91" t="str">
        <f>IFERROR(__xludf.DUMMYFUNCTION("TRIM(REGEXREPLACE(C208, ""[0-9]+[a-f]?\."", """"))"),"")</f>
        <v/>
      </c>
      <c r="H208" s="91" t="str">
        <f>IFERROR(__xludf.DUMMYFUNCTION("TRIM(REGEXREPLACE(D208, ""[0-9]+[a-f]?\."", """"))"),"")</f>
        <v/>
      </c>
      <c r="I208" s="91" t="str">
        <f>IFERROR(__xludf.DUMMYFUNCTION("TRIM(REGEXREPLACE(E208, ""[0-9]+[a-f]?\."", """"))"),"")</f>
        <v/>
      </c>
      <c r="J208" s="91" t="str">
        <f t="shared" ref="J208:J209" si="140">F208 &amp; ". " &amp;G208</f>
        <v>51. </v>
      </c>
      <c r="K208" s="91" t="str">
        <f t="shared" ref="K208:K209" si="141">F208 &amp; ". " &amp;H208</f>
        <v>51. </v>
      </c>
      <c r="L208" s="91" t="str">
        <f t="shared" ref="L208:L209" si="142">F208 &amp; ". " &amp;I208</f>
        <v>51. </v>
      </c>
    </row>
    <row r="209" hidden="1">
      <c r="A209" s="122" t="s">
        <v>236</v>
      </c>
      <c r="B209" s="171" t="s">
        <v>1271</v>
      </c>
      <c r="C209" s="31"/>
      <c r="D209" s="31"/>
      <c r="E209" s="31"/>
      <c r="F209" s="89">
        <v>52.0</v>
      </c>
      <c r="G209" s="91" t="str">
        <f>IFERROR(__xludf.DUMMYFUNCTION("TRIM(REGEXREPLACE(C209, ""[0-9]+[a-f]?\."", """"))"),"")</f>
        <v/>
      </c>
      <c r="H209" s="91" t="str">
        <f>IFERROR(__xludf.DUMMYFUNCTION("TRIM(REGEXREPLACE(D209, ""[0-9]+[a-f]?\."", """"))"),"")</f>
        <v/>
      </c>
      <c r="I209" s="91" t="str">
        <f>IFERROR(__xludf.DUMMYFUNCTION("TRIM(REGEXREPLACE(E209, ""[0-9]+[a-f]?\."", """"))"),"")</f>
        <v/>
      </c>
      <c r="J209" s="91" t="str">
        <f t="shared" si="140"/>
        <v>52. </v>
      </c>
      <c r="K209" s="91" t="str">
        <f t="shared" si="141"/>
        <v>52. </v>
      </c>
      <c r="L209" s="91" t="str">
        <f t="shared" si="142"/>
        <v>52. </v>
      </c>
    </row>
    <row r="210" hidden="1">
      <c r="A210" s="166"/>
      <c r="B210" s="167"/>
      <c r="C210" s="31"/>
      <c r="D210" s="31"/>
      <c r="E210" s="31"/>
      <c r="F210" s="89">
        <v>117.0</v>
      </c>
      <c r="G210" s="91" t="str">
        <f>IFERROR(__xludf.DUMMYFUNCTION("TRIM(REGEXREPLACE(C210, ""[0-9]+[a-f]?\."", """"))"),"")</f>
        <v/>
      </c>
      <c r="H210" s="91" t="str">
        <f>IFERROR(__xludf.DUMMYFUNCTION("TRIM(REGEXREPLACE(D210, ""[0-9]+[a-f]?\."", """"))"),"")</f>
        <v/>
      </c>
      <c r="I210" s="91" t="str">
        <f>IFERROR(__xludf.DUMMYFUNCTION("TRIM(REGEXREPLACE(E210, ""[0-9]+[a-f]?\."", """"))"),"")</f>
        <v/>
      </c>
      <c r="J210" s="91" t="s">
        <v>1391</v>
      </c>
      <c r="K210" s="91" t="s">
        <v>1392</v>
      </c>
      <c r="L210" s="91" t="s">
        <v>1393</v>
      </c>
    </row>
    <row r="211">
      <c r="A211" s="81" t="s">
        <v>1394</v>
      </c>
      <c r="B211" s="142" t="s">
        <v>1396</v>
      </c>
      <c r="C211" s="31" t="s">
        <v>1397</v>
      </c>
      <c r="D211" s="31" t="s">
        <v>1398</v>
      </c>
      <c r="E211" s="31" t="s">
        <v>1399</v>
      </c>
      <c r="F211" s="89">
        <v>115.0</v>
      </c>
      <c r="G211" s="91" t="str">
        <f>IFERROR(__xludf.DUMMYFUNCTION("TRIM(REGEXREPLACE(C211, ""[0-9]+[a-f]?\."", """"))"),"Since our last in person interview (in , was your household negatively affected by any of the following types of events?")</f>
        <v>Since our last in person interview (in , was your household negatively affected by any of the following types of events?</v>
      </c>
      <c r="H211" s="91" t="str">
        <f>IFERROR(__xludf.DUMMYFUNCTION("TRIM(REGEXREPLACE(D211, ""[0-9]+[a-f]?\."", """"))"),"Despuis notre dernière enquête en personne (mai/juin 2024), votre ménage a-t-il été affecté négativement par l'un des types d'événements suivants ?")</f>
        <v>Despuis notre dernière enquête en personne (mai/juin 2024), votre ménage a-t-il été affecté négativement par l'un des types d'événements suivants ?</v>
      </c>
      <c r="I211" s="91" t="str">
        <f>IFERROR(__xludf.DUMMYFUNCTION("TRIM(REGEXREPLACE(E211, ""[0-9]+[a-f]?\."", """"))"),"Tun daga tun bayan hirar mu ta ƙarshe a gaba da gaba (Mayu/Yuni 2024), ko gidanku ya fuskanci wani daga cikin matsaloli nan masu zuwa? Zaɓi duk abin da ya dace")</f>
        <v>Tun daga tun bayan hirar mu ta ƙarshe a gaba da gaba (Mayu/Yuni 2024), ko gidanku ya fuskanci wani daga cikin matsaloli nan masu zuwa? Zaɓi duk abin da ya dace</v>
      </c>
      <c r="J211" s="91" t="str">
        <f t="shared" ref="J211:J212" si="144">F211&amp;". "&amp;G211</f>
        <v>115. Since our last in person interview (in , was your household negatively affected by any of the following types of events?</v>
      </c>
      <c r="K211" s="91" t="str">
        <f t="shared" ref="K211:L211" si="143">$F211&amp;". "&amp;H211</f>
        <v>115. Despuis notre dernière enquête en personne (mai/juin 2024), votre ménage a-t-il été affecté négativement par l'un des types d'événements suivants ?</v>
      </c>
      <c r="L211" s="91" t="str">
        <f t="shared" si="143"/>
        <v>115. Tun daga tun bayan hirar mu ta ƙarshe a gaba da gaba (Mayu/Yuni 2024), ko gidanku ya fuskanci wani daga cikin matsaloli nan masu zuwa? Zaɓi duk abin da ya dace</v>
      </c>
    </row>
    <row r="212">
      <c r="A212" s="133" t="s">
        <v>214</v>
      </c>
      <c r="B212" s="143" t="s">
        <v>1407</v>
      </c>
      <c r="C212" s="31" t="s">
        <v>1408</v>
      </c>
      <c r="D212" s="31" t="s">
        <v>1409</v>
      </c>
      <c r="E212" s="31" t="s">
        <v>1411</v>
      </c>
      <c r="F212" s="89">
        <v>116.0</v>
      </c>
      <c r="G212" s="91" t="str">
        <f>IFERROR(__xludf.DUMMYFUNCTION("TRIM(REGEXREPLACE(C212, ""[0-9]+[a-f]?\."", """"))"),"Please briefly describe the event(s) that negatveily affected your household")</f>
        <v>Please briefly describe the event(s) that negatveily affected your household</v>
      </c>
      <c r="H212" s="91" t="str">
        <f>IFERROR(__xludf.DUMMYFUNCTION("TRIM(REGEXREPLACE(D212, ""[0-9]+[a-f]?\."", """"))"),"Veuillez décrire brièvement le/les événement(s) qui ont eu des effets négatifs sur votre ménage au cours des 3 derniers mois")</f>
        <v>Veuillez décrire brièvement le/les événement(s) qui ont eu des effets négatifs sur votre ménage au cours des 3 derniers mois</v>
      </c>
      <c r="I212" s="91" t="str">
        <f>IFERROR(__xludf.DUMMYFUNCTION("TRIM(REGEXREPLACE(E212, ""[0-9]+[a-f]?\."", """"))"),"Da fatan za ku yi taƙaitaccen bayani a kan abin da ya shafi gidan ku")</f>
        <v>Da fatan za ku yi taƙaitaccen bayani a kan abin da ya shafi gidan ku</v>
      </c>
      <c r="J212" s="91" t="str">
        <f t="shared" si="144"/>
        <v>116. Please briefly describe the event(s) that negatveily affected your household</v>
      </c>
      <c r="K212" s="91" t="str">
        <f t="shared" ref="K212:L212" si="145">$F212&amp;". "&amp;H212</f>
        <v>116. Veuillez décrire brièvement le/les événement(s) qui ont eu des effets négatifs sur votre ménage au cours des 3 derniers mois</v>
      </c>
      <c r="L212" s="91" t="str">
        <f t="shared" si="145"/>
        <v>116. Da fatan za ku yi taƙaitaccen bayani a kan abin da ya shafi gidan ku</v>
      </c>
    </row>
    <row r="213" hidden="1">
      <c r="A213" s="144" t="s">
        <v>648</v>
      </c>
      <c r="B213" s="145" t="s">
        <v>1417</v>
      </c>
      <c r="C213" s="31" t="s">
        <v>1418</v>
      </c>
      <c r="D213" s="31"/>
      <c r="E213" s="31"/>
      <c r="F213" s="89">
        <v>120.0</v>
      </c>
      <c r="G213" s="91" t="str">
        <f>IFERROR(__xludf.DUMMYFUNCTION("TRIM(REGEXREPLACE(C213, ""[0-9]+[a-f]?\."", """"))"),"Emergency response")</f>
        <v>Emergency response</v>
      </c>
      <c r="H213" s="91" t="str">
        <f>IFERROR(__xludf.DUMMYFUNCTION("TRIM(REGEXREPLACE(D213, ""[0-9]+[a-f]?\."", """"))"),"")</f>
        <v/>
      </c>
      <c r="I213" s="91" t="str">
        <f>IFERROR(__xludf.DUMMYFUNCTION("TRIM(REGEXREPLACE(E213, ""[0-9]+[a-f]?\."", """"))"),"")</f>
        <v/>
      </c>
      <c r="J213" s="91" t="s">
        <v>1425</v>
      </c>
      <c r="K213" s="91" t="s">
        <v>1428</v>
      </c>
      <c r="L213" s="91" t="s">
        <v>1429</v>
      </c>
    </row>
    <row r="214" hidden="1">
      <c r="A214" s="104" t="s">
        <v>108</v>
      </c>
      <c r="B214" s="105" t="s">
        <v>1431</v>
      </c>
      <c r="C214" s="31" t="s">
        <v>1432</v>
      </c>
      <c r="D214" s="31"/>
      <c r="E214" s="31"/>
      <c r="F214" s="89">
        <v>121.0</v>
      </c>
      <c r="G214" s="91" t="str">
        <f>IFERROR(__xludf.DUMMYFUNCTION("TRIM(REGEXREPLACE(C214, ""[0-9]+[a-f]?\."", """"))"),"Emergency Name")</f>
        <v>Emergency Name</v>
      </c>
      <c r="H214" s="91" t="str">
        <f>IFERROR(__xludf.DUMMYFUNCTION("TRIM(REGEXREPLACE(D214, ""[0-9]+[a-f]?\."", """"))"),"")</f>
        <v/>
      </c>
      <c r="I214" s="91" t="str">
        <f>IFERROR(__xludf.DUMMYFUNCTION("TRIM(REGEXREPLACE(E214, ""[0-9]+[a-f]?\."", """"))"),"")</f>
        <v/>
      </c>
      <c r="J214" s="91" t="s">
        <v>1433</v>
      </c>
      <c r="K214" s="91" t="s">
        <v>1435</v>
      </c>
      <c r="L214" s="91" t="s">
        <v>1436</v>
      </c>
    </row>
    <row r="215" hidden="1">
      <c r="A215" s="122" t="s">
        <v>150</v>
      </c>
      <c r="B215" s="123" t="s">
        <v>1438</v>
      </c>
      <c r="C215" s="31"/>
      <c r="D215" s="31"/>
      <c r="E215" s="31"/>
      <c r="F215" s="89">
        <v>53.0</v>
      </c>
      <c r="G215" s="91" t="str">
        <f>IFERROR(__xludf.DUMMYFUNCTION("TRIM(REGEXREPLACE(C215, ""[0-9]+[a-f]?\."", """"))"),"")</f>
        <v/>
      </c>
      <c r="H215" s="91" t="str">
        <f>IFERROR(__xludf.DUMMYFUNCTION("TRIM(REGEXREPLACE(D215, ""[0-9]+[a-f]?\."", """"))"),"")</f>
        <v/>
      </c>
      <c r="I215" s="91" t="str">
        <f>IFERROR(__xludf.DUMMYFUNCTION("TRIM(REGEXREPLACE(E215, ""[0-9]+[a-f]?\."", """"))"),"")</f>
        <v/>
      </c>
      <c r="J215" s="91" t="str">
        <f>F215 &amp; ". " &amp;G215</f>
        <v>53. </v>
      </c>
      <c r="K215" s="91" t="str">
        <f>F215 &amp; ". " &amp;H215</f>
        <v>53. </v>
      </c>
      <c r="L215" s="91" t="str">
        <f>F215 &amp; ". " &amp;I215</f>
        <v>53. </v>
      </c>
    </row>
    <row r="216">
      <c r="A216" s="81" t="s">
        <v>485</v>
      </c>
      <c r="B216" s="142" t="s">
        <v>1442</v>
      </c>
      <c r="C216" s="31" t="s">
        <v>1443</v>
      </c>
      <c r="D216" s="31" t="s">
        <v>1444</v>
      </c>
      <c r="E216" s="31" t="s">
        <v>1446</v>
      </c>
      <c r="F216" s="89">
        <v>117.0</v>
      </c>
      <c r="G216" s="91" t="str">
        <f>IFERROR(__xludf.DUMMYFUNCTION("TRIM(REGEXREPLACE(C216, ""[0-9]+[a-f]?\."", """"))"),"In response to ${w_emergency_name}, did you or your household take the following actions?")</f>
        <v>In response to ${w_emergency_name}, did you or your household take the following actions?</v>
      </c>
      <c r="H216" s="91" t="str">
        <f>IFERROR(__xludf.DUMMYFUNCTION("TRIM(REGEXREPLACE(D216, ""[0-9]+[a-f]?\."", """"))"),"En réponse à ${w_emergency_name}, avez-vous vous ou votre ménage pris les mesures suivantes ??")</f>
        <v>En réponse à ${w_emergency_name}, avez-vous vous ou votre ménage pris les mesures suivantes ??</v>
      </c>
      <c r="I216" s="91" t="str">
        <f>IFERROR(__xludf.DUMMYFUNCTION("TRIM(REGEXREPLACE(E216, ""[0-9]+[a-f]?\."", """"))"),"Dangance da ${w_emergency_name}, ku ko ƴan gindanku kun ɗauki waɗannan matakai?")</f>
        <v>Dangance da ${w_emergency_name}, ku ko ƴan gindanku kun ɗauki waɗannan matakai?</v>
      </c>
      <c r="J216" s="91" t="str">
        <f t="shared" ref="J216:J220" si="147">F216&amp;". "&amp;G216</f>
        <v>117. In response to ${w_emergency_name}, did you or your household take the following actions?</v>
      </c>
      <c r="K216" s="91" t="str">
        <f t="shared" ref="K216:L216" si="146">$F216&amp;". "&amp;H216</f>
        <v>117. En réponse à ${w_emergency_name}, avez-vous vous ou votre ménage pris les mesures suivantes ??</v>
      </c>
      <c r="L216" s="91" t="str">
        <f t="shared" si="146"/>
        <v>117. Dangance da ${w_emergency_name}, ku ko ƴan gindanku kun ɗauki waɗannan matakai?</v>
      </c>
    </row>
    <row r="217">
      <c r="A217" s="81" t="s">
        <v>485</v>
      </c>
      <c r="B217" s="142" t="s">
        <v>1457</v>
      </c>
      <c r="C217" s="31" t="s">
        <v>1458</v>
      </c>
      <c r="D217" s="31" t="s">
        <v>1459</v>
      </c>
      <c r="E217" s="31" t="s">
        <v>1461</v>
      </c>
      <c r="F217" s="89">
        <v>118.0</v>
      </c>
      <c r="G217" s="91" t="str">
        <f>IFERROR(__xludf.DUMMYFUNCTION("TRIM(REGEXREPLACE(C217, ""[0-9]+[a-f]?\."", """"))"),"Sell assets?")</f>
        <v>Sell assets?</v>
      </c>
      <c r="H217" s="91" t="str">
        <f>IFERROR(__xludf.DUMMYFUNCTION("TRIM(REGEXREPLACE(D217, ""[0-9]+[a-f]?\."", """"))"),"Vendre des actifs")</f>
        <v>Vendre des actifs</v>
      </c>
      <c r="I217" s="91" t="str">
        <f>IFERROR(__xludf.DUMMYFUNCTION("TRIM(REGEXREPLACE(E217, ""[0-9]+[a-f]?\."", """"))"),"Saida kadarori")</f>
        <v>Saida kadarori</v>
      </c>
      <c r="J217" s="91" t="str">
        <f t="shared" si="147"/>
        <v>118. Sell assets?</v>
      </c>
      <c r="K217" s="91" t="str">
        <f t="shared" ref="K217:L217" si="148">$F217&amp;". "&amp;H217</f>
        <v>118. Vendre des actifs</v>
      </c>
      <c r="L217" s="91" t="str">
        <f t="shared" si="148"/>
        <v>118. Saida kadarori</v>
      </c>
    </row>
    <row r="218">
      <c r="A218" s="81" t="s">
        <v>485</v>
      </c>
      <c r="B218" s="142" t="s">
        <v>1472</v>
      </c>
      <c r="C218" s="31" t="s">
        <v>1473</v>
      </c>
      <c r="D218" s="31" t="s">
        <v>1475</v>
      </c>
      <c r="E218" s="31" t="s">
        <v>1477</v>
      </c>
      <c r="F218" s="89">
        <v>119.0</v>
      </c>
      <c r="G218" s="91" t="str">
        <f>IFERROR(__xludf.DUMMYFUNCTION("TRIM(REGEXREPLACE(C218, ""[0-9]+[a-f]?\."", """"))"),"Borrow money?")</f>
        <v>Borrow money?</v>
      </c>
      <c r="H218" s="91" t="str">
        <f>IFERROR(__xludf.DUMMYFUNCTION("TRIM(REGEXREPLACE(D218, ""[0-9]+[a-f]?\."", """"))"),"Emprunter de l'argent")</f>
        <v>Emprunter de l'argent</v>
      </c>
      <c r="I218" s="91" t="str">
        <f>IFERROR(__xludf.DUMMYFUNCTION("TRIM(REGEXREPLACE(E218, ""[0-9]+[a-f]?\."", """"))"),"Bashin kuɗi")</f>
        <v>Bashin kuɗi</v>
      </c>
      <c r="J218" s="91" t="str">
        <f t="shared" si="147"/>
        <v>119. Borrow money?</v>
      </c>
      <c r="K218" s="91" t="str">
        <f t="shared" ref="K218:L218" si="149">$F218&amp;". "&amp;H218</f>
        <v>119. Emprunter de l'argent</v>
      </c>
      <c r="L218" s="91" t="str">
        <f t="shared" si="149"/>
        <v>119. Bashin kuɗi</v>
      </c>
    </row>
    <row r="219">
      <c r="A219" s="81" t="s">
        <v>485</v>
      </c>
      <c r="B219" s="142" t="s">
        <v>1492</v>
      </c>
      <c r="C219" s="31" t="s">
        <v>1493</v>
      </c>
      <c r="D219" s="31" t="s">
        <v>1495</v>
      </c>
      <c r="E219" s="31" t="s">
        <v>1497</v>
      </c>
      <c r="F219" s="89">
        <v>120.0</v>
      </c>
      <c r="G219" s="91" t="str">
        <f>IFERROR(__xludf.DUMMYFUNCTION("TRIM(REGEXREPLACE(C219, ""[0-9]+[a-f]?\."", """"))"),"Spend your savings?")</f>
        <v>Spend your savings?</v>
      </c>
      <c r="H219" s="91" t="str">
        <f>IFERROR(__xludf.DUMMYFUNCTION("TRIM(REGEXREPLACE(D219, ""[0-9]+[a-f]?\."", """"))"),"Utiliser votre épargne")</f>
        <v>Utiliser votre épargne</v>
      </c>
      <c r="I219" s="91" t="str">
        <f>IFERROR(__xludf.DUMMYFUNCTION("TRIM(REGEXREPLACE(E219, ""[0-9]+[a-f]?\."", """"))"),"Kashe kuɗin ajiyar ku")</f>
        <v>Kashe kuɗin ajiyar ku</v>
      </c>
      <c r="J219" s="91" t="str">
        <f t="shared" si="147"/>
        <v>120. Spend your savings?</v>
      </c>
      <c r="K219" s="91" t="str">
        <f t="shared" ref="K219:L219" si="150">$F219&amp;". "&amp;H219</f>
        <v>120. Utiliser votre épargne</v>
      </c>
      <c r="L219" s="91" t="str">
        <f t="shared" si="150"/>
        <v>120. Kashe kuɗin ajiyar ku</v>
      </c>
    </row>
    <row r="220">
      <c r="A220" s="81" t="s">
        <v>485</v>
      </c>
      <c r="B220" s="142" t="s">
        <v>1506</v>
      </c>
      <c r="C220" s="31" t="s">
        <v>1508</v>
      </c>
      <c r="D220" s="31" t="s">
        <v>1510</v>
      </c>
      <c r="E220" s="31" t="s">
        <v>1512</v>
      </c>
      <c r="F220" s="89">
        <v>121.0</v>
      </c>
      <c r="G220" s="91" t="str">
        <f>IFERROR(__xludf.DUMMYFUNCTION("TRIM(REGEXREPLACE(C220, ""[0-9]+[a-f]?\."", """"))"),"Reduce spending on food or change your food consumption?")</f>
        <v>Reduce spending on food or change your food consumption?</v>
      </c>
      <c r="H220" s="91" t="str">
        <f>IFERROR(__xludf.DUMMYFUNCTION("TRIM(REGEXREPLACE(D220, ""[0-9]+[a-f]?\."", """"))"),"Réduire les dépenses alimentaires ou changé des habitudes de consommation ?")</f>
        <v>Réduire les dépenses alimentaires ou changé des habitudes de consommation ?</v>
      </c>
      <c r="I220" s="91" t="str">
        <f>IFERROR(__xludf.DUMMYFUNCTION("TRIM(REGEXREPLACE(E220, ""[0-9]+[a-f]?\."", """"))"),"Rage kashe kuɗi akan abinci ko canza abincin da ku ka saba ci?")</f>
        <v>Rage kashe kuɗi akan abinci ko canza abincin da ku ka saba ci?</v>
      </c>
      <c r="J220" s="91" t="str">
        <f t="shared" si="147"/>
        <v>121. Reduce spending on food or change your food consumption?</v>
      </c>
      <c r="K220" s="91" t="str">
        <f t="shared" ref="K220:L220" si="151">$F220&amp;". "&amp;H220</f>
        <v>121. Réduire les dépenses alimentaires ou changé des habitudes de consommation ?</v>
      </c>
      <c r="L220" s="91" t="str">
        <f t="shared" si="151"/>
        <v>121. Rage kashe kuɗi akan abinci ko canza abincin da ku ka saba ci?</v>
      </c>
    </row>
    <row r="221" hidden="1">
      <c r="A221" s="122" t="s">
        <v>236</v>
      </c>
      <c r="B221" s="153" t="s">
        <v>1438</v>
      </c>
      <c r="C221" s="31"/>
      <c r="D221" s="31"/>
      <c r="E221" s="31"/>
      <c r="F221" s="89">
        <v>58.0</v>
      </c>
      <c r="G221" s="91" t="str">
        <f>IFERROR(__xludf.DUMMYFUNCTION("TRIM(REGEXREPLACE(C221, ""[0-9]+[a-f]?\."", """"))"),"")</f>
        <v/>
      </c>
      <c r="H221" s="91" t="str">
        <f>IFERROR(__xludf.DUMMYFUNCTION("TRIM(REGEXREPLACE(D221, ""[0-9]+[a-f]?\."", """"))"),"")</f>
        <v/>
      </c>
      <c r="I221" s="91" t="str">
        <f>IFERROR(__xludf.DUMMYFUNCTION("TRIM(REGEXREPLACE(E221, ""[0-9]+[a-f]?\."", """"))"),"")</f>
        <v/>
      </c>
      <c r="J221" s="91" t="str">
        <f t="shared" ref="J221:J222" si="152">F221 &amp; ". " &amp;G221</f>
        <v>58. </v>
      </c>
      <c r="K221" s="91" t="str">
        <f t="shared" ref="K221:K222" si="153">F221 &amp; ". " &amp;H221</f>
        <v>58. </v>
      </c>
      <c r="L221" s="91" t="str">
        <f t="shared" ref="L221:L222" si="154">F221 &amp; ". " &amp;I221</f>
        <v>58. </v>
      </c>
    </row>
    <row r="222" hidden="1">
      <c r="A222" s="122" t="s">
        <v>150</v>
      </c>
      <c r="B222" s="123" t="s">
        <v>1523</v>
      </c>
      <c r="C222" s="31"/>
      <c r="D222" s="31"/>
      <c r="E222" s="31"/>
      <c r="F222" s="89">
        <v>59.0</v>
      </c>
      <c r="G222" s="91" t="str">
        <f>IFERROR(__xludf.DUMMYFUNCTION("TRIM(REGEXREPLACE(C222, ""[0-9]+[a-f]?\."", """"))"),"")</f>
        <v/>
      </c>
      <c r="H222" s="91" t="str">
        <f>IFERROR(__xludf.DUMMYFUNCTION("TRIM(REGEXREPLACE(D222, ""[0-9]+[a-f]?\."", """"))"),"")</f>
        <v/>
      </c>
      <c r="I222" s="91" t="str">
        <f>IFERROR(__xludf.DUMMYFUNCTION("TRIM(REGEXREPLACE(E222, ""[0-9]+[a-f]?\."", """"))"),"")</f>
        <v/>
      </c>
      <c r="J222" s="91" t="str">
        <f t="shared" si="152"/>
        <v>59. </v>
      </c>
      <c r="K222" s="91" t="str">
        <f t="shared" si="153"/>
        <v>59. </v>
      </c>
      <c r="L222" s="91" t="str">
        <f t="shared" si="154"/>
        <v>59. </v>
      </c>
    </row>
    <row r="223">
      <c r="A223" s="126" t="s">
        <v>42</v>
      </c>
      <c r="B223" s="127" t="s">
        <v>1531</v>
      </c>
      <c r="C223" s="31" t="s">
        <v>1533</v>
      </c>
      <c r="D223" s="31" t="s">
        <v>1534</v>
      </c>
      <c r="E223" s="31" t="s">
        <v>1535</v>
      </c>
      <c r="F223" s="89">
        <v>122.0</v>
      </c>
      <c r="G223" s="91" t="str">
        <f>IFERROR(__xludf.DUMMYFUNCTION("TRIM(REGEXREPLACE(C223, ""[0-9]+[a-f]?\."", """"))"),"For ${w_emergency_name}
 What was the value of the following in CFA?")</f>
        <v>For ${w_emergency_name}
 What was the value of the following in CFA?</v>
      </c>
      <c r="H223" s="91" t="str">
        <f>IFERROR(__xludf.DUMMYFUNCTION("TRIM(REGEXREPLACE(D223, ""[0-9]+[a-f]?\."", """"))"),"Par rapport à ${w_emergency_name}
 Quelle était la valeur des éléments suivantes en CFA?")</f>
        <v>Par rapport à ${w_emergency_name}
 Quelle était la valeur des éléments suivantes en CFA?</v>
      </c>
      <c r="I223" s="91" t="str">
        <f>IFERROR(__xludf.DUMMYFUNCTION("TRIM(REGEXREPLACE(E223, ""[0-9]+[a-f]?\."", """"))"),"Game da ${w_emergency_name}
 Nawa ne kimar waɗannan abubuwan a kuɗin CFA?")</f>
        <v>Game da ${w_emergency_name}
 Nawa ne kimar waɗannan abubuwan a kuɗin CFA?</v>
      </c>
      <c r="J223" s="91" t="str">
        <f t="shared" ref="J223:J226" si="156">F223&amp;". "&amp;G223</f>
        <v>122. For ${w_emergency_name}
 What was the value of the following in CFA?</v>
      </c>
      <c r="K223" s="91" t="str">
        <f t="shared" ref="K223:L223" si="155">$F223&amp;". "&amp;H223</f>
        <v>122. Par rapport à ${w_emergency_name}
 Quelle était la valeur des éléments suivantes en CFA?</v>
      </c>
      <c r="L223" s="91" t="str">
        <f t="shared" si="155"/>
        <v>122. Game da ${w_emergency_name}
 Nawa ne kimar waɗannan abubuwan a kuɗin CFA?</v>
      </c>
    </row>
    <row r="224">
      <c r="A224" s="146" t="s">
        <v>237</v>
      </c>
      <c r="B224" s="147" t="s">
        <v>1540</v>
      </c>
      <c r="C224" s="31" t="s">
        <v>1542</v>
      </c>
      <c r="D224" s="31" t="s">
        <v>1544</v>
      </c>
      <c r="E224" s="31" t="s">
        <v>1545</v>
      </c>
      <c r="F224" s="89">
        <v>123.0</v>
      </c>
      <c r="G224" s="91" t="str">
        <f>IFERROR(__xludf.DUMMYFUNCTION("TRIM(REGEXREPLACE(C224, ""[0-9]+[a-f]?\."", """"))"),"Assets you sold")</f>
        <v>Assets you sold</v>
      </c>
      <c r="H224" s="91" t="str">
        <f>IFERROR(__xludf.DUMMYFUNCTION("TRIM(REGEXREPLACE(D224, ""[0-9]+[a-f]?\."", """"))"),"Les actifs que vous avez vendus")</f>
        <v>Les actifs que vous avez vendus</v>
      </c>
      <c r="I224" s="91" t="str">
        <f>IFERROR(__xludf.DUMMYFUNCTION("TRIM(REGEXREPLACE(E224, ""[0-9]+[a-f]?\."", """"))"),"Kadarorin da kuka saida")</f>
        <v>Kadarorin da kuka saida</v>
      </c>
      <c r="J224" s="91" t="str">
        <f t="shared" si="156"/>
        <v>123. Assets you sold</v>
      </c>
      <c r="K224" s="91" t="str">
        <f t="shared" ref="K224:L224" si="157">$F224&amp;". "&amp;H224</f>
        <v>123. Les actifs que vous avez vendus</v>
      </c>
      <c r="L224" s="91" t="str">
        <f t="shared" si="157"/>
        <v>123. Kadarorin da kuka saida</v>
      </c>
    </row>
    <row r="225">
      <c r="A225" s="146" t="s">
        <v>237</v>
      </c>
      <c r="B225" s="147" t="s">
        <v>1549</v>
      </c>
      <c r="C225" s="31" t="s">
        <v>1550</v>
      </c>
      <c r="D225" s="31" t="s">
        <v>1551</v>
      </c>
      <c r="E225" s="31" t="s">
        <v>1552</v>
      </c>
      <c r="F225" s="89">
        <v>124.0</v>
      </c>
      <c r="G225" s="91" t="str">
        <f>IFERROR(__xludf.DUMMYFUNCTION("TRIM(REGEXREPLACE(C225, ""[0-9]+[a-f]?\."", """"))"),"Loan(s) you took")</f>
        <v>Loan(s) you took</v>
      </c>
      <c r="H225" s="91" t="str">
        <f>IFERROR(__xludf.DUMMYFUNCTION("TRIM(REGEXREPLACE(D225, ""[0-9]+[a-f]?\."", """"))"),"Les prêt(s) que vous avez contracté")</f>
        <v>Les prêt(s) que vous avez contracté</v>
      </c>
      <c r="I225" s="91" t="str">
        <f>IFERROR(__xludf.DUMMYFUNCTION("TRIM(REGEXREPLACE(E225, ""[0-9]+[a-f]?\."", """"))"),"Bashin da kuka ɗauka")</f>
        <v>Bashin da kuka ɗauka</v>
      </c>
      <c r="J225" s="91" t="str">
        <f t="shared" si="156"/>
        <v>124. Loan(s) you took</v>
      </c>
      <c r="K225" s="91" t="str">
        <f t="shared" ref="K225:L225" si="158">$F225&amp;". "&amp;H225</f>
        <v>124. Les prêt(s) que vous avez contracté</v>
      </c>
      <c r="L225" s="91" t="str">
        <f t="shared" si="158"/>
        <v>124. Bashin da kuka ɗauka</v>
      </c>
    </row>
    <row r="226">
      <c r="A226" s="146" t="s">
        <v>237</v>
      </c>
      <c r="B226" s="147" t="s">
        <v>1563</v>
      </c>
      <c r="C226" s="31" t="s">
        <v>1564</v>
      </c>
      <c r="D226" s="31" t="s">
        <v>1565</v>
      </c>
      <c r="E226" s="31" t="s">
        <v>1567</v>
      </c>
      <c r="F226" s="89">
        <v>125.0</v>
      </c>
      <c r="G226" s="91" t="str">
        <f>IFERROR(__xludf.DUMMYFUNCTION("TRIM(REGEXREPLACE(C226, ""[0-9]+[a-f]?\."", """"))"),"Savings you spent?")</f>
        <v>Savings you spent?</v>
      </c>
      <c r="H226" s="91" t="str">
        <f>IFERROR(__xludf.DUMMYFUNCTION("TRIM(REGEXREPLACE(D226, ""[0-9]+[a-f]?\."", """"))"),"L'épargne que vous avez utilisé")</f>
        <v>L'épargne que vous avez utilisé</v>
      </c>
      <c r="I226" s="91" t="str">
        <f>IFERROR(__xludf.DUMMYFUNCTION("TRIM(REGEXREPLACE(E226, ""[0-9]+[a-f]?\."", """"))"),"Ajiyar da kuka kashe")</f>
        <v>Ajiyar da kuka kashe</v>
      </c>
      <c r="J226" s="91" t="str">
        <f t="shared" si="156"/>
        <v>125. Savings you spent?</v>
      </c>
      <c r="K226" s="91" t="str">
        <f t="shared" ref="K226:L226" si="159">$F226&amp;". "&amp;H226</f>
        <v>125. L'épargne que vous avez utilisé</v>
      </c>
      <c r="L226" s="91" t="str">
        <f t="shared" si="159"/>
        <v>125. Ajiyar da kuka kashe</v>
      </c>
    </row>
    <row r="227" hidden="1">
      <c r="A227" s="122" t="s">
        <v>236</v>
      </c>
      <c r="B227" s="153" t="s">
        <v>1523</v>
      </c>
      <c r="C227" s="31"/>
      <c r="D227" s="31"/>
      <c r="E227" s="31"/>
      <c r="F227" s="89">
        <v>61.0</v>
      </c>
      <c r="G227" s="91" t="str">
        <f>IFERROR(__xludf.DUMMYFUNCTION("TRIM(REGEXREPLACE(C227, ""[0-9]+[a-f]?\."", """"))"),"")</f>
        <v/>
      </c>
      <c r="H227" s="91" t="str">
        <f>IFERROR(__xludf.DUMMYFUNCTION("TRIM(REGEXREPLACE(D227, ""[0-9]+[a-f]?\."", """"))"),"")</f>
        <v/>
      </c>
      <c r="I227" s="91" t="str">
        <f>IFERROR(__xludf.DUMMYFUNCTION("TRIM(REGEXREPLACE(E227, ""[0-9]+[a-f]?\."", """"))"),"")</f>
        <v/>
      </c>
      <c r="J227" s="91" t="str">
        <f t="shared" ref="J227:J229" si="160">F227 &amp; ". " &amp;G227</f>
        <v>61. </v>
      </c>
      <c r="K227" s="91" t="str">
        <f t="shared" ref="K227:K229" si="161">F227 &amp; ". " &amp;H227</f>
        <v>61. </v>
      </c>
      <c r="L227" s="91" t="str">
        <f t="shared" ref="L227:L229" si="162">F227 &amp; ". " &amp;I227</f>
        <v>61. </v>
      </c>
    </row>
    <row r="228" hidden="1">
      <c r="A228" s="144" t="s">
        <v>691</v>
      </c>
      <c r="B228" s="150" t="s">
        <v>1417</v>
      </c>
      <c r="C228" s="31" t="s">
        <v>1418</v>
      </c>
      <c r="D228" s="31"/>
      <c r="E228" s="31"/>
      <c r="F228" s="89">
        <v>62.0</v>
      </c>
      <c r="G228" s="91" t="str">
        <f>IFERROR(__xludf.DUMMYFUNCTION("TRIM(REGEXREPLACE(C228, ""[0-9]+[a-f]?\."", """"))"),"Emergency response")</f>
        <v>Emergency response</v>
      </c>
      <c r="H228" s="91" t="str">
        <f>IFERROR(__xludf.DUMMYFUNCTION("TRIM(REGEXREPLACE(D228, ""[0-9]+[a-f]?\."", """"))"),"")</f>
        <v/>
      </c>
      <c r="I228" s="91" t="str">
        <f>IFERROR(__xludf.DUMMYFUNCTION("TRIM(REGEXREPLACE(E228, ""[0-9]+[a-f]?\."", """"))"),"")</f>
        <v/>
      </c>
      <c r="J228" s="91" t="str">
        <f t="shared" si="160"/>
        <v>62. Emergency response</v>
      </c>
      <c r="K228" s="91" t="str">
        <f t="shared" si="161"/>
        <v>62. </v>
      </c>
      <c r="L228" s="91" t="str">
        <f t="shared" si="162"/>
        <v>62. </v>
      </c>
    </row>
    <row r="229" hidden="1">
      <c r="A229" s="122"/>
      <c r="B229" s="123"/>
      <c r="C229" s="31"/>
      <c r="D229" s="31"/>
      <c r="E229" s="31"/>
      <c r="F229" s="89">
        <v>63.0</v>
      </c>
      <c r="G229" s="91" t="str">
        <f>IFERROR(__xludf.DUMMYFUNCTION("TRIM(REGEXREPLACE(C229, ""[0-9]+[a-f]?\."", """"))"),"")</f>
        <v/>
      </c>
      <c r="H229" s="91" t="str">
        <f>IFERROR(__xludf.DUMMYFUNCTION("TRIM(REGEXREPLACE(D229, ""[0-9]+[a-f]?\."", """"))"),"")</f>
        <v/>
      </c>
      <c r="I229" s="91" t="str">
        <f>IFERROR(__xludf.DUMMYFUNCTION("TRIM(REGEXREPLACE(E229, ""[0-9]+[a-f]?\."", """"))"),"")</f>
        <v/>
      </c>
      <c r="J229" s="91" t="str">
        <f t="shared" si="160"/>
        <v>63. </v>
      </c>
      <c r="K229" s="91" t="str">
        <f t="shared" si="161"/>
        <v>63. </v>
      </c>
      <c r="L229" s="91" t="str">
        <f t="shared" si="162"/>
        <v>63. </v>
      </c>
    </row>
    <row r="230">
      <c r="A230" s="126" t="s">
        <v>42</v>
      </c>
      <c r="B230" s="127" t="s">
        <v>1602</v>
      </c>
      <c r="C230" s="31" t="s">
        <v>1603</v>
      </c>
      <c r="D230" s="31" t="s">
        <v>1605</v>
      </c>
      <c r="E230" s="31" t="s">
        <v>1607</v>
      </c>
      <c r="F230" s="89">
        <v>126.0</v>
      </c>
      <c r="G230" s="91" t="str">
        <f>IFERROR(__xludf.DUMMYFUNCTION("TRIM(REGEXREPLACE(C230, ""[0-9]+[a-f]?\."", """"))"),"I would like to ask your opinion about a several different topics. There are no right answers to these questions, we just want to understand what you think.")</f>
        <v>I would like to ask your opinion about a several different topics. There are no right answers to these questions, we just want to understand what you think.</v>
      </c>
      <c r="H230" s="91" t="str">
        <f>IFERROR(__xludf.DUMMYFUNCTION("TRIM(REGEXREPLACE(D230, ""[0-9]+[a-f]?\."", """"))"),"J'aimerais vous demander votre avis sur plusieurs sujets différents. Il n'y a pas de bonnes réponses à ces questions, nous voulons juste comprendre ce que vous pensez.")</f>
        <v>J'aimerais vous demander votre avis sur plusieurs sujets différents. Il n'y a pas de bonnes réponses à ces questions, nous voulons juste comprendre ce que vous pensez.</v>
      </c>
      <c r="I230" s="91" t="str">
        <f>IFERROR(__xludf.DUMMYFUNCTION("TRIM(REGEXREPLACE(E230, ""[0-9]+[a-f]?\."", """"))"),"Ina so in tambayi ra'ayin ku game bisa batutuwa daban-daban. Babu amsoshin da suka dace ga waɗannan tambayoyin, muna son mu fafimci ra'ayinki ne kawai.")</f>
        <v>Ina so in tambayi ra'ayin ku game bisa batutuwa daban-daban. Babu amsoshin da suka dace ga waɗannan tambayoyin, muna son mu fafimci ra'ayinki ne kawai.</v>
      </c>
      <c r="J230" s="91" t="str">
        <f>F230&amp;". "&amp;G230</f>
        <v>126. I would like to ask your opinion about a several different topics. There are no right answers to these questions, we just want to understand what you think.</v>
      </c>
      <c r="K230" s="91" t="str">
        <f t="shared" ref="K230:L230" si="163">$F230&amp;". "&amp;H230</f>
        <v>126. J'aimerais vous demander votre avis sur plusieurs sujets différents. Il n'y a pas de bonnes réponses à ces questions, nous voulons juste comprendre ce que vous pensez.</v>
      </c>
      <c r="L230" s="91" t="str">
        <f t="shared" si="163"/>
        <v>126. Ina so in tambayi ra'ayin ku game bisa batutuwa daban-daban. Babu amsoshin da suka dace ga waɗannan tambayoyin, muna son mu fafimci ra'ayinki ne kawai.</v>
      </c>
    </row>
    <row r="231" hidden="1">
      <c r="A231" s="122" t="s">
        <v>150</v>
      </c>
      <c r="B231" s="123" t="s">
        <v>1622</v>
      </c>
      <c r="C231" s="31"/>
      <c r="D231" s="31"/>
      <c r="E231" s="31"/>
      <c r="F231" s="89">
        <v>64.0</v>
      </c>
      <c r="G231" s="91" t="str">
        <f>IFERROR(__xludf.DUMMYFUNCTION("TRIM(REGEXREPLACE(C231, ""[0-9]+[a-f]?\."", """"))"),"")</f>
        <v/>
      </c>
      <c r="H231" s="91" t="str">
        <f>IFERROR(__xludf.DUMMYFUNCTION("TRIM(REGEXREPLACE(D231, ""[0-9]+[a-f]?\."", """"))"),"")</f>
        <v/>
      </c>
      <c r="I231" s="91" t="str">
        <f>IFERROR(__xludf.DUMMYFUNCTION("TRIM(REGEXREPLACE(E231, ""[0-9]+[a-f]?\."", """"))"),"")</f>
        <v/>
      </c>
      <c r="J231" s="91" t="str">
        <f>F231 &amp; ". " &amp;G231</f>
        <v>64. </v>
      </c>
      <c r="K231" s="91" t="str">
        <f>F231 &amp; ". " &amp;H231</f>
        <v>64. </v>
      </c>
      <c r="L231" s="91" t="str">
        <f>F231 &amp; ". " &amp;I231</f>
        <v>64. </v>
      </c>
    </row>
    <row r="232">
      <c r="A232" s="81" t="s">
        <v>1633</v>
      </c>
      <c r="B232" s="142" t="s">
        <v>1634</v>
      </c>
      <c r="C232" s="31" t="s">
        <v>1635</v>
      </c>
      <c r="D232" s="31" t="s">
        <v>1637</v>
      </c>
      <c r="E232" s="31" t="s">
        <v>1639</v>
      </c>
      <c r="F232" s="89">
        <v>127.0</v>
      </c>
      <c r="G232" s="91" t="str">
        <f>IFERROR(__xludf.DUMMYFUNCTION("TRIM(REGEXREPLACE(C232, ""[0-9]+[a-f]?\."", """"))"),"I would like to ask you about how decisions are made in your household. Please tell me to what degree does your opinion matter in decisions related to the following topics:")</f>
        <v>I would like to ask you about how decisions are made in your household. Please tell me to what degree does your opinion matter in decisions related to the following topics:</v>
      </c>
      <c r="H232" s="91" t="str">
        <f>IFERROR(__xludf.DUMMYFUNCTION("TRIM(REGEXREPLACE(D232, ""[0-9]+[a-f]?\."", """"))"),"Je voudrais vous poser quelques quetions sur la prise de décision dans votre ménage, dans quelle mesure votre opinion compte-t-elle dans les décisions liées aux sujets suivants :")</f>
        <v>Je voudrais vous poser quelques quetions sur la prise de décision dans votre ménage, dans quelle mesure votre opinion compte-t-elle dans les décisions liées aux sujets suivants :</v>
      </c>
      <c r="I232" s="91" t="str">
        <f>IFERROR(__xludf.DUMMYFUNCTION("TRIM(REGEXREPLACE(E232, ""[0-9]+[a-f]?\."", """"))"),"Ina son in tambaye ku yadda ake yanke hukunci a gidanku. Da fatan za ku gaya mani matsayin ra'ayinku a yanke shawara bisa abubuwa masu zuwa:")</f>
        <v>Ina son in tambaye ku yadda ake yanke hukunci a gidanku. Da fatan za ku gaya mani matsayin ra'ayinku a yanke shawara bisa abubuwa masu zuwa:</v>
      </c>
      <c r="J232" s="91" t="str">
        <f t="shared" ref="J232:J238" si="165">F232&amp;". "&amp;G232</f>
        <v>127. I would like to ask you about how decisions are made in your household. Please tell me to what degree does your opinion matter in decisions related to the following topics:</v>
      </c>
      <c r="K232" s="91" t="str">
        <f t="shared" ref="K232:L232" si="164">$F232&amp;". "&amp;H232</f>
        <v>127. Je voudrais vous poser quelques quetions sur la prise de décision dans votre ménage, dans quelle mesure votre opinion compte-t-elle dans les décisions liées aux sujets suivants :</v>
      </c>
      <c r="L232" s="91" t="str">
        <f t="shared" si="164"/>
        <v>127. Ina son in tambaye ku yadda ake yanke hukunci a gidanku. Da fatan za ku gaya mani matsayin ra'ayinku a yanke shawara bisa abubuwa masu zuwa:</v>
      </c>
    </row>
    <row r="233">
      <c r="A233" s="81" t="s">
        <v>1633</v>
      </c>
      <c r="B233" s="142" t="s">
        <v>1651</v>
      </c>
      <c r="C233" s="31" t="s">
        <v>1653</v>
      </c>
      <c r="D233" s="31" t="s">
        <v>1656</v>
      </c>
      <c r="E233" s="31" t="s">
        <v>1658</v>
      </c>
      <c r="F233" s="89">
        <v>128.0</v>
      </c>
      <c r="G233" s="91" t="str">
        <f>IFERROR(__xludf.DUMMYFUNCTION("TRIM(REGEXREPLACE(C233, ""[0-9]+[a-f]?\."", """"))"),"How to use money that you earn")</f>
        <v>How to use money that you earn</v>
      </c>
      <c r="H233" s="91" t="str">
        <f>IFERROR(__xludf.DUMMYFUNCTION("TRIM(REGEXREPLACE(D233, ""[0-9]+[a-f]?\."", """"))"),"Comment utiliser l'argent que vous gagnez")</f>
        <v>Comment utiliser l'argent que vous gagnez</v>
      </c>
      <c r="I233" s="91" t="str">
        <f>IFERROR(__xludf.DUMMYFUNCTION("TRIM(REGEXREPLACE(E233, ""[0-9]+[a-f]?\."", """"))"),"Yadda ake amfani da kuɗin da kuke samu")</f>
        <v>Yadda ake amfani da kuɗin da kuke samu</v>
      </c>
      <c r="J233" s="91" t="str">
        <f t="shared" si="165"/>
        <v>128. How to use money that you earn</v>
      </c>
      <c r="K233" s="91" t="str">
        <f t="shared" ref="K233:L233" si="166">$F233&amp;". "&amp;H233</f>
        <v>128. Comment utiliser l'argent que vous gagnez</v>
      </c>
      <c r="L233" s="91" t="str">
        <f t="shared" si="166"/>
        <v>128. Yadda ake amfani da kuɗin da kuke samu</v>
      </c>
    </row>
    <row r="234">
      <c r="A234" s="81" t="s">
        <v>1633</v>
      </c>
      <c r="B234" s="142" t="s">
        <v>1666</v>
      </c>
      <c r="C234" s="31" t="s">
        <v>1667</v>
      </c>
      <c r="D234" s="31" t="s">
        <v>1668</v>
      </c>
      <c r="E234" s="31" t="s">
        <v>1669</v>
      </c>
      <c r="F234" s="89">
        <v>129.0</v>
      </c>
      <c r="G234" s="91" t="str">
        <f>IFERROR(__xludf.DUMMYFUNCTION("TRIM(REGEXREPLACE(C234, ""[0-9]+[a-f]?\."", """"))"),"Daily household expenses (Less than 500 CFA)")</f>
        <v>Daily household expenses (Less than 500 CFA)</v>
      </c>
      <c r="H234" s="91" t="str">
        <f>IFERROR(__xludf.DUMMYFUNCTION("TRIM(REGEXREPLACE(D234, ""[0-9]+[a-f]?\."", """"))"),"Dépenses quotidiennes du ménage (Moins de 500 CFA)")</f>
        <v>Dépenses quotidiennes du ménage (Moins de 500 CFA)</v>
      </c>
      <c r="I234" s="91" t="str">
        <f>IFERROR(__xludf.DUMMYFUNCTION("TRIM(REGEXREPLACE(E234, ""[0-9]+[a-f]?\."", """"))"),"Kashe Kuɗin gidan na yau da kullum ( Kasa da dala ɗari CFA 500)")</f>
        <v>Kashe Kuɗin gidan na yau da kullum ( Kasa da dala ɗari CFA 500)</v>
      </c>
      <c r="J234" s="91" t="str">
        <f t="shared" si="165"/>
        <v>129. Daily household expenses (Less than 500 CFA)</v>
      </c>
      <c r="K234" s="91" t="str">
        <f t="shared" ref="K234:L234" si="167">$F234&amp;". "&amp;H234</f>
        <v>129. Dépenses quotidiennes du ménage (Moins de 500 CFA)</v>
      </c>
      <c r="L234" s="91" t="str">
        <f t="shared" si="167"/>
        <v>129. Kashe Kuɗin gidan na yau da kullum ( Kasa da dala ɗari CFA 500)</v>
      </c>
    </row>
    <row r="235">
      <c r="A235" s="81" t="s">
        <v>1633</v>
      </c>
      <c r="B235" s="142" t="s">
        <v>1673</v>
      </c>
      <c r="C235" s="31" t="s">
        <v>1675</v>
      </c>
      <c r="D235" s="31" t="s">
        <v>1677</v>
      </c>
      <c r="E235" s="31" t="s">
        <v>1679</v>
      </c>
      <c r="F235" s="89">
        <v>130.0</v>
      </c>
      <c r="G235" s="91" t="str">
        <f>IFERROR(__xludf.DUMMYFUNCTION("TRIM(REGEXREPLACE(C235, ""[0-9]+[a-f]?\."", """"))"),"Household purchases (over 500 CFA)")</f>
        <v>Household purchases (over 500 CFA)</v>
      </c>
      <c r="H235" s="91" t="str">
        <f>IFERROR(__xludf.DUMMYFUNCTION("TRIM(REGEXREPLACE(D235, ""[0-9]+[a-f]?\."", """"))"),"Achats du ménage (plus de 500 CFA)")</f>
        <v>Achats du ménage (plus de 500 CFA)</v>
      </c>
      <c r="I235" s="91" t="str">
        <f>IFERROR(__xludf.DUMMYFUNCTION("TRIM(REGEXREPLACE(E235, ""[0-9]+[a-f]?\."", """"))"),"Sayayya na gida (sama da dala ɗari CFA 500)")</f>
        <v>Sayayya na gida (sama da dala ɗari CFA 500)</v>
      </c>
      <c r="J235" s="91" t="str">
        <f t="shared" si="165"/>
        <v>130. Household purchases (over 500 CFA)</v>
      </c>
      <c r="K235" s="91" t="str">
        <f t="shared" ref="K235:L235" si="168">$F235&amp;". "&amp;H235</f>
        <v>130. Achats du ménage (plus de 500 CFA)</v>
      </c>
      <c r="L235" s="91" t="str">
        <f t="shared" si="168"/>
        <v>130. Sayayya na gida (sama da dala ɗari CFA 500)</v>
      </c>
    </row>
    <row r="236">
      <c r="A236" s="81" t="s">
        <v>1633</v>
      </c>
      <c r="B236" s="142" t="s">
        <v>1681</v>
      </c>
      <c r="C236" s="31" t="s">
        <v>1682</v>
      </c>
      <c r="D236" s="31" t="s">
        <v>1683</v>
      </c>
      <c r="E236" s="31" t="s">
        <v>1684</v>
      </c>
      <c r="F236" s="89">
        <v>131.0</v>
      </c>
      <c r="G236" s="91" t="str">
        <f>IFERROR(__xludf.DUMMYFUNCTION("TRIM(REGEXREPLACE(C236, ""[0-9]+[a-f]?\."", """"))"),"What to do if someone in your household falls ill")</f>
        <v>What to do if someone in your household falls ill</v>
      </c>
      <c r="H236" s="91" t="str">
        <f>IFERROR(__xludf.DUMMYFUNCTION("TRIM(REGEXREPLACE(D236, ""[0-9]+[a-f]?\."", """"))"),"Que faire si un membre de votre ménage tombe malade")</f>
        <v>Que faire si un membre de votre ménage tombe malade</v>
      </c>
      <c r="I236" s="91" t="str">
        <f>IFERROR(__xludf.DUMMYFUNCTION("TRIM(REGEXREPLACE(E236, ""[0-9]+[a-f]?\."", """"))"),"Abin da za'a yi idan wani a cikin gidanku ya kamu da rashin lafiya")</f>
        <v>Abin da za'a yi idan wani a cikin gidanku ya kamu da rashin lafiya</v>
      </c>
      <c r="J236" s="91" t="str">
        <f t="shared" si="165"/>
        <v>131. What to do if someone in your household falls ill</v>
      </c>
      <c r="K236" s="91" t="str">
        <f t="shared" ref="K236:L236" si="169">$F236&amp;". "&amp;H236</f>
        <v>131. Que faire si un membre de votre ménage tombe malade</v>
      </c>
      <c r="L236" s="91" t="str">
        <f t="shared" si="169"/>
        <v>131. Abin da za'a yi idan wani a cikin gidanku ya kamu da rashin lafiya</v>
      </c>
    </row>
    <row r="237">
      <c r="A237" s="81" t="s">
        <v>1633</v>
      </c>
      <c r="B237" s="142" t="s">
        <v>1691</v>
      </c>
      <c r="C237" s="31" t="s">
        <v>1692</v>
      </c>
      <c r="D237" s="31" t="s">
        <v>1693</v>
      </c>
      <c r="E237" s="31" t="s">
        <v>1694</v>
      </c>
      <c r="F237" s="89">
        <v>132.0</v>
      </c>
      <c r="G237" s="91" t="str">
        <f>IFERROR(__xludf.DUMMYFUNCTION("TRIM(REGEXREPLACE(C237, ""[0-9]+[a-f]?\."", """"))"),"Whether children attend school or not")</f>
        <v>Whether children attend school or not</v>
      </c>
      <c r="H237" s="91" t="str">
        <f>IFERROR(__xludf.DUMMYFUNCTION("TRIM(REGEXREPLACE(D237, ""[0-9]+[a-f]?\."", """"))"),"Que les enfants soient scolarisés ou non")</f>
        <v>Que les enfants soient scolarisés ou non</v>
      </c>
      <c r="I237" s="91" t="str">
        <f>IFERROR(__xludf.DUMMYFUNCTION("TRIM(REGEXREPLACE(E237, ""[0-9]+[a-f]?\."", """"))"),"Ko za'a rubuta yara makaranta ko a'a")</f>
        <v>Ko za'a rubuta yara makaranta ko a'a</v>
      </c>
      <c r="J237" s="91" t="str">
        <f t="shared" si="165"/>
        <v>132. Whether children attend school or not</v>
      </c>
      <c r="K237" s="91" t="str">
        <f t="shared" ref="K237:L237" si="170">$F237&amp;". "&amp;H237</f>
        <v>132. Que les enfants soient scolarisés ou non</v>
      </c>
      <c r="L237" s="91" t="str">
        <f t="shared" si="170"/>
        <v>132. Ko za'a rubuta yara makaranta ko a'a</v>
      </c>
    </row>
    <row r="238">
      <c r="A238" s="81" t="s">
        <v>1633</v>
      </c>
      <c r="B238" s="142" t="s">
        <v>1698</v>
      </c>
      <c r="C238" s="31" t="s">
        <v>1699</v>
      </c>
      <c r="D238" s="31" t="s">
        <v>1700</v>
      </c>
      <c r="E238" s="31" t="s">
        <v>1701</v>
      </c>
      <c r="F238" s="89">
        <v>133.0</v>
      </c>
      <c r="G238" s="91" t="str">
        <f>IFERROR(__xludf.DUMMYFUNCTION("TRIM(REGEXREPLACE(C238, ""[0-9]+[a-f]?\."", """"))"),"Whether you will migrate to find work or stay at home")</f>
        <v>Whether you will migrate to find work or stay at home</v>
      </c>
      <c r="H238" s="91" t="str">
        <f>IFERROR(__xludf.DUMMYFUNCTION("TRIM(REGEXREPLACE(D238, ""[0-9]+[a-f]?\."", """"))"),"Si vous migrez pour trouver du travail ou rester à la maison")</f>
        <v>Si vous migrez pour trouver du travail ou rester à la maison</v>
      </c>
      <c r="I238" s="91" t="str">
        <f>IFERROR(__xludf.DUMMYFUNCTION("TRIM(REGEXREPLACE(E238, ""[0-9]+[a-f]?\."", """"))"),"Ko za ku yi tahiya wurin biɗa ko za ku zauna a gida")</f>
        <v>Ko za ku yi tahiya wurin biɗa ko za ku zauna a gida</v>
      </c>
      <c r="J238" s="91" t="str">
        <f t="shared" si="165"/>
        <v>133. Whether you will migrate to find work or stay at home</v>
      </c>
      <c r="K238" s="91" t="str">
        <f t="shared" ref="K238:L238" si="171">$F238&amp;". "&amp;H238</f>
        <v>133. Si vous migrez pour trouver du travail ou rester à la maison</v>
      </c>
      <c r="L238" s="91" t="str">
        <f t="shared" si="171"/>
        <v>133. Ko za ku yi tahiya wurin biɗa ko za ku zauna a gida</v>
      </c>
    </row>
    <row r="239" hidden="1">
      <c r="A239" s="122" t="s">
        <v>236</v>
      </c>
      <c r="B239" s="153" t="s">
        <v>1622</v>
      </c>
      <c r="C239" s="31"/>
      <c r="D239" s="31"/>
      <c r="E239" s="31"/>
      <c r="F239" s="89">
        <v>70.0</v>
      </c>
      <c r="G239" s="91" t="str">
        <f>IFERROR(__xludf.DUMMYFUNCTION("TRIM(REGEXREPLACE(C239, ""[0-9]+[a-f]?\."", """"))"),"")</f>
        <v/>
      </c>
      <c r="H239" s="91" t="str">
        <f>IFERROR(__xludf.DUMMYFUNCTION("TRIM(REGEXREPLACE(D239, ""[0-9]+[a-f]?\."", """"))"),"")</f>
        <v/>
      </c>
      <c r="I239" s="91" t="str">
        <f>IFERROR(__xludf.DUMMYFUNCTION("TRIM(REGEXREPLACE(E239, ""[0-9]+[a-f]?\."", """"))"),"")</f>
        <v/>
      </c>
      <c r="J239" s="91" t="str">
        <f t="shared" ref="J239:J240" si="172">F239 &amp; ". " &amp;G239</f>
        <v>70. </v>
      </c>
      <c r="K239" s="91" t="str">
        <f t="shared" ref="K239:K240" si="173">F239 &amp; ". " &amp;H239</f>
        <v>70. </v>
      </c>
      <c r="L239" s="91" t="str">
        <f t="shared" ref="L239:L240" si="174">F239 &amp; ". " &amp;I239</f>
        <v>70. </v>
      </c>
    </row>
    <row r="240" hidden="1">
      <c r="A240" s="128" t="s">
        <v>150</v>
      </c>
      <c r="B240" s="129" t="s">
        <v>1713</v>
      </c>
      <c r="C240" s="31"/>
      <c r="D240" s="31"/>
      <c r="E240" s="31"/>
      <c r="F240" s="89">
        <v>71.0</v>
      </c>
      <c r="G240" s="91" t="str">
        <f>IFERROR(__xludf.DUMMYFUNCTION("TRIM(REGEXREPLACE(C240, ""[0-9]+[a-f]?\."", """"))"),"")</f>
        <v/>
      </c>
      <c r="H240" s="91" t="str">
        <f>IFERROR(__xludf.DUMMYFUNCTION("TRIM(REGEXREPLACE(D240, ""[0-9]+[a-f]?\."", """"))"),"")</f>
        <v/>
      </c>
      <c r="I240" s="91" t="str">
        <f>IFERROR(__xludf.DUMMYFUNCTION("TRIM(REGEXREPLACE(E240, ""[0-9]+[a-f]?\."", """"))"),"")</f>
        <v/>
      </c>
      <c r="J240" s="91" t="str">
        <f t="shared" si="172"/>
        <v>71. </v>
      </c>
      <c r="K240" s="91" t="str">
        <f t="shared" si="173"/>
        <v>71. </v>
      </c>
      <c r="L240" s="91" t="str">
        <f t="shared" si="174"/>
        <v>71. </v>
      </c>
    </row>
    <row r="241">
      <c r="A241" s="81" t="s">
        <v>841</v>
      </c>
      <c r="B241" s="127" t="s">
        <v>1716</v>
      </c>
      <c r="C241" s="31" t="s">
        <v>1717</v>
      </c>
      <c r="D241" s="31" t="s">
        <v>1718</v>
      </c>
      <c r="E241" s="31" t="s">
        <v>1719</v>
      </c>
      <c r="F241" s="89">
        <v>134.0</v>
      </c>
      <c r="G241" s="91" t="str">
        <f>IFERROR(__xludf.DUMMYFUNCTION("TRIM(REGEXREPLACE(C241, ""[0-9]+[a-f]?\."", """"))"),"Can you make your own decisions, without the input of anyone else if you want to regarding:")</f>
        <v>Can you make your own decisions, without the input of anyone else if you want to regarding:</v>
      </c>
      <c r="H241" s="91" t="str">
        <f>IFERROR(__xludf.DUMMYFUNCTION("TRIM(REGEXREPLACE(D241, ""[0-9]+[a-f]?\."", """"))"),"Pouvez-vous prendre vos propres décisions, sans l'intervention de quelqu'un d'autre, si vous le souhaitez concernant :")</f>
        <v>Pouvez-vous prendre vos propres décisions, sans l'intervention de quelqu'un d'autre, si vous le souhaitez concernant :</v>
      </c>
      <c r="I241" s="91" t="str">
        <f>IFERROR(__xludf.DUMMYFUNCTION("TRIM(REGEXREPLACE(E241, ""[0-9]+[a-f]?\."", """"))"),"Za ku iya yanke shawara da kanku, ba tare da sa bakin wani ba idan kuna so dangance da:")</f>
        <v>Za ku iya yanke shawara da kanku, ba tare da sa bakin wani ba idan kuna so dangance da:</v>
      </c>
      <c r="J241" s="91" t="str">
        <f t="shared" ref="J241:J246" si="176">F241&amp;". "&amp;G241</f>
        <v>134. Can you make your own decisions, without the input of anyone else if you want to regarding:</v>
      </c>
      <c r="K241" s="91" t="str">
        <f t="shared" ref="K241:L241" si="175">$F241&amp;". "&amp;H241</f>
        <v>134. Pouvez-vous prendre vos propres décisions, sans l'intervention de quelqu'un d'autre, si vous le souhaitez concernant :</v>
      </c>
      <c r="L241" s="91" t="str">
        <f t="shared" si="175"/>
        <v>134. Za ku iya yanke shawara da kanku, ba tare da sa bakin wani ba idan kuna so dangance da:</v>
      </c>
    </row>
    <row r="242">
      <c r="A242" s="81" t="s">
        <v>841</v>
      </c>
      <c r="B242" s="142" t="s">
        <v>1723</v>
      </c>
      <c r="C242" s="31" t="s">
        <v>1724</v>
      </c>
      <c r="D242" s="31" t="s">
        <v>1725</v>
      </c>
      <c r="E242" s="31" t="s">
        <v>1726</v>
      </c>
      <c r="F242" s="89">
        <v>135.0</v>
      </c>
      <c r="G242" s="91" t="str">
        <f>IFERROR(__xludf.DUMMYFUNCTION("TRIM(REGEXREPLACE(C242, ""[0-9]+[a-f]?\."", """"))"),"How to use money that you earn")</f>
        <v>How to use money that you earn</v>
      </c>
      <c r="H242" s="91" t="str">
        <f>IFERROR(__xludf.DUMMYFUNCTION("TRIM(REGEXREPLACE(D242, ""[0-9]+[a-f]?\."", """"))"),"Comment utiliser l'argent que vous gagnez")</f>
        <v>Comment utiliser l'argent que vous gagnez</v>
      </c>
      <c r="I242" s="91" t="str">
        <f>IFERROR(__xludf.DUMMYFUNCTION("TRIM(REGEXREPLACE(E242, ""[0-9]+[a-f]?\."", """"))"),"Yadda ake amfani da kuɗin da kuke samu")</f>
        <v>Yadda ake amfani da kuɗin da kuke samu</v>
      </c>
      <c r="J242" s="91" t="str">
        <f t="shared" si="176"/>
        <v>135. How to use money that you earn</v>
      </c>
      <c r="K242" s="91" t="str">
        <f t="shared" ref="K242:L242" si="177">$F242&amp;". "&amp;H242</f>
        <v>135. Comment utiliser l'argent que vous gagnez</v>
      </c>
      <c r="L242" s="91" t="str">
        <f t="shared" si="177"/>
        <v>135. Yadda ake amfani da kuɗin da kuke samu</v>
      </c>
    </row>
    <row r="243">
      <c r="A243" s="81" t="s">
        <v>841</v>
      </c>
      <c r="B243" s="142" t="s">
        <v>1730</v>
      </c>
      <c r="C243" s="31" t="s">
        <v>1731</v>
      </c>
      <c r="D243" s="31" t="s">
        <v>1732</v>
      </c>
      <c r="E243" s="31" t="s">
        <v>1733</v>
      </c>
      <c r="F243" s="89">
        <v>136.0</v>
      </c>
      <c r="G243" s="91" t="str">
        <f>IFERROR(__xludf.DUMMYFUNCTION("TRIM(REGEXREPLACE(C243, ""[0-9]+[a-f]?\."", """"))"),"Daily household expenses (less than 500 CFA)")</f>
        <v>Daily household expenses (less than 500 CFA)</v>
      </c>
      <c r="H243" s="91" t="str">
        <f>IFERROR(__xludf.DUMMYFUNCTION("TRIM(REGEXREPLACE(D243, ""[0-9]+[a-f]?\."", """"))"),"Dépenses quotidiennes du ménage (moins de 500 CFA)")</f>
        <v>Dépenses quotidiennes du ménage (moins de 500 CFA)</v>
      </c>
      <c r="I243" s="91" t="str">
        <f>IFERROR(__xludf.DUMMYFUNCTION("TRIM(REGEXREPLACE(E243, ""[0-9]+[a-f]?\."", """"))"),"Kashe Kuɗin gida na yau da kullum ( Kasa da dala ɗari CFA 500)")</f>
        <v>Kashe Kuɗin gida na yau da kullum ( Kasa da dala ɗari CFA 500)</v>
      </c>
      <c r="J243" s="91" t="str">
        <f t="shared" si="176"/>
        <v>136. Daily household expenses (less than 500 CFA)</v>
      </c>
      <c r="K243" s="91" t="str">
        <f t="shared" ref="K243:L243" si="178">$F243&amp;". "&amp;H243</f>
        <v>136. Dépenses quotidiennes du ménage (moins de 500 CFA)</v>
      </c>
      <c r="L243" s="91" t="str">
        <f t="shared" si="178"/>
        <v>136. Kashe Kuɗin gida na yau da kullum ( Kasa da dala ɗari CFA 500)</v>
      </c>
    </row>
    <row r="244">
      <c r="A244" s="81" t="s">
        <v>841</v>
      </c>
      <c r="B244" s="142" t="s">
        <v>1738</v>
      </c>
      <c r="C244" s="31" t="s">
        <v>1739</v>
      </c>
      <c r="D244" s="31" t="s">
        <v>1740</v>
      </c>
      <c r="E244" s="31" t="s">
        <v>1741</v>
      </c>
      <c r="F244" s="89">
        <v>137.0</v>
      </c>
      <c r="G244" s="91" t="str">
        <f>IFERROR(__xludf.DUMMYFUNCTION("TRIM(REGEXREPLACE(C244, ""[0-9]+[a-f]?\."", """"))"),"Household purchases (over 500 CFA)")</f>
        <v>Household purchases (over 500 CFA)</v>
      </c>
      <c r="H244" s="91" t="str">
        <f>IFERROR(__xludf.DUMMYFUNCTION("TRIM(REGEXREPLACE(D244, ""[0-9]+[a-f]?\."", """"))"),"Achats du ménage (plus de 500 CFA)")</f>
        <v>Achats du ménage (plus de 500 CFA)</v>
      </c>
      <c r="I244" s="91" t="str">
        <f>IFERROR(__xludf.DUMMYFUNCTION("TRIM(REGEXREPLACE(E244, ""[0-9]+[a-f]?\."", """"))"),"Sayayya na gida (sama da dala ɗari CFA 500)")</f>
        <v>Sayayya na gida (sama da dala ɗari CFA 500)</v>
      </c>
      <c r="J244" s="91" t="str">
        <f t="shared" si="176"/>
        <v>137. Household purchases (over 500 CFA)</v>
      </c>
      <c r="K244" s="91" t="str">
        <f t="shared" ref="K244:L244" si="179">$F244&amp;". "&amp;H244</f>
        <v>137. Achats du ménage (plus de 500 CFA)</v>
      </c>
      <c r="L244" s="91" t="str">
        <f t="shared" si="179"/>
        <v>137. Sayayya na gida (sama da dala ɗari CFA 500)</v>
      </c>
    </row>
    <row r="245">
      <c r="A245" s="81" t="s">
        <v>841</v>
      </c>
      <c r="B245" s="142" t="s">
        <v>1745</v>
      </c>
      <c r="C245" s="31" t="s">
        <v>1746</v>
      </c>
      <c r="D245" s="31" t="s">
        <v>1747</v>
      </c>
      <c r="E245" s="31" t="s">
        <v>1748</v>
      </c>
      <c r="F245" s="89">
        <v>138.0</v>
      </c>
      <c r="G245" s="91" t="str">
        <f>IFERROR(__xludf.DUMMYFUNCTION("TRIM(REGEXREPLACE(C245, ""[0-9]+[a-f]?\."", """"))"),"What job you do")</f>
        <v>What job you do</v>
      </c>
      <c r="H245" s="91" t="str">
        <f>IFERROR(__xludf.DUMMYFUNCTION("TRIM(REGEXREPLACE(D245, ""[0-9]+[a-f]?\."", """"))"),"Quel travail tu fais")</f>
        <v>Quel travail tu fais</v>
      </c>
      <c r="I245" s="91" t="str">
        <f>IFERROR(__xludf.DUMMYFUNCTION("TRIM(REGEXREPLACE(E245, ""[0-9]+[a-f]?\."", """"))"),"Wane aiki kuke yi")</f>
        <v>Wane aiki kuke yi</v>
      </c>
      <c r="J245" s="91" t="str">
        <f t="shared" si="176"/>
        <v>138. What job you do</v>
      </c>
      <c r="K245" s="91" t="str">
        <f t="shared" ref="K245:L245" si="180">$F245&amp;". "&amp;H245</f>
        <v>138. Quel travail tu fais</v>
      </c>
      <c r="L245" s="91" t="str">
        <f t="shared" si="180"/>
        <v>138. Wane aiki kuke yi</v>
      </c>
    </row>
    <row r="246">
      <c r="A246" s="81" t="s">
        <v>841</v>
      </c>
      <c r="B246" s="142" t="s">
        <v>1749</v>
      </c>
      <c r="C246" s="31" t="s">
        <v>1750</v>
      </c>
      <c r="D246" s="31" t="s">
        <v>1751</v>
      </c>
      <c r="E246" s="31" t="s">
        <v>1752</v>
      </c>
      <c r="F246" s="89">
        <v>139.0</v>
      </c>
      <c r="G246" s="91" t="str">
        <f>IFERROR(__xludf.DUMMYFUNCTION("TRIM(REGEXREPLACE(C246, ""[0-9]+[a-f]?\."", """"))"),"Whether you will migrate to find work")</f>
        <v>Whether you will migrate to find work</v>
      </c>
      <c r="H246" s="91" t="str">
        <f>IFERROR(__xludf.DUMMYFUNCTION("TRIM(REGEXREPLACE(D246, ""[0-9]+[a-f]?\."", """"))"),"Si vous migrez pour trouver du travail")</f>
        <v>Si vous migrez pour trouver du travail</v>
      </c>
      <c r="I246" s="91" t="str">
        <f>IFERROR(__xludf.DUMMYFUNCTION("TRIM(REGEXREPLACE(E246, ""[0-9]+[a-f]?\."", """"))"),"Ko za ku yi tahiya don neman aiki")</f>
        <v>Ko za ku yi tahiya don neman aiki</v>
      </c>
      <c r="J246" s="91" t="str">
        <f t="shared" si="176"/>
        <v>139. Whether you will migrate to find work</v>
      </c>
      <c r="K246" s="91" t="str">
        <f t="shared" ref="K246:L246" si="181">$F246&amp;". "&amp;H246</f>
        <v>139. Si vous migrez pour trouver du travail</v>
      </c>
      <c r="L246" s="91" t="str">
        <f t="shared" si="181"/>
        <v>139. Ko za ku yi tahiya don neman aiki</v>
      </c>
    </row>
    <row r="247" hidden="1">
      <c r="A247" s="128" t="s">
        <v>236</v>
      </c>
      <c r="B247" s="129" t="s">
        <v>1713</v>
      </c>
      <c r="C247" s="31"/>
      <c r="D247" s="31"/>
      <c r="E247" s="31"/>
      <c r="F247" s="89">
        <v>149.0</v>
      </c>
      <c r="G247" s="91" t="str">
        <f>IFERROR(__xludf.DUMMYFUNCTION("TRIM(REGEXREPLACE(C247, ""[0-9]+[a-f]?\."", """"))"),"")</f>
        <v/>
      </c>
      <c r="H247" s="91" t="str">
        <f>IFERROR(__xludf.DUMMYFUNCTION("TRIM(REGEXREPLACE(D247, ""[0-9]+[a-f]?\."", """"))"),"")</f>
        <v/>
      </c>
      <c r="I247" s="91" t="str">
        <f>IFERROR(__xludf.DUMMYFUNCTION("TRIM(REGEXREPLACE(E247, ""[0-9]+[a-f]?\."", """"))"),"")</f>
        <v/>
      </c>
      <c r="J247" s="91" t="s">
        <v>1761</v>
      </c>
      <c r="K247" s="91" t="s">
        <v>1762</v>
      </c>
      <c r="L247" s="91" t="s">
        <v>1763</v>
      </c>
    </row>
    <row r="248">
      <c r="A248" s="81" t="s">
        <v>338</v>
      </c>
      <c r="B248" s="142" t="s">
        <v>1212</v>
      </c>
      <c r="C248" s="31" t="s">
        <v>1764</v>
      </c>
      <c r="D248" s="31" t="s">
        <v>1765</v>
      </c>
      <c r="E248" s="31" t="s">
        <v>1766</v>
      </c>
      <c r="F248" s="89">
        <v>140.0</v>
      </c>
      <c r="G248" s="91" t="str">
        <f>IFERROR(__xludf.DUMMYFUNCTION("TRIM(REGEXREPLACE(C248, ""[0-9]+[a-f]?\."", """"))"),"The next set of questions are for married women only. Are you married?")</f>
        <v>The next set of questions are for married women only. Are you married?</v>
      </c>
      <c r="H248" s="91" t="str">
        <f>IFERROR(__xludf.DUMMYFUNCTION("TRIM(REGEXREPLACE(D248, ""[0-9]+[a-f]?\."", """"))"),"La série de questions suivante s'adresse uniquement aux femmes mariées. Es-tu marié?")</f>
        <v>La série de questions suivante s'adresse uniquement aux femmes mariées. Es-tu marié?</v>
      </c>
      <c r="I248" s="91" t="str">
        <f>IFERROR(__xludf.DUMMYFUNCTION("TRIM(REGEXREPLACE(E248, ""[0-9]+[a-f]?\."", """"))"),"Tambayoyi na gaba na matan aure ne kawai. Ko ki na da aure?")</f>
        <v>Tambayoyi na gaba na matan aure ne kawai. Ko ki na da aure?</v>
      </c>
      <c r="J248" s="91" t="str">
        <f t="shared" ref="J248:J290" si="183">F248&amp;". "&amp;G248</f>
        <v>140. The next set of questions are for married women only. Are you married?</v>
      </c>
      <c r="K248" s="91" t="str">
        <f t="shared" ref="K248:L248" si="182">$F248&amp;". "&amp;H248</f>
        <v>140. La série de questions suivante s'adresse uniquement aux femmes mariées. Es-tu marié?</v>
      </c>
      <c r="L248" s="91" t="str">
        <f t="shared" si="182"/>
        <v>140. Tambayoyi na gaba na matan aure ne kawai. Ko ki na da aure?</v>
      </c>
    </row>
    <row r="249">
      <c r="A249" s="81" t="s">
        <v>338</v>
      </c>
      <c r="B249" s="131" t="s">
        <v>1230</v>
      </c>
      <c r="C249" s="31" t="s">
        <v>1773</v>
      </c>
      <c r="D249" s="31" t="s">
        <v>1774</v>
      </c>
      <c r="E249" s="31" t="s">
        <v>1775</v>
      </c>
      <c r="F249" s="89">
        <v>141.0</v>
      </c>
      <c r="G249" s="91" t="str">
        <f>IFERROR(__xludf.DUMMYFUNCTION("TRIM(REGEXREPLACE(C249, ""[0-9]+[a-f]?\."", """"))"),"Are you married to ${pm_name}?")</f>
        <v>Are you married to ${pm_name}?</v>
      </c>
      <c r="H249" s="91" t="str">
        <f>IFERROR(__xludf.DUMMYFUNCTION("TRIM(REGEXREPLACE(D249, ""[0-9]+[a-f]?\."", """"))"),"Êtes-vous mariée à ${pm_name} ?")</f>
        <v>Êtes-vous mariée à ${pm_name} ?</v>
      </c>
      <c r="I249" s="91" t="str">
        <f>IFERROR(__xludf.DUMMYFUNCTION("TRIM(REGEXREPLACE(E249, ""[0-9]+[a-f]?\."", """"))"),"Kuna da aure ${pm_name}?")</f>
        <v>Kuna da aure ${pm_name}?</v>
      </c>
      <c r="J249" s="91" t="str">
        <f t="shared" si="183"/>
        <v>141. Are you married to ${pm_name}?</v>
      </c>
      <c r="K249" s="91" t="str">
        <f t="shared" ref="K249:L249" si="184">$F249&amp;". "&amp;H249</f>
        <v>141. Êtes-vous mariée à ${pm_name} ?</v>
      </c>
      <c r="L249" s="91" t="str">
        <f t="shared" si="184"/>
        <v>141. Kuna da aure ${pm_name}?</v>
      </c>
    </row>
    <row r="250">
      <c r="A250" s="149" t="s">
        <v>237</v>
      </c>
      <c r="B250" s="131" t="s">
        <v>1250</v>
      </c>
      <c r="C250" s="31" t="s">
        <v>1776</v>
      </c>
      <c r="D250" s="31" t="s">
        <v>1777</v>
      </c>
      <c r="E250" s="31" t="s">
        <v>1778</v>
      </c>
      <c r="F250" s="89">
        <v>142.0</v>
      </c>
      <c r="G250" s="91" t="str">
        <f>IFERROR(__xludf.DUMMYFUNCTION("TRIM(REGEXREPLACE(C250, ""[0-9]+[a-f]?\."", """"))"),"In the past month, how many nights have you and your spouse stayed in the same place?")</f>
        <v>In the past month, how many nights have you and your spouse stayed in the same place?</v>
      </c>
      <c r="H250" s="91" t="str">
        <f>IFERROR(__xludf.DUMMYFUNCTION("TRIM(REGEXREPLACE(D250, ""[0-9]+[a-f]?\."", """"))"),"Au cours du mois dernier, combien de nuits avez-vous passées avec votre conjoint au même endroit ?")</f>
        <v>Au cours du mois dernier, combien de nuits avez-vous passées avec votre conjoint au même endroit ?</v>
      </c>
      <c r="I250" s="91" t="str">
        <f>IFERROR(__xludf.DUMMYFUNCTION("TRIM(REGEXREPLACE(E250, ""[0-9]+[a-f]?\."", """"))"),"A cikin watan da ya gabata, dare nawa kuka zauna tare da mijinki a wuri daya?")</f>
        <v>A cikin watan da ya gabata, dare nawa kuka zauna tare da mijinki a wuri daya?</v>
      </c>
      <c r="J250" s="91" t="str">
        <f t="shared" si="183"/>
        <v>142. In the past month, how many nights have you and your spouse stayed in the same place?</v>
      </c>
      <c r="K250" s="91" t="str">
        <f t="shared" ref="K250:L250" si="185">$F250&amp;". "&amp;H250</f>
        <v>142. Au cours du mois dernier, combien de nuits avez-vous passées avec votre conjoint au même endroit ?</v>
      </c>
      <c r="L250" s="91" t="str">
        <f t="shared" si="185"/>
        <v>142. A cikin watan da ya gabata, dare nawa kuka zauna tare da mijinki a wuri daya?</v>
      </c>
    </row>
    <row r="251">
      <c r="A251" s="126" t="s">
        <v>42</v>
      </c>
      <c r="B251" s="127" t="s">
        <v>1785</v>
      </c>
      <c r="C251" s="31" t="s">
        <v>1787</v>
      </c>
      <c r="D251" s="31" t="s">
        <v>1788</v>
      </c>
      <c r="E251" s="31" t="s">
        <v>1789</v>
      </c>
      <c r="F251" s="89">
        <v>143.0</v>
      </c>
      <c r="G251" s="91" t="str">
        <f>IFERROR(__xludf.DUMMYFUNCTION("TRIM(REGEXREPLACE(C251, ""[0-9]+[a-f]?\."", """"))"),"I am now going to mention some things that husband and wives sometimes speak about. Please tell me if you and your spouse talk about these things")</f>
        <v>I am now going to mention some things that husband and wives sometimes speak about. Please tell me if you and your spouse talk about these things</v>
      </c>
      <c r="H251" s="91" t="str">
        <f>IFERROR(__xludf.DUMMYFUNCTION("TRIM(REGEXREPLACE(D251, ""[0-9]+[a-f]?\."", """"))"),"Je vais maintenant mentionner certaines choses dont les maris et les femmes parlent parfois. Veuillez me dire si vous et votre conjoint parlez de ces choses")</f>
        <v>Je vais maintenant mentionner certaines choses dont les maris et les femmes parlent parfois. Veuillez me dire si vous et votre conjoint parlez de ces choses</v>
      </c>
      <c r="I251" s="91" t="str">
        <f>IFERROR(__xludf.DUMMYFUNCTION("TRIM(REGEXREPLACE(E251, ""[0-9]+[a-f]?\."", """"))"),"Yanzu zan ambaci wasu abubuwa da mata da miji suke magana akai. Don Allah ku gaya mini idan ku da mijinku kuna magana a kan waɗannan abubuwan")</f>
        <v>Yanzu zan ambaci wasu abubuwa da mata da miji suke magana akai. Don Allah ku gaya mini idan ku da mijinku kuna magana a kan waɗannan abubuwan</v>
      </c>
      <c r="J251" s="91" t="str">
        <f t="shared" si="183"/>
        <v>143. I am now going to mention some things that husband and wives sometimes speak about. Please tell me if you and your spouse talk about these things</v>
      </c>
      <c r="K251" s="91" t="str">
        <f t="shared" ref="K251:L251" si="186">$F251&amp;". "&amp;H251</f>
        <v>143. Je vais maintenant mentionner certaines choses dont les maris et les femmes parlent parfois. Veuillez me dire si vous et votre conjoint parlez de ces choses</v>
      </c>
      <c r="L251" s="91" t="str">
        <f t="shared" si="186"/>
        <v>143. Yanzu zan ambaci wasu abubuwa da mata da miji suke magana akai. Don Allah ku gaya mini idan ku da mijinku kuna magana a kan waɗannan abubuwan</v>
      </c>
    </row>
    <row r="252">
      <c r="A252" s="81" t="s">
        <v>841</v>
      </c>
      <c r="B252" s="142" t="s">
        <v>1793</v>
      </c>
      <c r="C252" s="31" t="s">
        <v>1795</v>
      </c>
      <c r="D252" s="31" t="s">
        <v>1797</v>
      </c>
      <c r="E252" s="31" t="s">
        <v>1798</v>
      </c>
      <c r="F252" s="89">
        <v>144.0</v>
      </c>
      <c r="G252" s="91" t="str">
        <f>IFERROR(__xludf.DUMMYFUNCTION("TRIM(REGEXREPLACE(C252, ""[0-9]+[a-f]?\."", """"))"),"Things that happen at work or in the fields?")</f>
        <v>Things that happen at work or in the fields?</v>
      </c>
      <c r="H252" s="91" t="str">
        <f>IFERROR(__xludf.DUMMYFUNCTION("TRIM(REGEXREPLACE(D252, ""[0-9]+[a-f]?\."", """"))"),"Des choses qui se passent au travail ou dans les champs ?")</f>
        <v>Des choses qui se passent au travail ou dans les champs ?</v>
      </c>
      <c r="I252" s="91" t="str">
        <f>IFERROR(__xludf.DUMMYFUNCTION("TRIM(REGEXREPLACE(E252, ""[0-9]+[a-f]?\."", """"))"),"Abubuwan da ke faruwa a wurin aiki ko a gona?")</f>
        <v>Abubuwan da ke faruwa a wurin aiki ko a gona?</v>
      </c>
      <c r="J252" s="91" t="str">
        <f t="shared" si="183"/>
        <v>144. Things that happen at work or in the fields?</v>
      </c>
      <c r="K252" s="91" t="str">
        <f t="shared" ref="K252:L252" si="187">$F252&amp;". "&amp;H252</f>
        <v>144. Des choses qui se passent au travail ou dans les champs ?</v>
      </c>
      <c r="L252" s="91" t="str">
        <f t="shared" si="187"/>
        <v>144. Abubuwan da ke faruwa a wurin aiki ko a gona?</v>
      </c>
    </row>
    <row r="253">
      <c r="A253" s="81" t="s">
        <v>841</v>
      </c>
      <c r="B253" s="142" t="s">
        <v>1800</v>
      </c>
      <c r="C253" s="31" t="s">
        <v>1801</v>
      </c>
      <c r="D253" s="31" t="s">
        <v>1802</v>
      </c>
      <c r="E253" s="31" t="s">
        <v>1803</v>
      </c>
      <c r="F253" s="89">
        <v>145.0</v>
      </c>
      <c r="G253" s="91" t="str">
        <f>IFERROR(__xludf.DUMMYFUNCTION("TRIM(REGEXREPLACE(C253, ""[0-9]+[a-f]?\."", """"))"),"Things that happen in the community?")</f>
        <v>Things that happen in the community?</v>
      </c>
      <c r="H253" s="91" t="str">
        <f>IFERROR(__xludf.DUMMYFUNCTION("TRIM(REGEXREPLACE(D253, ""[0-9]+[a-f]?\."", """"))"),"Des choses qui se passent dans la communauté ?")</f>
        <v>Des choses qui se passent dans la communauté ?</v>
      </c>
      <c r="I253" s="91" t="str">
        <f>IFERROR(__xludf.DUMMYFUNCTION("TRIM(REGEXREPLACE(E253, ""[0-9]+[a-f]?\."", """"))"),"Abubuwan da ke faruwa a cikin al'umma?")</f>
        <v>Abubuwan da ke faruwa a cikin al'umma?</v>
      </c>
      <c r="J253" s="91" t="str">
        <f t="shared" si="183"/>
        <v>145. Things that happen in the community?</v>
      </c>
      <c r="K253" s="91" t="str">
        <f t="shared" ref="K253:L253" si="188">$F253&amp;". "&amp;H253</f>
        <v>145. Des choses qui se passent dans la communauté ?</v>
      </c>
      <c r="L253" s="91" t="str">
        <f t="shared" si="188"/>
        <v>145. Abubuwan da ke faruwa a cikin al'umma?</v>
      </c>
    </row>
    <row r="254">
      <c r="A254" s="81" t="s">
        <v>841</v>
      </c>
      <c r="B254" s="142" t="s">
        <v>1810</v>
      </c>
      <c r="C254" s="31" t="s">
        <v>1811</v>
      </c>
      <c r="D254" s="31" t="s">
        <v>1812</v>
      </c>
      <c r="E254" s="31" t="s">
        <v>1813</v>
      </c>
      <c r="F254" s="89">
        <v>146.0</v>
      </c>
      <c r="G254" s="91" t="str">
        <f>IFERROR(__xludf.DUMMYFUNCTION("TRIM(REGEXREPLACE(C254, ""[0-9]+[a-f]?\."", """"))"),"Who to vote for in local elections?")</f>
        <v>Who to vote for in local elections?</v>
      </c>
      <c r="H254" s="91" t="str">
        <f>IFERROR(__xludf.DUMMYFUNCTION("TRIM(REGEXREPLACE(D254, ""[0-9]+[a-f]?\."", """"))"),"Pour qui voter aux élections municipales ?")</f>
        <v>Pour qui voter aux élections municipales ?</v>
      </c>
      <c r="I254" s="91" t="str">
        <f>IFERROR(__xludf.DUMMYFUNCTION("TRIM(REGEXREPLACE(E254, ""[0-9]+[a-f]?\."", """"))"),"Wanene za'a zaɓa a zaɓen ƙananan hukumomi?")</f>
        <v>Wanene za'a zaɓa a zaɓen ƙananan hukumomi?</v>
      </c>
      <c r="J254" s="91" t="str">
        <f t="shared" si="183"/>
        <v>146. Who to vote for in local elections?</v>
      </c>
      <c r="K254" s="91" t="str">
        <f t="shared" ref="K254:L254" si="189">$F254&amp;". "&amp;H254</f>
        <v>146. Pour qui voter aux élections municipales ?</v>
      </c>
      <c r="L254" s="91" t="str">
        <f t="shared" si="189"/>
        <v>146. Wanene za'a zaɓa a zaɓen ƙananan hukumomi?</v>
      </c>
    </row>
    <row r="255">
      <c r="A255" s="81" t="s">
        <v>841</v>
      </c>
      <c r="B255" s="142" t="s">
        <v>1817</v>
      </c>
      <c r="C255" s="31" t="s">
        <v>1818</v>
      </c>
      <c r="D255" s="31" t="s">
        <v>1819</v>
      </c>
      <c r="E255" s="31" t="s">
        <v>1820</v>
      </c>
      <c r="F255" s="89">
        <v>147.0</v>
      </c>
      <c r="G255" s="91" t="str">
        <f>IFERROR(__xludf.DUMMYFUNCTION("TRIM(REGEXREPLACE(C255, ""[0-9]+[a-f]?\."", """"))"),"How to you invest your money such as whether to improve your house")</f>
        <v>How to you invest your money such as whether to improve your house</v>
      </c>
      <c r="H255" s="91" t="str">
        <f>IFERROR(__xludf.DUMMYFUNCTION("TRIM(REGEXREPLACE(D255, ""[0-9]+[a-f]?\."", """"))"),"Comment investir votre argent, par exemple pour améliorer votre maison")</f>
        <v>Comment investir votre argent, par exemple pour améliorer votre maison</v>
      </c>
      <c r="I255" s="91" t="str">
        <f>IFERROR(__xludf.DUMMYFUNCTION("TRIM(REGEXREPLACE(E255, ""[0-9]+[a-f]?\."", """"))"),"Yadda za ku kashe kuɗin ku, kamar gyaran gidanku")</f>
        <v>Yadda za ku kashe kuɗin ku, kamar gyaran gidanku</v>
      </c>
      <c r="J255" s="91" t="str">
        <f t="shared" si="183"/>
        <v>147. How to you invest your money such as whether to improve your house</v>
      </c>
      <c r="K255" s="91" t="str">
        <f t="shared" ref="K255:L255" si="190">$F255&amp;". "&amp;H255</f>
        <v>147. Comment investir votre argent, par exemple pour améliorer votre maison</v>
      </c>
      <c r="L255" s="91" t="str">
        <f t="shared" si="190"/>
        <v>147. Yadda za ku kashe kuɗin ku, kamar gyaran gidanku</v>
      </c>
    </row>
    <row r="256">
      <c r="A256" s="81" t="s">
        <v>841</v>
      </c>
      <c r="B256" s="142" t="s">
        <v>1825</v>
      </c>
      <c r="C256" s="31" t="s">
        <v>1827</v>
      </c>
      <c r="D256" s="31" t="s">
        <v>1829</v>
      </c>
      <c r="E256" s="31" t="s">
        <v>1830</v>
      </c>
      <c r="F256" s="89">
        <v>148.0</v>
      </c>
      <c r="G256" s="91" t="str">
        <f>IFERROR(__xludf.DUMMYFUNCTION("TRIM(REGEXREPLACE(C256, ""[0-9]+[a-f]?\."", """"))"),"Family planning (when to have children)")</f>
        <v>Family planning (when to have children)</v>
      </c>
      <c r="H256" s="91" t="str">
        <f>IFERROR(__xludf.DUMMYFUNCTION("TRIM(REGEXREPLACE(D256, ""[0-9]+[a-f]?\."", """"))"),"Planification familiale (quand avoir des enfants)")</f>
        <v>Planification familiale (quand avoir des enfants)</v>
      </c>
      <c r="I256" s="91" t="str">
        <f>IFERROR(__xludf.DUMMYFUNCTION("TRIM(REGEXREPLACE(E256, ""[0-9]+[a-f]?\."", """"))"),"Tsarin iyali (lokacin ɗaukan ciki)")</f>
        <v>Tsarin iyali (lokacin ɗaukan ciki)</v>
      </c>
      <c r="J256" s="91" t="str">
        <f t="shared" si="183"/>
        <v>148. Family planning (when to have children)</v>
      </c>
      <c r="K256" s="91" t="str">
        <f t="shared" ref="K256:L256" si="191">$F256&amp;". "&amp;H256</f>
        <v>148. Planification familiale (quand avoir des enfants)</v>
      </c>
      <c r="L256" s="91" t="str">
        <f t="shared" si="191"/>
        <v>148. Tsarin iyali (lokacin ɗaukan ciki)</v>
      </c>
    </row>
    <row r="257">
      <c r="A257" s="81" t="s">
        <v>841</v>
      </c>
      <c r="B257" s="131" t="s">
        <v>1831</v>
      </c>
      <c r="C257" s="206" t="s">
        <v>1832</v>
      </c>
      <c r="D257" s="207" t="s">
        <v>1836</v>
      </c>
      <c r="E257" s="207" t="s">
        <v>1839</v>
      </c>
      <c r="F257" s="89">
        <v>149.0</v>
      </c>
      <c r="G257" s="91" t="str">
        <f>IFERROR(__xludf.DUMMYFUNCTION("TRIM(REGEXREPLACE(C257, ""[0-9]+[a-f]?\."", """"))"),"Children’s enrollment in school")</f>
        <v>Children’s enrollment in school</v>
      </c>
      <c r="H257" s="91" t="str">
        <f>IFERROR(__xludf.DUMMYFUNCTION("TRIM(REGEXREPLACE(D257, ""[0-9]+[a-f]?\."", """"))"),"Scolarisation des enfants")</f>
        <v>Scolarisation des enfants</v>
      </c>
      <c r="I257" s="91" t="str">
        <f>IFERROR(__xludf.DUMMYFUNCTION("TRIM(REGEXREPLACE(E257, ""[0-9]+[a-f]?\."", """"))"),"Shigar da yara makaranta")</f>
        <v>Shigar da yara makaranta</v>
      </c>
      <c r="J257" s="91" t="str">
        <f t="shared" si="183"/>
        <v>149. Children’s enrollment in school</v>
      </c>
      <c r="K257" s="91" t="str">
        <f t="shared" ref="K257:L257" si="192">$F257&amp;". "&amp;H257</f>
        <v>149. Scolarisation des enfants</v>
      </c>
      <c r="L257" s="91" t="str">
        <f t="shared" si="192"/>
        <v>149. Shigar da yara makaranta</v>
      </c>
    </row>
    <row r="258">
      <c r="A258" s="81" t="s">
        <v>841</v>
      </c>
      <c r="B258" s="131" t="s">
        <v>1842</v>
      </c>
      <c r="C258" s="206" t="s">
        <v>1844</v>
      </c>
      <c r="D258" s="207" t="s">
        <v>1846</v>
      </c>
      <c r="E258" s="207" t="s">
        <v>1847</v>
      </c>
      <c r="F258" s="89">
        <v>150.0</v>
      </c>
      <c r="G258" s="91" t="str">
        <f>IFERROR(__xludf.DUMMYFUNCTION("TRIM(REGEXREPLACE(C258, ""[0-9]+[a-f]?\."", """"))"),"The age at which your daughters should marry")</f>
        <v>The age at which your daughters should marry</v>
      </c>
      <c r="H258" s="91" t="str">
        <f>IFERROR(__xludf.DUMMYFUNCTION("TRIM(REGEXREPLACE(D258, ""[0-9]+[a-f]?\."", """"))"),"Âge auquel vos filles devraient se marier")</f>
        <v>Âge auquel vos filles devraient se marier</v>
      </c>
      <c r="I258" s="91" t="str">
        <f>IFERROR(__xludf.DUMMYFUNCTION("TRIM(REGEXREPLACE(E258, ""[0-9]+[a-f]?\."", """"))"),"Shekarar da ƴaƴanku mata zasu yin aure")</f>
        <v>Shekarar da ƴaƴanku mata zasu yin aure</v>
      </c>
      <c r="J258" s="91" t="str">
        <f t="shared" si="183"/>
        <v>150. The age at which your daughters should marry</v>
      </c>
      <c r="K258" s="91" t="str">
        <f t="shared" ref="K258:L258" si="193">$F258&amp;". "&amp;H258</f>
        <v>150. Âge auquel vos filles devraient se marier</v>
      </c>
      <c r="L258" s="91" t="str">
        <f t="shared" si="193"/>
        <v>150. Shekarar da ƴaƴanku mata zasu yin aure</v>
      </c>
    </row>
    <row r="259">
      <c r="A259" s="81" t="s">
        <v>841</v>
      </c>
      <c r="B259" s="142" t="s">
        <v>1848</v>
      </c>
      <c r="C259" s="31" t="s">
        <v>1849</v>
      </c>
      <c r="D259" s="31" t="s">
        <v>1851</v>
      </c>
      <c r="E259" s="31" t="s">
        <v>1853</v>
      </c>
      <c r="F259" s="89">
        <v>151.0</v>
      </c>
      <c r="G259" s="91" t="str">
        <f>IFERROR(__xludf.DUMMYFUNCTION("TRIM(REGEXREPLACE(C259, ""[0-9]+[a-f]?\."", """"))"),"Do you and your spouse ever disagree about any of these topics?")</f>
        <v>Do you and your spouse ever disagree about any of these topics?</v>
      </c>
      <c r="H259" s="91" t="str">
        <f>IFERROR(__xludf.DUMMYFUNCTION("TRIM(REGEXREPLACE(D259, ""[0-9]+[a-f]?\."", """"))"),"Vous et votre conjoint avez-vous déjà eu un désaccord sur ces sujets ?")</f>
        <v>Vous et votre conjoint avez-vous déjà eu un désaccord sur ces sujets ?</v>
      </c>
      <c r="I259" s="91" t="str">
        <f>IFERROR(__xludf.DUMMYFUNCTION("TRIM(REGEXREPLACE(E259, ""[0-9]+[a-f]?\."", """"))"),"Ko ke da mijnki kun taɓa samun saɓani game da waɗannan batutuwa?")</f>
        <v>Ko ke da mijnki kun taɓa samun saɓani game da waɗannan batutuwa?</v>
      </c>
      <c r="J259" s="91" t="str">
        <f t="shared" si="183"/>
        <v>151. Do you and your spouse ever disagree about any of these topics?</v>
      </c>
      <c r="K259" s="91" t="str">
        <f t="shared" ref="K259:L259" si="194">$F259&amp;". "&amp;H259</f>
        <v>151. Vous et votre conjoint avez-vous déjà eu un désaccord sur ces sujets ?</v>
      </c>
      <c r="L259" s="91" t="str">
        <f t="shared" si="194"/>
        <v>151. Ko ke da mijnki kun taɓa samun saɓani game da waɗannan batutuwa?</v>
      </c>
    </row>
    <row r="260">
      <c r="A260" s="81" t="s">
        <v>841</v>
      </c>
      <c r="B260" s="142" t="s">
        <v>1855</v>
      </c>
      <c r="C260" s="31" t="s">
        <v>1856</v>
      </c>
      <c r="D260" s="31" t="s">
        <v>1857</v>
      </c>
      <c r="E260" s="31" t="s">
        <v>1858</v>
      </c>
      <c r="F260" s="89">
        <v>152.0</v>
      </c>
      <c r="G260" s="91" t="str">
        <f>IFERROR(__xludf.DUMMYFUNCTION("TRIM(REGEXREPLACE(C260, ""[0-9]+[a-f]?\."", """"))"),"Do these conversations ever get contentious?")</f>
        <v>Do these conversations ever get contentious?</v>
      </c>
      <c r="H260" s="91" t="str">
        <f>IFERROR(__xludf.DUMMYFUNCTION("TRIM(REGEXREPLACE(D260, ""[0-9]+[a-f]?\."", """"))"),"Ces conversations deviennent-elles parfois controversées ?")</f>
        <v>Ces conversations deviennent-elles parfois controversées ?</v>
      </c>
      <c r="I260" s="91" t="str">
        <f>IFERROR(__xludf.DUMMYFUNCTION("TRIM(REGEXREPLACE(E260, ""[0-9]+[a-f]?\."", """"))"),"Ko waɗannan hirarrakin sun taɓa zama sabani?")</f>
        <v>Ko waɗannan hirarrakin sun taɓa zama sabani?</v>
      </c>
      <c r="J260" s="91" t="str">
        <f t="shared" si="183"/>
        <v>152. Do these conversations ever get contentious?</v>
      </c>
      <c r="K260" s="91" t="str">
        <f t="shared" ref="K260:L260" si="195">$F260&amp;". "&amp;H260</f>
        <v>152. Ces conversations deviennent-elles parfois controversées ?</v>
      </c>
      <c r="L260" s="91" t="str">
        <f t="shared" si="195"/>
        <v>152. Ko waɗannan hirarrakin sun taɓa zama sabani?</v>
      </c>
    </row>
    <row r="261">
      <c r="A261" s="128" t="s">
        <v>338</v>
      </c>
      <c r="B261" s="129" t="s">
        <v>1862</v>
      </c>
      <c r="C261" s="31" t="s">
        <v>1863</v>
      </c>
      <c r="D261" s="31" t="s">
        <v>1864</v>
      </c>
      <c r="E261" s="31" t="s">
        <v>1865</v>
      </c>
      <c r="F261" s="89">
        <v>153.0</v>
      </c>
      <c r="G261" s="91" t="str">
        <f>IFERROR(__xludf.DUMMYFUNCTION("TRIM(REGEXREPLACE(C261, ""[0-9]+[a-f]?\."", """"))"),"Do you avoid talking with your husband about certain topics due to fear about how your husband would respond?")</f>
        <v>Do you avoid talking with your husband about certain topics due to fear about how your husband would respond?</v>
      </c>
      <c r="H261" s="91" t="str">
        <f>IFERROR(__xludf.DUMMYFUNCTION("TRIM(REGEXREPLACE(D261, ""[0-9]+[a-f]?\."", """"))"),"Évitez-vous d'aborder certains sujets avec votre mari par crainte de sa réaction ?")</f>
        <v>Évitez-vous d'aborder certains sujets avec votre mari par crainte de sa réaction ?</v>
      </c>
      <c r="I261" s="91" t="str">
        <f>IFERROR(__xludf.DUMMYFUNCTION("TRIM(REGEXREPLACE(E261, ""[0-9]+[a-f]?\."", """"))"),"Ko kina gujewa yin magana da mijinki akan wasu batutuwa saboda tsoron yadda zai mayar miki da maganar ?")</f>
        <v>Ko kina gujewa yin magana da mijinki akan wasu batutuwa saboda tsoron yadda zai mayar miki da maganar ?</v>
      </c>
      <c r="J261" s="91" t="str">
        <f t="shared" si="183"/>
        <v>153. Do you avoid talking with your husband about certain topics due to fear about how your husband would respond?</v>
      </c>
      <c r="K261" s="91" t="str">
        <f t="shared" ref="K261:L261" si="196">$F261&amp;". "&amp;H261</f>
        <v>153. Évitez-vous d'aborder certains sujets avec votre mari par crainte de sa réaction ?</v>
      </c>
      <c r="L261" s="91" t="str">
        <f t="shared" si="196"/>
        <v>153. Ko kina gujewa yin magana da mijinki akan wasu batutuwa saboda tsoron yadda zai mayar miki da maganar ?</v>
      </c>
    </row>
    <row r="262">
      <c r="A262" s="128" t="s">
        <v>1869</v>
      </c>
      <c r="B262" s="129" t="s">
        <v>1870</v>
      </c>
      <c r="C262" s="31" t="s">
        <v>1871</v>
      </c>
      <c r="D262" s="31" t="s">
        <v>1872</v>
      </c>
      <c r="E262" s="31" t="s">
        <v>1873</v>
      </c>
      <c r="F262" s="89">
        <v>154.0</v>
      </c>
      <c r="G262" s="91" t="str">
        <f>IFERROR(__xludf.DUMMYFUNCTION("TRIM(REGEXREPLACE(C262, ""[0-9]+[a-f]?\."", """"))"),"What topics do you avoid?")</f>
        <v>What topics do you avoid?</v>
      </c>
      <c r="H262" s="91" t="str">
        <f>IFERROR(__xludf.DUMMYFUNCTION("TRIM(REGEXREPLACE(D262, ""[0-9]+[a-f]?\."", """"))"),"Quels sujets évitez-vous ?")</f>
        <v>Quels sujets évitez-vous ?</v>
      </c>
      <c r="I262" s="91" t="str">
        <f>IFERROR(__xludf.DUMMYFUNCTION("TRIM(REGEXREPLACE(E262, ""[0-9]+[a-f]?\."", """"))"),"Wadanne batutuwa kuke gujewa?")</f>
        <v>Wadanne batutuwa kuke gujewa?</v>
      </c>
      <c r="J262" s="91" t="str">
        <f t="shared" si="183"/>
        <v>154. What topics do you avoid?</v>
      </c>
      <c r="K262" s="91" t="str">
        <f t="shared" ref="K262:L262" si="197">$F262&amp;". "&amp;H262</f>
        <v>154. Quels sujets évitez-vous ?</v>
      </c>
      <c r="L262" s="91" t="str">
        <f t="shared" si="197"/>
        <v>154. Wadanne batutuwa kuke gujewa?</v>
      </c>
    </row>
    <row r="263">
      <c r="A263" s="128" t="s">
        <v>214</v>
      </c>
      <c r="B263" s="129" t="s">
        <v>1874</v>
      </c>
      <c r="C263" s="31" t="s">
        <v>1875</v>
      </c>
      <c r="D263" s="31" t="s">
        <v>709</v>
      </c>
      <c r="E263" s="31" t="s">
        <v>1876</v>
      </c>
      <c r="F263" s="89">
        <v>155.0</v>
      </c>
      <c r="G263" s="91" t="str">
        <f>IFERROR(__xludf.DUMMYFUNCTION("TRIM(REGEXREPLACE(C263, ""[0-9]+[a-f]?\."", """"))"),"Specify other")</f>
        <v>Specify other</v>
      </c>
      <c r="H263" s="91" t="str">
        <f>IFERROR(__xludf.DUMMYFUNCTION("TRIM(REGEXREPLACE(D263, ""[0-9]+[a-f]?\."", """"))"),"Autre à préciser")</f>
        <v>Autre à préciser</v>
      </c>
      <c r="I263" s="91" t="str">
        <f>IFERROR(__xludf.DUMMYFUNCTION("TRIM(REGEXREPLACE(E263, ""[0-9]+[a-f]?\."", """"))"),"Wani daban a Bayyana")</f>
        <v>Wani daban a Bayyana</v>
      </c>
      <c r="J263" s="91" t="str">
        <f t="shared" si="183"/>
        <v>155. Specify other</v>
      </c>
      <c r="K263" s="91" t="str">
        <f t="shared" ref="K263:L263" si="198">$F263&amp;". "&amp;H263</f>
        <v>155. Autre à préciser</v>
      </c>
      <c r="L263" s="91" t="str">
        <f t="shared" si="198"/>
        <v>155. Wani daban a Bayyana</v>
      </c>
    </row>
    <row r="264">
      <c r="A264" s="126" t="s">
        <v>42</v>
      </c>
      <c r="B264" s="127" t="s">
        <v>1880</v>
      </c>
      <c r="C264" s="31" t="s">
        <v>1881</v>
      </c>
      <c r="D264" s="31" t="s">
        <v>1882</v>
      </c>
      <c r="E264" s="31" t="s">
        <v>1883</v>
      </c>
      <c r="F264" s="89">
        <v>156.0</v>
      </c>
      <c r="G264" s="91" t="str">
        <f>IFERROR(__xludf.DUMMYFUNCTION("TRIM(REGEXREPLACE(C264, ""[0-9]+[a-f]?\."", """"))"),"I will read you several statements. Please tell me the extent do you agree/disagree with each:")</f>
        <v>I will read you several statements. Please tell me the extent do you agree/disagree with each:</v>
      </c>
      <c r="H264" s="91" t="str">
        <f>IFERROR(__xludf.DUMMYFUNCTION("TRIM(REGEXREPLACE(D264, ""[0-9]+[a-f]?\."", """"))"),"Je vais vous lire plusieurs déclarations. Veuillez me dire dans quelle mesure êtes-vous d'accord/pas d'accord avec chacun :")</f>
        <v>Je vais vous lire plusieurs déclarations. Veuillez me dire dans quelle mesure êtes-vous d'accord/pas d'accord avec chacun :</v>
      </c>
      <c r="I264" s="91" t="str">
        <f>IFERROR(__xludf.DUMMYFUNCTION("TRIM(REGEXREPLACE(E264, ""[0-9]+[a-f]?\."", """"))"),"Zan karanta muku maganganu da yawa. Da fatan za a gaya mini iya yarda/rishin yarda da kowanne:")</f>
        <v>Zan karanta muku maganganu da yawa. Da fatan za a gaya mini iya yarda/rishin yarda da kowanne:</v>
      </c>
      <c r="J264" s="91" t="str">
        <f t="shared" si="183"/>
        <v>156. I will read you several statements. Please tell me the extent do you agree/disagree with each:</v>
      </c>
      <c r="K264" s="91" t="str">
        <f t="shared" ref="K264:L264" si="199">$F264&amp;". "&amp;H264</f>
        <v>156. Je vais vous lire plusieurs déclarations. Veuillez me dire dans quelle mesure êtes-vous d'accord/pas d'accord avec chacun :</v>
      </c>
      <c r="L264" s="91" t="str">
        <f t="shared" si="199"/>
        <v>156. Zan karanta muku maganganu da yawa. Da fatan za a gaya mini iya yarda/rishin yarda da kowanne:</v>
      </c>
    </row>
    <row r="265">
      <c r="A265" s="81" t="s">
        <v>906</v>
      </c>
      <c r="B265" s="142" t="s">
        <v>1888</v>
      </c>
      <c r="C265" s="31" t="s">
        <v>1889</v>
      </c>
      <c r="D265" s="31" t="s">
        <v>1890</v>
      </c>
      <c r="E265" s="31" t="s">
        <v>1892</v>
      </c>
      <c r="F265" s="89">
        <v>157.0</v>
      </c>
      <c r="G265" s="91" t="str">
        <f>IFERROR(__xludf.DUMMYFUNCTION("TRIM(REGEXREPLACE(C265, ""[0-9]+[a-f]?\."", """"))"),"I must always respect decisions taken by my household even if you do not agree")</f>
        <v>I must always respect decisions taken by my household even if you do not agree</v>
      </c>
      <c r="H265" s="91" t="str">
        <f>IFERROR(__xludf.DUMMYFUNCTION("TRIM(REGEXREPLACE(D265, ""[0-9]+[a-f]?\."", """"))"),"Je dois toujours respecter les décisions prises par mon ménage même si je ne suis pas d'accord")</f>
        <v>Je dois toujours respecter les décisions prises par mon ménage même si je ne suis pas d'accord</v>
      </c>
      <c r="I265" s="91" t="str">
        <f>IFERROR(__xludf.DUMMYFUNCTION("TRIM(REGEXREPLACE(E265, ""[0-9]+[a-f]?\."", """"))"),"Dole ne in mutunta shawarar da gidanmu ya yanke ko da ba ra'ayina ba ne")</f>
        <v>Dole ne in mutunta shawarar da gidanmu ya yanke ko da ba ra'ayina ba ne</v>
      </c>
      <c r="J265" s="91" t="str">
        <f t="shared" si="183"/>
        <v>157. I must always respect decisions taken by my household even if you do not agree</v>
      </c>
      <c r="K265" s="91" t="str">
        <f t="shared" ref="K265:L265" si="200">$F265&amp;". "&amp;H265</f>
        <v>157. Je dois toujours respecter les décisions prises par mon ménage même si je ne suis pas d'accord</v>
      </c>
      <c r="L265" s="91" t="str">
        <f t="shared" si="200"/>
        <v>157. Dole ne in mutunta shawarar da gidanmu ya yanke ko da ba ra'ayina ba ne</v>
      </c>
    </row>
    <row r="266">
      <c r="A266" s="81" t="s">
        <v>906</v>
      </c>
      <c r="B266" s="142" t="s">
        <v>1898</v>
      </c>
      <c r="C266" s="31" t="s">
        <v>1899</v>
      </c>
      <c r="D266" s="31" t="s">
        <v>1900</v>
      </c>
      <c r="E266" s="31" t="s">
        <v>1901</v>
      </c>
      <c r="F266" s="89">
        <v>158.0</v>
      </c>
      <c r="G266" s="91" t="str">
        <f>IFERROR(__xludf.DUMMYFUNCTION("TRIM(REGEXREPLACE(C266, ""[0-9]+[a-f]?\."", """"))"),"I should always sacrifice my personal needs and wants to satisfy my parents.")</f>
        <v>I should always sacrifice my personal needs and wants to satisfy my parents.</v>
      </c>
      <c r="H266" s="91" t="str">
        <f>IFERROR(__xludf.DUMMYFUNCTION("TRIM(REGEXREPLACE(D266, ""[0-9]+[a-f]?\."", """"))"),"Je devrais toujours sacrifier mes besoins personnels et vouloir satisfaire mes parents.")</f>
        <v>Je devrais toujours sacrifier mes besoins personnels et vouloir satisfaire mes parents.</v>
      </c>
      <c r="I266" s="91" t="str">
        <f>IFERROR(__xludf.DUMMYFUNCTION("TRIM(REGEXREPLACE(E266, ""[0-9]+[a-f]?\."", """"))"),"Dole ne ko yaushe in sadaukar da bukatuna na kaina don in gamsar da iyayena.")</f>
        <v>Dole ne ko yaushe in sadaukar da bukatuna na kaina don in gamsar da iyayena.</v>
      </c>
      <c r="J266" s="91" t="str">
        <f t="shared" si="183"/>
        <v>158. I should always sacrifice my personal needs and wants to satisfy my parents.</v>
      </c>
      <c r="K266" s="91" t="str">
        <f t="shared" ref="K266:L266" si="201">$F266&amp;". "&amp;H266</f>
        <v>158. Je devrais toujours sacrifier mes besoins personnels et vouloir satisfaire mes parents.</v>
      </c>
      <c r="L266" s="91" t="str">
        <f t="shared" si="201"/>
        <v>158. Dole ne ko yaushe in sadaukar da bukatuna na kaina don in gamsar da iyayena.</v>
      </c>
    </row>
    <row r="267">
      <c r="A267" s="81" t="s">
        <v>906</v>
      </c>
      <c r="B267" s="142" t="s">
        <v>1903</v>
      </c>
      <c r="C267" s="31" t="s">
        <v>1905</v>
      </c>
      <c r="D267" s="31" t="s">
        <v>1907</v>
      </c>
      <c r="E267" s="31" t="s">
        <v>1908</v>
      </c>
      <c r="F267" s="89">
        <v>159.0</v>
      </c>
      <c r="G267" s="91" t="str">
        <f>IFERROR(__xludf.DUMMYFUNCTION("TRIM(REGEXREPLACE(C267, ""[0-9]+[a-f]?\."", """"))"),"If I had an emergency that required 5,000 CFA urgently (within 3 days), I would be able to find the money.")</f>
        <v>If I had an emergency that required 5,000 CFA urgently (within 3 days), I would be able to find the money.</v>
      </c>
      <c r="H267" s="91" t="str">
        <f>IFERROR(__xludf.DUMMYFUNCTION("TRIM(REGEXREPLACE(D267, ""[0-9]+[a-f]?\."", """"))"),"Si j'avais une urgence qui nécessitait 5 000 CFA en urgence (dans les 3 jours), je serais capable de trouver l'argent.")</f>
        <v>Si j'avais une urgence qui nécessitait 5 000 CFA en urgence (dans les 3 jours), je serais capable de trouver l'argent.</v>
      </c>
      <c r="I267" s="91" t="str">
        <f>IFERROR(__xludf.DUMMYFUNCTION("TRIM(REGEXREPLACE(E267, ""[0-9]+[a-f]?\."", """"))"),"Idan ina da biƙatar gaggawa na 5,000 CFA (a cikin kwanaki 3), zan iya samun kuɗin.")</f>
        <v>Idan ina da biƙatar gaggawa na 5,000 CFA (a cikin kwanaki 3), zan iya samun kuɗin.</v>
      </c>
      <c r="J267" s="91" t="str">
        <f t="shared" si="183"/>
        <v>159. If I had an emergency that required 5,000 CFA urgently (within 3 days), I would be able to find the money.</v>
      </c>
      <c r="K267" s="91" t="str">
        <f t="shared" ref="K267:L267" si="202">$F267&amp;". "&amp;H267</f>
        <v>159. Si j'avais une urgence qui nécessitait 5 000 CFA en urgence (dans les 3 jours), je serais capable de trouver l'argent.</v>
      </c>
      <c r="L267" s="91" t="str">
        <f t="shared" si="202"/>
        <v>159. Idan ina da biƙatar gaggawa na 5,000 CFA (a cikin kwanaki 3), zan iya samun kuɗin.</v>
      </c>
    </row>
    <row r="268">
      <c r="A268" s="81" t="s">
        <v>1909</v>
      </c>
      <c r="B268" s="142" t="s">
        <v>1910</v>
      </c>
      <c r="C268" s="31" t="s">
        <v>1912</v>
      </c>
      <c r="D268" s="31" t="s">
        <v>1913</v>
      </c>
      <c r="E268" s="31" t="s">
        <v>1916</v>
      </c>
      <c r="F268" s="89">
        <v>160.0</v>
      </c>
      <c r="G268" s="91" t="str">
        <f>IFERROR(__xludf.DUMMYFUNCTION("TRIM(REGEXREPLACE(C268, ""[0-9]+[a-f]?\."", """"))"),"What type of person would you go to first for this money?")</f>
        <v>What type of person would you go to first for this money?</v>
      </c>
      <c r="H268" s="91" t="str">
        <f>IFERROR(__xludf.DUMMYFUNCTION("TRIM(REGEXREPLACE(D268, ""[0-9]+[a-f]?\."", """"))"),"Vers quel type de personne iriez-vous en premier pour cet argent ?")</f>
        <v>Vers quel type de personne iriez-vous en premier pour cet argent ?</v>
      </c>
      <c r="I268" s="91" t="str">
        <f>IFERROR(__xludf.DUMMYFUNCTION("TRIM(REGEXREPLACE(E268, ""[0-9]+[a-f]?\."", """"))"),"Wane irin mutum ne za ku fara zuwa wurin shi don wannan kuɗin?")</f>
        <v>Wane irin mutum ne za ku fara zuwa wurin shi don wannan kuɗin?</v>
      </c>
      <c r="J268" s="91" t="str">
        <f t="shared" si="183"/>
        <v>160. What type of person would you go to first for this money?</v>
      </c>
      <c r="K268" s="91" t="str">
        <f t="shared" ref="K268:L268" si="203">$F268&amp;". "&amp;H268</f>
        <v>160. Vers quel type de personne iriez-vous en premier pour cet argent ?</v>
      </c>
      <c r="L268" s="91" t="str">
        <f t="shared" si="203"/>
        <v>160. Wane irin mutum ne za ku fara zuwa wurin shi don wannan kuɗin?</v>
      </c>
    </row>
    <row r="269">
      <c r="A269" s="133" t="s">
        <v>214</v>
      </c>
      <c r="B269" s="143" t="s">
        <v>1923</v>
      </c>
      <c r="C269" s="31" t="s">
        <v>1924</v>
      </c>
      <c r="D269" s="31" t="s">
        <v>1925</v>
      </c>
      <c r="E269" s="31" t="s">
        <v>1926</v>
      </c>
      <c r="F269" s="89">
        <v>161.0</v>
      </c>
      <c r="G269" s="91" t="str">
        <f>IFERROR(__xludf.DUMMYFUNCTION("TRIM(REGEXREPLACE(C269, ""[0-9]+[a-f]?\."", """"))"),"Specify your relationship with this person")</f>
        <v>Specify your relationship with this person</v>
      </c>
      <c r="H269" s="91" t="str">
        <f>IFERROR(__xludf.DUMMYFUNCTION("TRIM(REGEXREPLACE(D269, ""[0-9]+[a-f]?\."", """"))"),"Précisez votre relation avec cette personne")</f>
        <v>Précisez votre relation avec cette personne</v>
      </c>
      <c r="I269" s="91" t="str">
        <f>IFERROR(__xludf.DUMMYFUNCTION("TRIM(REGEXREPLACE(E269, ""[0-9]+[a-f]?\."", """"))"),"Faɗi dangantakar ku da wannan mutumen")</f>
        <v>Faɗi dangantakar ku da wannan mutumen</v>
      </c>
      <c r="J269" s="91" t="str">
        <f t="shared" si="183"/>
        <v>161. Specify your relationship with this person</v>
      </c>
      <c r="K269" s="91" t="str">
        <f t="shared" ref="K269:L269" si="204">$F269&amp;". "&amp;H269</f>
        <v>161. Précisez votre relation avec cette personne</v>
      </c>
      <c r="L269" s="91" t="str">
        <f t="shared" si="204"/>
        <v>161. Faɗi dangantakar ku da wannan mutumen</v>
      </c>
    </row>
    <row r="270">
      <c r="A270" s="126" t="s">
        <v>42</v>
      </c>
      <c r="B270" s="127" t="s">
        <v>1930</v>
      </c>
      <c r="C270" s="31" t="s">
        <v>1931</v>
      </c>
      <c r="D270" s="31" t="s">
        <v>1932</v>
      </c>
      <c r="E270" s="31" t="s">
        <v>1933</v>
      </c>
      <c r="F270" s="89">
        <v>162.0</v>
      </c>
      <c r="G270" s="91" t="str">
        <f>IFERROR(__xludf.DUMMYFUNCTION("TRIM(REGEXREPLACE(C270, ""[0-9]+[a-f]?\."", """"))"),"The next set of questions are about your opinions regarding the roles that women and men play")</f>
        <v>The next set of questions are about your opinions regarding the roles that women and men play</v>
      </c>
      <c r="H270" s="91" t="str">
        <f>IFERROR(__xludf.DUMMYFUNCTION("TRIM(REGEXREPLACE(D270, ""[0-9]+[a-f]?\."", """"))"),"La prochaine série de questions porte sur vos opinions concernant les rôles que jouent les femmes et les hommes")</f>
        <v>La prochaine série de questions porte sur vos opinions concernant les rôles que jouent les femmes et les hommes</v>
      </c>
      <c r="I270" s="91" t="str">
        <f>IFERROR(__xludf.DUMMYFUNCTION("TRIM(REGEXREPLACE(E270, ""[0-9]+[a-f]?\."", """"))"),"Tambayoyi na gaba sun ta'allaƙa ne da ra'ayoyin ku game da rawar da mata da maza suke takawa.")</f>
        <v>Tambayoyi na gaba sun ta'allaƙa ne da ra'ayoyin ku game da rawar da mata da maza suke takawa.</v>
      </c>
      <c r="J270" s="91" t="str">
        <f t="shared" si="183"/>
        <v>162. The next set of questions are about your opinions regarding the roles that women and men play</v>
      </c>
      <c r="K270" s="91" t="str">
        <f t="shared" ref="K270:L270" si="205">$F270&amp;". "&amp;H270</f>
        <v>162. La prochaine série de questions porte sur vos opinions concernant les rôles que jouent les femmes et les hommes</v>
      </c>
      <c r="L270" s="91" t="str">
        <f t="shared" si="205"/>
        <v>162. Tambayoyi na gaba sun ta'allaƙa ne da ra'ayoyin ku game da rawar da mata da maza suke takawa.</v>
      </c>
    </row>
    <row r="271">
      <c r="A271" s="81" t="s">
        <v>841</v>
      </c>
      <c r="B271" s="142" t="s">
        <v>1937</v>
      </c>
      <c r="C271" s="31" t="s">
        <v>1938</v>
      </c>
      <c r="D271" s="31" t="s">
        <v>1939</v>
      </c>
      <c r="E271" s="31" t="s">
        <v>1940</v>
      </c>
      <c r="F271" s="89">
        <v>163.0</v>
      </c>
      <c r="G271" s="91" t="str">
        <f>IFERROR(__xludf.DUMMYFUNCTION("TRIM(REGEXREPLACE(C271, ""[0-9]+[a-f]?\."", """"))"),"How often, if ever do you talk about the role of women in society with other people?")</f>
        <v>How often, if ever do you talk about the role of women in society with other people?</v>
      </c>
      <c r="H271" s="91" t="str">
        <f>IFERROR(__xludf.DUMMYFUNCTION("TRIM(REGEXREPLACE(D271, ""[0-9]+[a-f]?\."", """"))"),"À quelle fréquence, si jamais cela est arrivé, parlez-vous du rôle des femmes dans la société avec d'autres personnes ?")</f>
        <v>À quelle fréquence, si jamais cela est arrivé, parlez-vous du rôle des femmes dans la société avec d'autres personnes ?</v>
      </c>
      <c r="I271" s="91" t="str">
        <f>IFERROR(__xludf.DUMMYFUNCTION("TRIM(REGEXREPLACE(E271, ""[0-9]+[a-f]?\."", """"))"),"Sau nawa, idan ya na faruwa, kuke yin magana game da taka rawan mata a cikin al'umma tare da sauran mutane?")</f>
        <v>Sau nawa, idan ya na faruwa, kuke yin magana game da taka rawan mata a cikin al'umma tare da sauran mutane?</v>
      </c>
      <c r="J271" s="91" t="str">
        <f t="shared" si="183"/>
        <v>163. How often, if ever do you talk about the role of women in society with other people?</v>
      </c>
      <c r="K271" s="91" t="str">
        <f t="shared" ref="K271:L271" si="206">$F271&amp;". "&amp;H271</f>
        <v>163. À quelle fréquence, si jamais cela est arrivé, parlez-vous du rôle des femmes dans la société avec d'autres personnes ?</v>
      </c>
      <c r="L271" s="91" t="str">
        <f t="shared" si="206"/>
        <v>163. Sau nawa, idan ya na faruwa, kuke yin magana game da taka rawan mata a cikin al'umma tare da sauran mutane?</v>
      </c>
    </row>
    <row r="272">
      <c r="A272" s="126" t="s">
        <v>42</v>
      </c>
      <c r="B272" s="127" t="s">
        <v>1944</v>
      </c>
      <c r="C272" s="31" t="s">
        <v>1945</v>
      </c>
      <c r="D272" s="31" t="s">
        <v>1946</v>
      </c>
      <c r="E272" s="31" t="s">
        <v>1947</v>
      </c>
      <c r="F272" s="89">
        <v>164.0</v>
      </c>
      <c r="G272" s="91" t="str">
        <f>IFERROR(__xludf.DUMMYFUNCTION("TRIM(REGEXREPLACE(C272, ""[0-9]+[a-f]?\."", """"))"),"In your opinion, how much influence a wife should have over the following decisions within a couple?")</f>
        <v>In your opinion, how much influence a wife should have over the following decisions within a couple?</v>
      </c>
      <c r="H272" s="91" t="str">
        <f>IFERROR(__xludf.DUMMYFUNCTION("TRIM(REGEXREPLACE(D272, ""[0-9]+[a-f]?\."", """"))"),"Selon vous, quelle influence une épouse devrait-elle avoir sur les décisions suivantes au sein d'un couple ?")</f>
        <v>Selon vous, quelle influence une épouse devrait-elle avoir sur les décisions suivantes au sein d'un couple ?</v>
      </c>
      <c r="I272" s="91" t="str">
        <f>IFERROR(__xludf.DUMMYFUNCTION("TRIM(REGEXREPLACE(E272, ""[0-9]+[a-f]?\."", """"))"),"A ra'ayinka, wane tasiri mace ya kamata ta yi bisa yanke shawarwari da zan zana a tsakanin ta da mijinta?")</f>
        <v>A ra'ayinka, wane tasiri mace ya kamata ta yi bisa yanke shawarwari da zan zana a tsakanin ta da mijinta?</v>
      </c>
      <c r="J272" s="91" t="str">
        <f t="shared" si="183"/>
        <v>164. In your opinion, how much influence a wife should have over the following decisions within a couple?</v>
      </c>
      <c r="K272" s="91" t="str">
        <f t="shared" ref="K272:L272" si="207">$F272&amp;". "&amp;H272</f>
        <v>164. Selon vous, quelle influence une épouse devrait-elle avoir sur les décisions suivantes au sein d'un couple ?</v>
      </c>
      <c r="L272" s="91" t="str">
        <f t="shared" si="207"/>
        <v>164. A ra'ayinka, wane tasiri mace ya kamata ta yi bisa yanke shawarwari da zan zana a tsakanin ta da mijinta?</v>
      </c>
    </row>
    <row r="273">
      <c r="A273" s="81" t="s">
        <v>1948</v>
      </c>
      <c r="B273" s="142" t="s">
        <v>1949</v>
      </c>
      <c r="C273" s="31" t="s">
        <v>1950</v>
      </c>
      <c r="D273" s="31" t="s">
        <v>1951</v>
      </c>
      <c r="E273" s="31" t="s">
        <v>1952</v>
      </c>
      <c r="F273" s="89">
        <v>165.0</v>
      </c>
      <c r="G273" s="91" t="str">
        <f>IFERROR(__xludf.DUMMYFUNCTION("TRIM(REGEXREPLACE(C273, ""[0-9]+[a-f]?\."", """"))"),"Daily household expenses (Less than 500 CFA)")</f>
        <v>Daily household expenses (Less than 500 CFA)</v>
      </c>
      <c r="H273" s="91" t="str">
        <f>IFERROR(__xludf.DUMMYFUNCTION("TRIM(REGEXREPLACE(D273, ""[0-9]+[a-f]?\."", """"))"),"Dépenses quotidiennes du ménage (Moins de 500 CFA)")</f>
        <v>Dépenses quotidiennes du ménage (Moins de 500 CFA)</v>
      </c>
      <c r="I273" s="91" t="str">
        <f>IFERROR(__xludf.DUMMYFUNCTION("TRIM(REGEXREPLACE(E273, ""[0-9]+[a-f]?\."", """"))"),"Kashe kashen kuɗin gida na yau da kullun ( Kasa da dala ɗari CFA 500)")</f>
        <v>Kashe kashen kuɗin gida na yau da kullun ( Kasa da dala ɗari CFA 500)</v>
      </c>
      <c r="J273" s="91" t="str">
        <f t="shared" si="183"/>
        <v>165. Daily household expenses (Less than 500 CFA)</v>
      </c>
      <c r="K273" s="91" t="str">
        <f t="shared" ref="K273:L273" si="208">$F273&amp;". "&amp;H273</f>
        <v>165. Dépenses quotidiennes du ménage (Moins de 500 CFA)</v>
      </c>
      <c r="L273" s="91" t="str">
        <f t="shared" si="208"/>
        <v>165. Kashe kashen kuɗin gida na yau da kullun ( Kasa da dala ɗari CFA 500)</v>
      </c>
    </row>
    <row r="274">
      <c r="A274" s="81" t="s">
        <v>1948</v>
      </c>
      <c r="B274" s="142" t="s">
        <v>1956</v>
      </c>
      <c r="C274" s="31" t="s">
        <v>1957</v>
      </c>
      <c r="D274" s="31" t="s">
        <v>1958</v>
      </c>
      <c r="E274" s="31" t="s">
        <v>1959</v>
      </c>
      <c r="F274" s="89">
        <v>166.0</v>
      </c>
      <c r="G274" s="91" t="str">
        <f>IFERROR(__xludf.DUMMYFUNCTION("TRIM(REGEXREPLACE(C274, ""[0-9]+[a-f]?\."", """"))"),"Household purchases worth more than 500 CFA")</f>
        <v>Household purchases worth more than 500 CFA</v>
      </c>
      <c r="H274" s="91" t="str">
        <f>IFERROR(__xludf.DUMMYFUNCTION("TRIM(REGEXREPLACE(D274, ""[0-9]+[a-f]?\."", """"))"),"Achats des ménages d'une valeur supérieure à 500 CFA")</f>
        <v>Achats des ménages d'une valeur supérieure à 500 CFA</v>
      </c>
      <c r="I274" s="91" t="str">
        <f>IFERROR(__xludf.DUMMYFUNCTION("TRIM(REGEXREPLACE(E274, ""[0-9]+[a-f]?\."", """"))"),"Siyayyar gida na sama da dala ɗari 500 CFA")</f>
        <v>Siyayyar gida na sama da dala ɗari 500 CFA</v>
      </c>
      <c r="J274" s="91" t="str">
        <f t="shared" si="183"/>
        <v>166. Household purchases worth more than 500 CFA</v>
      </c>
      <c r="K274" s="91" t="str">
        <f t="shared" ref="K274:L274" si="209">$F274&amp;". "&amp;H274</f>
        <v>166. Achats des ménages d'une valeur supérieure à 500 CFA</v>
      </c>
      <c r="L274" s="91" t="str">
        <f t="shared" si="209"/>
        <v>166. Siyayyar gida na sama da dala ɗari 500 CFA</v>
      </c>
    </row>
    <row r="275">
      <c r="A275" s="81" t="s">
        <v>1948</v>
      </c>
      <c r="B275" s="142" t="s">
        <v>1960</v>
      </c>
      <c r="C275" s="31" t="s">
        <v>1961</v>
      </c>
      <c r="D275" s="31" t="s">
        <v>1963</v>
      </c>
      <c r="E275" s="31" t="s">
        <v>1965</v>
      </c>
      <c r="F275" s="89">
        <v>167.0</v>
      </c>
      <c r="G275" s="91" t="str">
        <f>IFERROR(__xludf.DUMMYFUNCTION("TRIM(REGEXREPLACE(C275, ""[0-9]+[a-f]?\."", """"))"),"Family planning (how many children to have)")</f>
        <v>Family planning (how many children to have)</v>
      </c>
      <c r="H275" s="91" t="str">
        <f>IFERROR(__xludf.DUMMYFUNCTION("TRIM(REGEXREPLACE(D275, ""[0-9]+[a-f]?\."", """"))"),"Planification familiale (combien d'enfants avoir)")</f>
        <v>Planification familiale (combien d'enfants avoir)</v>
      </c>
      <c r="I275" s="91" t="str">
        <f>IFERROR(__xludf.DUMMYFUNCTION("TRIM(REGEXREPLACE(E275, ""[0-9]+[a-f]?\."", """"))"),"Tsarin iyali (ƴaƴa nawa za a haifa)")</f>
        <v>Tsarin iyali (ƴaƴa nawa za a haifa)</v>
      </c>
      <c r="J275" s="91" t="str">
        <f t="shared" si="183"/>
        <v>167. Family planning (how many children to have)</v>
      </c>
      <c r="K275" s="91" t="str">
        <f t="shared" ref="K275:L275" si="210">$F275&amp;". "&amp;H275</f>
        <v>167. Planification familiale (combien d'enfants avoir)</v>
      </c>
      <c r="L275" s="91" t="str">
        <f t="shared" si="210"/>
        <v>167. Tsarin iyali (ƴaƴa nawa za a haifa)</v>
      </c>
    </row>
    <row r="276">
      <c r="A276" s="81" t="s">
        <v>1948</v>
      </c>
      <c r="B276" s="142" t="s">
        <v>1971</v>
      </c>
      <c r="C276" s="31" t="s">
        <v>1972</v>
      </c>
      <c r="D276" s="31" t="s">
        <v>1973</v>
      </c>
      <c r="E276" s="31" t="s">
        <v>1974</v>
      </c>
      <c r="F276" s="89">
        <v>168.0</v>
      </c>
      <c r="G276" s="91" t="str">
        <f>IFERROR(__xludf.DUMMYFUNCTION("TRIM(REGEXREPLACE(C276, ""[0-9]+[a-f]?\."", """"))"),"Whether the husband will migrate to find work")</f>
        <v>Whether the husband will migrate to find work</v>
      </c>
      <c r="H276" s="91" t="str">
        <f>IFERROR(__xludf.DUMMYFUNCTION("TRIM(REGEXREPLACE(D276, ""[0-9]+[a-f]?\."", """"))"),"Si le mari va migrer pour trouver du travail")</f>
        <v>Si le mari va migrer pour trouver du travail</v>
      </c>
      <c r="I276" s="91" t="str">
        <f>IFERROR(__xludf.DUMMYFUNCTION("TRIM(REGEXREPLACE(E276, ""[0-9]+[a-f]?\."", """"))"),"Ko miji zai yi tahiya don neman aiki")</f>
        <v>Ko miji zai yi tahiya don neman aiki</v>
      </c>
      <c r="J276" s="91" t="str">
        <f t="shared" si="183"/>
        <v>168. Whether the husband will migrate to find work</v>
      </c>
      <c r="K276" s="91" t="str">
        <f t="shared" ref="K276:L276" si="211">$F276&amp;". "&amp;H276</f>
        <v>168. Si le mari va migrer pour trouver du travail</v>
      </c>
      <c r="L276" s="91" t="str">
        <f t="shared" si="211"/>
        <v>168. Ko miji zai yi tahiya don neman aiki</v>
      </c>
    </row>
    <row r="277">
      <c r="A277" s="81" t="s">
        <v>1948</v>
      </c>
      <c r="B277" s="142" t="s">
        <v>1975</v>
      </c>
      <c r="C277" s="31" t="s">
        <v>1976</v>
      </c>
      <c r="D277" s="31" t="s">
        <v>1977</v>
      </c>
      <c r="E277" s="31" t="s">
        <v>1978</v>
      </c>
      <c r="F277" s="89">
        <v>169.0</v>
      </c>
      <c r="G277" s="91" t="str">
        <f>IFERROR(__xludf.DUMMYFUNCTION("TRIM(REGEXREPLACE(C277, ""[0-9]+[a-f]?\."", """"))"),"Who to vote for in local elections?")</f>
        <v>Who to vote for in local elections?</v>
      </c>
      <c r="H277" s="91" t="str">
        <f>IFERROR(__xludf.DUMMYFUNCTION("TRIM(REGEXREPLACE(D277, ""[0-9]+[a-f]?\."", """"))"),"Pour qui voter aux élections municipales ?")</f>
        <v>Pour qui voter aux élections municipales ?</v>
      </c>
      <c r="I277" s="91" t="str">
        <f>IFERROR(__xludf.DUMMYFUNCTION("TRIM(REGEXREPLACE(E277, ""[0-9]+[a-f]?\."", """"))"),"Wanene za'a zaɓa a zaɓen ƙananan hukumomi?")</f>
        <v>Wanene za'a zaɓa a zaɓen ƙananan hukumomi?</v>
      </c>
      <c r="J277" s="91" t="str">
        <f t="shared" si="183"/>
        <v>169. Who to vote for in local elections?</v>
      </c>
      <c r="K277" s="91" t="str">
        <f t="shared" ref="K277:L277" si="212">$F277&amp;". "&amp;H277</f>
        <v>169. Pour qui voter aux élections municipales ?</v>
      </c>
      <c r="L277" s="91" t="str">
        <f t="shared" si="212"/>
        <v>169. Wanene za'a zaɓa a zaɓen ƙananan hukumomi?</v>
      </c>
    </row>
    <row r="278">
      <c r="A278" s="81" t="s">
        <v>1948</v>
      </c>
      <c r="B278" s="142" t="s">
        <v>1985</v>
      </c>
      <c r="C278" s="31" t="s">
        <v>1986</v>
      </c>
      <c r="D278" s="31" t="s">
        <v>1987</v>
      </c>
      <c r="E278" s="31" t="s">
        <v>1988</v>
      </c>
      <c r="F278" s="89">
        <v>170.0</v>
      </c>
      <c r="G278" s="91" t="str">
        <f>IFERROR(__xludf.DUMMYFUNCTION("TRIM(REGEXREPLACE(C278, ""[0-9]+[a-f]?\."", """"))"),"To whom your daughter should marry?")</f>
        <v>To whom your daughter should marry?</v>
      </c>
      <c r="H278" s="91" t="str">
        <f>IFERROR(__xludf.DUMMYFUNCTION("TRIM(REGEXREPLACE(D278, ""[0-9]+[a-f]?\."", """"))"),"Avec qui votre fille devrait-elle se marier ?")</f>
        <v>Avec qui votre fille devrait-elle se marier ?</v>
      </c>
      <c r="I278" s="91" t="str">
        <f>IFERROR(__xludf.DUMMYFUNCTION("TRIM(REGEXREPLACE(E278, ""[0-9]+[a-f]?\."", """"))"),"Wa ya kamata ƴarku ta aura?")</f>
        <v>Wa ya kamata ƴarku ta aura?</v>
      </c>
      <c r="J278" s="91" t="str">
        <f t="shared" si="183"/>
        <v>170. To whom your daughter should marry?</v>
      </c>
      <c r="K278" s="91" t="str">
        <f t="shared" ref="K278:L278" si="213">$F278&amp;". "&amp;H278</f>
        <v>170. Avec qui votre fille devrait-elle se marier ?</v>
      </c>
      <c r="L278" s="91" t="str">
        <f t="shared" si="213"/>
        <v>170. Wa ya kamata ƴarku ta aura?</v>
      </c>
    </row>
    <row r="279">
      <c r="A279" s="81" t="s">
        <v>1948</v>
      </c>
      <c r="B279" s="131" t="s">
        <v>1992</v>
      </c>
      <c r="C279" s="31" t="s">
        <v>1993</v>
      </c>
      <c r="D279" s="208" t="s">
        <v>1846</v>
      </c>
      <c r="E279" s="208" t="s">
        <v>1847</v>
      </c>
      <c r="F279" s="89">
        <v>171.0</v>
      </c>
      <c r="G279" s="91" t="str">
        <f>IFERROR(__xludf.DUMMYFUNCTION("TRIM(REGEXREPLACE(C279, ""[0-9]+[a-f]?\."", """"))"),"The age your daughter should marry?")</f>
        <v>The age your daughter should marry?</v>
      </c>
      <c r="H279" s="91" t="str">
        <f>IFERROR(__xludf.DUMMYFUNCTION("TRIM(REGEXREPLACE(D279, ""[0-9]+[a-f]?\."", """"))"),"Âge auquel vos filles devraient se marier")</f>
        <v>Âge auquel vos filles devraient se marier</v>
      </c>
      <c r="I279" s="91" t="str">
        <f>IFERROR(__xludf.DUMMYFUNCTION("TRIM(REGEXREPLACE(E279, ""[0-9]+[a-f]?\."", """"))"),"Shekarar da ƴaƴanku mata zasu yin aure")</f>
        <v>Shekarar da ƴaƴanku mata zasu yin aure</v>
      </c>
      <c r="J279" s="91" t="str">
        <f t="shared" si="183"/>
        <v>171. The age your daughter should marry?</v>
      </c>
      <c r="K279" s="91" t="str">
        <f t="shared" ref="K279:L279" si="214">$F279&amp;". "&amp;H279</f>
        <v>171. Âge auquel vos filles devraient se marier</v>
      </c>
      <c r="L279" s="91" t="str">
        <f t="shared" si="214"/>
        <v>171. Shekarar da ƴaƴanku mata zasu yin aure</v>
      </c>
    </row>
    <row r="280">
      <c r="A280" s="81" t="s">
        <v>1948</v>
      </c>
      <c r="B280" s="142" t="s">
        <v>2000</v>
      </c>
      <c r="C280" s="31" t="s">
        <v>2001</v>
      </c>
      <c r="D280" s="31" t="s">
        <v>2002</v>
      </c>
      <c r="E280" s="31" t="s">
        <v>2003</v>
      </c>
      <c r="F280" s="89">
        <v>172.0</v>
      </c>
      <c r="G280" s="91" t="str">
        <f>IFERROR(__xludf.DUMMYFUNCTION("TRIM(REGEXREPLACE(C280, ""[0-9]+[a-f]?\."", """"))"),"Children's enrollment in school")</f>
        <v>Children's enrollment in school</v>
      </c>
      <c r="H280" s="91" t="str">
        <f>IFERROR(__xludf.DUMMYFUNCTION("TRIM(REGEXREPLACE(D280, ""[0-9]+[a-f]?\."", """"))"),"Inscription des enfants à l'école")</f>
        <v>Inscription des enfants à l'école</v>
      </c>
      <c r="I280" s="91" t="str">
        <f>IFERROR(__xludf.DUMMYFUNCTION("TRIM(REGEXREPLACE(E280, ""[0-9]+[a-f]?\."", """"))"),"Rubuta yara a makaranta")</f>
        <v>Rubuta yara a makaranta</v>
      </c>
      <c r="J280" s="91" t="str">
        <f t="shared" si="183"/>
        <v>172. Children's enrollment in school</v>
      </c>
      <c r="K280" s="91" t="str">
        <f t="shared" ref="K280:L280" si="215">$F280&amp;". "&amp;H280</f>
        <v>172. Inscription des enfants à l'école</v>
      </c>
      <c r="L280" s="91" t="str">
        <f t="shared" si="215"/>
        <v>172. Rubuta yara a makaranta</v>
      </c>
    </row>
    <row r="281">
      <c r="A281" s="81" t="s">
        <v>338</v>
      </c>
      <c r="B281" s="142" t="s">
        <v>2010</v>
      </c>
      <c r="C281" s="31" t="s">
        <v>2011</v>
      </c>
      <c r="D281" s="31" t="s">
        <v>2012</v>
      </c>
      <c r="E281" s="31" t="s">
        <v>2013</v>
      </c>
      <c r="F281" s="89">
        <v>173.0</v>
      </c>
      <c r="G281" s="91" t="str">
        <f>IFERROR(__xludf.DUMMYFUNCTION("TRIM(REGEXREPLACE(C281, ""[0-9]+[a-f]?\."", """"))"),"Imagine one of your daughters wanted to marry someone of a different religious faith, would you give them your permission?")</f>
        <v>Imagine one of your daughters wanted to marry someone of a different religious faith, would you give them your permission?</v>
      </c>
      <c r="H281" s="91" t="str">
        <f>IFERROR(__xludf.DUMMYFUNCTION("TRIM(REGEXREPLACE(D281, ""[0-9]+[a-f]?\."", """"))"),"Imaginez qu'une de vos filles veuille épouser quelqu'un d'une confession religieuse différente, leur donneriez-vous votre permission ?")</f>
        <v>Imaginez qu'une de vos filles veuille épouser quelqu'un d'une confession religieuse différente, leur donneriez-vous votre permission ?</v>
      </c>
      <c r="I281" s="91" t="str">
        <f>IFERROR(__xludf.DUMMYFUNCTION("TRIM(REGEXREPLACE(E281, ""[0-9]+[a-f]?\."", """"))"),"Ku ƙaddara da wata ɗiyarku ta na son ta auri wani mai bin wani addini daban, za ku bada izininku?")</f>
        <v>Ku ƙaddara da wata ɗiyarku ta na son ta auri wani mai bin wani addini daban, za ku bada izininku?</v>
      </c>
      <c r="J281" s="91" t="str">
        <f t="shared" si="183"/>
        <v>173. Imagine one of your daughters wanted to marry someone of a different religious faith, would you give them your permission?</v>
      </c>
      <c r="K281" s="91" t="str">
        <f t="shared" ref="K281:L281" si="216">$F281&amp;". "&amp;H281</f>
        <v>173. Imaginez qu'une de vos filles veuille épouser quelqu'un d'une confession religieuse différente, leur donneriez-vous votre permission ?</v>
      </c>
      <c r="L281" s="91" t="str">
        <f t="shared" si="216"/>
        <v>173. Ku ƙaddara da wata ɗiyarku ta na son ta auri wani mai bin wani addini daban, za ku bada izininku?</v>
      </c>
    </row>
    <row r="282">
      <c r="A282" s="81" t="s">
        <v>338</v>
      </c>
      <c r="B282" s="142" t="s">
        <v>2017</v>
      </c>
      <c r="C282" s="31" t="s">
        <v>2018</v>
      </c>
      <c r="D282" s="31" t="s">
        <v>2019</v>
      </c>
      <c r="E282" s="31" t="s">
        <v>2020</v>
      </c>
      <c r="F282" s="89">
        <v>174.0</v>
      </c>
      <c r="G282" s="91" t="str">
        <f>IFERROR(__xludf.DUMMYFUNCTION("TRIM(REGEXREPLACE(C282, ""[0-9]+[a-f]?\."", """"))"),"Imagine one of your sons wanted to marry someone of a different religious faith, would you give them your permission?")</f>
        <v>Imagine one of your sons wanted to marry someone of a different religious faith, would you give them your permission?</v>
      </c>
      <c r="H282" s="91" t="str">
        <f>IFERROR(__xludf.DUMMYFUNCTION("TRIM(REGEXREPLACE(D282, ""[0-9]+[a-f]?\."", """"))"),"Imaginez que l'un de vos fils veuille épouser quelqu'un d'une confession religieuse différente, leur donneriez-vous votre permission ?")</f>
        <v>Imaginez que l'un de vos fils veuille épouser quelqu'un d'une confession religieuse différente, leur donneriez-vous votre permission ?</v>
      </c>
      <c r="I282" s="91" t="str">
        <f>IFERROR(__xludf.DUMMYFUNCTION("TRIM(REGEXREPLACE(E282, ""[0-9]+[a-f]?\."", """"))"),"Ku ƙaddara da wani ɗanku ya na son ya auri wata ƴa mai bin wani addini daban, za ku bada izininku?")</f>
        <v>Ku ƙaddara da wani ɗanku ya na son ya auri wata ƴa mai bin wani addini daban, za ku bada izininku?</v>
      </c>
      <c r="J282" s="91" t="str">
        <f t="shared" si="183"/>
        <v>174. Imagine one of your sons wanted to marry someone of a different religious faith, would you give them your permission?</v>
      </c>
      <c r="K282" s="91" t="str">
        <f t="shared" ref="K282:L282" si="217">$F282&amp;". "&amp;H282</f>
        <v>174. Imaginez que l'un de vos fils veuille épouser quelqu'un d'une confession religieuse différente, leur donneriez-vous votre permission ?</v>
      </c>
      <c r="L282" s="91" t="str">
        <f t="shared" si="217"/>
        <v>174. Ku ƙaddara da wani ɗanku ya na son ya auri wata ƴa mai bin wani addini daban, za ku bada izininku?</v>
      </c>
    </row>
    <row r="283">
      <c r="A283" s="81" t="s">
        <v>338</v>
      </c>
      <c r="B283" s="142" t="s">
        <v>2024</v>
      </c>
      <c r="C283" s="31" t="s">
        <v>2025</v>
      </c>
      <c r="D283" s="31" t="s">
        <v>2028</v>
      </c>
      <c r="E283" s="31" t="s">
        <v>2030</v>
      </c>
      <c r="F283" s="89">
        <v>175.0</v>
      </c>
      <c r="G283" s="91" t="str">
        <f>IFERROR(__xludf.DUMMYFUNCTION("TRIM(REGEXREPLACE(C283, ""[0-9]+[a-f]?\."", """"))"),"Imagine one of your daughters wanted to marry someone of a different ethnic group, would you give them your permission?")</f>
        <v>Imagine one of your daughters wanted to marry someone of a different ethnic group, would you give them your permission?</v>
      </c>
      <c r="H283" s="91" t="str">
        <f>IFERROR(__xludf.DUMMYFUNCTION("TRIM(REGEXREPLACE(D283, ""[0-9]+[a-f]?\."", """"))"),"Imaginez qu'une de vos filles veuille épouser quelqu'un d'un groupe ethnique différent, leur donneriez-vous votre permission ?")</f>
        <v>Imaginez qu'une de vos filles veuille épouser quelqu'un d'un groupe ethnique différent, leur donneriez-vous votre permission ?</v>
      </c>
      <c r="I283" s="91" t="str">
        <f>IFERROR(__xludf.DUMMYFUNCTION("TRIM(REGEXREPLACE(E283, ""[0-9]+[a-f]?\."", """"))"),"Ku ƙaddara da wata ɗiyarka tana son ta auri ɗan wata kabila daban, za ku bada izininka?")</f>
        <v>Ku ƙaddara da wata ɗiyarka tana son ta auri ɗan wata kabila daban, za ku bada izininka?</v>
      </c>
      <c r="J283" s="91" t="str">
        <f t="shared" si="183"/>
        <v>175. Imagine one of your daughters wanted to marry someone of a different ethnic group, would you give them your permission?</v>
      </c>
      <c r="K283" s="91" t="str">
        <f t="shared" ref="K283:L283" si="218">$F283&amp;". "&amp;H283</f>
        <v>175. Imaginez qu'une de vos filles veuille épouser quelqu'un d'un groupe ethnique différent, leur donneriez-vous votre permission ?</v>
      </c>
      <c r="L283" s="91" t="str">
        <f t="shared" si="218"/>
        <v>175. Ku ƙaddara da wata ɗiyarka tana son ta auri ɗan wata kabila daban, za ku bada izininka?</v>
      </c>
    </row>
    <row r="284">
      <c r="A284" s="81" t="s">
        <v>338</v>
      </c>
      <c r="B284" s="142" t="s">
        <v>2031</v>
      </c>
      <c r="C284" s="31" t="s">
        <v>2032</v>
      </c>
      <c r="D284" s="31" t="s">
        <v>2033</v>
      </c>
      <c r="E284" s="31" t="s">
        <v>2034</v>
      </c>
      <c r="F284" s="89">
        <v>176.0</v>
      </c>
      <c r="G284" s="91" t="str">
        <f>IFERROR(__xludf.DUMMYFUNCTION("TRIM(REGEXREPLACE(C284, ""[0-9]+[a-f]?\."", """"))"),"Imagine one of your sons wanted to marry someone of a different ethnic group, would you give them your permission?")</f>
        <v>Imagine one of your sons wanted to marry someone of a different ethnic group, would you give them your permission?</v>
      </c>
      <c r="H284" s="91" t="str">
        <f>IFERROR(__xludf.DUMMYFUNCTION("TRIM(REGEXREPLACE(D284, ""[0-9]+[a-f]?\."", """"))"),"Imaginez que l'un de vos fils veuille épouser quelqu'un d'un groupe ethnique différent, leur donneriez-vous votre permission ?")</f>
        <v>Imaginez que l'un de vos fils veuille épouser quelqu'un d'un groupe ethnique différent, leur donneriez-vous votre permission ?</v>
      </c>
      <c r="I284" s="91" t="str">
        <f>IFERROR(__xludf.DUMMYFUNCTION("TRIM(REGEXREPLACE(E284, ""[0-9]+[a-f]?\."", """"))"),"Ku ƙaddara da wani ɗanku ya na son ya auri wani ɗan wata ƙabila daban, za ku bada izininka?")</f>
        <v>Ku ƙaddara da wani ɗanku ya na son ya auri wani ɗan wata ƙabila daban, za ku bada izininka?</v>
      </c>
      <c r="J284" s="91" t="str">
        <f t="shared" si="183"/>
        <v>176. Imagine one of your sons wanted to marry someone of a different ethnic group, would you give them your permission?</v>
      </c>
      <c r="K284" s="91" t="str">
        <f t="shared" ref="K284:L284" si="219">$F284&amp;". "&amp;H284</f>
        <v>176. Imaginez que l'un de vos fils veuille épouser quelqu'un d'un groupe ethnique différent, leur donneriez-vous votre permission ?</v>
      </c>
      <c r="L284" s="91" t="str">
        <f t="shared" si="219"/>
        <v>176. Ku ƙaddara da wani ɗanku ya na son ya auri wani ɗan wata ƙabila daban, za ku bada izininka?</v>
      </c>
    </row>
    <row r="285">
      <c r="A285" s="126" t="s">
        <v>42</v>
      </c>
      <c r="B285" s="127" t="s">
        <v>2040</v>
      </c>
      <c r="C285" s="31" t="s">
        <v>2041</v>
      </c>
      <c r="D285" s="31" t="s">
        <v>2042</v>
      </c>
      <c r="E285" s="31" t="s">
        <v>2043</v>
      </c>
      <c r="F285" s="89">
        <v>177.0</v>
      </c>
      <c r="G285" s="91" t="str">
        <f>IFERROR(__xludf.DUMMYFUNCTION("TRIM(REGEXREPLACE(C285, ""[0-9]+[a-f]?\."", """"))"),"Please tell me the degree to which you agree or disagree with the following statements.")</f>
        <v>Please tell me the degree to which you agree or disagree with the following statements.</v>
      </c>
      <c r="H285" s="91" t="str">
        <f>IFERROR(__xludf.DUMMYFUNCTION("TRIM(REGEXREPLACE(D285, ""[0-9]+[a-f]?\."", """"))"),"Veuillez me dire dans quelle mesure vous êtes d'accord ou pas d'accord avec les énoncés suivants.")</f>
        <v>Veuillez me dire dans quelle mesure vous êtes d'accord ou pas d'accord avec les énoncés suivants.</v>
      </c>
      <c r="I285" s="91" t="str">
        <f>IFERROR(__xludf.DUMMYFUNCTION("TRIM(REGEXREPLACE(E285, ""[0-9]+[a-f]?\."", """"))"),"Yanzu ina son ku gaya mini har zuwa wane matsayi kuka yarda ko baku yarda ba da waɗannan maganganun da zan zana muku.")</f>
        <v>Yanzu ina son ku gaya mini har zuwa wane matsayi kuka yarda ko baku yarda ba da waɗannan maganganun da zan zana muku.</v>
      </c>
      <c r="J285" s="91" t="str">
        <f t="shared" si="183"/>
        <v>177. Please tell me the degree to which you agree or disagree with the following statements.</v>
      </c>
      <c r="K285" s="91" t="str">
        <f t="shared" ref="K285:L285" si="220">$F285&amp;". "&amp;H285</f>
        <v>177. Veuillez me dire dans quelle mesure vous êtes d'accord ou pas d'accord avec les énoncés suivants.</v>
      </c>
      <c r="L285" s="91" t="str">
        <f t="shared" si="220"/>
        <v>177. Yanzu ina son ku gaya mini har zuwa wane matsayi kuka yarda ko baku yarda ba da waɗannan maganganun da zan zana muku.</v>
      </c>
    </row>
    <row r="286">
      <c r="A286" s="81" t="s">
        <v>906</v>
      </c>
      <c r="B286" s="142" t="s">
        <v>2050</v>
      </c>
      <c r="C286" s="31" t="s">
        <v>2051</v>
      </c>
      <c r="D286" s="31" t="s">
        <v>2052</v>
      </c>
      <c r="E286" s="31" t="s">
        <v>2053</v>
      </c>
      <c r="F286" s="89">
        <v>178.0</v>
      </c>
      <c r="G286" s="91" t="str">
        <f>IFERROR(__xludf.DUMMYFUNCTION("TRIM(REGEXREPLACE(C286, ""[0-9]+[a-f]?\."", """"))"),"Middle school education for males is more important than middle school education for females.")</f>
        <v>Middle school education for males is more important than middle school education for females.</v>
      </c>
      <c r="H286" s="91" t="str">
        <f>IFERROR(__xludf.DUMMYFUNCTION("TRIM(REGEXREPLACE(D286, ""[0-9]+[a-f]?\."", """"))"),"L'enseignement secondaire pour les hommes est plus important que l'enseignement secondaire pour les femmes.")</f>
        <v>L'enseignement secondaire pour les hommes est plus important que l'enseignement secondaire pour les femmes.</v>
      </c>
      <c r="I286" s="91" t="str">
        <f>IFERROR(__xludf.DUMMYFUNCTION("TRIM(REGEXREPLACE(E286, ""[0-9]+[a-f]?\."", """"))"),"Ilimin koleji ga maza yana da mahimmanci fiye da ilimin koleji ga mata.")</f>
        <v>Ilimin koleji ga maza yana da mahimmanci fiye da ilimin koleji ga mata.</v>
      </c>
      <c r="J286" s="91" t="str">
        <f t="shared" si="183"/>
        <v>178. Middle school education for males is more important than middle school education for females.</v>
      </c>
      <c r="K286" s="91" t="str">
        <f t="shared" ref="K286:L286" si="221">$F286&amp;". "&amp;H286</f>
        <v>178. L'enseignement secondaire pour les hommes est plus important que l'enseignement secondaire pour les femmes.</v>
      </c>
      <c r="L286" s="91" t="str">
        <f t="shared" si="221"/>
        <v>178. Ilimin koleji ga maza yana da mahimmanci fiye da ilimin koleji ga mata.</v>
      </c>
    </row>
    <row r="287">
      <c r="A287" s="81" t="s">
        <v>906</v>
      </c>
      <c r="B287" s="142" t="s">
        <v>2054</v>
      </c>
      <c r="C287" s="31" t="s">
        <v>2055</v>
      </c>
      <c r="D287" s="31" t="s">
        <v>2057</v>
      </c>
      <c r="E287" s="31" t="s">
        <v>2059</v>
      </c>
      <c r="F287" s="89">
        <v>179.0</v>
      </c>
      <c r="G287" s="91" t="str">
        <f>IFERROR(__xludf.DUMMYFUNCTION("TRIM(REGEXREPLACE(C287, ""[0-9]+[a-f]?\."", """"))"),"Women and men should have equal rights to their inheritance (Women should not be denied their right)")</f>
        <v>Women and men should have equal rights to their inheritance (Women should not be denied their right)</v>
      </c>
      <c r="H287" s="91" t="str">
        <f>IFERROR(__xludf.DUMMYFUNCTION("TRIM(REGEXREPLACE(D287, ""[0-9]+[a-f]?\."", """"))"),"Les femmes et les hommes devraient avoir des droits égaux à l'héritage (les femmes ne devraient pas être privées de leur droit)")</f>
        <v>Les femmes et les hommes devraient avoir des droits égaux à l'héritage (les femmes ne devraient pas être privées de leur droit)</v>
      </c>
      <c r="I287" s="91" t="str">
        <f>IFERROR(__xludf.DUMMYFUNCTION("TRIM(REGEXREPLACE(E287, ""[0-9]+[a-f]?\."", """"))"),"Ya kamata mata da maza su samu haƙƙi daidai akan gado (Bai Kamata a hana ma mata haƙƙinsu ba)")</f>
        <v>Ya kamata mata da maza su samu haƙƙi daidai akan gado (Bai Kamata a hana ma mata haƙƙinsu ba)</v>
      </c>
      <c r="J287" s="91" t="str">
        <f t="shared" si="183"/>
        <v>179. Women and men should have equal rights to their inheritance (Women should not be denied their right)</v>
      </c>
      <c r="K287" s="91" t="str">
        <f t="shared" ref="K287:L287" si="222">$F287&amp;". "&amp;H287</f>
        <v>179. Les femmes et les hommes devraient avoir des droits égaux à l'héritage (les femmes ne devraient pas être privées de leur droit)</v>
      </c>
      <c r="L287" s="91" t="str">
        <f t="shared" si="222"/>
        <v>179. Ya kamata mata da maza su samu haƙƙi daidai akan gado (Bai Kamata a hana ma mata haƙƙinsu ba)</v>
      </c>
    </row>
    <row r="288">
      <c r="A288" s="81" t="s">
        <v>906</v>
      </c>
      <c r="B288" s="142" t="s">
        <v>2064</v>
      </c>
      <c r="C288" s="31" t="s">
        <v>2065</v>
      </c>
      <c r="D288" s="31" t="s">
        <v>2066</v>
      </c>
      <c r="E288" s="31" t="s">
        <v>2067</v>
      </c>
      <c r="F288" s="89">
        <v>180.0</v>
      </c>
      <c r="G288" s="91" t="str">
        <f>IFERROR(__xludf.DUMMYFUNCTION("TRIM(REGEXREPLACE(C288, ""[0-9]+[a-f]?\."", """"))"),"A woman can reject a marriage that her family chose for her without her consent")</f>
        <v>A woman can reject a marriage that her family chose for her without her consent</v>
      </c>
      <c r="H288" s="91" t="str">
        <f>IFERROR(__xludf.DUMMYFUNCTION("TRIM(REGEXREPLACE(D288, ""[0-9]+[a-f]?\."", """"))"),"Une femme peut refuser un mariage que sa famille a choisi pour elle sans son consentement")</f>
        <v>Une femme peut refuser un mariage que sa famille a choisi pour elle sans son consentement</v>
      </c>
      <c r="I288" s="91" t="str">
        <f>IFERROR(__xludf.DUMMYFUNCTION("TRIM(REGEXREPLACE(E288, ""[0-9]+[a-f]?\."", """"))"),"Mace za ta iya ƙin auren da danginta suka zaɓa mata idan bata yarda ba")</f>
        <v>Mace za ta iya ƙin auren da danginta suka zaɓa mata idan bata yarda ba</v>
      </c>
      <c r="J288" s="91" t="str">
        <f t="shared" si="183"/>
        <v>180. A woman can reject a marriage that her family chose for her without her consent</v>
      </c>
      <c r="K288" s="91" t="str">
        <f t="shared" ref="K288:L288" si="223">$F288&amp;". "&amp;H288</f>
        <v>180. Une femme peut refuser un mariage que sa famille a choisi pour elle sans son consentement</v>
      </c>
      <c r="L288" s="91" t="str">
        <f t="shared" si="223"/>
        <v>180. Mace za ta iya ƙin auren da danginta suka zaɓa mata idan bata yarda ba</v>
      </c>
    </row>
    <row r="289">
      <c r="A289" s="81" t="s">
        <v>906</v>
      </c>
      <c r="B289" s="142" t="s">
        <v>2071</v>
      </c>
      <c r="C289" s="31" t="s">
        <v>2072</v>
      </c>
      <c r="D289" s="31" t="s">
        <v>2074</v>
      </c>
      <c r="E289" s="31" t="s">
        <v>2076</v>
      </c>
      <c r="F289" s="89">
        <v>181.0</v>
      </c>
      <c r="G289" s="91" t="str">
        <f>IFERROR(__xludf.DUMMYFUNCTION("TRIM(REGEXREPLACE(C289, ""[0-9]+[a-f]?\."", """"))"),"Women and men should have equal rights in making the decision to divorce.")</f>
        <v>Women and men should have equal rights in making the decision to divorce.</v>
      </c>
      <c r="H289" s="91" t="str">
        <f>IFERROR(__xludf.DUMMYFUNCTION("TRIM(REGEXREPLACE(D289, ""[0-9]+[a-f]?\."", """"))"),"Les femmes et les hommes devraient avoir des droits égaux dans la décision de divorcer.")</f>
        <v>Les femmes et les hommes devraient avoir des droits égaux dans la décision de divorcer.</v>
      </c>
      <c r="I289" s="91" t="str">
        <f>IFERROR(__xludf.DUMMYFUNCTION("TRIM(REGEXREPLACE(E289, ""[0-9]+[a-f]?\."", """"))"),"Yakamata a ce mata da maza suna da haƙƙi daidai wajen yanke shawarar rabuwar aure.")</f>
        <v>Yakamata a ce mata da maza suna da haƙƙi daidai wajen yanke shawarar rabuwar aure.</v>
      </c>
      <c r="J289" s="91" t="str">
        <f t="shared" si="183"/>
        <v>181. Women and men should have equal rights in making the decision to divorce.</v>
      </c>
      <c r="K289" s="91" t="str">
        <f t="shared" ref="K289:L289" si="224">$F289&amp;". "&amp;H289</f>
        <v>181. Les femmes et les hommes devraient avoir des droits égaux dans la décision de divorcer.</v>
      </c>
      <c r="L289" s="91" t="str">
        <f t="shared" si="224"/>
        <v>181. Yakamata a ce mata da maza suna da haƙƙi daidai wajen yanke shawarar rabuwar aure.</v>
      </c>
    </row>
    <row r="290">
      <c r="A290" s="81" t="s">
        <v>906</v>
      </c>
      <c r="B290" s="142" t="s">
        <v>2081</v>
      </c>
      <c r="C290" s="31" t="s">
        <v>2082</v>
      </c>
      <c r="D290" s="31" t="s">
        <v>2083</v>
      </c>
      <c r="E290" s="31" t="s">
        <v>2084</v>
      </c>
      <c r="F290" s="89">
        <v>182.0</v>
      </c>
      <c r="G290" s="91" t="str">
        <f>IFERROR(__xludf.DUMMYFUNCTION("TRIM(REGEXREPLACE(C290, ""[0-9]+[a-f]?\."", """"))"),"The law should not allow a man to marry more than one woman.")</f>
        <v>The law should not allow a man to marry more than one woman.</v>
      </c>
      <c r="H290" s="91" t="str">
        <f>IFERROR(__xludf.DUMMYFUNCTION("TRIM(REGEXREPLACE(D290, ""[0-9]+[a-f]?\."", """"))"),"La loi ne devrait pas permettre à un homme d'épouser plus d'une femme.")</f>
        <v>La loi ne devrait pas permettre à un homme d'épouser plus d'une femme.</v>
      </c>
      <c r="I290" s="91" t="str">
        <f>IFERROR(__xludf.DUMMYFUNCTION("TRIM(REGEXREPLACE(E290, ""[0-9]+[a-f]?\."", """"))"),"Yakamata doka ta hana ma namiji ya auri fiye da mace ɗaya.")</f>
        <v>Yakamata doka ta hana ma namiji ya auri fiye da mace ɗaya.</v>
      </c>
      <c r="J290" s="91" t="str">
        <f t="shared" si="183"/>
        <v>182. The law should not allow a man to marry more than one woman.</v>
      </c>
      <c r="K290" s="91" t="str">
        <f t="shared" ref="K290:L290" si="225">$F290&amp;". "&amp;H290</f>
        <v>182. La loi ne devrait pas permettre à un homme d'épouser plus d'une femme.</v>
      </c>
      <c r="L290" s="91" t="str">
        <f t="shared" si="225"/>
        <v>182. Yakamata doka ta hana ma namiji ya auri fiye da mace ɗaya.</v>
      </c>
    </row>
    <row r="291" hidden="1">
      <c r="A291" s="122" t="s">
        <v>150</v>
      </c>
      <c r="B291" s="123" t="s">
        <v>2089</v>
      </c>
      <c r="C291" s="31"/>
      <c r="D291" s="31"/>
      <c r="E291" s="31"/>
      <c r="F291" s="89">
        <v>184.0</v>
      </c>
      <c r="G291" s="91" t="str">
        <f>IFERROR(__xludf.DUMMYFUNCTION("TRIM(REGEXREPLACE(C291, ""[0-9]+[a-f]?\."", """"))"),"")</f>
        <v/>
      </c>
      <c r="H291" s="91" t="str">
        <f>IFERROR(__xludf.DUMMYFUNCTION("TRIM(REGEXREPLACE(D291, ""[0-9]+[a-f]?\."", """"))"),"")</f>
        <v/>
      </c>
      <c r="I291" s="91" t="str">
        <f>IFERROR(__xludf.DUMMYFUNCTION("TRIM(REGEXREPLACE(E291, ""[0-9]+[a-f]?\."", """"))"),"")</f>
        <v/>
      </c>
      <c r="J291" s="91" t="s">
        <v>2090</v>
      </c>
      <c r="K291" s="91" t="s">
        <v>2091</v>
      </c>
      <c r="L291" s="91" t="s">
        <v>2092</v>
      </c>
    </row>
    <row r="292">
      <c r="A292" s="81" t="s">
        <v>338</v>
      </c>
      <c r="B292" s="142" t="s">
        <v>2093</v>
      </c>
      <c r="C292" s="31" t="s">
        <v>2094</v>
      </c>
      <c r="D292" s="31" t="s">
        <v>2095</v>
      </c>
      <c r="E292" s="31" t="s">
        <v>2096</v>
      </c>
      <c r="F292" s="89">
        <v>183.0</v>
      </c>
      <c r="G292" s="91" t="str">
        <f>IFERROR(__xludf.DUMMYFUNCTION("TRIM(REGEXREPLACE(C292, ""[0-9]+[a-f]?\."", """"))"),"In your opinion, is a husband justified in hitting or beating his wife if:")</f>
        <v>In your opinion, is a husband justified in hitting or beating his wife if:</v>
      </c>
      <c r="H292" s="91" t="str">
        <f>IFERROR(__xludf.DUMMYFUNCTION("TRIM(REGEXREPLACE(D292, ""[0-9]+[a-f]?\."", """"))"),"A votre avis, est-il justifié pour un mari de frapper ou de battre sa femme si :")</f>
        <v>A votre avis, est-il justifié pour un mari de frapper ou de battre sa femme si :</v>
      </c>
      <c r="I292" s="91" t="str">
        <f>IFERROR(__xludf.DUMMYFUNCTION("TRIM(REGEXREPLACE(E292, ""[0-9]+[a-f]?\."", """"))"),"A ganinku, ko ya cancanta miji ya bugi matarshi ko ya bata kashi idan:")</f>
        <v>A ganinku, ko ya cancanta miji ya bugi matarshi ko ya bata kashi idan:</v>
      </c>
      <c r="J292" s="91" t="str">
        <f t="shared" ref="J292:J296" si="227">F292&amp;". "&amp;G292</f>
        <v>183. In your opinion, is a husband justified in hitting or beating his wife if:</v>
      </c>
      <c r="K292" s="91" t="str">
        <f t="shared" ref="K292:L292" si="226">$F292&amp;". "&amp;H292</f>
        <v>183. A votre avis, est-il justifié pour un mari de frapper ou de battre sa femme si :</v>
      </c>
      <c r="L292" s="91" t="str">
        <f t="shared" si="226"/>
        <v>183. A ganinku, ko ya cancanta miji ya bugi matarshi ko ya bata kashi idan:</v>
      </c>
    </row>
    <row r="293">
      <c r="A293" s="81" t="s">
        <v>338</v>
      </c>
      <c r="B293" s="142" t="s">
        <v>2100</v>
      </c>
      <c r="C293" s="31" t="s">
        <v>2101</v>
      </c>
      <c r="D293" s="31" t="s">
        <v>2102</v>
      </c>
      <c r="E293" s="31" t="s">
        <v>2103</v>
      </c>
      <c r="F293" s="89">
        <v>184.0</v>
      </c>
      <c r="G293" s="91" t="str">
        <f>IFERROR(__xludf.DUMMYFUNCTION("TRIM(REGEXREPLACE(C293, ""[0-9]+[a-f]?\."", """"))"),"She neglects the children")</f>
        <v>She neglects the children</v>
      </c>
      <c r="H293" s="91" t="str">
        <f>IFERROR(__xludf.DUMMYFUNCTION("TRIM(REGEXREPLACE(D293, ""[0-9]+[a-f]?\."", """"))"),"Elle néglige les enfants")</f>
        <v>Elle néglige les enfants</v>
      </c>
      <c r="I293" s="91" t="str">
        <f>IFERROR(__xludf.DUMMYFUNCTION("TRIM(REGEXREPLACE(E293, ""[0-9]+[a-f]?\."", """"))"),"Ta yi sakaci da yara")</f>
        <v>Ta yi sakaci da yara</v>
      </c>
      <c r="J293" s="91" t="str">
        <f t="shared" si="227"/>
        <v>184. She neglects the children</v>
      </c>
      <c r="K293" s="91" t="str">
        <f t="shared" ref="K293:L293" si="228">$F293&amp;". "&amp;H293</f>
        <v>184. Elle néglige les enfants</v>
      </c>
      <c r="L293" s="91" t="str">
        <f t="shared" si="228"/>
        <v>184. Ta yi sakaci da yara</v>
      </c>
    </row>
    <row r="294">
      <c r="A294" s="81" t="s">
        <v>338</v>
      </c>
      <c r="B294" s="142" t="s">
        <v>2108</v>
      </c>
      <c r="C294" s="31" t="s">
        <v>2109</v>
      </c>
      <c r="D294" s="31" t="s">
        <v>2111</v>
      </c>
      <c r="E294" s="31" t="s">
        <v>2114</v>
      </c>
      <c r="F294" s="89">
        <v>185.0</v>
      </c>
      <c r="G294" s="91" t="str">
        <f>IFERROR(__xludf.DUMMYFUNCTION("TRIM(REGEXREPLACE(C294, ""[0-9]+[a-f]?\."", """"))"),"She argues with him")</f>
        <v>She argues with him</v>
      </c>
      <c r="H294" s="91" t="str">
        <f>IFERROR(__xludf.DUMMYFUNCTION("TRIM(REGEXREPLACE(D294, ""[0-9]+[a-f]?\."", """"))"),"Elle se dispute avec lui")</f>
        <v>Elle se dispute avec lui</v>
      </c>
      <c r="I294" s="91" t="str">
        <f>IFERROR(__xludf.DUMMYFUNCTION("TRIM(REGEXREPLACE(E294, ""[0-9]+[a-f]?\."", """"))"),"Ta yi mishi gardama")</f>
        <v>Ta yi mishi gardama</v>
      </c>
      <c r="J294" s="91" t="str">
        <f t="shared" si="227"/>
        <v>185. She argues with him</v>
      </c>
      <c r="K294" s="91" t="str">
        <f t="shared" ref="K294:L294" si="229">$F294&amp;". "&amp;H294</f>
        <v>185. Elle se dispute avec lui</v>
      </c>
      <c r="L294" s="91" t="str">
        <f t="shared" si="229"/>
        <v>185. Ta yi mishi gardama</v>
      </c>
    </row>
    <row r="295">
      <c r="A295" s="81" t="s">
        <v>338</v>
      </c>
      <c r="B295" s="142" t="s">
        <v>2115</v>
      </c>
      <c r="C295" s="31" t="s">
        <v>2116</v>
      </c>
      <c r="D295" s="31" t="s">
        <v>2117</v>
      </c>
      <c r="E295" s="31" t="s">
        <v>2118</v>
      </c>
      <c r="F295" s="89">
        <v>186.0</v>
      </c>
      <c r="G295" s="91" t="str">
        <f>IFERROR(__xludf.DUMMYFUNCTION("TRIM(REGEXREPLACE(C295, ""[0-9]+[a-f]?\."", """"))"),"She refuses to pray")</f>
        <v>She refuses to pray</v>
      </c>
      <c r="H295" s="91" t="str">
        <f>IFERROR(__xludf.DUMMYFUNCTION("TRIM(REGEXREPLACE(D295, ""[0-9]+[a-f]?\."", """"))"),"Elle refuse de prier")</f>
        <v>Elle refuse de prier</v>
      </c>
      <c r="I295" s="91" t="str">
        <f>IFERROR(__xludf.DUMMYFUNCTION("TRIM(REGEXREPLACE(E295, ""[0-9]+[a-f]?\."", """"))"),"Ta ƙi yin sallah")</f>
        <v>Ta ƙi yin sallah</v>
      </c>
      <c r="J295" s="91" t="str">
        <f t="shared" si="227"/>
        <v>186. She refuses to pray</v>
      </c>
      <c r="K295" s="91" t="str">
        <f t="shared" ref="K295:L295" si="230">$F295&amp;". "&amp;H295</f>
        <v>186. Elle refuse de prier</v>
      </c>
      <c r="L295" s="91" t="str">
        <f t="shared" si="230"/>
        <v>186. Ta ƙi yin sallah</v>
      </c>
    </row>
    <row r="296">
      <c r="A296" s="81" t="s">
        <v>338</v>
      </c>
      <c r="B296" s="142" t="s">
        <v>2122</v>
      </c>
      <c r="C296" s="31" t="s">
        <v>2123</v>
      </c>
      <c r="D296" s="31" t="s">
        <v>2124</v>
      </c>
      <c r="E296" s="31" t="s">
        <v>2125</v>
      </c>
      <c r="F296" s="89">
        <v>187.0</v>
      </c>
      <c r="G296" s="91" t="str">
        <f>IFERROR(__xludf.DUMMYFUNCTION("TRIM(REGEXREPLACE(C296, ""[0-9]+[a-f]?\."", """"))"),"She burns the food")</f>
        <v>She burns the food</v>
      </c>
      <c r="H296" s="91" t="str">
        <f>IFERROR(__xludf.DUMMYFUNCTION("TRIM(REGEXREPLACE(D296, ""[0-9]+[a-f]?\."", """"))"),"Elle brûle la nourriture")</f>
        <v>Elle brûle la nourriture</v>
      </c>
      <c r="I296" s="91" t="str">
        <f>IFERROR(__xludf.DUMMYFUNCTION("TRIM(REGEXREPLACE(E296, ""[0-9]+[a-f]?\."", """"))"),"Ta ƙona abincin")</f>
        <v>Ta ƙona abincin</v>
      </c>
      <c r="J296" s="91" t="str">
        <f t="shared" si="227"/>
        <v>187. She burns the food</v>
      </c>
      <c r="K296" s="91" t="str">
        <f t="shared" ref="K296:L296" si="231">$F296&amp;". "&amp;H296</f>
        <v>187. Elle brûle la nourriture</v>
      </c>
      <c r="L296" s="91" t="str">
        <f t="shared" si="231"/>
        <v>187. Ta ƙona abincin</v>
      </c>
    </row>
    <row r="297" hidden="1">
      <c r="A297" s="122" t="s">
        <v>236</v>
      </c>
      <c r="B297" s="153" t="s">
        <v>2089</v>
      </c>
      <c r="C297" s="31"/>
      <c r="D297" s="31"/>
      <c r="E297" s="31"/>
      <c r="F297" s="89">
        <v>190.0</v>
      </c>
      <c r="G297" s="91" t="str">
        <f>IFERROR(__xludf.DUMMYFUNCTION("TRIM(REGEXREPLACE(C297, ""[0-9]+[a-f]?\."", """"))"),"")</f>
        <v/>
      </c>
      <c r="H297" s="91" t="str">
        <f>IFERROR(__xludf.DUMMYFUNCTION("TRIM(REGEXREPLACE(D297, ""[0-9]+[a-f]?\."", """"))"),"")</f>
        <v/>
      </c>
      <c r="I297" s="91" t="str">
        <f>IFERROR(__xludf.DUMMYFUNCTION("TRIM(REGEXREPLACE(E297, ""[0-9]+[a-f]?\."", """"))"),"")</f>
        <v/>
      </c>
      <c r="J297" s="91" t="s">
        <v>2129</v>
      </c>
      <c r="K297" s="91" t="s">
        <v>2130</v>
      </c>
      <c r="L297" s="91" t="s">
        <v>2131</v>
      </c>
    </row>
    <row r="298">
      <c r="A298" s="81" t="s">
        <v>2132</v>
      </c>
      <c r="B298" s="142" t="s">
        <v>2133</v>
      </c>
      <c r="C298" s="31" t="s">
        <v>2134</v>
      </c>
      <c r="D298" s="31" t="s">
        <v>2135</v>
      </c>
      <c r="E298" s="214" t="s">
        <v>2136</v>
      </c>
      <c r="F298" s="89">
        <v>188.0</v>
      </c>
      <c r="G298" s="91" t="str">
        <f>IFERROR(__xludf.DUMMYFUNCTION("TRIM(REGEXREPLACE(C298, ""[0-9]+[a-f]?\."", """"))"),"I've asked you a lot of questions about your life since our last in person interview (May/June 2024) in order to better understand your experiences. Is there anything else that has happened recently to you that has changed your life in an important way?")</f>
        <v>I've asked you a lot of questions about your life since our last in person interview (May/June 2024) in order to better understand your experiences. Is there anything else that has happened recently to you that has changed your life in an important way?</v>
      </c>
      <c r="H298" s="91" t="str">
        <f>IFERROR(__xludf.DUMMYFUNCTION("TRIM(REGEXREPLACE(D298, ""[0-9]+[a-f]?\."", """"))"),"Je vous ai posé beaucoup de questions sur votre vie depuis notre dernière enquête en personne (mai/juin 2024) écoulée afin de mieux comprendre vos expériences. Y a-t-il autre chose qui vous est arrivé récemment qui a changé votre vie de manière importante"&amp;" ?")</f>
        <v>Je vous ai posé beaucoup de questions sur votre vie depuis notre dernière enquête en personne (mai/juin 2024) écoulée afin de mieux comprendre vos expériences. Y a-t-il autre chose qui vous est arrivé récemment qui a changé votre vie de manière importante ?</v>
      </c>
      <c r="I298" s="91" t="str">
        <f>IFERROR(__xludf.DUMMYFUNCTION("TRIM(REGEXREPLACE(E298, ""[0-9]+[a-f]?\."", """"))"),"Na yi muku tambayoyi da yawa game da rayuwarku Tun daga tun bayan hirar mu ta ƙarshe a gaba da gaba (Mayu/Yuni 2024) suka wuce don in gane yanda kuke tahiyar rayuwarku. Ko akwai wani abu da ya faru da ku cikin kwanan nan wanda ya kawo wani mahimmin canji "&amp;"ga rayuwarku ?")</f>
        <v>Na yi muku tambayoyi da yawa game da rayuwarku Tun daga tun bayan hirar mu ta ƙarshe a gaba da gaba (Mayu/Yuni 2024) suka wuce don in gane yanda kuke tahiyar rayuwarku. Ko akwai wani abu da ya faru da ku cikin kwanan nan wanda ya kawo wani mahimmin canji ga rayuwarku ?</v>
      </c>
      <c r="J298" s="91" t="str">
        <f t="shared" ref="J298:J299" si="233">F298&amp;". "&amp;G298</f>
        <v>188. I've asked you a lot of questions about your life since our last in person interview (May/June 2024) in order to better understand your experiences. Is there anything else that has happened recently to you that has changed your life in an important way?</v>
      </c>
      <c r="K298" s="91" t="str">
        <f t="shared" ref="K298:L298" si="232">$F298&amp;". "&amp;H298</f>
        <v>188. Je vous ai posé beaucoup de questions sur votre vie depuis notre dernière enquête en personne (mai/juin 2024) écoulée afin de mieux comprendre vos expériences. Y a-t-il autre chose qui vous est arrivé récemment qui a changé votre vie de manière importante ?</v>
      </c>
      <c r="L298" s="91" t="str">
        <f t="shared" si="232"/>
        <v>188. Na yi muku tambayoyi da yawa game da rayuwarku Tun daga tun bayan hirar mu ta ƙarshe a gaba da gaba (Mayu/Yuni 2024) suka wuce don in gane yanda kuke tahiyar rayuwarku. Ko akwai wani abu da ya faru da ku cikin kwanan nan wanda ya kawo wani mahimmin canji ga rayuwarku ?</v>
      </c>
    </row>
    <row r="299">
      <c r="A299" s="133" t="s">
        <v>214</v>
      </c>
      <c r="B299" s="143" t="s">
        <v>2145</v>
      </c>
      <c r="C299" s="31" t="s">
        <v>2146</v>
      </c>
      <c r="D299" s="31" t="s">
        <v>2147</v>
      </c>
      <c r="E299" s="31" t="s">
        <v>2148</v>
      </c>
      <c r="F299" s="89">
        <v>189.0</v>
      </c>
      <c r="G299" s="91" t="str">
        <f>IFERROR(__xludf.DUMMYFUNCTION("TRIM(REGEXREPLACE(C299, ""[0-9]+[a-f]?\."", """"))"),"Enumerator: Briefly summarize the changes described by the respondent")</f>
        <v>Enumerator: Briefly summarize the changes described by the respondent</v>
      </c>
      <c r="H299" s="91" t="str">
        <f>IFERROR(__xludf.DUMMYFUNCTION("TRIM(REGEXREPLACE(D299, ""[0-9]+[a-f]?\."", """"))"),"Enquêteur : Résumez brièvement les changements décrits par le répondant")</f>
        <v>Enquêteur : Résumez brièvement les changements décrits par le répondant</v>
      </c>
      <c r="I299" s="91" t="str">
        <f>IFERROR(__xludf.DUMMYFUNCTION("TRIM(REGEXREPLACE(E299, ""[0-9]+[a-f]?\."", """"))"),"Ɗan bincike: A taƙaice rubuta canje-canjen da mai bada amsa ya gaya maka")</f>
        <v>Ɗan bincike: A taƙaice rubuta canje-canjen da mai bada amsa ya gaya maka</v>
      </c>
      <c r="J299" s="91" t="str">
        <f t="shared" si="233"/>
        <v>189. Enumerator: Briefly summarize the changes described by the respondent</v>
      </c>
      <c r="K299" s="91" t="str">
        <f t="shared" ref="K299:L299" si="234">$F299&amp;". "&amp;H299</f>
        <v>189. Enquêteur : Résumez brièvement les changements décrits par le répondant</v>
      </c>
      <c r="L299" s="91" t="str">
        <f t="shared" si="234"/>
        <v>189. Ɗan bincike: A taƙaice rubuta canje-canjen da mai bada amsa ya gaya maka</v>
      </c>
    </row>
    <row r="300" hidden="1">
      <c r="A300" s="67" t="s">
        <v>236</v>
      </c>
      <c r="B300" s="69" t="s">
        <v>753</v>
      </c>
      <c r="C300" s="31"/>
      <c r="D300" s="31"/>
      <c r="E300" s="31"/>
      <c r="F300" s="89">
        <v>103.0</v>
      </c>
      <c r="G300" s="91" t="str">
        <f>IFERROR(__xludf.DUMMYFUNCTION("TRIM(REGEXREPLACE(C300, ""[0-9]+[a-f]?\."", """"))"),"")</f>
        <v/>
      </c>
      <c r="H300" s="91" t="str">
        <f>IFERROR(__xludf.DUMMYFUNCTION("TRIM(REGEXREPLACE(D300, ""[0-9]+[a-f]?\."", """"))"),"")</f>
        <v/>
      </c>
      <c r="I300" s="91" t="str">
        <f>IFERROR(__xludf.DUMMYFUNCTION("TRIM(REGEXREPLACE(E300, ""[0-9]+[a-f]?\."", """"))"),"")</f>
        <v/>
      </c>
      <c r="J300" s="91" t="str">
        <f>F300 &amp; ". " &amp;G300</f>
        <v>103. </v>
      </c>
      <c r="K300" s="91" t="str">
        <f>F300 &amp; ". " &amp;H300</f>
        <v>103. </v>
      </c>
      <c r="L300" s="91" t="str">
        <f>F300 &amp; ". " &amp;I300</f>
        <v>103. </v>
      </c>
    </row>
    <row r="301" hidden="1">
      <c r="A301" s="217" t="s">
        <v>139</v>
      </c>
      <c r="B301" s="218" t="s">
        <v>2160</v>
      </c>
      <c r="C301" s="31"/>
      <c r="D301" s="31"/>
      <c r="E301" s="31"/>
      <c r="F301" s="89">
        <v>188.0</v>
      </c>
      <c r="G301" s="91" t="str">
        <f>IFERROR(__xludf.DUMMYFUNCTION("TRIM(REGEXREPLACE(C301, ""[0-9]+[a-f]?\."", """"))"),"")</f>
        <v/>
      </c>
      <c r="H301" s="91" t="str">
        <f>IFERROR(__xludf.DUMMYFUNCTION("TRIM(REGEXREPLACE(D301, ""[0-9]+[a-f]?\."", """"))"),"")</f>
        <v/>
      </c>
      <c r="I301" s="91" t="str">
        <f>IFERROR(__xludf.DUMMYFUNCTION("TRIM(REGEXREPLACE(E301, ""[0-9]+[a-f]?\."", """"))"),"")</f>
        <v/>
      </c>
      <c r="J301" s="91" t="s">
        <v>2161</v>
      </c>
      <c r="K301" s="91" t="s">
        <v>2162</v>
      </c>
      <c r="L301" s="91" t="s">
        <v>2163</v>
      </c>
    </row>
    <row r="302" hidden="1">
      <c r="A302" s="217" t="s">
        <v>108</v>
      </c>
      <c r="B302" s="218" t="s">
        <v>2165</v>
      </c>
      <c r="C302" s="31"/>
      <c r="D302" s="31"/>
      <c r="E302" s="31"/>
      <c r="F302" s="89">
        <v>189.0</v>
      </c>
      <c r="G302" s="91" t="str">
        <f>IFERROR(__xludf.DUMMYFUNCTION("TRIM(REGEXREPLACE(C302, ""[0-9]+[a-f]?\."", """"))"),"")</f>
        <v/>
      </c>
      <c r="H302" s="91" t="str">
        <f>IFERROR(__xludf.DUMMYFUNCTION("TRIM(REGEXREPLACE(D302, ""[0-9]+[a-f]?\."", """"))"),"")</f>
        <v/>
      </c>
      <c r="I302" s="91" t="str">
        <f>IFERROR(__xludf.DUMMYFUNCTION("TRIM(REGEXREPLACE(E302, ""[0-9]+[a-f]?\."", """"))"),"")</f>
        <v/>
      </c>
      <c r="J302" s="91" t="s">
        <v>2167</v>
      </c>
      <c r="K302" s="91" t="s">
        <v>2168</v>
      </c>
      <c r="L302" s="91" t="s">
        <v>2169</v>
      </c>
    </row>
    <row r="303" hidden="1">
      <c r="A303" s="122" t="s">
        <v>150</v>
      </c>
      <c r="B303" s="123" t="s">
        <v>2170</v>
      </c>
      <c r="C303" s="31"/>
      <c r="D303" s="31"/>
      <c r="E303" s="31"/>
      <c r="F303" s="89">
        <v>104.0</v>
      </c>
      <c r="G303" s="91" t="str">
        <f>IFERROR(__xludf.DUMMYFUNCTION("TRIM(REGEXREPLACE(C303, ""[0-9]+[a-f]?\."", """"))"),"")</f>
        <v/>
      </c>
      <c r="H303" s="91" t="str">
        <f>IFERROR(__xludf.DUMMYFUNCTION("TRIM(REGEXREPLACE(D303, ""[0-9]+[a-f]?\."", """"))"),"")</f>
        <v/>
      </c>
      <c r="I303" s="91" t="str">
        <f>IFERROR(__xludf.DUMMYFUNCTION("TRIM(REGEXREPLACE(E303, ""[0-9]+[a-f]?\."", """"))"),"")</f>
        <v/>
      </c>
      <c r="J303" s="91" t="str">
        <f>F303 &amp; ". " &amp;G303</f>
        <v>104. </v>
      </c>
      <c r="K303" s="91" t="str">
        <f>F303 &amp; ". " &amp;H303</f>
        <v>104. </v>
      </c>
      <c r="L303" s="91" t="str">
        <f>F303 &amp; ". " &amp;I303</f>
        <v>104. </v>
      </c>
    </row>
    <row r="304">
      <c r="A304" s="81" t="s">
        <v>338</v>
      </c>
      <c r="B304" s="142" t="s">
        <v>2171</v>
      </c>
      <c r="C304" s="31" t="s">
        <v>2172</v>
      </c>
      <c r="D304" s="31" t="s">
        <v>2173</v>
      </c>
      <c r="E304" s="31" t="s">
        <v>2174</v>
      </c>
      <c r="F304" s="89">
        <v>190.0</v>
      </c>
      <c r="G304" s="91" t="str">
        <f>IFERROR(__xludf.DUMMYFUNCTION("TRIM(REGEXREPLACE(C304, ""[0-9]+[a-f]?\."", """"))"),"Now I would like to ask you questions about some other important aspects of a woman's life. I know that some of these questions are very personal. Let me assure you that your answers are completely confidential and will not be told to anyone.
 In the pa"&amp;"st six months has your husband or another member of your household prevented you from")</f>
        <v>Now I would like to ask you questions about some other important aspects of a woman's life. I know that some of these questions are very personal. Let me assure you that your answers are completely confidential and will not be told to anyone.
 In the past six months has your husband or another member of your household prevented you from</v>
      </c>
      <c r="H304" s="91" t="str">
        <f>IFERROR(__xludf.DUMMYFUNCTION("TRIM(REGEXREPLACE(D304, ""[0-9]+[a-f]?\."", """"))"),"« J’aimerais maintenant vous poser des questions sur d’autres aspects importants de la vie d’une femme. Je sais que certaines de ces questions sont très personnelles. Soyez assurée que vos réponses resteront entièrement confidentielles et ne seront révélé"&amp;"es à personne. 
 Au cours des six derniers mois, votre mari ou un autre membre de votre foyer vous a-t-il empêchée de… »")</f>
        <v>« J’aimerais maintenant vous poser des questions sur d’autres aspects importants de la vie d’une femme. Je sais que certaines de ces questions sont très personnelles. Soyez assurée que vos réponses resteront entièrement confidentielles et ne seront révélées à personne. 
 Au cours des six derniers mois, votre mari ou un autre membre de votre foyer vous a-t-il empêchée de… »</v>
      </c>
      <c r="I304" s="91" t="str">
        <f>IFERROR(__xludf.DUMMYFUNCTION("TRIM(REGEXREPLACE(E304, ""[0-9]+[a-f]?\."", """"))"),"Yanzu ina son in yi muku tambayoyi game da wasu muhimman al'amura na rayuwar mace, na san cewa wasu daga cikin tambayoyin na sirri ne, Amma ina tabbatar muku cewa zamu sirrin amsoshin ku kuma ba za a gaya wa kowa ba. 
 A cikin wata shida mijinki ko wani"&amp;" dan gidanki ya hana ki")</f>
        <v>Yanzu ina son in yi muku tambayoyi game da wasu muhimman al'amura na rayuwar mace, na san cewa wasu daga cikin tambayoyin na sirri ne, Amma ina tabbatar muku cewa zamu sirrin amsoshin ku kuma ba za a gaya wa kowa ba. 
 A cikin wata shida mijinki ko wani dan gidanki ya hana ki</v>
      </c>
      <c r="J304" s="91" t="str">
        <f t="shared" ref="J304:J306" si="236">F304&amp;". "&amp;G304</f>
        <v>190. Now I would like to ask you questions about some other important aspects of a woman's life. I know that some of these questions are very personal. Let me assure you that your answers are completely confidential and will not be told to anyone.
 In the past six months has your husband or another member of your household prevented you from</v>
      </c>
      <c r="K304" s="91" t="str">
        <f t="shared" ref="K304:L304" si="235">$F304&amp;". "&amp;H304</f>
        <v>190. « J’aimerais maintenant vous poser des questions sur d’autres aspects importants de la vie d’une femme. Je sais que certaines de ces questions sont très personnelles. Soyez assurée que vos réponses resteront entièrement confidentielles et ne seront révélées à personne. 
 Au cours des six derniers mois, votre mari ou un autre membre de votre foyer vous a-t-il empêchée de… »</v>
      </c>
      <c r="L304" s="91" t="str">
        <f t="shared" si="235"/>
        <v>190. Yanzu ina son in yi muku tambayoyi game da wasu muhimman al'amura na rayuwar mace, na san cewa wasu daga cikin tambayoyin na sirri ne, Amma ina tabbatar muku cewa zamu sirrin amsoshin ku kuma ba za a gaya wa kowa ba. 
 A cikin wata shida mijinki ko wani dan gidanki ya hana ki</v>
      </c>
    </row>
    <row r="305">
      <c r="A305" s="81" t="s">
        <v>338</v>
      </c>
      <c r="B305" s="142" t="s">
        <v>2178</v>
      </c>
      <c r="C305" s="31" t="s">
        <v>2179</v>
      </c>
      <c r="D305" s="31" t="s">
        <v>2180</v>
      </c>
      <c r="E305" s="31" t="s">
        <v>2181</v>
      </c>
      <c r="F305" s="89">
        <v>191.0</v>
      </c>
      <c r="G305" s="91" t="str">
        <f>IFERROR(__xludf.DUMMYFUNCTION("TRIM(REGEXREPLACE(C305, ""[0-9]+[a-f]?\."", """"))"),"visiting your family or friends?")</f>
        <v>visiting your family or friends?</v>
      </c>
      <c r="H305" s="91" t="str">
        <f>IFERROR(__xludf.DUMMYFUNCTION("TRIM(REGEXREPLACE(D305, ""[0-9]+[a-f]?\."", """"))"),"rendre visite à votre famille ou à vos amis ?")</f>
        <v>rendre visite à votre famille ou à vos amis ?</v>
      </c>
      <c r="I305" s="91" t="str">
        <f>IFERROR(__xludf.DUMMYFUNCTION("TRIM(REGEXREPLACE(E305, ""[0-9]+[a-f]?\."", """"))"),"ziyartar danginku ko abokananku?")</f>
        <v>ziyartar danginku ko abokananku?</v>
      </c>
      <c r="J305" s="91" t="str">
        <f t="shared" si="236"/>
        <v>191. visiting your family or friends?</v>
      </c>
      <c r="K305" s="91" t="str">
        <f t="shared" ref="K305:L305" si="237">$F305&amp;". "&amp;H305</f>
        <v>191. rendre visite à votre famille ou à vos amis ?</v>
      </c>
      <c r="L305" s="91" t="str">
        <f t="shared" si="237"/>
        <v>191. ziyartar danginku ko abokananku?</v>
      </c>
    </row>
    <row r="306">
      <c r="A306" s="81" t="s">
        <v>338</v>
      </c>
      <c r="B306" s="142" t="s">
        <v>2182</v>
      </c>
      <c r="C306" s="31" t="s">
        <v>2183</v>
      </c>
      <c r="D306" s="31" t="s">
        <v>2184</v>
      </c>
      <c r="E306" s="31" t="s">
        <v>2185</v>
      </c>
      <c r="F306" s="89">
        <v>192.0</v>
      </c>
      <c r="G306" s="91" t="str">
        <f>IFERROR(__xludf.DUMMYFUNCTION("TRIM(REGEXREPLACE(C306, ""[0-9]+[a-f]?\."", """"))"),"working outside the household?")</f>
        <v>working outside the household?</v>
      </c>
      <c r="H306" s="91" t="str">
        <f>IFERROR(__xludf.DUMMYFUNCTION("TRIM(REGEXREPLACE(D306, ""[0-9]+[a-f]?\."", """"))"),"travailler en dehors du ménage ?")</f>
        <v>travailler en dehors du ménage ?</v>
      </c>
      <c r="I306" s="91" t="str">
        <f>IFERROR(__xludf.DUMMYFUNCTION("TRIM(REGEXREPLACE(E306, ""[0-9]+[a-f]?\."", """"))"),"aiki a wajen gidanku?")</f>
        <v>aiki a wajen gidanku?</v>
      </c>
      <c r="J306" s="91" t="str">
        <f t="shared" si="236"/>
        <v>192. working outside the household?</v>
      </c>
      <c r="K306" s="91" t="str">
        <f t="shared" ref="K306:L306" si="238">$F306&amp;". "&amp;H306</f>
        <v>192. travailler en dehors du ménage ?</v>
      </c>
      <c r="L306" s="91" t="str">
        <f t="shared" si="238"/>
        <v>192. aiki a wajen gidanku?</v>
      </c>
    </row>
    <row r="307" hidden="1">
      <c r="A307" s="122" t="s">
        <v>236</v>
      </c>
      <c r="B307" s="153" t="s">
        <v>2170</v>
      </c>
      <c r="C307" s="31"/>
      <c r="D307" s="31"/>
      <c r="E307" s="31"/>
      <c r="F307" s="89">
        <v>106.0</v>
      </c>
      <c r="G307" s="91" t="str">
        <f>IFERROR(__xludf.DUMMYFUNCTION("TRIM(REGEXREPLACE(C307, ""[0-9]+[a-f]?\."", """"))"),"")</f>
        <v/>
      </c>
      <c r="H307" s="91" t="str">
        <f>IFERROR(__xludf.DUMMYFUNCTION("TRIM(REGEXREPLACE(D307, ""[0-9]+[a-f]?\."", """"))"),"")</f>
        <v/>
      </c>
      <c r="I307" s="91" t="str">
        <f>IFERROR(__xludf.DUMMYFUNCTION("TRIM(REGEXREPLACE(E307, ""[0-9]+[a-f]?\."", """"))"),"")</f>
        <v/>
      </c>
      <c r="J307" s="91" t="str">
        <f t="shared" ref="J307:J309" si="239">F307 &amp; ". " &amp;G307</f>
        <v>106. </v>
      </c>
      <c r="K307" s="91" t="str">
        <f t="shared" ref="K307:K309" si="240">F307 &amp; ". " &amp;H307</f>
        <v>106. </v>
      </c>
      <c r="L307" s="91" t="str">
        <f t="shared" ref="L307:L309" si="241">F307 &amp; ". " &amp;I307</f>
        <v>106. </v>
      </c>
    </row>
    <row r="308" hidden="1">
      <c r="A308" s="122"/>
      <c r="B308" s="123"/>
      <c r="C308" s="31"/>
      <c r="D308" s="31"/>
      <c r="E308" s="31"/>
      <c r="F308" s="89">
        <v>107.0</v>
      </c>
      <c r="G308" s="91" t="str">
        <f>IFERROR(__xludf.DUMMYFUNCTION("TRIM(REGEXREPLACE(C308, ""[0-9]+[a-f]?\."", """"))"),"")</f>
        <v/>
      </c>
      <c r="H308" s="91" t="str">
        <f>IFERROR(__xludf.DUMMYFUNCTION("TRIM(REGEXREPLACE(D308, ""[0-9]+[a-f]?\."", """"))"),"")</f>
        <v/>
      </c>
      <c r="I308" s="91" t="str">
        <f>IFERROR(__xludf.DUMMYFUNCTION("TRIM(REGEXREPLACE(E308, ""[0-9]+[a-f]?\."", """"))"),"")</f>
        <v/>
      </c>
      <c r="J308" s="91" t="str">
        <f t="shared" si="239"/>
        <v>107. </v>
      </c>
      <c r="K308" s="91" t="str">
        <f t="shared" si="240"/>
        <v>107. </v>
      </c>
      <c r="L308" s="91" t="str">
        <f t="shared" si="241"/>
        <v>107. </v>
      </c>
    </row>
    <row r="309" hidden="1">
      <c r="A309" s="130"/>
      <c r="B309" s="130"/>
      <c r="C309" s="31"/>
      <c r="D309" s="31"/>
      <c r="E309" s="31"/>
      <c r="F309" s="89">
        <v>108.0</v>
      </c>
      <c r="G309" s="91" t="str">
        <f>IFERROR(__xludf.DUMMYFUNCTION("TRIM(REGEXREPLACE(C309, ""[0-9]+[a-f]?\."", """"))"),"")</f>
        <v/>
      </c>
      <c r="H309" s="91" t="str">
        <f>IFERROR(__xludf.DUMMYFUNCTION("TRIM(REGEXREPLACE(D309, ""[0-9]+[a-f]?\."", """"))"),"")</f>
        <v/>
      </c>
      <c r="I309" s="91" t="str">
        <f>IFERROR(__xludf.DUMMYFUNCTION("TRIM(REGEXREPLACE(E309, ""[0-9]+[a-f]?\."", """"))"),"")</f>
        <v/>
      </c>
      <c r="J309" s="91" t="str">
        <f t="shared" si="239"/>
        <v>108. </v>
      </c>
      <c r="K309" s="91" t="str">
        <f t="shared" si="240"/>
        <v>108. </v>
      </c>
      <c r="L309" s="91" t="str">
        <f t="shared" si="241"/>
        <v>108. </v>
      </c>
    </row>
    <row r="310" hidden="1">
      <c r="A310" s="122" t="s">
        <v>150</v>
      </c>
      <c r="B310" s="123" t="s">
        <v>2186</v>
      </c>
      <c r="C310" s="31"/>
      <c r="D310" s="31"/>
      <c r="E310" s="31"/>
      <c r="F310" s="89">
        <v>153.0</v>
      </c>
      <c r="G310" s="91" t="str">
        <f>IFERROR(__xludf.DUMMYFUNCTION("TRIM(REGEXREPLACE(C310, ""[0-9]+[a-f]?\."", """"))"),"")</f>
        <v/>
      </c>
      <c r="H310" s="91" t="str">
        <f>IFERROR(__xludf.DUMMYFUNCTION("TRIM(REGEXREPLACE(D310, ""[0-9]+[a-f]?\."", """"))"),"")</f>
        <v/>
      </c>
      <c r="I310" s="91" t="str">
        <f>IFERROR(__xludf.DUMMYFUNCTION("TRIM(REGEXREPLACE(E310, ""[0-9]+[a-f]?\."", """"))"),"")</f>
        <v/>
      </c>
      <c r="J310" s="91" t="s">
        <v>2188</v>
      </c>
      <c r="K310" s="91" t="s">
        <v>2189</v>
      </c>
      <c r="L310" s="91" t="s">
        <v>2190</v>
      </c>
    </row>
    <row r="311" hidden="1">
      <c r="A311" s="122" t="s">
        <v>150</v>
      </c>
      <c r="B311" s="123" t="s">
        <v>2191</v>
      </c>
      <c r="C311" s="31"/>
      <c r="D311" s="31"/>
      <c r="E311" s="31"/>
      <c r="F311" s="89">
        <v>154.0</v>
      </c>
      <c r="G311" s="91" t="str">
        <f>IFERROR(__xludf.DUMMYFUNCTION("TRIM(REGEXREPLACE(C311, ""[0-9]+[a-f]?\."", """"))"),"")</f>
        <v/>
      </c>
      <c r="H311" s="91" t="str">
        <f>IFERROR(__xludf.DUMMYFUNCTION("TRIM(REGEXREPLACE(D311, ""[0-9]+[a-f]?\."", """"))"),"")</f>
        <v/>
      </c>
      <c r="I311" s="91" t="str">
        <f>IFERROR(__xludf.DUMMYFUNCTION("TRIM(REGEXREPLACE(E311, ""[0-9]+[a-f]?\."", """"))"),"")</f>
        <v/>
      </c>
      <c r="J311" s="91" t="s">
        <v>2192</v>
      </c>
      <c r="K311" s="91" t="s">
        <v>2193</v>
      </c>
      <c r="L311" s="91" t="s">
        <v>2194</v>
      </c>
    </row>
    <row r="312">
      <c r="A312" s="149" t="s">
        <v>42</v>
      </c>
      <c r="B312" s="131" t="s">
        <v>2195</v>
      </c>
      <c r="C312" s="31" t="s">
        <v>2196</v>
      </c>
      <c r="D312" s="31" t="e">
        <v>#VALUE!</v>
      </c>
      <c r="E312" s="31" t="e">
        <v>#VALUE!</v>
      </c>
      <c r="F312" s="89">
        <v>193.0</v>
      </c>
      <c r="G312" s="91" t="str">
        <f>IFERROR(__xludf.DUMMYFUNCTION("TRIM(REGEXREPLACE(C312, ""[0-9]+[a-f]?\."", """"))"),"The next set of questions are for married women only")</f>
        <v>The next set of questions are for married women only</v>
      </c>
      <c r="H312" s="91" t="str">
        <f>IFERROR(__xludf.DUMMYFUNCTION("TRIM(REGEXREPLACE(D312, ""[0-9]+[a-f]?\."", """"))"),"#VALUE!")</f>
        <v>#VALUE!</v>
      </c>
      <c r="I312" s="91" t="str">
        <f>IFERROR(__xludf.DUMMYFUNCTION("TRIM(REGEXREPLACE(E312, ""[0-9]+[a-f]?\."", """"))"),"#VALUE!")</f>
        <v>#VALUE!</v>
      </c>
      <c r="J312" s="91" t="str">
        <f t="shared" ref="J312:J315" si="243">F312&amp;". "&amp;G312</f>
        <v>193. The next set of questions are for married women only</v>
      </c>
      <c r="K312" s="91" t="str">
        <f t="shared" ref="K312:L312" si="242">$F312&amp;". "&amp;H312</f>
        <v>#VALUE!</v>
      </c>
      <c r="L312" s="91" t="str">
        <f t="shared" si="242"/>
        <v>#VALUE!</v>
      </c>
    </row>
    <row r="313">
      <c r="A313" s="81" t="s">
        <v>841</v>
      </c>
      <c r="B313" s="142" t="s">
        <v>2201</v>
      </c>
      <c r="C313" s="31" t="s">
        <v>2202</v>
      </c>
      <c r="D313" s="31" t="s">
        <v>2203</v>
      </c>
      <c r="E313" s="31" t="s">
        <v>2204</v>
      </c>
      <c r="F313" s="89">
        <v>194.0</v>
      </c>
      <c r="G313" s="91" t="str">
        <f>IFERROR(__xludf.DUMMYFUNCTION("TRIM(REGEXREPLACE(C313, ""[0-9]+[a-f]?\."", """"))"),"When two people marry or live together, they share both good and bad moments. In your relationship with your husband/partner do the following happen frequently, only sometimes, or never?")</f>
        <v>When two people marry or live together, they share both good and bad moments. In your relationship with your husband/partner do the following happen frequently, only sometimes, or never?</v>
      </c>
      <c r="H313" s="91" t="str">
        <f>IFERROR(__xludf.DUMMYFUNCTION("TRIM(REGEXREPLACE(D313, ""[0-9]+[a-f]?\."", """"))"),"Lorsque deux personnes se marient ou vivent ensemble, elles partagent de bons et de mauvais moments. Dans votre relation avec votre mari/partenaire, les situations suivantes se produisent-elles a quelle frequence?")</f>
        <v>Lorsque deux personnes se marient ou vivent ensemble, elles partagent de bons et de mauvais moments. Dans votre relation avec votre mari/partenaire, les situations suivantes se produisent-elles a quelle frequence?</v>
      </c>
      <c r="I313" s="91" t="str">
        <f>IFERROR(__xludf.DUMMYFUNCTION("TRIM(REGEXREPLACE(E313, ""[0-9]+[a-f]?\."", """"))"),"Idan mutum biyu suka yi aure ko suna zaune tare, suna raba lokutta masu daɗi da marasa daɗi. A cikin zamantakewarku da mijinki/abokin zaman, ko waɗannan abubuwan suna faruwa kai-aka?")</f>
        <v>Idan mutum biyu suka yi aure ko suna zaune tare, suna raba lokutta masu daɗi da marasa daɗi. A cikin zamantakewarku da mijinki/abokin zaman, ko waɗannan abubuwan suna faruwa kai-aka?</v>
      </c>
      <c r="J313" s="91" t="str">
        <f t="shared" si="243"/>
        <v>194. When two people marry or live together, they share both good and bad moments. In your relationship with your husband/partner do the following happen frequently, only sometimes, or never?</v>
      </c>
      <c r="K313" s="91" t="str">
        <f t="shared" ref="K313:L313" si="244">$F313&amp;". "&amp;H313</f>
        <v>194. Lorsque deux personnes se marient ou vivent ensemble, elles partagent de bons et de mauvais moments. Dans votre relation avec votre mari/partenaire, les situations suivantes se produisent-elles a quelle frequence?</v>
      </c>
      <c r="L313" s="91" t="str">
        <f t="shared" si="244"/>
        <v>194. Idan mutum biyu suka yi aure ko suna zaune tare, suna raba lokutta masu daɗi da marasa daɗi. A cikin zamantakewarku da mijinki/abokin zaman, ko waɗannan abubuwan suna faruwa kai-aka?</v>
      </c>
    </row>
    <row r="314">
      <c r="A314" s="81" t="s">
        <v>841</v>
      </c>
      <c r="B314" s="142" t="s">
        <v>2206</v>
      </c>
      <c r="C314" s="31" t="s">
        <v>2207</v>
      </c>
      <c r="D314" s="31" t="s">
        <v>2208</v>
      </c>
      <c r="E314" s="31" t="s">
        <v>2209</v>
      </c>
      <c r="F314" s="89">
        <v>195.0</v>
      </c>
      <c r="G314" s="91" t="str">
        <f>IFERROR(__xludf.DUMMYFUNCTION("TRIM(REGEXREPLACE(C314, ""[0-9]+[a-f]?\."", """"))"),"He is affectionnate with you")</f>
        <v>He is affectionnate with you</v>
      </c>
      <c r="H314" s="91" t="str">
        <f>IFERROR(__xludf.DUMMYFUNCTION("TRIM(REGEXREPLACE(D314, ""[0-9]+[a-f]?\."", """"))"),"Il est affectueux avec vous")</f>
        <v>Il est affectueux avec vous</v>
      </c>
      <c r="I314" s="91" t="str">
        <f>IFERROR(__xludf.DUMMYFUNCTION("TRIM(REGEXREPLACE(E314, ""[0-9]+[a-f]?\."", """"))"),"Yana nuna muku soyayya")</f>
        <v>Yana nuna muku soyayya</v>
      </c>
      <c r="J314" s="91" t="str">
        <f t="shared" si="243"/>
        <v>195. He is affectionnate with you</v>
      </c>
      <c r="K314" s="91" t="str">
        <f t="shared" ref="K314:L314" si="245">$F314&amp;". "&amp;H314</f>
        <v>195. Il est affectueux avec vous</v>
      </c>
      <c r="L314" s="91" t="str">
        <f t="shared" si="245"/>
        <v>195. Yana nuna muku soyayya</v>
      </c>
    </row>
    <row r="315">
      <c r="A315" s="81" t="s">
        <v>841</v>
      </c>
      <c r="B315" s="142" t="s">
        <v>2211</v>
      </c>
      <c r="C315" s="31" t="s">
        <v>2212</v>
      </c>
      <c r="D315" s="31" t="s">
        <v>2213</v>
      </c>
      <c r="E315" s="31" t="s">
        <v>2214</v>
      </c>
      <c r="F315" s="89">
        <v>196.0</v>
      </c>
      <c r="G315" s="91" t="str">
        <f>IFERROR(__xludf.DUMMYFUNCTION("TRIM(REGEXREPLACE(C315, ""[0-9]+[a-f]?\."", """"))"),"He respects you and your wishes")</f>
        <v>He respects you and your wishes</v>
      </c>
      <c r="H315" s="91" t="str">
        <f>IFERROR(__xludf.DUMMYFUNCTION("TRIM(REGEXREPLACE(D315, ""[0-9]+[a-f]?\."", """"))"),"Il vous respecte et respecte vos souhaits")</f>
        <v>Il vous respecte et respecte vos souhaits</v>
      </c>
      <c r="I315" s="91" t="str">
        <f>IFERROR(__xludf.DUMMYFUNCTION("TRIM(REGEXREPLACE(E315, ""[0-9]+[a-f]?\."", """"))"),"Yana girmama ku kuma ya na girmama buƙatuntu")</f>
        <v>Yana girmama ku kuma ya na girmama buƙatuntu</v>
      </c>
      <c r="J315" s="91" t="str">
        <f t="shared" si="243"/>
        <v>196. He respects you and your wishes</v>
      </c>
      <c r="K315" s="91" t="str">
        <f t="shared" ref="K315:L315" si="246">$F315&amp;". "&amp;H315</f>
        <v>196. Il vous respecte et respecte vos souhaits</v>
      </c>
      <c r="L315" s="91" t="str">
        <f t="shared" si="246"/>
        <v>196. Yana girmama ku kuma ya na girmama buƙatuntu</v>
      </c>
    </row>
    <row r="316" hidden="1">
      <c r="A316" s="122" t="s">
        <v>236</v>
      </c>
      <c r="B316" s="153" t="s">
        <v>2191</v>
      </c>
      <c r="C316" s="31"/>
      <c r="D316" s="31"/>
      <c r="E316" s="31"/>
      <c r="F316" s="89">
        <v>158.0</v>
      </c>
      <c r="G316" s="91" t="str">
        <f>IFERROR(__xludf.DUMMYFUNCTION("TRIM(REGEXREPLACE(C316, ""[0-9]+[a-f]?\."", """"))"),"")</f>
        <v/>
      </c>
      <c r="H316" s="91" t="str">
        <f>IFERROR(__xludf.DUMMYFUNCTION("TRIM(REGEXREPLACE(D316, ""[0-9]+[a-f]?\."", """"))"),"")</f>
        <v/>
      </c>
      <c r="I316" s="91" t="str">
        <f>IFERROR(__xludf.DUMMYFUNCTION("TRIM(REGEXREPLACE(E316, ""[0-9]+[a-f]?\."", """"))"),"")</f>
        <v/>
      </c>
      <c r="J316" s="91" t="s">
        <v>2216</v>
      </c>
      <c r="K316" s="91" t="s">
        <v>2217</v>
      </c>
      <c r="L316" s="91" t="s">
        <v>2218</v>
      </c>
    </row>
    <row r="317" hidden="1">
      <c r="A317" s="122" t="s">
        <v>150</v>
      </c>
      <c r="B317" s="123" t="s">
        <v>2219</v>
      </c>
      <c r="C317" s="31"/>
      <c r="D317" s="31"/>
      <c r="E317" s="31"/>
      <c r="F317" s="89">
        <v>159.0</v>
      </c>
      <c r="G317" s="91" t="str">
        <f>IFERROR(__xludf.DUMMYFUNCTION("TRIM(REGEXREPLACE(C317, ""[0-9]+[a-f]?\."", """"))"),"")</f>
        <v/>
      </c>
      <c r="H317" s="91" t="str">
        <f>IFERROR(__xludf.DUMMYFUNCTION("TRIM(REGEXREPLACE(D317, ""[0-9]+[a-f]?\."", """"))"),"")</f>
        <v/>
      </c>
      <c r="I317" s="91" t="str">
        <f>IFERROR(__xludf.DUMMYFUNCTION("TRIM(REGEXREPLACE(E317, ""[0-9]+[a-f]?\."", """"))"),"")</f>
        <v/>
      </c>
      <c r="J317" s="91" t="s">
        <v>2222</v>
      </c>
      <c r="K317" s="91" t="s">
        <v>2223</v>
      </c>
      <c r="L317" s="91" t="s">
        <v>2224</v>
      </c>
    </row>
    <row r="318">
      <c r="A318" s="81" t="s">
        <v>485</v>
      </c>
      <c r="B318" s="142" t="s">
        <v>2225</v>
      </c>
      <c r="C318" s="31" t="s">
        <v>2226</v>
      </c>
      <c r="D318" s="31" t="s">
        <v>2227</v>
      </c>
      <c r="E318" s="31" t="s">
        <v>2228</v>
      </c>
      <c r="F318" s="89">
        <v>197.0</v>
      </c>
      <c r="G318" s="91" t="str">
        <f>IFERROR(__xludf.DUMMYFUNCTION("TRIM(REGEXREPLACE(C318, ""[0-9]+[a-f]?\."", """"))"),"Now I am going to ask you about some situations which happen to some women. Please tell me if these apply to your relationship with your husband?")</f>
        <v>Now I am going to ask you about some situations which happen to some women. Please tell me if these apply to your relationship with your husband?</v>
      </c>
      <c r="H318" s="91" t="str">
        <f>IFERROR(__xludf.DUMMYFUNCTION("TRIM(REGEXREPLACE(D318, ""[0-9]+[a-f]?\."", """"))"),"Maintenant, je vais vous poser des questions sur certaines situations qui arrivent à certaines femmes. Veuillez me dire si cela s'applique à votre relation avec votre mari ?")</f>
        <v>Maintenant, je vais vous poser des questions sur certaines situations qui arrivent à certaines femmes. Veuillez me dire si cela s'applique à votre relation avec votre mari ?</v>
      </c>
      <c r="I318" s="91" t="str">
        <f>IFERROR(__xludf.DUMMYFUNCTION("TRIM(REGEXREPLACE(E318, ""[0-9]+[a-f]?\."", """"))"),"To, yanzu zan tambaye ku game da wasu al’amura da suke faruwa ga wasu mata. Ko kun gaya mini idan waɗannan sun shafi zamantakewarku da mijinku?")</f>
        <v>To, yanzu zan tambaye ku game da wasu al’amura da suke faruwa ga wasu mata. Ko kun gaya mini idan waɗannan sun shafi zamantakewarku da mijinku?</v>
      </c>
      <c r="J318" s="91" t="str">
        <f t="shared" ref="J318:J324" si="248">F318&amp;". "&amp;G318</f>
        <v>197. Now I am going to ask you about some situations which happen to some women. Please tell me if these apply to your relationship with your husband?</v>
      </c>
      <c r="K318" s="91" t="str">
        <f t="shared" ref="K318:L318" si="247">$F318&amp;". "&amp;H318</f>
        <v>197. Maintenant, je vais vous poser des questions sur certaines situations qui arrivent à certaines femmes. Veuillez me dire si cela s'applique à votre relation avec votre mari ?</v>
      </c>
      <c r="L318" s="91" t="str">
        <f t="shared" si="247"/>
        <v>197. To, yanzu zan tambaye ku game da wasu al’amura da suke faruwa ga wasu mata. Ko kun gaya mini idan waɗannan sun shafi zamantakewarku da mijinku?</v>
      </c>
    </row>
    <row r="319">
      <c r="A319" s="81" t="s">
        <v>485</v>
      </c>
      <c r="B319" s="142" t="s">
        <v>2233</v>
      </c>
      <c r="C319" s="31" t="s">
        <v>2234</v>
      </c>
      <c r="D319" s="31" t="s">
        <v>2235</v>
      </c>
      <c r="E319" s="31" t="s">
        <v>2237</v>
      </c>
      <c r="F319" s="89">
        <v>198.0</v>
      </c>
      <c r="G319" s="91" t="str">
        <f>IFERROR(__xludf.DUMMYFUNCTION("TRIM(REGEXREPLACE(C319, ""[0-9]+[a-f]?\."", """"))"),"He does not trust your fidelty")</f>
        <v>He does not trust your fidelty</v>
      </c>
      <c r="H319" s="91" t="str">
        <f>IFERROR(__xludf.DUMMYFUNCTION("TRIM(REGEXREPLACE(D319, ""[0-9]+[a-f]?\."", """"))"),"Il est jaloux et vous montre qu'il n’a pas confiance en vous ?")</f>
        <v>Il est jaloux et vous montre qu'il n’a pas confiance en vous ?</v>
      </c>
      <c r="I319" s="91" t="str">
        <f>IFERROR(__xludf.DUMMYFUNCTION("TRIM(REGEXREPLACE(E319, ""[0-9]+[a-f]?\."", """"))"),"Yana zargin ku kullum da nuna rashin yarda?")</f>
        <v>Yana zargin ku kullum da nuna rashin yarda?</v>
      </c>
      <c r="J319" s="91" t="str">
        <f t="shared" si="248"/>
        <v>198. He does not trust your fidelty</v>
      </c>
      <c r="K319" s="91" t="str">
        <f t="shared" ref="K319:L319" si="249">$F319&amp;". "&amp;H319</f>
        <v>198. Il est jaloux et vous montre qu'il n’a pas confiance en vous ?</v>
      </c>
      <c r="L319" s="91" t="str">
        <f t="shared" si="249"/>
        <v>198. Yana zargin ku kullum da nuna rashin yarda?</v>
      </c>
    </row>
    <row r="320">
      <c r="A320" s="81" t="s">
        <v>485</v>
      </c>
      <c r="B320" s="142" t="s">
        <v>2250</v>
      </c>
      <c r="C320" s="31" t="s">
        <v>2251</v>
      </c>
      <c r="D320" s="31" t="s">
        <v>2252</v>
      </c>
      <c r="E320" s="31" t="s">
        <v>2254</v>
      </c>
      <c r="F320" s="89">
        <v>199.0</v>
      </c>
      <c r="G320" s="91" t="str">
        <f>IFERROR(__xludf.DUMMYFUNCTION("TRIM(REGEXREPLACE(C320, ""[0-9]+[a-f]?\."", """"))"),"He (does/did) not permit you to meet your girl friends?")</f>
        <v>He (does/did) not permit you to meet your girl friends?</v>
      </c>
      <c r="H320" s="91" t="str">
        <f>IFERROR(__xludf.DUMMYFUNCTION("TRIM(REGEXREPLACE(D320, ""[0-9]+[a-f]?\."", """"))"),"Il ne vous a pas permis de rencontrer vos copines ?")</f>
        <v>Il ne vous a pas permis de rencontrer vos copines ?</v>
      </c>
      <c r="I320" s="91" t="str">
        <f>IFERROR(__xludf.DUMMYFUNCTION("TRIM(REGEXREPLACE(E320, ""[0-9]+[a-f]?\."", """"))"),"Bai baku izinin ganin ƙawayenku ba?")</f>
        <v>Bai baku izinin ganin ƙawayenku ba?</v>
      </c>
      <c r="J320" s="91" t="str">
        <f t="shared" si="248"/>
        <v>199. He (does/did) not permit you to meet your girl friends?</v>
      </c>
      <c r="K320" s="91" t="str">
        <f t="shared" ref="K320:L320" si="250">$F320&amp;". "&amp;H320</f>
        <v>199. Il ne vous a pas permis de rencontrer vos copines ?</v>
      </c>
      <c r="L320" s="91" t="str">
        <f t="shared" si="250"/>
        <v>199. Bai baku izinin ganin ƙawayenku ba?</v>
      </c>
    </row>
    <row r="321">
      <c r="A321" s="81" t="s">
        <v>485</v>
      </c>
      <c r="B321" s="142" t="s">
        <v>2260</v>
      </c>
      <c r="C321" s="31" t="s">
        <v>2262</v>
      </c>
      <c r="D321" s="31" t="s">
        <v>2264</v>
      </c>
      <c r="E321" s="31" t="s">
        <v>2266</v>
      </c>
      <c r="F321" s="89">
        <v>200.0</v>
      </c>
      <c r="G321" s="91" t="str">
        <f>IFERROR(__xludf.DUMMYFUNCTION("TRIM(REGEXREPLACE(C321, ""[0-9]+[a-f]?\."", """"))"),"He (tries/tried) to limit your contact with your family?")</f>
        <v>He (tries/tried) to limit your contact with your family?</v>
      </c>
      <c r="H321" s="91" t="str">
        <f>IFERROR(__xludf.DUMMYFUNCTION("TRIM(REGEXREPLACE(D321, ""[0-9]+[a-f]?\."", """"))"),"Il essaie de limiter vos contacts avec votre famille ?")</f>
        <v>Il essaie de limiter vos contacts avec votre famille ?</v>
      </c>
      <c r="I321" s="91" t="str">
        <f>IFERROR(__xludf.DUMMYFUNCTION("TRIM(REGEXREPLACE(E321, ""[0-9]+[a-f]?\."", """"))"),"Ya na ƙoƙarin ya rage hulɗarku da danginku?")</f>
        <v>Ya na ƙoƙarin ya rage hulɗarku da danginku?</v>
      </c>
      <c r="J321" s="91" t="str">
        <f t="shared" si="248"/>
        <v>200. He (tries/tried) to limit your contact with your family?</v>
      </c>
      <c r="K321" s="91" t="str">
        <f t="shared" ref="K321:L321" si="251">$F321&amp;". "&amp;H321</f>
        <v>200. Il essaie de limiter vos contacts avec votre famille ?</v>
      </c>
      <c r="L321" s="91" t="str">
        <f t="shared" si="251"/>
        <v>200. Ya na ƙoƙarin ya rage hulɗarku da danginku?</v>
      </c>
    </row>
    <row r="322">
      <c r="A322" s="81" t="s">
        <v>485</v>
      </c>
      <c r="B322" s="131" t="s">
        <v>2271</v>
      </c>
      <c r="C322" s="31" t="s">
        <v>2272</v>
      </c>
      <c r="D322" s="31" t="s">
        <v>2273</v>
      </c>
      <c r="E322" s="31" t="s">
        <v>2274</v>
      </c>
      <c r="F322" s="89">
        <v>201.0</v>
      </c>
      <c r="G322" s="91" t="str">
        <f>IFERROR(__xludf.DUMMYFUNCTION("TRIM(REGEXREPLACE(C322, ""[0-9]+[a-f]?\."", """"))"),"He expects you to ask his permission before seeking health care for yourself?")</f>
        <v>He expects you to ask his permission before seeking health care for yourself?</v>
      </c>
      <c r="H322" s="91" t="str">
        <f>IFERROR(__xludf.DUMMYFUNCTION("TRIM(REGEXREPLACE(D322, ""[0-9]+[a-f]?\."", """"))"),"Il s’attend à ce que vous demandiez sa permission avant de chercher à obtenir des soins de santé pour vous-même ?")</f>
        <v>Il s’attend à ce que vous demandiez sa permission avant de chercher à obtenir des soins de santé pour vous-même ?</v>
      </c>
      <c r="I322" s="91" t="str">
        <f>IFERROR(__xludf.DUMMYFUNCTION("TRIM(REGEXREPLACE(E322, ""[0-9]+[a-f]?\."", """"))"),"Yana tsammanin ki nemi izininshi kafin ki nemi lafiyar kanka?")</f>
        <v>Yana tsammanin ki nemi izininshi kafin ki nemi lafiyar kanka?</v>
      </c>
      <c r="J322" s="91" t="str">
        <f t="shared" si="248"/>
        <v>201. He expects you to ask his permission before seeking health care for yourself?</v>
      </c>
      <c r="K322" s="91" t="str">
        <f t="shared" ref="K322:L322" si="252">$F322&amp;". "&amp;H322</f>
        <v>201. Il s’attend à ce que vous demandiez sa permission avant de chercher à obtenir des soins de santé pour vous-même ?</v>
      </c>
      <c r="L322" s="91" t="str">
        <f t="shared" si="252"/>
        <v>201. Yana tsammanin ki nemi izininshi kafin ki nemi lafiyar kanka?</v>
      </c>
    </row>
    <row r="323">
      <c r="A323" s="81" t="s">
        <v>485</v>
      </c>
      <c r="B323" s="131" t="s">
        <v>2280</v>
      </c>
      <c r="C323" s="31" t="s">
        <v>2281</v>
      </c>
      <c r="D323" s="31" t="s">
        <v>2283</v>
      </c>
      <c r="E323" s="31" t="s">
        <v>2285</v>
      </c>
      <c r="F323" s="89">
        <v>202.0</v>
      </c>
      <c r="G323" s="91" t="str">
        <f>IFERROR(__xludf.DUMMYFUNCTION("TRIM(REGEXREPLACE(C323, ""[0-9]+[a-f]?\."", """"))"),"He expects you to ask his permission before seeking health care for your children?")</f>
        <v>He expects you to ask his permission before seeking health care for your children?</v>
      </c>
      <c r="H323" s="91" t="str">
        <f>IFERROR(__xludf.DUMMYFUNCTION("TRIM(REGEXREPLACE(D323, ""[0-9]+[a-f]?\."", """"))"),"S’attend-il à ce que vous demandiez sa permission avant de consulter pour vos enfants ?")</f>
        <v>S’attend-il à ce que vous demandiez sa permission avant de consulter pour vos enfants ?</v>
      </c>
      <c r="I323" s="91" t="str">
        <f>IFERROR(__xludf.DUMMYFUNCTION("TRIM(REGEXREPLACE(E323, ""[0-9]+[a-f]?\."", """"))"),"Yana tsammanin ki nemi izininshi kafin ki nemi lafiyar yaranku?")</f>
        <v>Yana tsammanin ki nemi izininshi kafin ki nemi lafiyar yaranku?</v>
      </c>
      <c r="J323" s="91" t="str">
        <f t="shared" si="248"/>
        <v>202. He expects you to ask his permission before seeking health care for your children?</v>
      </c>
      <c r="K323" s="91" t="str">
        <f t="shared" ref="K323:L323" si="253">$F323&amp;". "&amp;H323</f>
        <v>202. S’attend-il à ce que vous demandiez sa permission avant de consulter pour vos enfants ?</v>
      </c>
      <c r="L323" s="91" t="str">
        <f t="shared" si="253"/>
        <v>202. Yana tsammanin ki nemi izininshi kafin ki nemi lafiyar yaranku?</v>
      </c>
    </row>
    <row r="324">
      <c r="A324" s="81" t="s">
        <v>485</v>
      </c>
      <c r="B324" s="171" t="s">
        <v>2287</v>
      </c>
      <c r="C324" s="31" t="s">
        <v>2288</v>
      </c>
      <c r="D324" s="31" t="s">
        <v>2289</v>
      </c>
      <c r="E324" s="31" t="s">
        <v>2290</v>
      </c>
      <c r="F324" s="89">
        <v>203.0</v>
      </c>
      <c r="G324" s="91" t="str">
        <f>IFERROR(__xludf.DUMMYFUNCTION("TRIM(REGEXREPLACE(C324, ""[0-9]+[a-f]?\."", """"))"),"He does things to scare or intimidate you (e.g. by the way he looked at you, by yelling and smashing things)?")</f>
        <v>He does things to scare or intimidate you (e.g. by the way he looked at you, by yelling and smashing things)?</v>
      </c>
      <c r="H324" s="91" t="str">
        <f>IFERROR(__xludf.DUMMYFUNCTION("TRIM(REGEXREPLACE(D324, ""[0-9]+[a-f]?\."", """"))"),"Il agit pour vous effrayer ou vous intimider (par exemple, par son regard, en criant et en cassant des objets) ?")</f>
        <v>Il agit pour vous effrayer ou vous intimider (par exemple, par son regard, en criant et en cassant des objets) ?</v>
      </c>
      <c r="I324" s="91" t="str">
        <f>IFERROR(__xludf.DUMMYFUNCTION("TRIM(REGEXREPLACE(E324, ""[0-9]+[a-f]?\."", """"))"),"Yana yin abubuwa don ya firgitar ko ya tsoratar da ku (misali ta hanyar harare, ta hanyar ihu da fasa abubuwa)?")</f>
        <v>Yana yin abubuwa don ya firgitar ko ya tsoratar da ku (misali ta hanyar harare, ta hanyar ihu da fasa abubuwa)?</v>
      </c>
      <c r="J324" s="91" t="str">
        <f t="shared" si="248"/>
        <v>203. He does things to scare or intimidate you (e.g. by the way he looked at you, by yelling and smashing things)?</v>
      </c>
      <c r="K324" s="91" t="str">
        <f t="shared" ref="K324:L324" si="254">$F324&amp;". "&amp;H324</f>
        <v>203. Il agit pour vous effrayer ou vous intimider (par exemple, par son regard, en criant et en cassant des objets) ?</v>
      </c>
      <c r="L324" s="91" t="str">
        <f t="shared" si="254"/>
        <v>203. Yana yin abubuwa don ya firgitar ko ya tsoratar da ku (misali ta hanyar harare, ta hanyar ihu da fasa abubuwa)?</v>
      </c>
    </row>
    <row r="325" hidden="1">
      <c r="A325" s="122" t="s">
        <v>236</v>
      </c>
      <c r="B325" s="153" t="s">
        <v>2219</v>
      </c>
      <c r="C325" s="31"/>
      <c r="D325" s="31"/>
      <c r="E325" s="31"/>
      <c r="F325" s="89">
        <v>166.0</v>
      </c>
      <c r="G325" s="91" t="str">
        <f>IFERROR(__xludf.DUMMYFUNCTION("TRIM(REGEXREPLACE(C325, ""[0-9]+[a-f]?\."", """"))"),"")</f>
        <v/>
      </c>
      <c r="H325" s="91" t="str">
        <f>IFERROR(__xludf.DUMMYFUNCTION("TRIM(REGEXREPLACE(D325, ""[0-9]+[a-f]?\."", """"))"),"")</f>
        <v/>
      </c>
      <c r="I325" s="91" t="str">
        <f>IFERROR(__xludf.DUMMYFUNCTION("TRIM(REGEXREPLACE(E325, ""[0-9]+[a-f]?\."", """"))"),"")</f>
        <v/>
      </c>
      <c r="J325" s="91" t="s">
        <v>2298</v>
      </c>
      <c r="K325" s="91" t="s">
        <v>2300</v>
      </c>
      <c r="L325" s="91" t="s">
        <v>2302</v>
      </c>
    </row>
    <row r="326" hidden="1">
      <c r="A326" s="122" t="s">
        <v>150</v>
      </c>
      <c r="B326" s="123" t="s">
        <v>2304</v>
      </c>
      <c r="C326" s="31"/>
      <c r="D326" s="31"/>
      <c r="E326" s="31"/>
      <c r="F326" s="89">
        <v>167.0</v>
      </c>
      <c r="G326" s="91" t="str">
        <f>IFERROR(__xludf.DUMMYFUNCTION("TRIM(REGEXREPLACE(C326, ""[0-9]+[a-f]?\."", """"))"),"")</f>
        <v/>
      </c>
      <c r="H326" s="91" t="str">
        <f>IFERROR(__xludf.DUMMYFUNCTION("TRIM(REGEXREPLACE(D326, ""[0-9]+[a-f]?\."", """"))"),"")</f>
        <v/>
      </c>
      <c r="I326" s="91" t="str">
        <f>IFERROR(__xludf.DUMMYFUNCTION("TRIM(REGEXREPLACE(E326, ""[0-9]+[a-f]?\."", """"))"),"")</f>
        <v/>
      </c>
      <c r="J326" s="91" t="s">
        <v>2305</v>
      </c>
      <c r="K326" s="91" t="s">
        <v>2306</v>
      </c>
      <c r="L326" s="91" t="s">
        <v>2307</v>
      </c>
    </row>
    <row r="327">
      <c r="A327" s="81" t="s">
        <v>338</v>
      </c>
      <c r="B327" s="142" t="s">
        <v>2309</v>
      </c>
      <c r="C327" s="31" t="s">
        <v>2312</v>
      </c>
      <c r="D327" s="31" t="s">
        <v>2313</v>
      </c>
      <c r="E327" s="31" t="s">
        <v>2314</v>
      </c>
      <c r="F327" s="89">
        <v>204.0</v>
      </c>
      <c r="G327" s="91" t="str">
        <f>IFERROR(__xludf.DUMMYFUNCTION("TRIM(REGEXREPLACE(C327, ""[0-9]+[a-f]?\."", """"))"),"Now if you will permit me, I need to ask some more questions about your relationship with your husband. Does he ever?")</f>
        <v>Now if you will permit me, I need to ask some more questions about your relationship with your husband. Does he ever?</v>
      </c>
      <c r="H327" s="91" t="str">
        <f>IFERROR(__xludf.DUMMYFUNCTION("TRIM(REGEXREPLACE(D327, ""[0-9]+[a-f]?\."", """"))"),"Maintenant, si vous me le permettez, je dois poser quelques questions supplémentaires sur votre relation avec votre mari. Est-ce qu'il a jamais?")</f>
        <v>Maintenant, si vous me le permettez, je dois poser quelques questions supplémentaires sur votre relation avec votre mari. Est-ce qu'il a jamais?</v>
      </c>
      <c r="I327" s="91" t="str">
        <f>IFERROR(__xludf.DUMMYFUNCTION("TRIM(REGEXREPLACE(E327, ""[0-9]+[a-f]?\."", """"))"),"Yanzu idan za ki ba ni izini, Ina bukatar yin wasu tambayoyi game da dangantakarki da mijinki. Ko ya taba?")</f>
        <v>Yanzu idan za ki ba ni izini, Ina bukatar yin wasu tambayoyi game da dangantakarki da mijinki. Ko ya taba?</v>
      </c>
      <c r="J327" s="91" t="str">
        <f t="shared" ref="J327:J338" si="256">F327&amp;". "&amp;G327</f>
        <v>204. Now if you will permit me, I need to ask some more questions about your relationship with your husband. Does he ever?</v>
      </c>
      <c r="K327" s="91" t="str">
        <f t="shared" ref="K327:L327" si="255">$F327&amp;". "&amp;H327</f>
        <v>204. Maintenant, si vous me le permettez, je dois poser quelques questions supplémentaires sur votre relation avec votre mari. Est-ce qu'il a jamais?</v>
      </c>
      <c r="L327" s="91" t="str">
        <f t="shared" si="255"/>
        <v>204. Yanzu idan za ki ba ni izini, Ina bukatar yin wasu tambayoyi game da dangantakarki da mijinki. Ko ya taba?</v>
      </c>
    </row>
    <row r="328">
      <c r="A328" s="81" t="s">
        <v>338</v>
      </c>
      <c r="B328" s="142" t="s">
        <v>2324</v>
      </c>
      <c r="C328" s="31" t="s">
        <v>2326</v>
      </c>
      <c r="D328" s="31" t="s">
        <v>2329</v>
      </c>
      <c r="E328" s="31" t="s">
        <v>2331</v>
      </c>
      <c r="F328" s="89">
        <v>205.0</v>
      </c>
      <c r="G328" s="91" t="str">
        <f>IFERROR(__xludf.DUMMYFUNCTION("TRIM(REGEXREPLACE(C328, ""[0-9]+[a-f]?\."", """"))"),"Say or do something to humiliate you in front of others")</f>
        <v>Say or do something to humiliate you in front of others</v>
      </c>
      <c r="H328" s="91" t="str">
        <f>IFERROR(__xludf.DUMMYFUNCTION("TRIM(REGEXREPLACE(D328, ""[0-9]+[a-f]?\."", """"))"),"Dit ou fait quelque chose pour vous humilier devant les autres")</f>
        <v>Dit ou fait quelque chose pour vous humilier devant les autres</v>
      </c>
      <c r="I328" s="91" t="str">
        <f>IFERROR(__xludf.DUMMYFUNCTION("TRIM(REGEXREPLACE(E328, ""[0-9]+[a-f]?\."", """"))"),"Fadi ko yin wani abu don wulaƙanta ku a gaban wasu")</f>
        <v>Fadi ko yin wani abu don wulaƙanta ku a gaban wasu</v>
      </c>
      <c r="J328" s="91" t="str">
        <f t="shared" si="256"/>
        <v>205. Say or do something to humiliate you in front of others</v>
      </c>
      <c r="K328" s="91" t="str">
        <f t="shared" ref="K328:L328" si="257">$F328&amp;". "&amp;H328</f>
        <v>205. Dit ou fait quelque chose pour vous humilier devant les autres</v>
      </c>
      <c r="L328" s="91" t="str">
        <f t="shared" si="257"/>
        <v>205. Fadi ko yin wani abu don wulaƙanta ku a gaban wasu</v>
      </c>
    </row>
    <row r="329">
      <c r="A329" s="81" t="s">
        <v>338</v>
      </c>
      <c r="B329" s="142" t="s">
        <v>2335</v>
      </c>
      <c r="C329" s="31" t="s">
        <v>2336</v>
      </c>
      <c r="D329" s="31" t="s">
        <v>2337</v>
      </c>
      <c r="E329" s="31" t="s">
        <v>2338</v>
      </c>
      <c r="F329" s="89">
        <v>206.0</v>
      </c>
      <c r="G329" s="91" t="str">
        <f>IFERROR(__xludf.DUMMYFUNCTION("TRIM(REGEXREPLACE(C329, ""[0-9]+[a-f]?\."", """"))"),"Threaten you or someone close to you with harm")</f>
        <v>Threaten you or someone close to you with harm</v>
      </c>
      <c r="H329" s="91" t="str">
        <f>IFERROR(__xludf.DUMMYFUNCTION("TRIM(REGEXREPLACE(D329, ""[0-9]+[a-f]?\."", """"))"),"Vous menacer vous-même ou quelqu'un proche de vous à vous faire du mal")</f>
        <v>Vous menacer vous-même ou quelqu'un proche de vous à vous faire du mal</v>
      </c>
      <c r="I329" s="91" t="str">
        <f>IFERROR(__xludf.DUMMYFUNCTION("TRIM(REGEXREPLACE(E329, ""[0-9]+[a-f]?\."", """"))"),"Yi muku barazana ko wani na kusa da ku da cutarwa")</f>
        <v>Yi muku barazana ko wani na kusa da ku da cutarwa</v>
      </c>
      <c r="J329" s="91" t="str">
        <f t="shared" si="256"/>
        <v>206. Threaten you or someone close to you with harm</v>
      </c>
      <c r="K329" s="91" t="str">
        <f t="shared" ref="K329:L329" si="258">$F329&amp;". "&amp;H329</f>
        <v>206. Vous menacer vous-même ou quelqu'un proche de vous à vous faire du mal</v>
      </c>
      <c r="L329" s="91" t="str">
        <f t="shared" si="258"/>
        <v>206. Yi muku barazana ko wani na kusa da ku da cutarwa</v>
      </c>
    </row>
    <row r="330">
      <c r="A330" s="81" t="s">
        <v>338</v>
      </c>
      <c r="B330" s="142" t="s">
        <v>2342</v>
      </c>
      <c r="C330" s="31" t="s">
        <v>2343</v>
      </c>
      <c r="D330" s="31" t="s">
        <v>2344</v>
      </c>
      <c r="E330" s="31" t="s">
        <v>2345</v>
      </c>
      <c r="F330" s="89">
        <v>207.0</v>
      </c>
      <c r="G330" s="91" t="str">
        <f>IFERROR(__xludf.DUMMYFUNCTION("TRIM(REGEXREPLACE(C330, ""[0-9]+[a-f]?\."", """"))"),"Push you shake you or throw something at you")</f>
        <v>Push you shake you or throw something at you</v>
      </c>
      <c r="H330" s="91" t="str">
        <f>IFERROR(__xludf.DUMMYFUNCTION("TRIM(REGEXREPLACE(D330, ""[0-9]+[a-f]?\."", """"))"),"Vous pousser, vous secouer ou jeter quelque chose sur vous")</f>
        <v>Vous pousser, vous secouer ou jeter quelque chose sur vous</v>
      </c>
      <c r="I330" s="91" t="str">
        <f>IFERROR(__xludf.DUMMYFUNCTION("TRIM(REGEXREPLACE(E330, ""[0-9]+[a-f]?\."", """"))"),"Tura ku girgiza ku ko jefar da wani abu bisanku")</f>
        <v>Tura ku girgiza ku ko jefar da wani abu bisanku</v>
      </c>
      <c r="J330" s="91" t="str">
        <f t="shared" si="256"/>
        <v>207. Push you shake you or throw something at you</v>
      </c>
      <c r="K330" s="91" t="str">
        <f t="shared" ref="K330:L330" si="259">$F330&amp;". "&amp;H330</f>
        <v>207. Vous pousser, vous secouer ou jeter quelque chose sur vous</v>
      </c>
      <c r="L330" s="91" t="str">
        <f t="shared" si="259"/>
        <v>207. Tura ku girgiza ku ko jefar da wani abu bisanku</v>
      </c>
    </row>
    <row r="331">
      <c r="A331" s="81" t="s">
        <v>338</v>
      </c>
      <c r="B331" s="142" t="s">
        <v>2346</v>
      </c>
      <c r="C331" s="31" t="s">
        <v>2347</v>
      </c>
      <c r="D331" s="31" t="s">
        <v>2348</v>
      </c>
      <c r="E331" s="31" t="s">
        <v>2349</v>
      </c>
      <c r="F331" s="89">
        <v>208.0</v>
      </c>
      <c r="G331" s="91" t="str">
        <f>IFERROR(__xludf.DUMMYFUNCTION("TRIM(REGEXREPLACE(C331, ""[0-9]+[a-f]?\."", """"))"),"Slap you or twist your arm")</f>
        <v>Slap you or twist your arm</v>
      </c>
      <c r="H331" s="91" t="str">
        <f>IFERROR(__xludf.DUMMYFUNCTION("TRIM(REGEXREPLACE(D331, ""[0-9]+[a-f]?\."", """"))"),"Vous gifler ou vous tordre le bras")</f>
        <v>Vous gifler ou vous tordre le bras</v>
      </c>
      <c r="I331" s="91" t="str">
        <f>IFERROR(__xludf.DUMMYFUNCTION("TRIM(REGEXREPLACE(E331, ""[0-9]+[a-f]?\."", """"))"),"Mari ko murɗa hannunku")</f>
        <v>Mari ko murɗa hannunku</v>
      </c>
      <c r="J331" s="91" t="str">
        <f t="shared" si="256"/>
        <v>208. Slap you or twist your arm</v>
      </c>
      <c r="K331" s="91" t="str">
        <f t="shared" ref="K331:L331" si="260">$F331&amp;". "&amp;H331</f>
        <v>208. Vous gifler ou vous tordre le bras</v>
      </c>
      <c r="L331" s="91" t="str">
        <f t="shared" si="260"/>
        <v>208. Mari ko murɗa hannunku</v>
      </c>
    </row>
    <row r="332">
      <c r="A332" s="81" t="s">
        <v>338</v>
      </c>
      <c r="B332" s="142" t="s">
        <v>2355</v>
      </c>
      <c r="C332" s="31" t="s">
        <v>2357</v>
      </c>
      <c r="D332" s="31" t="s">
        <v>2359</v>
      </c>
      <c r="E332" s="31" t="s">
        <v>2360</v>
      </c>
      <c r="F332" s="89">
        <v>209.0</v>
      </c>
      <c r="G332" s="91" t="str">
        <f>IFERROR(__xludf.DUMMYFUNCTION("TRIM(REGEXREPLACE(C332, ""[0-9]+[a-f]?\."", """"))"),"Punch you with his fist or with something that could hurt you")</f>
        <v>Punch you with his fist or with something that could hurt you</v>
      </c>
      <c r="H332" s="91" t="str">
        <f>IFERROR(__xludf.DUMMYFUNCTION("TRIM(REGEXREPLACE(D332, ""[0-9]+[a-f]?\."", """"))"),"Vous frapper avec son poing ou avec quelque chose qui pourrait vous blesser")</f>
        <v>Vous frapper avec son poing ou avec quelque chose qui pourrait vous blesser</v>
      </c>
      <c r="I332" s="91" t="str">
        <f>IFERROR(__xludf.DUMMYFUNCTION("TRIM(REGEXREPLACE(E332, ""[0-9]+[a-f]?\."", """"))"),"Yi muku naushi da hannu ko da wani abu da zai iya cutar da ku")</f>
        <v>Yi muku naushi da hannu ko da wani abu da zai iya cutar da ku</v>
      </c>
      <c r="J332" s="91" t="str">
        <f t="shared" si="256"/>
        <v>209. Punch you with his fist or with something that could hurt you</v>
      </c>
      <c r="K332" s="91" t="str">
        <f t="shared" ref="K332:L332" si="261">$F332&amp;". "&amp;H332</f>
        <v>209. Vous frapper avec son poing ou avec quelque chose qui pourrait vous blesser</v>
      </c>
      <c r="L332" s="91" t="str">
        <f t="shared" si="261"/>
        <v>209. Yi muku naushi da hannu ko da wani abu da zai iya cutar da ku</v>
      </c>
    </row>
    <row r="333">
      <c r="A333" s="81" t="s">
        <v>338</v>
      </c>
      <c r="B333" s="142" t="s">
        <v>2364</v>
      </c>
      <c r="C333" s="31" t="s">
        <v>2365</v>
      </c>
      <c r="D333" s="31" t="s">
        <v>2366</v>
      </c>
      <c r="E333" s="31" t="s">
        <v>2367</v>
      </c>
      <c r="F333" s="89">
        <v>210.0</v>
      </c>
      <c r="G333" s="91" t="str">
        <f>IFERROR(__xludf.DUMMYFUNCTION("TRIM(REGEXREPLACE(C333, ""[0-9]+[a-f]?\."", """"))"),"Kick you or drag you")</f>
        <v>Kick you or drag you</v>
      </c>
      <c r="H333" s="91" t="str">
        <f>IFERROR(__xludf.DUMMYFUNCTION("TRIM(REGEXREPLACE(D333, ""[0-9]+[a-f]?\."", """"))"),"Vous donner un coup de pied ou vous traîner")</f>
        <v>Vous donner un coup de pied ou vous traîner</v>
      </c>
      <c r="I333" s="91" t="str">
        <f>IFERROR(__xludf.DUMMYFUNCTION("TRIM(REGEXREPLACE(E333, ""[0-9]+[a-f]?\."", """"))"),"Habre ku ko jan ku")</f>
        <v>Habre ku ko jan ku</v>
      </c>
      <c r="J333" s="91" t="str">
        <f t="shared" si="256"/>
        <v>210. Kick you or drag you</v>
      </c>
      <c r="K333" s="91" t="str">
        <f t="shared" ref="K333:L333" si="262">$F333&amp;". "&amp;H333</f>
        <v>210. Vous donner un coup de pied ou vous traîner</v>
      </c>
      <c r="L333" s="91" t="str">
        <f t="shared" si="262"/>
        <v>210. Habre ku ko jan ku</v>
      </c>
    </row>
    <row r="334">
      <c r="A334" s="81" t="s">
        <v>338</v>
      </c>
      <c r="B334" s="142" t="s">
        <v>2377</v>
      </c>
      <c r="C334" s="31" t="s">
        <v>2378</v>
      </c>
      <c r="D334" s="31" t="s">
        <v>2379</v>
      </c>
      <c r="E334" s="31" t="s">
        <v>2380</v>
      </c>
      <c r="F334" s="89">
        <v>211.0</v>
      </c>
      <c r="G334" s="91" t="str">
        <f>IFERROR(__xludf.DUMMYFUNCTION("TRIM(REGEXREPLACE(C334, ""[0-9]+[a-f]?\."", """"))"),"Try to strangle you or burn you")</f>
        <v>Try to strangle you or burn you</v>
      </c>
      <c r="H334" s="91" t="str">
        <f>IFERROR(__xludf.DUMMYFUNCTION("TRIM(REGEXREPLACE(D334, ""[0-9]+[a-f]?\."", """"))"),"Essayer de vous étrangler ou de vous brûler")</f>
        <v>Essayer de vous étrangler ou de vous brûler</v>
      </c>
      <c r="I334" s="91" t="str">
        <f>IFERROR(__xludf.DUMMYFUNCTION("TRIM(REGEXREPLACE(E334, ""[0-9]+[a-f]?\."", """"))"),"Yi ƙoƙarin shake ku ko kona ku")</f>
        <v>Yi ƙoƙarin shake ku ko kona ku</v>
      </c>
      <c r="J334" s="91" t="str">
        <f t="shared" si="256"/>
        <v>211. Try to strangle you or burn you</v>
      </c>
      <c r="K334" s="91" t="str">
        <f t="shared" ref="K334:L334" si="263">$F334&amp;". "&amp;H334</f>
        <v>211. Essayer de vous étrangler ou de vous brûler</v>
      </c>
      <c r="L334" s="91" t="str">
        <f t="shared" si="263"/>
        <v>211. Yi ƙoƙarin shake ku ko kona ku</v>
      </c>
    </row>
    <row r="335">
      <c r="A335" s="81" t="s">
        <v>338</v>
      </c>
      <c r="B335" s="142" t="s">
        <v>2384</v>
      </c>
      <c r="C335" s="31" t="s">
        <v>2385</v>
      </c>
      <c r="D335" s="31" t="s">
        <v>2387</v>
      </c>
      <c r="E335" s="31" t="s">
        <v>2388</v>
      </c>
      <c r="F335" s="89">
        <v>212.0</v>
      </c>
      <c r="G335" s="91" t="str">
        <f>IFERROR(__xludf.DUMMYFUNCTION("TRIM(REGEXREPLACE(C335, ""[0-9]+[a-f]?\."", """"))"),"threaten you with a knife, gun, or other type of weapon")</f>
        <v>threaten you with a knife, gun, or other type of weapon</v>
      </c>
      <c r="H335" s="91" t="str">
        <f>IFERROR(__xludf.DUMMYFUNCTION("TRIM(REGEXREPLACE(D335, ""[0-9]+[a-f]?\."", """"))"),"Vous menacer avec un couteau, une arme à feu ou tout autre type d'arme")</f>
        <v>Vous menacer avec un couteau, une arme à feu ou tout autre type d'arme</v>
      </c>
      <c r="I335" s="91" t="str">
        <f>IFERROR(__xludf.DUMMYFUNCTION("TRIM(REGEXREPLACE(E335, ""[0-9]+[a-f]?\."", """"))"),"yi muku barazana da wuka, bindiga, ko wani makami daban")</f>
        <v>yi muku barazana da wuka, bindiga, ko wani makami daban</v>
      </c>
      <c r="J335" s="91" t="str">
        <f t="shared" si="256"/>
        <v>212. threaten you with a knife, gun, or other type of weapon</v>
      </c>
      <c r="K335" s="91" t="str">
        <f t="shared" ref="K335:L335" si="264">$F335&amp;". "&amp;H335</f>
        <v>212. Vous menacer avec un couteau, une arme à feu ou tout autre type d'arme</v>
      </c>
      <c r="L335" s="91" t="str">
        <f t="shared" si="264"/>
        <v>212. yi muku barazana da wuka, bindiga, ko wani makami daban</v>
      </c>
    </row>
    <row r="336">
      <c r="A336" s="81" t="s">
        <v>338</v>
      </c>
      <c r="B336" s="142" t="s">
        <v>2391</v>
      </c>
      <c r="C336" s="31" t="s">
        <v>2392</v>
      </c>
      <c r="D336" s="31" t="s">
        <v>2393</v>
      </c>
      <c r="E336" s="31" t="s">
        <v>2394</v>
      </c>
      <c r="F336" s="89">
        <v>213.0</v>
      </c>
      <c r="G336" s="91" t="str">
        <f>IFERROR(__xludf.DUMMYFUNCTION("TRIM(REGEXREPLACE(C336, ""[0-9]+[a-f]?\."", """"))"),"attack you with a knife, gun, or other type of weapon")</f>
        <v>attack you with a knife, gun, or other type of weapon</v>
      </c>
      <c r="H336" s="91" t="str">
        <f>IFERROR(__xludf.DUMMYFUNCTION("TRIM(REGEXREPLACE(D336, ""[0-9]+[a-f]?\."", """"))"),"Vous attaquer avec un couteau, une arme à feu ou tout autre type d'arme")</f>
        <v>Vous attaquer avec un couteau, une arme à feu ou tout autre type d'arme</v>
      </c>
      <c r="I336" s="91" t="str">
        <f>IFERROR(__xludf.DUMMYFUNCTION("TRIM(REGEXREPLACE(E336, ""[0-9]+[a-f]?\."", """"))"),"Kawo muku hari da wuka, bindiga, ko wani makami daban")</f>
        <v>Kawo muku hari da wuka, bindiga, ko wani makami daban</v>
      </c>
      <c r="J336" s="91" t="str">
        <f t="shared" si="256"/>
        <v>213. attack you with a knife, gun, or other type of weapon</v>
      </c>
      <c r="K336" s="91" t="str">
        <f t="shared" ref="K336:L336" si="265">$F336&amp;". "&amp;H336</f>
        <v>213. Vous attaquer avec un couteau, une arme à feu ou tout autre type d'arme</v>
      </c>
      <c r="L336" s="91" t="str">
        <f t="shared" si="265"/>
        <v>213. Kawo muku hari da wuka, bindiga, ko wani makami daban</v>
      </c>
    </row>
    <row r="337">
      <c r="A337" s="81" t="s">
        <v>338</v>
      </c>
      <c r="B337" s="142" t="s">
        <v>2402</v>
      </c>
      <c r="C337" s="31" t="s">
        <v>2403</v>
      </c>
      <c r="D337" s="31" t="s">
        <v>2404</v>
      </c>
      <c r="E337" s="31" t="s">
        <v>2405</v>
      </c>
      <c r="F337" s="89">
        <v>214.0</v>
      </c>
      <c r="G337" s="91" t="str">
        <f>IFERROR(__xludf.DUMMYFUNCTION("TRIM(REGEXREPLACE(C337, ""[0-9]+[a-f]?\."", """"))"),"force you to perform sexual acts with him even when you did not want to")</f>
        <v>force you to perform sexual acts with him even when you did not want to</v>
      </c>
      <c r="H337" s="91" t="str">
        <f>IFERROR(__xludf.DUMMYFUNCTION("TRIM(REGEXREPLACE(D337, ""[0-9]+[a-f]?\."", """"))"),"vous forcer à accomplir des actes sexuels avec lui même lorsque vous ne le vouliez pas")</f>
        <v>vous forcer à accomplir des actes sexuels avec lui même lorsque vous ne le vouliez pas</v>
      </c>
      <c r="I337" s="91" t="str">
        <f>IFERROR(__xludf.DUMMYFUNCTION("TRIM(REGEXREPLACE(E337, ""[0-9]+[a-f]?\."", """"))"),"tilasta muku ka yin jima'i da shi ko da ba ki da buƙata")</f>
        <v>tilasta muku ka yin jima'i da shi ko da ba ki da buƙata</v>
      </c>
      <c r="J337" s="91" t="str">
        <f t="shared" si="256"/>
        <v>214. force you to perform sexual acts with him even when you did not want to</v>
      </c>
      <c r="K337" s="91" t="str">
        <f t="shared" ref="K337:L337" si="266">$F337&amp;". "&amp;H337</f>
        <v>214. vous forcer à accomplir des actes sexuels avec lui même lorsque vous ne le vouliez pas</v>
      </c>
      <c r="L337" s="91" t="str">
        <f t="shared" si="266"/>
        <v>214. tilasta muku ka yin jima'i da shi ko da ba ki da buƙata</v>
      </c>
    </row>
    <row r="338">
      <c r="A338" s="81" t="s">
        <v>338</v>
      </c>
      <c r="B338" s="171" t="s">
        <v>2409</v>
      </c>
      <c r="C338" s="206" t="s">
        <v>2410</v>
      </c>
      <c r="D338" s="207" t="s">
        <v>2412</v>
      </c>
      <c r="E338" s="207" t="s">
        <v>2415</v>
      </c>
      <c r="F338" s="89">
        <v>215.0</v>
      </c>
      <c r="G338" s="91" t="str">
        <f>IFERROR(__xludf.DUMMYFUNCTION("TRIM(REGEXREPLACE(C338, ""[0-9]+[a-f]?\."", """"))"),"Do other members of your household ever threaten you with violence or acted violently toward you?")</f>
        <v>Do other members of your household ever threaten you with violence or acted violently toward you?</v>
      </c>
      <c r="H338" s="91" t="str">
        <f>IFERROR(__xludf.DUMMYFUNCTION("TRIM(REGEXREPLACE(D338, ""[0-9]+[a-f]?\."", """"))"),"D'autres membres de votre menage vous ont-ils déjà menacée de violence ou agi de manière violente à votre égard ?")</f>
        <v>D'autres membres de votre menage vous ont-ils déjà menacée de violence ou agi de manière violente à votre égard ?</v>
      </c>
      <c r="I338" s="91" t="str">
        <f>IFERROR(__xludf.DUMMYFUNCTION("TRIM(REGEXREPLACE(E338, ""[0-9]+[a-f]?\."", """"))"),"Ko wasu ƴan gidanku sun taɓa yi muku barazana da tashin hankali ko kuma sun yi muku tashin hankali?")</f>
        <v>Ko wasu ƴan gidanku sun taɓa yi muku barazana da tashin hankali ko kuma sun yi muku tashin hankali?</v>
      </c>
      <c r="J338" s="91" t="str">
        <f t="shared" si="256"/>
        <v>215. Do other members of your household ever threaten you with violence or acted violently toward you?</v>
      </c>
      <c r="K338" s="91" t="str">
        <f t="shared" ref="K338:L338" si="267">$F338&amp;". "&amp;H338</f>
        <v>215. D'autres membres de votre menage vous ont-ils déjà menacée de violence ou agi de manière violente à votre égard ?</v>
      </c>
      <c r="L338" s="91" t="str">
        <f t="shared" si="267"/>
        <v>215. Ko wasu ƴan gidanku sun taɓa yi muku barazana da tashin hankali ko kuma sun yi muku tashin hankali?</v>
      </c>
    </row>
    <row r="339" hidden="1">
      <c r="A339" s="122"/>
      <c r="B339" s="153"/>
      <c r="C339" s="31"/>
      <c r="D339" s="31"/>
      <c r="E339" s="31"/>
      <c r="F339" s="89">
        <v>182.0</v>
      </c>
      <c r="G339" s="91" t="str">
        <f>IFERROR(__xludf.DUMMYFUNCTION("TRIM(REGEXREPLACE(C339, ""[0-9]+[a-f]?\."", """"))"),"")</f>
        <v/>
      </c>
      <c r="H339" s="91" t="str">
        <f>IFERROR(__xludf.DUMMYFUNCTION("TRIM(REGEXREPLACE(D339, ""[0-9]+[a-f]?\."", """"))"),"")</f>
        <v/>
      </c>
      <c r="I339" s="91" t="str">
        <f>IFERROR(__xludf.DUMMYFUNCTION("TRIM(REGEXREPLACE(E339, ""[0-9]+[a-f]?\."", """"))"),"")</f>
        <v/>
      </c>
      <c r="J339" s="91" t="s">
        <v>2430</v>
      </c>
      <c r="K339" s="91" t="s">
        <v>2431</v>
      </c>
      <c r="L339" s="91" t="s">
        <v>2432</v>
      </c>
    </row>
    <row r="340" hidden="1">
      <c r="A340" s="122" t="s">
        <v>236</v>
      </c>
      <c r="B340" s="153" t="s">
        <v>2304</v>
      </c>
      <c r="C340" s="31"/>
      <c r="D340" s="31"/>
      <c r="E340" s="31"/>
      <c r="F340" s="89">
        <v>111.0</v>
      </c>
      <c r="G340" s="91" t="str">
        <f>IFERROR(__xludf.DUMMYFUNCTION("TRIM(REGEXREPLACE(C340, ""[0-9]+[a-f]?\."", """"))"),"")</f>
        <v/>
      </c>
      <c r="H340" s="91" t="str">
        <f>IFERROR(__xludf.DUMMYFUNCTION("TRIM(REGEXREPLACE(D340, ""[0-9]+[a-f]?\."", """"))"),"")</f>
        <v/>
      </c>
      <c r="I340" s="91" t="str">
        <f>IFERROR(__xludf.DUMMYFUNCTION("TRIM(REGEXREPLACE(E340, ""[0-9]+[a-f]?\."", """"))"),"")</f>
        <v/>
      </c>
      <c r="J340" s="91" t="str">
        <f>F340 &amp; ". " &amp;G340</f>
        <v>111. </v>
      </c>
      <c r="K340" s="91" t="str">
        <f>F340 &amp; ". " &amp;H340</f>
        <v>111. </v>
      </c>
      <c r="L340" s="91" t="str">
        <f>F340 &amp; ". " &amp;I340</f>
        <v>111. </v>
      </c>
    </row>
    <row r="341" hidden="1">
      <c r="A341" s="31" t="s">
        <v>150</v>
      </c>
      <c r="B341" s="31" t="s">
        <v>2436</v>
      </c>
      <c r="C341" s="31"/>
      <c r="D341" s="31"/>
      <c r="E341" s="31"/>
      <c r="F341" s="89">
        <v>203.0</v>
      </c>
      <c r="G341" s="91" t="str">
        <f>IFERROR(__xludf.DUMMYFUNCTION("TRIM(REGEXREPLACE(C341, ""[0-9]+[a-f]?\."", """"))"),"")</f>
        <v/>
      </c>
      <c r="H341" s="91" t="str">
        <f>IFERROR(__xludf.DUMMYFUNCTION("TRIM(REGEXREPLACE(D341, ""[0-9]+[a-f]?\."", """"))"),"")</f>
        <v/>
      </c>
      <c r="I341" s="91" t="str">
        <f>IFERROR(__xludf.DUMMYFUNCTION("TRIM(REGEXREPLACE(E341, ""[0-9]+[a-f]?\."", """"))"),"")</f>
        <v/>
      </c>
      <c r="J341" s="91" t="s">
        <v>2438</v>
      </c>
      <c r="K341" s="91" t="s">
        <v>2439</v>
      </c>
      <c r="L341" s="91" t="s">
        <v>2440</v>
      </c>
    </row>
    <row r="342">
      <c r="A342" s="31" t="s">
        <v>338</v>
      </c>
      <c r="B342" s="31" t="s">
        <v>2441</v>
      </c>
      <c r="C342" s="31" t="s">
        <v>2442</v>
      </c>
      <c r="D342" s="31" t="s">
        <v>2443</v>
      </c>
      <c r="E342" s="31" t="s">
        <v>2444</v>
      </c>
      <c r="F342" s="89">
        <v>216.0</v>
      </c>
      <c r="G342" s="91" t="str">
        <f>IFERROR(__xludf.DUMMYFUNCTION("TRIM(REGEXREPLACE(C342, ""[0-9]+[a-f]?\."", """"))"),"Does your husband provide you with money to buy food or other necessary items for the household?")</f>
        <v>Does your husband provide you with money to buy food or other necessary items for the household?</v>
      </c>
      <c r="H342" s="91" t="str">
        <f>IFERROR(__xludf.DUMMYFUNCTION("TRIM(REGEXREPLACE(D342, ""[0-9]+[a-f]?\."", """"))"),"Votre mari vous donne-t-il de l’argent pour acheter de la nourriture ou d’autres articles de première nécessité pour le ménage ?")</f>
        <v>Votre mari vous donne-t-il de l’argent pour acheter de la nourriture ou d’autres articles de première nécessité pour le ménage ?</v>
      </c>
      <c r="I342" s="91" t="str">
        <f>IFERROR(__xludf.DUMMYFUNCTION("TRIM(REGEXREPLACE(E342, ""[0-9]+[a-f]?\."", """"))"),"Ko mijinki yana ba ki kuɗi don sayen abinci ko wasu abubuwan da ake bukata a gidan?")</f>
        <v>Ko mijinki yana ba ki kuɗi don sayen abinci ko wasu abubuwan da ake bukata a gidan?</v>
      </c>
      <c r="J342" s="91" t="str">
        <f t="shared" ref="J342:J345" si="269">F342&amp;". "&amp;G342</f>
        <v>216. Does your husband provide you with money to buy food or other necessary items for the household?</v>
      </c>
      <c r="K342" s="91" t="str">
        <f t="shared" ref="K342:L342" si="268">$F342&amp;". "&amp;H342</f>
        <v>216. Votre mari vous donne-t-il de l’argent pour acheter de la nourriture ou d’autres articles de première nécessité pour le ménage ?</v>
      </c>
      <c r="L342" s="91" t="str">
        <f t="shared" si="268"/>
        <v>216. Ko mijinki yana ba ki kuɗi don sayen abinci ko wasu abubuwan da ake bukata a gidan?</v>
      </c>
    </row>
    <row r="343">
      <c r="A343" s="31" t="s">
        <v>259</v>
      </c>
      <c r="B343" s="31" t="s">
        <v>2451</v>
      </c>
      <c r="C343" s="31" t="s">
        <v>2452</v>
      </c>
      <c r="D343" s="31" t="s">
        <v>2453</v>
      </c>
      <c r="E343" s="31" t="s">
        <v>2454</v>
      </c>
      <c r="F343" s="89">
        <v>217.0</v>
      </c>
      <c r="G343" s="91" t="str">
        <f>IFERROR(__xludf.DUMMYFUNCTION("TRIM(REGEXREPLACE(C343, ""[0-9]+[a-f]?\."", """"))"),"What was the amount in CFA you received the last time you were given this allowance?")</f>
        <v>What was the amount in CFA you received the last time you were given this allowance?</v>
      </c>
      <c r="H343" s="91" t="str">
        <f>IFERROR(__xludf.DUMMYFUNCTION("TRIM(REGEXREPLACE(D343, ""[0-9]+[a-f]?\."", """"))"),"Quel était le montant en francs CFA que vous avez reçu la dernière fois que vous avez reçu cette allocation ?")</f>
        <v>Quel était le montant en francs CFA que vous avez reçu la dernière fois que vous avez reçu cette allocation ?</v>
      </c>
      <c r="I343" s="91" t="str">
        <f>IFERROR(__xludf.DUMMYFUNCTION("TRIM(REGEXREPLACE(E343, ""[0-9]+[a-f]?\."", """"))"),"Nawa ne a kuɗin CFA abinda kika karɓa na ƙarshe lokacin da aka ba ki wannan alawus ɗin?")</f>
        <v>Nawa ne a kuɗin CFA abinda kika karɓa na ƙarshe lokacin da aka ba ki wannan alawus ɗin?</v>
      </c>
      <c r="J343" s="91" t="str">
        <f t="shared" si="269"/>
        <v>217. What was the amount in CFA you received the last time you were given this allowance?</v>
      </c>
      <c r="K343" s="91" t="str">
        <f t="shared" ref="K343:L343" si="270">$F343&amp;". "&amp;H343</f>
        <v>217. Quel était le montant en francs CFA que vous avez reçu la dernière fois que vous avez reçu cette allocation ?</v>
      </c>
      <c r="L343" s="91" t="str">
        <f t="shared" si="270"/>
        <v>217. Nawa ne a kuɗin CFA abinda kika karɓa na ƙarshe lokacin da aka ba ki wannan alawus ɗin?</v>
      </c>
    </row>
    <row r="344">
      <c r="A344" s="31" t="s">
        <v>338</v>
      </c>
      <c r="B344" s="31" t="s">
        <v>2456</v>
      </c>
      <c r="C344" s="31" t="s">
        <v>2458</v>
      </c>
      <c r="D344" s="31" t="s">
        <v>2460</v>
      </c>
      <c r="E344" s="31" t="s">
        <v>2463</v>
      </c>
      <c r="F344" s="89">
        <v>218.0</v>
      </c>
      <c r="G344" s="91" t="str">
        <f>IFERROR(__xludf.DUMMYFUNCTION("TRIM(REGEXREPLACE(C344, ""[0-9]+[a-f]?\."", """"))"),"Do you need permission from your husband or another family member to make purchases with this money?")</f>
        <v>Do you need permission from your husband or another family member to make purchases with this money?</v>
      </c>
      <c r="H344" s="91" t="str">
        <f>IFERROR(__xludf.DUMMYFUNCTION("TRIM(REGEXREPLACE(D344, ""[0-9]+[a-f]?\."", """"))"),"Avez-vous besoin de la permission de votre mari ou d’un autre membre de votre famille pour faire des achats avec cet argent ?")</f>
        <v>Avez-vous besoin de la permission de votre mari ou d’un autre membre de votre famille pour faire des achats avec cet argent ?</v>
      </c>
      <c r="I344" s="91" t="str">
        <f>IFERROR(__xludf.DUMMYFUNCTION("TRIM(REGEXREPLACE(E344, ""[0-9]+[a-f]?\."", """"))"),"Ko kina da buƙatar izinin mijinki ko wani ƴan gidanku don yin sayayya da wannan kuɗin?")</f>
        <v>Ko kina da buƙatar izinin mijinki ko wani ƴan gidanku don yin sayayya da wannan kuɗin?</v>
      </c>
      <c r="J344" s="91" t="str">
        <f t="shared" si="269"/>
        <v>218. Do you need permission from your husband or another family member to make purchases with this money?</v>
      </c>
      <c r="K344" s="91" t="str">
        <f t="shared" ref="K344:L344" si="271">$F344&amp;". "&amp;H344</f>
        <v>218. Avez-vous besoin de la permission de votre mari ou d’un autre membre de votre famille pour faire des achats avec cet argent ?</v>
      </c>
      <c r="L344" s="91" t="str">
        <f t="shared" si="271"/>
        <v>218. Ko kina da buƙatar izinin mijinki ko wani ƴan gidanku don yin sayayya da wannan kuɗin?</v>
      </c>
    </row>
    <row r="345">
      <c r="A345" s="31" t="s">
        <v>485</v>
      </c>
      <c r="B345" s="31" t="s">
        <v>2465</v>
      </c>
      <c r="C345" s="31" t="s">
        <v>2466</v>
      </c>
      <c r="D345" s="31" t="s">
        <v>2467</v>
      </c>
      <c r="E345" s="31" t="s">
        <v>2468</v>
      </c>
      <c r="F345" s="89">
        <v>219.0</v>
      </c>
      <c r="G345" s="91" t="str">
        <f>IFERROR(__xludf.DUMMYFUNCTION("TRIM(REGEXREPLACE(C345, ""[0-9]+[a-f]?\."", """"))"),"If a wife has earned some money, does she have the right to buy clothing for herself or her children without asking the permission of her husband?")</f>
        <v>If a wife has earned some money, does she have the right to buy clothing for herself or her children without asking the permission of her husband?</v>
      </c>
      <c r="H345" s="91" t="str">
        <f>IFERROR(__xludf.DUMMYFUNCTION("TRIM(REGEXREPLACE(D345, ""[0-9]+[a-f]?\."", """"))"),"Si une femme a gagné de l’argent, a-t-elle le droit d’acheter des vêtements pour elle-même ou ses enfants sans demander la permission de son mari ?")</f>
        <v>Si une femme a gagné de l’argent, a-t-elle le droit d’acheter des vêtements pour elle-même ou ses enfants sans demander la permission de son mari ?</v>
      </c>
      <c r="I345" s="91" t="str">
        <f>IFERROR(__xludf.DUMMYFUNCTION("TRIM(REGEXREPLACE(E345, ""[0-9]+[a-f]?\."", """"))"),"Idan mace ta sami kuɗi, shin tana da ikon sayen tufafi ga kanta ko ƴaƴanta ba tare da neman izinin mijinta ba?")</f>
        <v>Idan mace ta sami kuɗi, shin tana da ikon sayen tufafi ga kanta ko ƴaƴanta ba tare da neman izinin mijinta ba?</v>
      </c>
      <c r="J345" s="91" t="str">
        <f t="shared" si="269"/>
        <v>219. If a wife has earned some money, does she have the right to buy clothing for herself or her children without asking the permission of her husband?</v>
      </c>
      <c r="K345" s="91" t="str">
        <f t="shared" ref="K345:L345" si="272">$F345&amp;". "&amp;H345</f>
        <v>219. Si une femme a gagné de l’argent, a-t-elle le droit d’acheter des vêtements pour elle-même ou ses enfants sans demander la permission de son mari ?</v>
      </c>
      <c r="L345" s="91" t="str">
        <f t="shared" si="272"/>
        <v>219. Idan mace ta sami kuɗi, shin tana da ikon sayen tufafi ga kanta ko ƴaƴanta ba tare da neman izinin mijinta ba?</v>
      </c>
    </row>
    <row r="346" hidden="1">
      <c r="A346" s="122" t="s">
        <v>236</v>
      </c>
      <c r="B346" s="31" t="s">
        <v>2436</v>
      </c>
      <c r="C346" s="31"/>
      <c r="D346" s="31"/>
      <c r="E346" s="31"/>
      <c r="F346" s="89">
        <v>112.0</v>
      </c>
      <c r="G346" s="91" t="str">
        <f>IFERROR(__xludf.DUMMYFUNCTION("TRIM(REGEXREPLACE(C346, ""[0-9]+[a-f]?\."", """"))"),"")</f>
        <v/>
      </c>
      <c r="H346" s="91" t="str">
        <f>IFERROR(__xludf.DUMMYFUNCTION("TRIM(REGEXREPLACE(D346, ""[0-9]+[a-f]?\."", """"))"),"")</f>
        <v/>
      </c>
      <c r="I346" s="91" t="str">
        <f>IFERROR(__xludf.DUMMYFUNCTION("TRIM(REGEXREPLACE(E346, ""[0-9]+[a-f]?\."", """"))"),"")</f>
        <v/>
      </c>
      <c r="J346" s="91" t="str">
        <f>F346 &amp; ". " &amp;G346</f>
        <v>112. </v>
      </c>
      <c r="K346" s="91" t="str">
        <f>F346 &amp; ". " &amp;H346</f>
        <v>112. </v>
      </c>
      <c r="L346" s="91" t="str">
        <f>F346 &amp; ". " &amp;I346</f>
        <v>112. </v>
      </c>
    </row>
    <row r="347" hidden="1">
      <c r="A347" s="122" t="s">
        <v>236</v>
      </c>
      <c r="B347" s="153" t="s">
        <v>2186</v>
      </c>
      <c r="C347" s="31"/>
      <c r="D347" s="31"/>
      <c r="E347" s="31"/>
      <c r="F347" s="89">
        <v>190.0</v>
      </c>
      <c r="G347" s="91" t="str">
        <f>IFERROR(__xludf.DUMMYFUNCTION("TRIM(REGEXREPLACE(C347, ""[0-9]+[a-f]?\."", """"))"),"")</f>
        <v/>
      </c>
      <c r="H347" s="91" t="str">
        <f>IFERROR(__xludf.DUMMYFUNCTION("TRIM(REGEXREPLACE(D347, ""[0-9]+[a-f]?\."", """"))"),"")</f>
        <v/>
      </c>
      <c r="I347" s="91" t="str">
        <f>IFERROR(__xludf.DUMMYFUNCTION("TRIM(REGEXREPLACE(E347, ""[0-9]+[a-f]?\."", """"))"),"")</f>
        <v/>
      </c>
      <c r="J347" s="91" t="s">
        <v>2479</v>
      </c>
      <c r="K347" s="91" t="s">
        <v>2480</v>
      </c>
      <c r="L347" s="91" t="s">
        <v>2481</v>
      </c>
    </row>
    <row r="348">
      <c r="A348" s="126" t="s">
        <v>42</v>
      </c>
      <c r="B348" s="127" t="s">
        <v>2482</v>
      </c>
      <c r="C348" s="31" t="s">
        <v>2484</v>
      </c>
      <c r="D348" s="31" t="s">
        <v>2485</v>
      </c>
      <c r="E348" s="31" t="s">
        <v>2486</v>
      </c>
      <c r="F348" s="89">
        <v>220.0</v>
      </c>
      <c r="G348" s="91" t="str">
        <f>IFERROR(__xludf.DUMMYFUNCTION("TRIM(REGEXREPLACE(C348, ""[0-9]+[a-f]?\."", """"))"),"Enumerator: THANK THE RESPONDENT FOR HER COOPERATION AND REASSURE HER ABOUT THE CONFIDENTIALITY OF HER ANSWERS.")</f>
        <v>Enumerator: THANK THE RESPONDENT FOR HER COOPERATION AND REASSURE HER ABOUT THE CONFIDENTIALITY OF HER ANSWERS.</v>
      </c>
      <c r="H348" s="91" t="str">
        <f>IFERROR(__xludf.DUMMYFUNCTION("TRIM(REGEXREPLACE(D348, ""[0-9]+[a-f]?\."", """"))"),"Enquêteur : REMERCIER LA RÉPONDANTE POUR SA COOPÉRATION ET LA RASSURER SUR LA CONFIDENTIALITÉ DE SES RÉPONSES.")</f>
        <v>Enquêteur : REMERCIER LA RÉPONDANTE POUR SA COOPÉRATION ET LA RASSURER SUR LA CONFIDENTIALITÉ DE SES RÉPONSES.</v>
      </c>
      <c r="I348" s="91" t="str">
        <f>IFERROR(__xludf.DUMMYFUNCTION("TRIM(REGEXREPLACE(E348, ""[0-9]+[a-f]?\."", """"))"),"Ɗan bincike: Ka gode wa mai bada amsa bisa haɗin kai da kuma ka tabbatar mata game da kiyaye SIRRIN HIRAR A KA YI DA ITA.")</f>
        <v>Ɗan bincike: Ka gode wa mai bada amsa bisa haɗin kai da kuma ka tabbatar mata game da kiyaye SIRRIN HIRAR A KA YI DA ITA.</v>
      </c>
      <c r="J348" s="91" t="str">
        <f>F348&amp;". "&amp;G348</f>
        <v>220. Enumerator: THANK THE RESPONDENT FOR HER COOPERATION AND REASSURE HER ABOUT THE CONFIDENTIALITY OF HER ANSWERS.</v>
      </c>
      <c r="K348" s="91" t="str">
        <f t="shared" ref="K348:L348" si="273">$F348&amp;". "&amp;H348</f>
        <v>220. Enquêteur : REMERCIER LA RÉPONDANTE POUR SA COOPÉRATION ET LA RASSURER SUR LA CONFIDENTIALITÉ DE SES RÉPONSES.</v>
      </c>
      <c r="L348" s="91" t="str">
        <f t="shared" si="273"/>
        <v>220. Ɗan bincike: Ka gode wa mai bada amsa bisa haɗin kai da kuma ka tabbatar mata game da kiyaye SIRRIN HIRAR A KA YI DA ITA.</v>
      </c>
    </row>
    <row r="349" hidden="1">
      <c r="A349" s="122" t="s">
        <v>236</v>
      </c>
      <c r="B349" s="153" t="s">
        <v>440</v>
      </c>
      <c r="C349" s="31" t="s">
        <v>441</v>
      </c>
      <c r="D349" s="31"/>
      <c r="E349" s="31"/>
      <c r="F349" s="89">
        <v>192.0</v>
      </c>
      <c r="G349" s="91" t="str">
        <f>IFERROR(__xludf.DUMMYFUNCTION("TRIM(REGEXREPLACE(C349, ""[0-9]+[a-f]?\."", """"))"),"Woman Questionnaire")</f>
        <v>Woman Questionnaire</v>
      </c>
      <c r="H349" s="91" t="str">
        <f>IFERROR(__xludf.DUMMYFUNCTION("TRIM(REGEXREPLACE(D349, ""[0-9]+[a-f]?\."", """"))"),"")</f>
        <v/>
      </c>
      <c r="I349" s="91" t="str">
        <f>IFERROR(__xludf.DUMMYFUNCTION("TRIM(REGEXREPLACE(E349, ""[0-9]+[a-f]?\."", """"))"),"")</f>
        <v/>
      </c>
      <c r="J349" s="91" t="s">
        <v>2489</v>
      </c>
      <c r="K349" s="91" t="s">
        <v>2491</v>
      </c>
      <c r="L349" s="91" t="s">
        <v>2492</v>
      </c>
    </row>
    <row r="350" hidden="1">
      <c r="A350" s="67" t="s">
        <v>139</v>
      </c>
      <c r="B350" s="69" t="s">
        <v>2493</v>
      </c>
      <c r="C350" s="31"/>
      <c r="D350" s="31"/>
      <c r="E350" s="31"/>
      <c r="F350" s="89">
        <v>180.0</v>
      </c>
      <c r="G350" s="91" t="str">
        <f>IFERROR(__xludf.DUMMYFUNCTION("TRIM(REGEXREPLACE(C350, ""[0-9]+[a-f]?\."", """"))"),"")</f>
        <v/>
      </c>
      <c r="H350" s="91" t="str">
        <f>IFERROR(__xludf.DUMMYFUNCTION("TRIM(REGEXREPLACE(D350, ""[0-9]+[a-f]?\."", """"))"),"")</f>
        <v/>
      </c>
      <c r="I350" s="91" t="str">
        <f>IFERROR(__xludf.DUMMYFUNCTION("TRIM(REGEXREPLACE(E350, ""[0-9]+[a-f]?\."", """"))"),"")</f>
        <v/>
      </c>
      <c r="J350" s="91" t="s">
        <v>2495</v>
      </c>
      <c r="K350" s="91" t="s">
        <v>2496</v>
      </c>
      <c r="L350" s="91" t="s">
        <v>2497</v>
      </c>
    </row>
    <row r="351" hidden="1">
      <c r="A351" s="67" t="s">
        <v>108</v>
      </c>
      <c r="B351" s="69" t="s">
        <v>2498</v>
      </c>
      <c r="C351" s="31"/>
      <c r="D351" s="31"/>
      <c r="E351" s="31"/>
      <c r="F351" s="89">
        <v>181.0</v>
      </c>
      <c r="G351" s="91" t="str">
        <f>IFERROR(__xludf.DUMMYFUNCTION("TRIM(REGEXREPLACE(C351, ""[0-9]+[a-f]?\."", """"))"),"")</f>
        <v/>
      </c>
      <c r="H351" s="91" t="str">
        <f>IFERROR(__xludf.DUMMYFUNCTION("TRIM(REGEXREPLACE(D351, ""[0-9]+[a-f]?\."", """"))"),"")</f>
        <v/>
      </c>
      <c r="I351" s="91" t="str">
        <f>IFERROR(__xludf.DUMMYFUNCTION("TRIM(REGEXREPLACE(E351, ""[0-9]+[a-f]?\."", """"))"),"")</f>
        <v/>
      </c>
      <c r="J351" s="91" t="s">
        <v>2500</v>
      </c>
      <c r="K351" s="91" t="s">
        <v>2501</v>
      </c>
      <c r="L351" s="91" t="s">
        <v>2502</v>
      </c>
    </row>
    <row r="352" hidden="1">
      <c r="A352" s="130"/>
      <c r="B352" s="130"/>
      <c r="C352" s="31"/>
      <c r="D352" s="31"/>
      <c r="E352" s="31"/>
      <c r="F352" s="89">
        <v>113.0</v>
      </c>
      <c r="G352" s="91" t="str">
        <f>IFERROR(__xludf.DUMMYFUNCTION("TRIM(REGEXREPLACE(C352, ""[0-9]+[a-f]?\."", """"))"),"")</f>
        <v/>
      </c>
      <c r="H352" s="91" t="str">
        <f>IFERROR(__xludf.DUMMYFUNCTION("TRIM(REGEXREPLACE(D352, ""[0-9]+[a-f]?\."", """"))"),"")</f>
        <v/>
      </c>
      <c r="I352" s="91" t="str">
        <f>IFERROR(__xludf.DUMMYFUNCTION("TRIM(REGEXREPLACE(E352, ""[0-9]+[a-f]?\."", """"))"),"")</f>
        <v/>
      </c>
      <c r="J352" s="91" t="str">
        <f>F352 &amp; ". " &amp;G352</f>
        <v>113. </v>
      </c>
      <c r="K352" s="91" t="str">
        <f>F352 &amp; ". " &amp;H352</f>
        <v>113. </v>
      </c>
      <c r="L352" s="91" t="str">
        <f>F352 &amp; ". " &amp;I352</f>
        <v>113. </v>
      </c>
    </row>
    <row r="353" hidden="1">
      <c r="A353" s="67" t="s">
        <v>139</v>
      </c>
      <c r="B353" s="69" t="s">
        <v>2508</v>
      </c>
      <c r="C353" s="31"/>
      <c r="D353" s="31"/>
      <c r="E353" s="31"/>
      <c r="F353" s="89">
        <v>196.0</v>
      </c>
      <c r="G353" s="91" t="str">
        <f>IFERROR(__xludf.DUMMYFUNCTION("TRIM(REGEXREPLACE(C353, ""[0-9]+[a-f]?\."", """"))"),"")</f>
        <v/>
      </c>
      <c r="H353" s="91" t="str">
        <f>IFERROR(__xludf.DUMMYFUNCTION("TRIM(REGEXREPLACE(D353, ""[0-9]+[a-f]?\."", """"))"),"")</f>
        <v/>
      </c>
      <c r="I353" s="91" t="str">
        <f>IFERROR(__xludf.DUMMYFUNCTION("TRIM(REGEXREPLACE(E353, ""[0-9]+[a-f]?\."", """"))"),"")</f>
        <v/>
      </c>
      <c r="J353" s="91" t="s">
        <v>2510</v>
      </c>
      <c r="K353" s="91" t="s">
        <v>2511</v>
      </c>
      <c r="L353" s="91" t="s">
        <v>2512</v>
      </c>
    </row>
    <row r="354" hidden="1">
      <c r="A354" s="122" t="s">
        <v>150</v>
      </c>
      <c r="B354" s="242" t="s">
        <v>2515</v>
      </c>
      <c r="C354" s="31" t="s">
        <v>2519</v>
      </c>
      <c r="D354" s="31"/>
      <c r="E354" s="31"/>
      <c r="F354" s="89">
        <v>204.0</v>
      </c>
      <c r="G354" s="91" t="str">
        <f>IFERROR(__xludf.DUMMYFUNCTION("TRIM(REGEXREPLACE(C354, ""[0-9]+[a-f]?\."", """"))"),"HoH Questionnaire")</f>
        <v>HoH Questionnaire</v>
      </c>
      <c r="H354" s="91" t="str">
        <f>IFERROR(__xludf.DUMMYFUNCTION("TRIM(REGEXREPLACE(D354, ""[0-9]+[a-f]?\."", """"))"),"")</f>
        <v/>
      </c>
      <c r="I354" s="91" t="str">
        <f>IFERROR(__xludf.DUMMYFUNCTION("TRIM(REGEXREPLACE(E354, ""[0-9]+[a-f]?\."", """"))"),"")</f>
        <v/>
      </c>
    </row>
    <row r="355">
      <c r="A355" s="126" t="s">
        <v>42</v>
      </c>
      <c r="B355" s="243" t="s">
        <v>2521</v>
      </c>
      <c r="C355" s="31" t="s">
        <v>2523</v>
      </c>
      <c r="D355" s="31" t="e">
        <v>#VALUE!</v>
      </c>
      <c r="E355" s="31" t="e">
        <v>#VALUE!</v>
      </c>
      <c r="F355" s="89">
        <v>221.0</v>
      </c>
      <c r="G355" s="91" t="str">
        <f>IFERROR(__xludf.DUMMYFUNCTION("TRIM(REGEXREPLACE(C355, ""[0-9]+[a-f]?\."", """"))"),"HoH Questions")</f>
        <v>HoH Questions</v>
      </c>
      <c r="H355" s="91" t="str">
        <f>IFERROR(__xludf.DUMMYFUNCTION("TRIM(REGEXREPLACE(D355, ""[0-9]+[a-f]?\."", """"))"),"#VALUE!")</f>
        <v>#VALUE!</v>
      </c>
      <c r="I355" s="91" t="str">
        <f>IFERROR(__xludf.DUMMYFUNCTION("TRIM(REGEXREPLACE(E355, ""[0-9]+[a-f]?\."", """"))"),"#VALUE!")</f>
        <v>#VALUE!</v>
      </c>
      <c r="J355" s="91" t="str">
        <f>F355&amp;". "&amp;G355</f>
        <v>221. HoH Questions</v>
      </c>
      <c r="K355" s="91" t="str">
        <f t="shared" ref="K355:L355" si="274">$F355&amp;". "&amp;H355</f>
        <v>#VALUE!</v>
      </c>
      <c r="L355" s="91" t="str">
        <f t="shared" si="274"/>
        <v>#VALUE!</v>
      </c>
    </row>
    <row r="356" hidden="1">
      <c r="A356" s="104" t="s">
        <v>108</v>
      </c>
      <c r="B356" s="106" t="s">
        <v>2526</v>
      </c>
      <c r="C356" s="31"/>
      <c r="D356" s="31"/>
      <c r="E356" s="31"/>
      <c r="F356" s="89">
        <v>206.0</v>
      </c>
      <c r="G356" s="91" t="str">
        <f>IFERROR(__xludf.DUMMYFUNCTION("TRIM(REGEXREPLACE(C356, ""[0-9]+[a-f]?\."", """"))"),"")</f>
        <v/>
      </c>
      <c r="H356" s="91" t="str">
        <f>IFERROR(__xludf.DUMMYFUNCTION("TRIM(REGEXREPLACE(D356, ""[0-9]+[a-f]?\."", """"))"),"")</f>
        <v/>
      </c>
      <c r="I356" s="91" t="str">
        <f>IFERROR(__xludf.DUMMYFUNCTION("TRIM(REGEXREPLACE(E356, ""[0-9]+[a-f]?\."", """"))"),"")</f>
        <v/>
      </c>
    </row>
    <row r="357" hidden="1">
      <c r="A357" s="144" t="s">
        <v>648</v>
      </c>
      <c r="B357" s="245" t="s">
        <v>2529</v>
      </c>
      <c r="C357" s="31" t="s">
        <v>2531</v>
      </c>
      <c r="D357" s="31"/>
      <c r="E357" s="31"/>
      <c r="F357" s="89">
        <v>207.0</v>
      </c>
      <c r="G357" s="91" t="str">
        <f>IFERROR(__xludf.DUMMYFUNCTION("TRIM(REGEXREPLACE(C357, ""[0-9]+[a-f]?\."", """"))"),"Create line separate list of hh members")</f>
        <v>Create line separate list of hh members</v>
      </c>
      <c r="H357" s="91" t="str">
        <f>IFERROR(__xludf.DUMMYFUNCTION("TRIM(REGEXREPLACE(D357, ""[0-9]+[a-f]?\."", """"))"),"")</f>
        <v/>
      </c>
      <c r="I357" s="91" t="str">
        <f>IFERROR(__xludf.DUMMYFUNCTION("TRIM(REGEXREPLACE(E357, ""[0-9]+[a-f]?\."", """"))"),"")</f>
        <v/>
      </c>
    </row>
    <row r="358" hidden="1">
      <c r="A358" s="104" t="s">
        <v>108</v>
      </c>
      <c r="B358" s="106" t="s">
        <v>2532</v>
      </c>
      <c r="C358" s="31"/>
      <c r="D358" s="31"/>
      <c r="E358" s="31"/>
      <c r="F358" s="89">
        <v>206.0</v>
      </c>
      <c r="G358" s="91" t="str">
        <f>IFERROR(__xludf.DUMMYFUNCTION("TRIM(REGEXREPLACE(C358, ""[0-9]+[a-f]?\."", """"))"),"")</f>
        <v/>
      </c>
      <c r="H358" s="91" t="str">
        <f>IFERROR(__xludf.DUMMYFUNCTION("TRIM(REGEXREPLACE(D358, ""[0-9]+[a-f]?\."", """"))"),"")</f>
        <v/>
      </c>
      <c r="I358" s="91" t="str">
        <f>IFERROR(__xludf.DUMMYFUNCTION("TRIM(REGEXREPLACE(E358, ""[0-9]+[a-f]?\."", """"))"),"")</f>
        <v/>
      </c>
      <c r="J358" s="91" t="s">
        <v>2536</v>
      </c>
      <c r="K358" s="91" t="s">
        <v>2536</v>
      </c>
      <c r="L358" s="91" t="s">
        <v>2536</v>
      </c>
    </row>
    <row r="359" hidden="1">
      <c r="A359" s="104" t="s">
        <v>108</v>
      </c>
      <c r="B359" s="106" t="s">
        <v>2537</v>
      </c>
      <c r="C359" s="31"/>
      <c r="D359" s="31"/>
      <c r="E359" s="31"/>
      <c r="F359" s="89">
        <v>207.0</v>
      </c>
      <c r="G359" s="91" t="str">
        <f>IFERROR(__xludf.DUMMYFUNCTION("TRIM(REGEXREPLACE(C359, ""[0-9]+[a-f]?\."", """"))"),"")</f>
        <v/>
      </c>
      <c r="H359" s="91" t="str">
        <f>IFERROR(__xludf.DUMMYFUNCTION("TRIM(REGEXREPLACE(D359, ""[0-9]+[a-f]?\."", """"))"),"")</f>
        <v/>
      </c>
      <c r="I359" s="91" t="str">
        <f>IFERROR(__xludf.DUMMYFUNCTION("TRIM(REGEXREPLACE(E359, ""[0-9]+[a-f]?\."", """"))"),"")</f>
        <v/>
      </c>
      <c r="J359" s="91" t="s">
        <v>2540</v>
      </c>
      <c r="K359" s="91" t="s">
        <v>2541</v>
      </c>
      <c r="L359" s="91" t="s">
        <v>2542</v>
      </c>
    </row>
    <row r="360" hidden="1">
      <c r="A360" s="104" t="s">
        <v>108</v>
      </c>
      <c r="B360" s="106" t="s">
        <v>2543</v>
      </c>
      <c r="C360" s="31"/>
      <c r="D360" s="31"/>
      <c r="E360" s="31"/>
      <c r="F360" s="89">
        <v>208.0</v>
      </c>
      <c r="G360" s="91" t="str">
        <f>IFERROR(__xludf.DUMMYFUNCTION("TRIM(REGEXREPLACE(C360, ""[0-9]+[a-f]?\."", """"))"),"")</f>
        <v/>
      </c>
      <c r="H360" s="91" t="str">
        <f>IFERROR(__xludf.DUMMYFUNCTION("TRIM(REGEXREPLACE(D360, ""[0-9]+[a-f]?\."", """"))"),"")</f>
        <v/>
      </c>
      <c r="I360" s="91" t="str">
        <f>IFERROR(__xludf.DUMMYFUNCTION("TRIM(REGEXREPLACE(E360, ""[0-9]+[a-f]?\."", """"))"),"")</f>
        <v/>
      </c>
      <c r="J360" s="91" t="s">
        <v>2544</v>
      </c>
      <c r="K360" s="91" t="s">
        <v>2545</v>
      </c>
      <c r="L360" s="91" t="s">
        <v>2545</v>
      </c>
    </row>
    <row r="361" hidden="1">
      <c r="A361" s="104" t="s">
        <v>108</v>
      </c>
      <c r="B361" s="106" t="s">
        <v>2546</v>
      </c>
      <c r="C361" s="31"/>
      <c r="D361" s="31"/>
      <c r="E361" s="31"/>
      <c r="F361" s="89">
        <v>209.0</v>
      </c>
      <c r="G361" s="91" t="str">
        <f>IFERROR(__xludf.DUMMYFUNCTION("TRIM(REGEXREPLACE(C361, ""[0-9]+[a-f]?\."", """"))"),"")</f>
        <v/>
      </c>
      <c r="H361" s="91" t="str">
        <f>IFERROR(__xludf.DUMMYFUNCTION("TRIM(REGEXREPLACE(D361, ""[0-9]+[a-f]?\."", """"))"),"")</f>
        <v/>
      </c>
      <c r="I361" s="91" t="str">
        <f>IFERROR(__xludf.DUMMYFUNCTION("TRIM(REGEXREPLACE(E361, ""[0-9]+[a-f]?\."", """"))"),"")</f>
        <v/>
      </c>
      <c r="J361" s="91" t="s">
        <v>2548</v>
      </c>
      <c r="K361" s="91" t="s">
        <v>2549</v>
      </c>
      <c r="L361" s="91" t="s">
        <v>2549</v>
      </c>
    </row>
    <row r="362" hidden="1">
      <c r="A362" s="104" t="s">
        <v>108</v>
      </c>
      <c r="B362" s="106" t="s">
        <v>2550</v>
      </c>
      <c r="C362" s="31"/>
      <c r="D362" s="31"/>
      <c r="E362" s="31"/>
      <c r="F362" s="89">
        <v>210.0</v>
      </c>
      <c r="G362" s="91" t="str">
        <f>IFERROR(__xludf.DUMMYFUNCTION("TRIM(REGEXREPLACE(C362, ""[0-9]+[a-f]?\."", """"))"),"")</f>
        <v/>
      </c>
      <c r="H362" s="91" t="str">
        <f>IFERROR(__xludf.DUMMYFUNCTION("TRIM(REGEXREPLACE(D362, ""[0-9]+[a-f]?\."", """"))"),"")</f>
        <v/>
      </c>
      <c r="I362" s="91" t="str">
        <f>IFERROR(__xludf.DUMMYFUNCTION("TRIM(REGEXREPLACE(E362, ""[0-9]+[a-f]?\."", """"))"),"")</f>
        <v/>
      </c>
      <c r="J362" s="91" t="s">
        <v>2551</v>
      </c>
      <c r="K362" s="91" t="s">
        <v>2552</v>
      </c>
      <c r="L362" s="91" t="s">
        <v>2553</v>
      </c>
    </row>
    <row r="363" hidden="1">
      <c r="A363" s="144" t="s">
        <v>691</v>
      </c>
      <c r="B363" s="144" t="s">
        <v>2529</v>
      </c>
      <c r="C363" s="31"/>
      <c r="D363" s="31"/>
      <c r="E363" s="31"/>
      <c r="F363" s="89">
        <v>211.0</v>
      </c>
      <c r="G363" s="91" t="str">
        <f>IFERROR(__xludf.DUMMYFUNCTION("TRIM(REGEXREPLACE(C363, ""[0-9]+[a-f]?\."", """"))"),"")</f>
        <v/>
      </c>
      <c r="H363" s="91" t="str">
        <f>IFERROR(__xludf.DUMMYFUNCTION("TRIM(REGEXREPLACE(D363, ""[0-9]+[a-f]?\."", """"))"),"")</f>
        <v/>
      </c>
      <c r="I363" s="91" t="str">
        <f>IFERROR(__xludf.DUMMYFUNCTION("TRIM(REGEXREPLACE(E363, ""[0-9]+[a-f]?\."", """"))"),"")</f>
        <v/>
      </c>
      <c r="J363" s="91" t="s">
        <v>2554</v>
      </c>
      <c r="K363" s="91" t="s">
        <v>2555</v>
      </c>
      <c r="L363" s="91" t="s">
        <v>2556</v>
      </c>
    </row>
    <row r="364" hidden="1">
      <c r="A364" s="104" t="s">
        <v>108</v>
      </c>
      <c r="B364" s="106" t="s">
        <v>2557</v>
      </c>
      <c r="C364" s="31"/>
      <c r="D364" s="31"/>
      <c r="E364" s="31"/>
      <c r="F364" s="89">
        <v>212.0</v>
      </c>
      <c r="G364" s="91" t="str">
        <f>IFERROR(__xludf.DUMMYFUNCTION("TRIM(REGEXREPLACE(C364, ""[0-9]+[a-f]?\."", """"))"),"")</f>
        <v/>
      </c>
      <c r="H364" s="91" t="str">
        <f>IFERROR(__xludf.DUMMYFUNCTION("TRIM(REGEXREPLACE(D364, ""[0-9]+[a-f]?\."", """"))"),"")</f>
        <v/>
      </c>
      <c r="I364" s="91" t="str">
        <f>IFERROR(__xludf.DUMMYFUNCTION("TRIM(REGEXREPLACE(E364, ""[0-9]+[a-f]?\."", """"))"),"")</f>
        <v/>
      </c>
      <c r="J364" s="91" t="s">
        <v>2562</v>
      </c>
      <c r="K364" s="91" t="s">
        <v>2563</v>
      </c>
      <c r="L364" s="91" t="s">
        <v>2564</v>
      </c>
    </row>
    <row r="365" hidden="1">
      <c r="A365" s="67" t="s">
        <v>139</v>
      </c>
      <c r="B365" s="141" t="s">
        <v>2565</v>
      </c>
      <c r="C365" s="31"/>
      <c r="D365" s="31"/>
      <c r="E365" s="31"/>
      <c r="F365" s="89">
        <v>213.0</v>
      </c>
      <c r="G365" s="91" t="str">
        <f>IFERROR(__xludf.DUMMYFUNCTION("TRIM(REGEXREPLACE(C365, ""[0-9]+[a-f]?\."", """"))"),"")</f>
        <v/>
      </c>
      <c r="H365" s="91" t="str">
        <f>IFERROR(__xludf.DUMMYFUNCTION("TRIM(REGEXREPLACE(D365, ""[0-9]+[a-f]?\."", """"))"),"")</f>
        <v/>
      </c>
      <c r="I365" s="91" t="str">
        <f>IFERROR(__xludf.DUMMYFUNCTION("TRIM(REGEXREPLACE(E365, ""[0-9]+[a-f]?\."", """"))"),"")</f>
        <v/>
      </c>
      <c r="J365" s="91" t="s">
        <v>2566</v>
      </c>
      <c r="K365" s="91" t="s">
        <v>2567</v>
      </c>
      <c r="L365" s="91" t="s">
        <v>2567</v>
      </c>
    </row>
    <row r="366">
      <c r="A366" s="149" t="s">
        <v>42</v>
      </c>
      <c r="B366" s="131" t="s">
        <v>2568</v>
      </c>
      <c r="C366" s="31" t="s">
        <v>2569</v>
      </c>
      <c r="D366" s="31" t="s">
        <v>2570</v>
      </c>
      <c r="E366" s="31" t="s">
        <v>2571</v>
      </c>
      <c r="F366" s="89">
        <v>222.0</v>
      </c>
      <c r="G366" s="91" t="str">
        <f>IFERROR(__xludf.DUMMYFUNCTION("TRIM(REGEXREPLACE(C366,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366" s="91" t="str">
        <f>IFERROR(__xludf.DUMMYFUNCTION("TRIM(REGEXREPLACE(D366,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366" s="91" t="str">
        <f>IFERROR(__xludf.DUMMYFUNCTION("TRIM(REGEXREPLACE(E366,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366" s="91" t="str">
        <f t="shared" ref="J366:J368" si="276">F366&amp;". "&amp;G366</f>
        <v>222. A household is a group of people, related or unrelated, who live together in the same housing, pool their resources together, share their meals and recognize the authority of the same one person who is the head of household.</v>
      </c>
      <c r="K366" s="91" t="str">
        <f t="shared" ref="K366:L366" si="275">$F366&amp;". "&amp;H366</f>
        <v>222. Un ménage est l’ensemble des personnes apparentées ou non qui vivent habituellement dans un même logement, mettent en commun leurs ressources, partagent leurs repas, et reconnaissent l’autorité d’une seule et même personne appelée chef de ménage.</v>
      </c>
      <c r="L366" s="91" t="str">
        <f t="shared" si="275"/>
        <v>222. Gida shine mutanen da ko dangi ko a'a wanda suke rayuwa cikin gida guda, sun sa dukiyar su tare, suna cin abinci tare, kuma sun yarda da shugabancin mutum ɗaya wanda a ke ce ma mai gida.</v>
      </c>
    </row>
    <row r="367">
      <c r="A367" s="81" t="s">
        <v>338</v>
      </c>
      <c r="B367" s="142" t="s">
        <v>2576</v>
      </c>
      <c r="C367" s="31" t="s">
        <v>2577</v>
      </c>
      <c r="D367" s="31" t="s">
        <v>2578</v>
      </c>
      <c r="E367" s="31" t="s">
        <v>2579</v>
      </c>
      <c r="F367" s="89">
        <v>223.0</v>
      </c>
      <c r="G367" s="91" t="str">
        <f>IFERROR(__xludf.DUMMYFUNCTION("TRIM(REGEXREPLACE(C367, ""[0-9]+[a-f]?\."", """"))"),"Are there new members in the household since we last spoke to you? For reference, these are the members you mentioned:
 ${hoh_roster_list}")</f>
        <v>Are there new members in the household since we last spoke to you? For reference, these are the members you mentioned:
 ${hoh_roster_list}</v>
      </c>
      <c r="H367" s="91" t="str">
        <f>IFERROR(__xludf.DUMMYFUNCTION("TRIM(REGEXREPLACE(D367,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367" s="91" t="str">
        <f>IFERROR(__xludf.DUMMYFUNCTION("TRIM(REGEXREPLACE(E367, ""[0-9]+[a-f]?\."", """"))"),"Shin akwai sabbin membobi a gidan tun da muka yi magana da ku a ƙarshe? Don tunani, waɗannan su ne membobin da ka ambata: 
 ${hoh_roster_list}")</f>
        <v>Shin akwai sabbin membobi a gidan tun da muka yi magana da ku a ƙarshe? Don tunani, waɗannan su ne membobin da ka ambata: 
 ${hoh_roster_list}</v>
      </c>
      <c r="J367" s="91" t="str">
        <f t="shared" si="276"/>
        <v>223. Are there new members in the household since we last spoke to you? For reference, these are the members you mentioned:
 ${hoh_roster_list}</v>
      </c>
      <c r="K367" s="91" t="str">
        <f t="shared" ref="K367:L367" si="277">$F367&amp;". "&amp;H367</f>
        <v>223. Y a-t-il de nouveaux membres dans le foyer depuis notre dernière conversation ? Pour référence, voici les membres que vous avez mentionnés : 
 ${hoh_roster_list}</v>
      </c>
      <c r="L367" s="91" t="str">
        <f t="shared" si="277"/>
        <v>223. Shin akwai sabbin membobi a gidan tun da muka yi magana da ku a ƙarshe? Don tunani, waɗannan su ne membobin da ka ambata: 
 ${hoh_roster_list}</v>
      </c>
    </row>
    <row r="368">
      <c r="A368" s="146" t="s">
        <v>237</v>
      </c>
      <c r="B368" s="147" t="s">
        <v>2580</v>
      </c>
      <c r="C368" s="31" t="s">
        <v>2581</v>
      </c>
      <c r="D368" s="31" t="s">
        <v>2582</v>
      </c>
      <c r="E368" s="31" t="s">
        <v>2583</v>
      </c>
      <c r="F368" s="89">
        <v>224.0</v>
      </c>
      <c r="G368" s="91" t="str">
        <f>IFERROR(__xludf.DUMMYFUNCTION("TRIM(REGEXREPLACE(C368, ""[0-9]+[a-f]?\."", """"))"),"How many?")</f>
        <v>How many?</v>
      </c>
      <c r="H368" s="91" t="str">
        <f>IFERROR(__xludf.DUMMYFUNCTION("TRIM(REGEXREPLACE(D368, ""[0-9]+[a-f]?\."", """"))"),"Combien?")</f>
        <v>Combien?</v>
      </c>
      <c r="I368" s="91" t="str">
        <f>IFERROR(__xludf.DUMMYFUNCTION("TRIM(REGEXREPLACE(E368, ""[0-9]+[a-f]?\."", """"))"),"Nawa?")</f>
        <v>Nawa?</v>
      </c>
      <c r="J368" s="91" t="str">
        <f t="shared" si="276"/>
        <v>224. How many?</v>
      </c>
      <c r="K368" s="91" t="str">
        <f t="shared" ref="K368:L368" si="278">$F368&amp;". "&amp;H368</f>
        <v>224. Combien?</v>
      </c>
      <c r="L368" s="91" t="str">
        <f t="shared" si="278"/>
        <v>224. Nawa?</v>
      </c>
    </row>
    <row r="369" hidden="1">
      <c r="A369" s="144" t="s">
        <v>648</v>
      </c>
      <c r="B369" s="145" t="s">
        <v>2586</v>
      </c>
      <c r="C369" s="31" t="s">
        <v>2587</v>
      </c>
      <c r="D369" s="31"/>
      <c r="E369" s="31"/>
      <c r="F369" s="89">
        <v>211.0</v>
      </c>
      <c r="G369" s="91" t="str">
        <f>IFERROR(__xludf.DUMMYFUNCTION("TRIM(REGEXREPLACE(C369, ""[0-9]+[a-f]?\."", """"))"),"Add new members to existing roster")</f>
        <v>Add new members to existing roster</v>
      </c>
      <c r="H369" s="91" t="str">
        <f>IFERROR(__xludf.DUMMYFUNCTION("TRIM(REGEXREPLACE(D369, ""[0-9]+[a-f]?\."", """"))"),"")</f>
        <v/>
      </c>
      <c r="I369" s="91" t="str">
        <f>IFERROR(__xludf.DUMMYFUNCTION("TRIM(REGEXREPLACE(E369, ""[0-9]+[a-f]?\."", """"))"),"")</f>
        <v/>
      </c>
      <c r="J369" s="91" t="s">
        <v>2588</v>
      </c>
      <c r="K369" s="91" t="s">
        <v>2589</v>
      </c>
      <c r="L369" s="91" t="s">
        <v>2590</v>
      </c>
    </row>
    <row r="370" hidden="1">
      <c r="A370" s="104" t="s">
        <v>108</v>
      </c>
      <c r="B370" s="105" t="s">
        <v>2591</v>
      </c>
      <c r="C370" s="31" t="s">
        <v>2592</v>
      </c>
      <c r="D370" s="31"/>
      <c r="E370" s="31"/>
      <c r="F370" s="89">
        <v>212.0</v>
      </c>
      <c r="G370" s="91" t="str">
        <f>IFERROR(__xludf.DUMMYFUNCTION("TRIM(REGEXREPLACE(C370, ""[0-9]+[a-f]?\."", """"))"),"Index")</f>
        <v>Index</v>
      </c>
      <c r="H370" s="91" t="str">
        <f>IFERROR(__xludf.DUMMYFUNCTION("TRIM(REGEXREPLACE(D370, ""[0-9]+[a-f]?\."", """"))"),"")</f>
        <v/>
      </c>
      <c r="I370" s="91" t="str">
        <f>IFERROR(__xludf.DUMMYFUNCTION("TRIM(REGEXREPLACE(E370, ""[0-9]+[a-f]?\."", """"))"),"")</f>
        <v/>
      </c>
      <c r="J370" s="91" t="s">
        <v>2596</v>
      </c>
      <c r="K370" s="91" t="s">
        <v>2597</v>
      </c>
      <c r="L370" s="91" t="s">
        <v>2598</v>
      </c>
    </row>
    <row r="371" hidden="1">
      <c r="A371" s="104" t="s">
        <v>108</v>
      </c>
      <c r="B371" s="105" t="s">
        <v>2600</v>
      </c>
      <c r="C371" s="31"/>
      <c r="D371" s="31"/>
      <c r="E371" s="31"/>
      <c r="F371" s="89">
        <v>117.0</v>
      </c>
      <c r="G371" s="91" t="str">
        <f>IFERROR(__xludf.DUMMYFUNCTION("TRIM(REGEXREPLACE(C371, ""[0-9]+[a-f]?\."", """"))"),"")</f>
        <v/>
      </c>
      <c r="H371" s="91" t="str">
        <f>IFERROR(__xludf.DUMMYFUNCTION("TRIM(REGEXREPLACE(D371, ""[0-9]+[a-f]?\."", """"))"),"")</f>
        <v/>
      </c>
      <c r="I371" s="91" t="str">
        <f>IFERROR(__xludf.DUMMYFUNCTION("TRIM(REGEXREPLACE(E371, ""[0-9]+[a-f]?\."", """"))"),"")</f>
        <v/>
      </c>
      <c r="J371" s="91" t="str">
        <f t="shared" ref="J371:J374" si="279">F371 &amp; ". " &amp;G371</f>
        <v>117. </v>
      </c>
      <c r="K371" s="91" t="str">
        <f t="shared" ref="K371:K374" si="280">F371 &amp; ". " &amp;H371</f>
        <v>117. </v>
      </c>
      <c r="L371" s="91" t="str">
        <f t="shared" ref="L371:L374" si="281">F371 &amp; ". " &amp;I371</f>
        <v>117. </v>
      </c>
    </row>
    <row r="372" hidden="1">
      <c r="A372" s="104" t="s">
        <v>108</v>
      </c>
      <c r="B372" s="105" t="s">
        <v>2602</v>
      </c>
      <c r="C372" s="31"/>
      <c r="D372" s="31"/>
      <c r="E372" s="31"/>
      <c r="F372" s="89">
        <v>118.0</v>
      </c>
      <c r="G372" s="91" t="str">
        <f>IFERROR(__xludf.DUMMYFUNCTION("TRIM(REGEXREPLACE(C372, ""[0-9]+[a-f]?\."", """"))"),"")</f>
        <v/>
      </c>
      <c r="H372" s="91" t="str">
        <f>IFERROR(__xludf.DUMMYFUNCTION("TRIM(REGEXREPLACE(D372, ""[0-9]+[a-f]?\."", """"))"),"")</f>
        <v/>
      </c>
      <c r="I372" s="91" t="str">
        <f>IFERROR(__xludf.DUMMYFUNCTION("TRIM(REGEXREPLACE(E372, ""[0-9]+[a-f]?\."", """"))"),"")</f>
        <v/>
      </c>
      <c r="J372" s="91" t="str">
        <f t="shared" si="279"/>
        <v>118. </v>
      </c>
      <c r="K372" s="91" t="str">
        <f t="shared" si="280"/>
        <v>118. </v>
      </c>
      <c r="L372" s="91" t="str">
        <f t="shared" si="281"/>
        <v>118. </v>
      </c>
    </row>
    <row r="373" hidden="1">
      <c r="A373" s="104" t="s">
        <v>108</v>
      </c>
      <c r="B373" s="105" t="s">
        <v>2603</v>
      </c>
      <c r="C373" s="31"/>
      <c r="D373" s="31"/>
      <c r="E373" s="31"/>
      <c r="F373" s="89">
        <v>119.0</v>
      </c>
      <c r="G373" s="91" t="str">
        <f>IFERROR(__xludf.DUMMYFUNCTION("TRIM(REGEXREPLACE(C373, ""[0-9]+[a-f]?\."", """"))"),"")</f>
        <v/>
      </c>
      <c r="H373" s="91" t="str">
        <f>IFERROR(__xludf.DUMMYFUNCTION("TRIM(REGEXREPLACE(D373, ""[0-9]+[a-f]?\."", """"))"),"")</f>
        <v/>
      </c>
      <c r="I373" s="91" t="str">
        <f>IFERROR(__xludf.DUMMYFUNCTION("TRIM(REGEXREPLACE(E373, ""[0-9]+[a-f]?\."", """"))"),"")</f>
        <v/>
      </c>
      <c r="J373" s="91" t="str">
        <f t="shared" si="279"/>
        <v>119. </v>
      </c>
      <c r="K373" s="91" t="str">
        <f t="shared" si="280"/>
        <v>119. </v>
      </c>
      <c r="L373" s="91" t="str">
        <f t="shared" si="281"/>
        <v>119. </v>
      </c>
    </row>
    <row r="374" hidden="1">
      <c r="A374" s="122" t="s">
        <v>150</v>
      </c>
      <c r="B374" s="123" t="s">
        <v>2605</v>
      </c>
      <c r="C374" s="31" t="s">
        <v>2606</v>
      </c>
      <c r="D374" s="31"/>
      <c r="E374" s="31"/>
      <c r="F374" s="89">
        <v>120.0</v>
      </c>
      <c r="G374" s="91" t="str">
        <f>IFERROR(__xludf.DUMMYFUNCTION("TRIM(REGEXREPLACE(C374, ""[0-9]+[a-f]?\."", """"))"),"Name")</f>
        <v>Name</v>
      </c>
      <c r="H374" s="91" t="str">
        <f>IFERROR(__xludf.DUMMYFUNCTION("TRIM(REGEXREPLACE(D374, ""[0-9]+[a-f]?\."", """"))"),"")</f>
        <v/>
      </c>
      <c r="I374" s="91" t="str">
        <f>IFERROR(__xludf.DUMMYFUNCTION("TRIM(REGEXREPLACE(E374, ""[0-9]+[a-f]?\."", """"))"),"")</f>
        <v/>
      </c>
      <c r="J374" s="91" t="str">
        <f t="shared" si="279"/>
        <v>120. Name</v>
      </c>
      <c r="K374" s="91" t="str">
        <f t="shared" si="280"/>
        <v>120. </v>
      </c>
      <c r="L374" s="91" t="str">
        <f t="shared" si="281"/>
        <v>120. </v>
      </c>
    </row>
    <row r="375">
      <c r="A375" s="133" t="s">
        <v>214</v>
      </c>
      <c r="B375" s="143" t="s">
        <v>2607</v>
      </c>
      <c r="C375" s="31" t="s">
        <v>2608</v>
      </c>
      <c r="D375" s="31" t="s">
        <v>2609</v>
      </c>
      <c r="E375" s="31" t="s">
        <v>2610</v>
      </c>
      <c r="F375" s="89">
        <v>225.0</v>
      </c>
      <c r="G375" s="91" t="str">
        <f>IFERROR(__xludf.DUMMYFUNCTION("TRIM(REGEXREPLACE(C375, ""[0-9]+[a-f]?\."", """"))"),"What is the last name of ${hoh_hhtext}?")</f>
        <v>What is the last name of ${hoh_hhtext}?</v>
      </c>
      <c r="H375" s="91" t="str">
        <f>IFERROR(__xludf.DUMMYFUNCTION("TRIM(REGEXREPLACE(D375, ""[0-9]+[a-f]?\."", """"))"),"Quel est le nom de ${hoh_hhtextfrench} ?")</f>
        <v>Quel est le nom de ${hoh_hhtextfrench} ?</v>
      </c>
      <c r="I375" s="91" t="str">
        <f>IFERROR(__xludf.DUMMYFUNCTION("TRIM(REGEXREPLACE(E375, ""[0-9]+[a-f]?\."", """"))"),"Menene sunan uban ${hoh_hhtexthausa}?")</f>
        <v>Menene sunan uban ${hoh_hhtexthausa}?</v>
      </c>
      <c r="J375" s="91" t="str">
        <f t="shared" ref="J375:J376" si="283">F375&amp;". "&amp;G375</f>
        <v>225. What is the last name of ${hoh_hhtext}?</v>
      </c>
      <c r="K375" s="91" t="str">
        <f t="shared" ref="K375:L375" si="282">$F375&amp;". "&amp;H375</f>
        <v>225. Quel est le nom de ${hoh_hhtextfrench} ?</v>
      </c>
      <c r="L375" s="91" t="str">
        <f t="shared" si="282"/>
        <v>225. Menene sunan uban ${hoh_hhtexthausa}?</v>
      </c>
    </row>
    <row r="376">
      <c r="A376" s="133" t="s">
        <v>214</v>
      </c>
      <c r="B376" s="143" t="s">
        <v>2612</v>
      </c>
      <c r="C376" s="31" t="s">
        <v>2614</v>
      </c>
      <c r="D376" s="31" t="s">
        <v>2616</v>
      </c>
      <c r="E376" s="31" t="s">
        <v>2618</v>
      </c>
      <c r="F376" s="89">
        <v>226.0</v>
      </c>
      <c r="G376" s="91" t="str">
        <f>IFERROR(__xludf.DUMMYFUNCTION("TRIM(REGEXREPLACE(C376, ""[0-9]+[a-f]?\."", """"))"),"What is the first name of ${hoh_hhtext}?")</f>
        <v>What is the first name of ${hoh_hhtext}?</v>
      </c>
      <c r="H376" s="91" t="str">
        <f>IFERROR(__xludf.DUMMYFUNCTION("TRIM(REGEXREPLACE(D376, ""[0-9]+[a-f]?\."", """"))"),"Quel est le prenom de cette personne ${hoh_hhtextfrench} ?")</f>
        <v>Quel est le prenom de cette personne ${hoh_hhtextfrench} ?</v>
      </c>
      <c r="I376" s="91" t="str">
        <f>IFERROR(__xludf.DUMMYFUNCTION("TRIM(REGEXREPLACE(E376, ""[0-9]+[a-f]?\."", """"))"),"Menene sunan ${hoh_hhtexthausa}?")</f>
        <v>Menene sunan ${hoh_hhtexthausa}?</v>
      </c>
      <c r="J376" s="91" t="str">
        <f t="shared" si="283"/>
        <v>226. What is the first name of ${hoh_hhtext}?</v>
      </c>
      <c r="K376" s="91" t="str">
        <f t="shared" ref="K376:L376" si="284">$F376&amp;". "&amp;H376</f>
        <v>226. Quel est le prenom de cette personne ${hoh_hhtextfrench} ?</v>
      </c>
      <c r="L376" s="91" t="str">
        <f t="shared" si="284"/>
        <v>226. Menene sunan ${hoh_hhtexthausa}?</v>
      </c>
    </row>
    <row r="377" hidden="1">
      <c r="A377" s="122" t="s">
        <v>236</v>
      </c>
      <c r="B377" s="153" t="s">
        <v>2605</v>
      </c>
      <c r="C377" s="31"/>
      <c r="D377" s="31"/>
      <c r="E377" s="31"/>
      <c r="F377" s="89">
        <v>219.0</v>
      </c>
      <c r="G377" s="91" t="str">
        <f>IFERROR(__xludf.DUMMYFUNCTION("TRIM(REGEXREPLACE(C377, ""[0-9]+[a-f]?\."", """"))"),"")</f>
        <v/>
      </c>
      <c r="H377" s="91" t="str">
        <f>IFERROR(__xludf.DUMMYFUNCTION("TRIM(REGEXREPLACE(D377, ""[0-9]+[a-f]?\."", """"))"),"")</f>
        <v/>
      </c>
      <c r="I377" s="91" t="str">
        <f>IFERROR(__xludf.DUMMYFUNCTION("TRIM(REGEXREPLACE(E377, ""[0-9]+[a-f]?\."", """"))"),"")</f>
        <v/>
      </c>
      <c r="J377" s="91" t="s">
        <v>2621</v>
      </c>
      <c r="K377" s="91" t="s">
        <v>2622</v>
      </c>
      <c r="L377" s="91" t="s">
        <v>2623</v>
      </c>
    </row>
    <row r="378" hidden="1">
      <c r="A378" s="104" t="s">
        <v>108</v>
      </c>
      <c r="B378" s="105" t="s">
        <v>2624</v>
      </c>
      <c r="C378" s="31"/>
      <c r="D378" s="31"/>
      <c r="E378" s="31"/>
      <c r="F378" s="89">
        <v>121.0</v>
      </c>
      <c r="G378" s="91" t="str">
        <f>IFERROR(__xludf.DUMMYFUNCTION("TRIM(REGEXREPLACE(C378, ""[0-9]+[a-f]?\."", """"))"),"")</f>
        <v/>
      </c>
      <c r="H378" s="91" t="str">
        <f>IFERROR(__xludf.DUMMYFUNCTION("TRIM(REGEXREPLACE(D378, ""[0-9]+[a-f]?\."", """"))"),"")</f>
        <v/>
      </c>
      <c r="I378" s="91" t="str">
        <f>IFERROR(__xludf.DUMMYFUNCTION("TRIM(REGEXREPLACE(E378, ""[0-9]+[a-f]?\."", """"))"),"")</f>
        <v/>
      </c>
      <c r="J378" s="91" t="str">
        <f>F378 &amp; ". " &amp;G378</f>
        <v>121. </v>
      </c>
      <c r="K378" s="91" t="str">
        <f>F378 &amp; ". " &amp;H378</f>
        <v>121. </v>
      </c>
      <c r="L378" s="91" t="str">
        <f>F378 &amp; ". " &amp;I378</f>
        <v>121. </v>
      </c>
    </row>
    <row r="379">
      <c r="A379" s="81" t="s">
        <v>2629</v>
      </c>
      <c r="B379" s="142" t="s">
        <v>2630</v>
      </c>
      <c r="C379" s="31" t="s">
        <v>2631</v>
      </c>
      <c r="D379" s="31" t="s">
        <v>2632</v>
      </c>
      <c r="E379" s="31" t="s">
        <v>2633</v>
      </c>
      <c r="F379" s="89">
        <v>227.0</v>
      </c>
      <c r="G379" s="91" t="str">
        <f>IFERROR(__xludf.DUMMYFUNCTION("TRIM(REGEXREPLACE(C379, ""[0-9]+[a-f]?\."", """"))"),"What is ${hoh_new_mem_name}'s relationship to you, the household head?")</f>
        <v>What is ${hoh_new_mem_name}'s relationship to you, the household head?</v>
      </c>
      <c r="H379" s="91" t="str">
        <f>IFERROR(__xludf.DUMMYFUNCTION("TRIM(REGEXREPLACE(D379, ""[0-9]+[a-f]?\."", """"))"),"Quelle est la relation entre ${hoh_new_mem_name} et vous, le chef de ménage ?")</f>
        <v>Quelle est la relation entre ${hoh_new_mem_name} et vous, le chef de ménage ?</v>
      </c>
      <c r="I379" s="91" t="str">
        <f>IFERROR(__xludf.DUMMYFUNCTION("TRIM(REGEXREPLACE(E379, ""[0-9]+[a-f]?\."", """"))"),"Menene alaƙa tsakanin ${hoh_new_mem_name} da, mai gida?")</f>
        <v>Menene alaƙa tsakanin ${hoh_new_mem_name} da, mai gida?</v>
      </c>
      <c r="J379" s="91" t="str">
        <f t="shared" ref="J379:J381" si="286">F379&amp;". "&amp;G379</f>
        <v>227. What is ${hoh_new_mem_name}'s relationship to you, the household head?</v>
      </c>
      <c r="K379" s="91" t="str">
        <f t="shared" ref="K379:L379" si="285">$F379&amp;". "&amp;H379</f>
        <v>227. Quelle est la relation entre ${hoh_new_mem_name} et vous, le chef de ménage ?</v>
      </c>
      <c r="L379" s="91" t="str">
        <f t="shared" si="285"/>
        <v>227. Menene alaƙa tsakanin ${hoh_new_mem_name} da, mai gida?</v>
      </c>
    </row>
    <row r="380">
      <c r="A380" s="81" t="s">
        <v>2635</v>
      </c>
      <c r="B380" s="142" t="s">
        <v>2636</v>
      </c>
      <c r="C380" s="31" t="s">
        <v>2637</v>
      </c>
      <c r="D380" s="31" t="s">
        <v>2638</v>
      </c>
      <c r="E380" s="31" t="s">
        <v>2640</v>
      </c>
      <c r="F380" s="89">
        <v>228.0</v>
      </c>
      <c r="G380" s="91" t="str">
        <f>IFERROR(__xludf.DUMMYFUNCTION("TRIM(REGEXREPLACE(C380, ""[0-9]+[a-f]?\."", """"))"),"What is ${hoh_new_mem_name}'s sex?")</f>
        <v>What is ${hoh_new_mem_name}'s sex?</v>
      </c>
      <c r="H380" s="91" t="str">
        <f>IFERROR(__xludf.DUMMYFUNCTION("TRIM(REGEXREPLACE(D380, ""[0-9]+[a-f]?\."", """"))"),"Quel est le sexe de ${hoh_new_mem_name} ?")</f>
        <v>Quel est le sexe de ${hoh_new_mem_name} ?</v>
      </c>
      <c r="I380" s="91" t="str">
        <f>IFERROR(__xludf.DUMMYFUNCTION("TRIM(REGEXREPLACE(E380, ""[0-9]+[a-f]?\."", """"))"),"Menene jinsin ${hoh_new_mem_name}?")</f>
        <v>Menene jinsin ${hoh_new_mem_name}?</v>
      </c>
      <c r="J380" s="91" t="str">
        <f t="shared" si="286"/>
        <v>228. What is ${hoh_new_mem_name}'s sex?</v>
      </c>
      <c r="K380" s="91" t="str">
        <f t="shared" ref="K380:L380" si="287">$F380&amp;". "&amp;H380</f>
        <v>228. Quel est le sexe de ${hoh_new_mem_name} ?</v>
      </c>
      <c r="L380" s="91" t="str">
        <f t="shared" si="287"/>
        <v>228. Menene jinsin ${hoh_new_mem_name}?</v>
      </c>
    </row>
    <row r="381">
      <c r="A381" s="146" t="s">
        <v>237</v>
      </c>
      <c r="B381" s="147" t="s">
        <v>2645</v>
      </c>
      <c r="C381" s="31" t="s">
        <v>2646</v>
      </c>
      <c r="D381" s="31" t="s">
        <v>2647</v>
      </c>
      <c r="E381" s="31" t="s">
        <v>2648</v>
      </c>
      <c r="F381" s="89">
        <v>229.0</v>
      </c>
      <c r="G381" s="91" t="str">
        <f>IFERROR(__xludf.DUMMYFUNCTION("TRIM(REGEXREPLACE(C381, ""[0-9]+[a-f]?\."", """"))"),"What is ${hoh_new_mem_name}'s age?")</f>
        <v>What is ${hoh_new_mem_name}'s age?</v>
      </c>
      <c r="H381" s="91" t="str">
        <f>IFERROR(__xludf.DUMMYFUNCTION("TRIM(REGEXREPLACE(D381, ""[0-9]+[a-f]?\."", """"))"),"Quel âge a ${hoh_new_mem_name} ?")</f>
        <v>Quel âge a ${hoh_new_mem_name} ?</v>
      </c>
      <c r="I381" s="91" t="str">
        <f>IFERROR(__xludf.DUMMYFUNCTION("TRIM(REGEXREPLACE(E381, ""[0-9]+[a-f]?\."", """"))"),"${hoh_new_mem_name} Shekarun shi/ta nawa?")</f>
        <v>${hoh_new_mem_name} Shekarun shi/ta nawa?</v>
      </c>
      <c r="J381" s="91" t="str">
        <f t="shared" si="286"/>
        <v>229. What is ${hoh_new_mem_name}'s age?</v>
      </c>
      <c r="K381" s="91" t="str">
        <f t="shared" ref="K381:L381" si="288">$F381&amp;". "&amp;H381</f>
        <v>229. Quel âge a ${hoh_new_mem_name} ?</v>
      </c>
      <c r="L381" s="91" t="str">
        <f t="shared" si="288"/>
        <v>229. ${hoh_new_mem_name} Shekarun shi/ta nawa?</v>
      </c>
    </row>
    <row r="382" hidden="1">
      <c r="A382" s="144" t="s">
        <v>691</v>
      </c>
      <c r="B382" s="150" t="s">
        <v>2586</v>
      </c>
      <c r="C382" s="31" t="s">
        <v>2587</v>
      </c>
      <c r="D382" s="31"/>
      <c r="E382" s="31"/>
      <c r="F382" s="89">
        <v>123.0</v>
      </c>
      <c r="G382" s="91" t="str">
        <f>IFERROR(__xludf.DUMMYFUNCTION("TRIM(REGEXREPLACE(C382, ""[0-9]+[a-f]?\."", """"))"),"Add new members to existing roster")</f>
        <v>Add new members to existing roster</v>
      </c>
      <c r="H382" s="91" t="str">
        <f>IFERROR(__xludf.DUMMYFUNCTION("TRIM(REGEXREPLACE(D382, ""[0-9]+[a-f]?\."", """"))"),"")</f>
        <v/>
      </c>
      <c r="I382" s="91" t="str">
        <f>IFERROR(__xludf.DUMMYFUNCTION("TRIM(REGEXREPLACE(E382, ""[0-9]+[a-f]?\."", """"))"),"")</f>
        <v/>
      </c>
      <c r="J382" s="91" t="str">
        <f t="shared" ref="J382:J386" si="289">F382 &amp; ". " &amp;G382</f>
        <v>123. Add new members to existing roster</v>
      </c>
      <c r="K382" s="91" t="str">
        <f t="shared" ref="K382:K386" si="290">F382 &amp; ". " &amp;H382</f>
        <v>123. </v>
      </c>
      <c r="L382" s="91" t="str">
        <f t="shared" ref="L382:L386" si="291">F382 &amp; ". " &amp;I382</f>
        <v>123. </v>
      </c>
    </row>
    <row r="383" hidden="1">
      <c r="A383" s="67" t="s">
        <v>139</v>
      </c>
      <c r="B383" s="141" t="s">
        <v>2654</v>
      </c>
      <c r="C383" s="31"/>
      <c r="D383" s="31"/>
      <c r="E383" s="31"/>
      <c r="F383" s="89">
        <v>124.0</v>
      </c>
      <c r="G383" s="91" t="str">
        <f>IFERROR(__xludf.DUMMYFUNCTION("TRIM(REGEXREPLACE(C383, ""[0-9]+[a-f]?\."", """"))"),"")</f>
        <v/>
      </c>
      <c r="H383" s="91" t="str">
        <f>IFERROR(__xludf.DUMMYFUNCTION("TRIM(REGEXREPLACE(D383, ""[0-9]+[a-f]?\."", """"))"),"")</f>
        <v/>
      </c>
      <c r="I383" s="91" t="str">
        <f>IFERROR(__xludf.DUMMYFUNCTION("TRIM(REGEXREPLACE(E383, ""[0-9]+[a-f]?\."", """"))"),"")</f>
        <v/>
      </c>
      <c r="J383" s="91" t="str">
        <f t="shared" si="289"/>
        <v>124. </v>
      </c>
      <c r="K383" s="91" t="str">
        <f t="shared" si="290"/>
        <v>124. </v>
      </c>
      <c r="L383" s="91" t="str">
        <f t="shared" si="291"/>
        <v>124. </v>
      </c>
    </row>
    <row r="384" hidden="1">
      <c r="A384" s="67" t="s">
        <v>108</v>
      </c>
      <c r="B384" s="69" t="s">
        <v>2660</v>
      </c>
      <c r="C384" s="31"/>
      <c r="D384" s="31"/>
      <c r="E384" s="31"/>
      <c r="F384" s="89">
        <v>125.0</v>
      </c>
      <c r="G384" s="91" t="str">
        <f>IFERROR(__xludf.DUMMYFUNCTION("TRIM(REGEXREPLACE(C384, ""[0-9]+[a-f]?\."", """"))"),"")</f>
        <v/>
      </c>
      <c r="H384" s="91" t="str">
        <f>IFERROR(__xludf.DUMMYFUNCTION("TRIM(REGEXREPLACE(D384, ""[0-9]+[a-f]?\."", """"))"),"")</f>
        <v/>
      </c>
      <c r="I384" s="91" t="str">
        <f>IFERROR(__xludf.DUMMYFUNCTION("TRIM(REGEXREPLACE(E384, ""[0-9]+[a-f]?\."", """"))"),"")</f>
        <v/>
      </c>
      <c r="J384" s="91" t="str">
        <f t="shared" si="289"/>
        <v>125. </v>
      </c>
      <c r="K384" s="91" t="str">
        <f t="shared" si="290"/>
        <v>125. </v>
      </c>
      <c r="L384" s="91" t="str">
        <f t="shared" si="291"/>
        <v>125. </v>
      </c>
    </row>
    <row r="385" hidden="1">
      <c r="A385" s="135"/>
      <c r="B385" s="135"/>
      <c r="C385" s="31"/>
      <c r="D385" s="31"/>
      <c r="E385" s="31"/>
      <c r="F385" s="89">
        <v>126.0</v>
      </c>
      <c r="G385" s="91" t="str">
        <f>IFERROR(__xludf.DUMMYFUNCTION("TRIM(REGEXREPLACE(C385, ""[0-9]+[a-f]?\."", """"))"),"")</f>
        <v/>
      </c>
      <c r="H385" s="91" t="str">
        <f>IFERROR(__xludf.DUMMYFUNCTION("TRIM(REGEXREPLACE(D385, ""[0-9]+[a-f]?\."", """"))"),"")</f>
        <v/>
      </c>
      <c r="I385" s="91" t="str">
        <f>IFERROR(__xludf.DUMMYFUNCTION("TRIM(REGEXREPLACE(E385, ""[0-9]+[a-f]?\."", """"))"),"")</f>
        <v/>
      </c>
      <c r="J385" s="91" t="str">
        <f t="shared" si="289"/>
        <v>126. </v>
      </c>
      <c r="K385" s="91" t="str">
        <f t="shared" si="290"/>
        <v>126. </v>
      </c>
      <c r="L385" s="91" t="str">
        <f t="shared" si="291"/>
        <v>126. </v>
      </c>
    </row>
    <row r="386" hidden="1">
      <c r="A386" s="104" t="s">
        <v>108</v>
      </c>
      <c r="B386" s="106" t="s">
        <v>2663</v>
      </c>
      <c r="C386" s="31"/>
      <c r="D386" s="31"/>
      <c r="E386" s="31"/>
      <c r="F386" s="89">
        <v>127.0</v>
      </c>
      <c r="G386" s="91" t="str">
        <f>IFERROR(__xludf.DUMMYFUNCTION("TRIM(REGEXREPLACE(C386, ""[0-9]+[a-f]?\."", """"))"),"")</f>
        <v/>
      </c>
      <c r="H386" s="91" t="str">
        <f>IFERROR(__xludf.DUMMYFUNCTION("TRIM(REGEXREPLACE(D386, ""[0-9]+[a-f]?\."", """"))"),"")</f>
        <v/>
      </c>
      <c r="I386" s="91" t="str">
        <f>IFERROR(__xludf.DUMMYFUNCTION("TRIM(REGEXREPLACE(E386, ""[0-9]+[a-f]?\."", """"))"),"")</f>
        <v/>
      </c>
      <c r="J386" s="91" t="str">
        <f t="shared" si="289"/>
        <v>127. </v>
      </c>
      <c r="K386" s="91" t="str">
        <f t="shared" si="290"/>
        <v>127. </v>
      </c>
      <c r="L386" s="91" t="str">
        <f t="shared" si="291"/>
        <v>127. </v>
      </c>
    </row>
    <row r="387">
      <c r="A387" s="126" t="s">
        <v>42</v>
      </c>
      <c r="B387" s="127" t="s">
        <v>2664</v>
      </c>
      <c r="C387" s="31" t="s">
        <v>2665</v>
      </c>
      <c r="D387" s="31" t="s">
        <v>2666</v>
      </c>
      <c r="E387" s="31" t="s">
        <v>2668</v>
      </c>
      <c r="F387" s="89">
        <v>230.0</v>
      </c>
      <c r="G387" s="91" t="str">
        <f>IFERROR(__xludf.DUMMYFUNCTION("TRIM(REGEXREPLACE(C387, ""[0-9]+[a-f]?\."", """"))"),"I want to ask a few questions about the members of your household who are currently residing here.")</f>
        <v>I want to ask a few questions about the members of your household who are currently residing here.</v>
      </c>
      <c r="H387" s="91" t="str">
        <f>IFERROR(__xludf.DUMMYFUNCTION("TRIM(REGEXREPLACE(D387, ""[0-9]+[a-f]?\."", """"))"),"Je veux poser quelques questions sur les membres de votre ménage qui résident actuellement ici.")</f>
        <v>Je veux poser quelques questions sur les membres de votre ménage qui résident actuellement ici.</v>
      </c>
      <c r="I387" s="91" t="str">
        <f>IFERROR(__xludf.DUMMYFUNCTION("TRIM(REGEXREPLACE(E387, ""[0-9]+[a-f]?\."", """"))"),"Ina so in muku ƴan tambayoyi bisa yan gidanku da ke zaune a gida a yanzu.")</f>
        <v>Ina so in muku ƴan tambayoyi bisa yan gidanku da ke zaune a gida a yanzu.</v>
      </c>
      <c r="J387" s="91" t="str">
        <f>F387&amp;". "&amp;G387</f>
        <v>230. I want to ask a few questions about the members of your household who are currently residing here.</v>
      </c>
      <c r="K387" s="91" t="str">
        <f t="shared" ref="K387:L387" si="292">$F387&amp;". "&amp;H387</f>
        <v>230. Je veux poser quelques questions sur les membres de votre ménage qui résident actuellement ici.</v>
      </c>
      <c r="L387" s="91" t="str">
        <f t="shared" si="292"/>
        <v>230. Ina so in muku ƴan tambayoyi bisa yan gidanku da ke zaune a gida a yanzu.</v>
      </c>
    </row>
    <row r="388" hidden="1">
      <c r="A388" s="135"/>
      <c r="B388" s="135"/>
      <c r="C388" s="31"/>
      <c r="D388" s="31"/>
      <c r="E388" s="31"/>
      <c r="F388" s="89">
        <v>229.0</v>
      </c>
      <c r="G388" s="91" t="str">
        <f>IFERROR(__xludf.DUMMYFUNCTION("TRIM(REGEXREPLACE(C388, ""[0-9]+[a-f]?\."", """"))"),"")</f>
        <v/>
      </c>
      <c r="H388" s="91" t="str">
        <f>IFERROR(__xludf.DUMMYFUNCTION("TRIM(REGEXREPLACE(D388, ""[0-9]+[a-f]?\."", """"))"),"")</f>
        <v/>
      </c>
      <c r="I388" s="91" t="str">
        <f>IFERROR(__xludf.DUMMYFUNCTION("TRIM(REGEXREPLACE(E388, ""[0-9]+[a-f]?\."", """"))"),"")</f>
        <v/>
      </c>
      <c r="J388" s="91" t="s">
        <v>2671</v>
      </c>
      <c r="K388" s="91" t="s">
        <v>2672</v>
      </c>
      <c r="L388" s="91" t="s">
        <v>2673</v>
      </c>
    </row>
    <row r="389" hidden="1">
      <c r="A389" s="144" t="s">
        <v>648</v>
      </c>
      <c r="B389" s="145" t="s">
        <v>2674</v>
      </c>
      <c r="C389" s="31" t="s">
        <v>2675</v>
      </c>
      <c r="D389" s="31"/>
      <c r="E389" s="31"/>
      <c r="F389" s="89">
        <v>129.0</v>
      </c>
      <c r="G389" s="91" t="str">
        <f>IFERROR(__xludf.DUMMYFUNCTION("TRIM(REGEXREPLACE(C389, ""[0-9]+[a-f]?\."", """"))"),"Roster")</f>
        <v>Roster</v>
      </c>
      <c r="H389" s="91" t="str">
        <f>IFERROR(__xludf.DUMMYFUNCTION("TRIM(REGEXREPLACE(D389, ""[0-9]+[a-f]?\."", """"))"),"")</f>
        <v/>
      </c>
      <c r="I389" s="91" t="str">
        <f>IFERROR(__xludf.DUMMYFUNCTION("TRIM(REGEXREPLACE(E389, ""[0-9]+[a-f]?\."", """"))"),"")</f>
        <v/>
      </c>
      <c r="J389" s="91" t="str">
        <f t="shared" ref="J389:J394" si="293">F389 &amp; ". " &amp;G389</f>
        <v>129. Roster</v>
      </c>
      <c r="K389" s="91" t="str">
        <f t="shared" ref="K389:K394" si="294">F389 &amp; ". " &amp;H389</f>
        <v>129. </v>
      </c>
      <c r="L389" s="91" t="str">
        <f t="shared" ref="L389:L394" si="295">F389 &amp; ". " &amp;I389</f>
        <v>129. </v>
      </c>
    </row>
    <row r="390" hidden="1">
      <c r="A390" s="67" t="s">
        <v>139</v>
      </c>
      <c r="B390" s="69" t="s">
        <v>2677</v>
      </c>
      <c r="C390" s="31"/>
      <c r="D390" s="31"/>
      <c r="E390" s="31"/>
      <c r="F390" s="89">
        <v>130.0</v>
      </c>
      <c r="G390" s="91" t="str">
        <f>IFERROR(__xludf.DUMMYFUNCTION("TRIM(REGEXREPLACE(C390, ""[0-9]+[a-f]?\."", """"))"),"")</f>
        <v/>
      </c>
      <c r="H390" s="91" t="str">
        <f>IFERROR(__xludf.DUMMYFUNCTION("TRIM(REGEXREPLACE(D390, ""[0-9]+[a-f]?\."", """"))"),"")</f>
        <v/>
      </c>
      <c r="I390" s="91" t="str">
        <f>IFERROR(__xludf.DUMMYFUNCTION("TRIM(REGEXREPLACE(E390, ""[0-9]+[a-f]?\."", """"))"),"")</f>
        <v/>
      </c>
      <c r="J390" s="91" t="str">
        <f t="shared" si="293"/>
        <v>130. </v>
      </c>
      <c r="K390" s="91" t="str">
        <f t="shared" si="294"/>
        <v>130. </v>
      </c>
      <c r="L390" s="91" t="str">
        <f t="shared" si="295"/>
        <v>130. </v>
      </c>
    </row>
    <row r="391" hidden="1">
      <c r="A391" s="104" t="s">
        <v>108</v>
      </c>
      <c r="B391" s="105" t="s">
        <v>2679</v>
      </c>
      <c r="C391" s="31"/>
      <c r="D391" s="31"/>
      <c r="E391" s="31"/>
      <c r="F391" s="89">
        <v>131.0</v>
      </c>
      <c r="G391" s="91" t="str">
        <f>IFERROR(__xludf.DUMMYFUNCTION("TRIM(REGEXREPLACE(C391, ""[0-9]+[a-f]?\."", """"))"),"")</f>
        <v/>
      </c>
      <c r="H391" s="91" t="str">
        <f>IFERROR(__xludf.DUMMYFUNCTION("TRIM(REGEXREPLACE(D391, ""[0-9]+[a-f]?\."", """"))"),"")</f>
        <v/>
      </c>
      <c r="I391" s="91" t="str">
        <f>IFERROR(__xludf.DUMMYFUNCTION("TRIM(REGEXREPLACE(E391, ""[0-9]+[a-f]?\."", """"))"),"")</f>
        <v/>
      </c>
      <c r="J391" s="91" t="str">
        <f t="shared" si="293"/>
        <v>131. </v>
      </c>
      <c r="K391" s="91" t="str">
        <f t="shared" si="294"/>
        <v>131. </v>
      </c>
      <c r="L391" s="91" t="str">
        <f t="shared" si="295"/>
        <v>131. </v>
      </c>
    </row>
    <row r="392" hidden="1">
      <c r="A392" s="104" t="s">
        <v>108</v>
      </c>
      <c r="B392" s="105" t="s">
        <v>2680</v>
      </c>
      <c r="C392" s="31" t="s">
        <v>2681</v>
      </c>
      <c r="D392" s="31"/>
      <c r="E392" s="31"/>
      <c r="F392" s="89">
        <v>132.0</v>
      </c>
      <c r="G392" s="91" t="str">
        <f>IFERROR(__xludf.DUMMYFUNCTION("TRIM(REGEXREPLACE(C392, ""[0-9]+[a-f]?\."", """"))"),"Member name from case management")</f>
        <v>Member name from case management</v>
      </c>
      <c r="H392" s="91" t="str">
        <f>IFERROR(__xludf.DUMMYFUNCTION("TRIM(REGEXREPLACE(D392, ""[0-9]+[a-f]?\."", """"))"),"")</f>
        <v/>
      </c>
      <c r="I392" s="91" t="str">
        <f>IFERROR(__xludf.DUMMYFUNCTION("TRIM(REGEXREPLACE(E392, ""[0-9]+[a-f]?\."", """"))"),"")</f>
        <v/>
      </c>
      <c r="J392" s="91" t="str">
        <f t="shared" si="293"/>
        <v>132. Member name from case management</v>
      </c>
      <c r="K392" s="91" t="str">
        <f t="shared" si="294"/>
        <v>132. </v>
      </c>
      <c r="L392" s="91" t="str">
        <f t="shared" si="295"/>
        <v>132. </v>
      </c>
    </row>
    <row r="393" hidden="1">
      <c r="A393" s="104" t="s">
        <v>108</v>
      </c>
      <c r="B393" s="105" t="s">
        <v>2683</v>
      </c>
      <c r="C393" s="31" t="s">
        <v>2684</v>
      </c>
      <c r="D393" s="31"/>
      <c r="E393" s="31"/>
      <c r="F393" s="89">
        <v>133.0</v>
      </c>
      <c r="G393" s="91" t="str">
        <f>IFERROR(__xludf.DUMMYFUNCTION("TRIM(REGEXREPLACE(C393, ""[0-9]+[a-f]?\."", """"))"),"Member age from case management")</f>
        <v>Member age from case management</v>
      </c>
      <c r="H393" s="91" t="str">
        <f>IFERROR(__xludf.DUMMYFUNCTION("TRIM(REGEXREPLACE(D393, ""[0-9]+[a-f]?\."", """"))"),"")</f>
        <v/>
      </c>
      <c r="I393" s="91" t="str">
        <f>IFERROR(__xludf.DUMMYFUNCTION("TRIM(REGEXREPLACE(E393, ""[0-9]+[a-f]?\."", """"))"),"")</f>
        <v/>
      </c>
      <c r="J393" s="91" t="str">
        <f t="shared" si="293"/>
        <v>133. Member age from case management</v>
      </c>
      <c r="K393" s="91" t="str">
        <f t="shared" si="294"/>
        <v>133. </v>
      </c>
      <c r="L393" s="91" t="str">
        <f t="shared" si="295"/>
        <v>133. </v>
      </c>
    </row>
    <row r="394" hidden="1">
      <c r="A394" s="104" t="s">
        <v>108</v>
      </c>
      <c r="B394" s="105" t="s">
        <v>2691</v>
      </c>
      <c r="C394" s="31" t="s">
        <v>2692</v>
      </c>
      <c r="D394" s="31"/>
      <c r="E394" s="31"/>
      <c r="F394" s="89">
        <v>134.0</v>
      </c>
      <c r="G394" s="91" t="str">
        <f>IFERROR(__xludf.DUMMYFUNCTION("TRIM(REGEXREPLACE(C394, ""[0-9]+[a-f]?\."", """"))"),"Member sex from case management")</f>
        <v>Member sex from case management</v>
      </c>
      <c r="H394" s="91" t="str">
        <f>IFERROR(__xludf.DUMMYFUNCTION("TRIM(REGEXREPLACE(D394, ""[0-9]+[a-f]?\."", """"))"),"")</f>
        <v/>
      </c>
      <c r="I394" s="91" t="str">
        <f>IFERROR(__xludf.DUMMYFUNCTION("TRIM(REGEXREPLACE(E394, ""[0-9]+[a-f]?\."", """"))"),"")</f>
        <v/>
      </c>
      <c r="J394" s="91" t="str">
        <f t="shared" si="293"/>
        <v>134. Member sex from case management</v>
      </c>
      <c r="K394" s="91" t="str">
        <f t="shared" si="294"/>
        <v>134. </v>
      </c>
      <c r="L394" s="91" t="str">
        <f t="shared" si="295"/>
        <v>134. </v>
      </c>
    </row>
    <row r="395" hidden="1">
      <c r="A395" s="104" t="s">
        <v>108</v>
      </c>
      <c r="B395" s="105" t="s">
        <v>2694</v>
      </c>
      <c r="C395" s="31"/>
      <c r="D395" s="31"/>
      <c r="E395" s="31"/>
    </row>
    <row r="396" hidden="1">
      <c r="A396" s="104" t="s">
        <v>108</v>
      </c>
      <c r="B396" s="105" t="s">
        <v>2695</v>
      </c>
      <c r="C396" s="31" t="s">
        <v>2696</v>
      </c>
      <c r="D396" s="31"/>
      <c r="E396" s="31"/>
      <c r="F396" s="89">
        <v>220.0</v>
      </c>
      <c r="G396" s="91" t="str">
        <f>IFERROR(__xludf.DUMMYFUNCTION("TRIM(REGEXREPLACE(C396, ""[0-9]+[a-f]?\."", """"))"),"New member name (only populated if no more members to enumerate in the cases data)")</f>
        <v>New member name (only populated if no more members to enumerate in the cases data)</v>
      </c>
      <c r="H396" s="91" t="str">
        <f>IFERROR(__xludf.DUMMYFUNCTION("TRIM(REGEXREPLACE(D396, ""[0-9]+[a-f]?\."", """"))"),"")</f>
        <v/>
      </c>
      <c r="I396" s="91" t="str">
        <f>IFERROR(__xludf.DUMMYFUNCTION("TRIM(REGEXREPLACE(E396, ""[0-9]+[a-f]?\."", """"))"),"")</f>
        <v/>
      </c>
      <c r="J396" s="91" t="s">
        <v>2697</v>
      </c>
      <c r="K396" s="91" t="s">
        <v>2699</v>
      </c>
      <c r="L396" s="91" t="s">
        <v>2701</v>
      </c>
    </row>
    <row r="397" hidden="1">
      <c r="A397" s="104" t="s">
        <v>108</v>
      </c>
      <c r="B397" s="105" t="s">
        <v>2703</v>
      </c>
      <c r="C397" s="31" t="s">
        <v>2704</v>
      </c>
      <c r="D397" s="31"/>
      <c r="E397" s="31"/>
      <c r="F397" s="89">
        <v>221.0</v>
      </c>
      <c r="G397" s="91" t="str">
        <f>IFERROR(__xludf.DUMMYFUNCTION("TRIM(REGEXREPLACE(C397, ""[0-9]+[a-f]?\."", """"))"),"New member age")</f>
        <v>New member age</v>
      </c>
      <c r="H397" s="91" t="str">
        <f>IFERROR(__xludf.DUMMYFUNCTION("TRIM(REGEXREPLACE(D397, ""[0-9]+[a-f]?\."", """"))"),"")</f>
        <v/>
      </c>
      <c r="I397" s="91" t="str">
        <f>IFERROR(__xludf.DUMMYFUNCTION("TRIM(REGEXREPLACE(E397, ""[0-9]+[a-f]?\."", """"))"),"")</f>
        <v/>
      </c>
      <c r="J397" s="91" t="s">
        <v>2706</v>
      </c>
      <c r="K397" s="91" t="s">
        <v>2707</v>
      </c>
      <c r="L397" s="91" t="s">
        <v>2708</v>
      </c>
    </row>
    <row r="398" hidden="1">
      <c r="A398" s="104" t="s">
        <v>108</v>
      </c>
      <c r="B398" s="105" t="s">
        <v>2709</v>
      </c>
      <c r="C398" s="31" t="s">
        <v>2710</v>
      </c>
      <c r="D398" s="31"/>
      <c r="E398" s="31"/>
      <c r="F398" s="89">
        <v>135.0</v>
      </c>
      <c r="G398" s="91" t="str">
        <f>IFERROR(__xludf.DUMMYFUNCTION("TRIM(REGEXREPLACE(C398, ""[0-9]+[a-f]?\."", """"))"),"New member sex")</f>
        <v>New member sex</v>
      </c>
      <c r="H398" s="91" t="str">
        <f>IFERROR(__xludf.DUMMYFUNCTION("TRIM(REGEXREPLACE(D398, ""[0-9]+[a-f]?\."", """"))"),"")</f>
        <v/>
      </c>
      <c r="I398" s="91" t="str">
        <f>IFERROR(__xludf.DUMMYFUNCTION("TRIM(REGEXREPLACE(E398, ""[0-9]+[a-f]?\."", """"))"),"")</f>
        <v/>
      </c>
      <c r="J398" s="91" t="str">
        <f t="shared" ref="J398:J401" si="296">F398 &amp; ". " &amp;G398</f>
        <v>135. New member sex</v>
      </c>
      <c r="K398" s="91" t="str">
        <f t="shared" ref="K398:K401" si="297">F398 &amp; ". " &amp;H398</f>
        <v>135. </v>
      </c>
      <c r="L398" s="91" t="str">
        <f t="shared" ref="L398:L401" si="298">F398 &amp; ". " &amp;I398</f>
        <v>135. </v>
      </c>
    </row>
    <row r="399" hidden="1">
      <c r="A399" s="104" t="s">
        <v>108</v>
      </c>
      <c r="B399" s="105" t="s">
        <v>2711</v>
      </c>
      <c r="C399" s="31"/>
      <c r="D399" s="31"/>
      <c r="E399" s="31"/>
      <c r="F399" s="89">
        <v>136.0</v>
      </c>
      <c r="G399" s="91" t="str">
        <f>IFERROR(__xludf.DUMMYFUNCTION("TRIM(REGEXREPLACE(C399, ""[0-9]+[a-f]?\."", """"))"),"")</f>
        <v/>
      </c>
      <c r="H399" s="91" t="str">
        <f>IFERROR(__xludf.DUMMYFUNCTION("TRIM(REGEXREPLACE(D399, ""[0-9]+[a-f]?\."", """"))"),"")</f>
        <v/>
      </c>
      <c r="I399" s="91" t="str">
        <f>IFERROR(__xludf.DUMMYFUNCTION("TRIM(REGEXREPLACE(E399, ""[0-9]+[a-f]?\."", """"))"),"")</f>
        <v/>
      </c>
      <c r="J399" s="91" t="str">
        <f t="shared" si="296"/>
        <v>136. </v>
      </c>
      <c r="K399" s="91" t="str">
        <f t="shared" si="297"/>
        <v>136. </v>
      </c>
      <c r="L399" s="91" t="str">
        <f t="shared" si="298"/>
        <v>136. </v>
      </c>
    </row>
    <row r="400" hidden="1">
      <c r="A400" s="104" t="s">
        <v>108</v>
      </c>
      <c r="B400" s="105" t="s">
        <v>2714</v>
      </c>
      <c r="C400" s="31"/>
      <c r="D400" s="31"/>
      <c r="E400" s="31"/>
      <c r="F400" s="89">
        <v>137.0</v>
      </c>
      <c r="G400" s="91" t="str">
        <f>IFERROR(__xludf.DUMMYFUNCTION("TRIM(REGEXREPLACE(C400, ""[0-9]+[a-f]?\."", """"))"),"")</f>
        <v/>
      </c>
      <c r="H400" s="91" t="str">
        <f>IFERROR(__xludf.DUMMYFUNCTION("TRIM(REGEXREPLACE(D400, ""[0-9]+[a-f]?\."", """"))"),"")</f>
        <v/>
      </c>
      <c r="I400" s="91" t="str">
        <f>IFERROR(__xludf.DUMMYFUNCTION("TRIM(REGEXREPLACE(E400, ""[0-9]+[a-f]?\."", """"))"),"")</f>
        <v/>
      </c>
      <c r="J400" s="91" t="str">
        <f t="shared" si="296"/>
        <v>137. </v>
      </c>
      <c r="K400" s="91" t="str">
        <f t="shared" si="297"/>
        <v>137. </v>
      </c>
      <c r="L400" s="91" t="str">
        <f t="shared" si="298"/>
        <v>137. </v>
      </c>
    </row>
    <row r="401" hidden="1">
      <c r="A401" s="104" t="s">
        <v>108</v>
      </c>
      <c r="B401" s="105" t="s">
        <v>2715</v>
      </c>
      <c r="C401" s="31"/>
      <c r="D401" s="31"/>
      <c r="E401" s="31"/>
      <c r="F401" s="89">
        <v>138.0</v>
      </c>
      <c r="G401" s="91" t="str">
        <f>IFERROR(__xludf.DUMMYFUNCTION("TRIM(REGEXREPLACE(C401, ""[0-9]+[a-f]?\."", """"))"),"")</f>
        <v/>
      </c>
      <c r="H401" s="91" t="str">
        <f>IFERROR(__xludf.DUMMYFUNCTION("TRIM(REGEXREPLACE(D401, ""[0-9]+[a-f]?\."", """"))"),"")</f>
        <v/>
      </c>
      <c r="I401" s="91" t="str">
        <f>IFERROR(__xludf.DUMMYFUNCTION("TRIM(REGEXREPLACE(E401, ""[0-9]+[a-f]?\."", """"))"),"")</f>
        <v/>
      </c>
      <c r="J401" s="91" t="str">
        <f t="shared" si="296"/>
        <v>138. </v>
      </c>
      <c r="K401" s="91" t="str">
        <f t="shared" si="297"/>
        <v>138. </v>
      </c>
      <c r="L401" s="91" t="str">
        <f t="shared" si="298"/>
        <v>138. </v>
      </c>
    </row>
    <row r="402">
      <c r="A402" s="126" t="s">
        <v>42</v>
      </c>
      <c r="B402" s="127" t="s">
        <v>2716</v>
      </c>
      <c r="C402" s="31" t="s">
        <v>2717</v>
      </c>
      <c r="D402" s="31" t="s">
        <v>2717</v>
      </c>
      <c r="E402" s="31" t="s">
        <v>2717</v>
      </c>
      <c r="F402" s="89">
        <v>231.0</v>
      </c>
      <c r="G402" s="91" t="str">
        <f>IFERROR(__xludf.DUMMYFUNCTION("TRIM(REGEXREPLACE(C402, ""[0-9]+[a-f]?\."", """"))"),"${hoh_roster_name}
 Sex: ${hoh_roster_sex}
 Age: ${hoh_roster_age}")</f>
        <v>${hoh_roster_name}
 Sex: ${hoh_roster_sex}
 Age: ${hoh_roster_age}</v>
      </c>
      <c r="H402" s="91" t="str">
        <f>IFERROR(__xludf.DUMMYFUNCTION("TRIM(REGEXREPLACE(D402, ""[0-9]+[a-f]?\."", """"))"),"${hoh_roster_name}
 Sex: ${hoh_roster_sex}
 Age: ${hoh_roster_age}")</f>
        <v>${hoh_roster_name}
 Sex: ${hoh_roster_sex}
 Age: ${hoh_roster_age}</v>
      </c>
      <c r="I402" s="91" t="str">
        <f>IFERROR(__xludf.DUMMYFUNCTION("TRIM(REGEXREPLACE(E402, ""[0-9]+[a-f]?\."", """"))"),"${hoh_roster_name}
 Sex: ${hoh_roster_sex}
 Age: ${hoh_roster_age}")</f>
        <v>${hoh_roster_name}
 Sex: ${hoh_roster_sex}
 Age: ${hoh_roster_age}</v>
      </c>
      <c r="J402" s="91" t="str">
        <f t="shared" ref="J402:J417" si="300">F402&amp;". "&amp;G402</f>
        <v>231. ${hoh_roster_name}
 Sex: ${hoh_roster_sex}
 Age: ${hoh_roster_age}</v>
      </c>
      <c r="K402" s="91" t="str">
        <f t="shared" ref="K402:L402" si="299">$F402&amp;". "&amp;H402</f>
        <v>231. ${hoh_roster_name}
 Sex: ${hoh_roster_sex}
 Age: ${hoh_roster_age}</v>
      </c>
      <c r="L402" s="91" t="str">
        <f t="shared" si="299"/>
        <v>231. ${hoh_roster_name}
 Sex: ${hoh_roster_sex}
 Age: ${hoh_roster_age}</v>
      </c>
    </row>
    <row r="403">
      <c r="A403" s="81" t="s">
        <v>485</v>
      </c>
      <c r="B403" s="142" t="s">
        <v>2719</v>
      </c>
      <c r="C403" s="31" t="s">
        <v>2720</v>
      </c>
      <c r="D403" s="31" t="s">
        <v>2721</v>
      </c>
      <c r="E403" s="31" t="s">
        <v>2722</v>
      </c>
      <c r="F403" s="89">
        <v>232.0</v>
      </c>
      <c r="G403" s="91" t="str">
        <f>IFERROR(__xludf.DUMMYFUNCTION("TRIM(REGEXREPLACE(C403, ""[0-9]+[a-f]?\."", """"))"),"Is ${hoh_roster_name} a Nigerien national?")</f>
        <v>Is ${hoh_roster_name} a Nigerien national?</v>
      </c>
      <c r="H403" s="91" t="str">
        <f>IFERROR(__xludf.DUMMYFUNCTION("TRIM(REGEXREPLACE(D403, ""[0-9]+[a-f]?\."", """"))"),"${hoh_roster_name} est-il un citoyen(ne) du Niger ?")</f>
        <v>${hoh_roster_name} est-il un citoyen(ne) du Niger ?</v>
      </c>
      <c r="I403" s="91" t="str">
        <f>IFERROR(__xludf.DUMMYFUNCTION("TRIM(REGEXREPLACE(E403, ""[0-9]+[a-f]?\."", """"))"),"Ko ${hoh_roster_name} ɗan ƙasar Nijar ne?")</f>
        <v>Ko ${hoh_roster_name} ɗan ƙasar Nijar ne?</v>
      </c>
      <c r="J403" s="91" t="str">
        <f t="shared" si="300"/>
        <v>232. Is ${hoh_roster_name} a Nigerien national?</v>
      </c>
      <c r="K403" s="91" t="str">
        <f t="shared" ref="K403:L403" si="301">$F403&amp;". "&amp;H403</f>
        <v>232. ${hoh_roster_name} est-il un citoyen(ne) du Niger ?</v>
      </c>
      <c r="L403" s="91" t="str">
        <f t="shared" si="301"/>
        <v>232. Ko ${hoh_roster_name} ɗan ƙasar Nijar ne?</v>
      </c>
    </row>
    <row r="404">
      <c r="A404" s="149" t="s">
        <v>511</v>
      </c>
      <c r="B404" s="131" t="s">
        <v>2723</v>
      </c>
      <c r="C404" s="31" t="s">
        <v>2724</v>
      </c>
      <c r="D404" s="31" t="s">
        <v>2725</v>
      </c>
      <c r="E404" s="31" t="s">
        <v>2726</v>
      </c>
      <c r="F404" s="89">
        <v>233.0</v>
      </c>
      <c r="G404" s="91" t="str">
        <f>IFERROR(__xludf.DUMMYFUNCTION("TRIM(REGEXREPLACE(C404, ""[0-9]+[a-f]?\."", """"))"),"Where are they a cititzen of?")</f>
        <v>Where are they a cititzen of?</v>
      </c>
      <c r="H404" s="91" t="str">
        <f>IFERROR(__xludf.DUMMYFUNCTION("TRIM(REGEXREPLACE(D404, ""[0-9]+[a-f]?\."", """"))"),"D'où sont-ils citoyens ?")</f>
        <v>D'où sont-ils citoyens ?</v>
      </c>
      <c r="I404" s="91" t="str">
        <f>IFERROR(__xludf.DUMMYFUNCTION("TRIM(REGEXREPLACE(E404, ""[0-9]+[a-f]?\."", """"))"),"Ƴan wace ƙasa ce?")</f>
        <v>Ƴan wace ƙasa ce?</v>
      </c>
      <c r="J404" s="91" t="str">
        <f t="shared" si="300"/>
        <v>233. Where are they a cititzen of?</v>
      </c>
      <c r="K404" s="91" t="str">
        <f t="shared" ref="K404:L404" si="302">$F404&amp;". "&amp;H404</f>
        <v>233. D'où sont-ils citoyens ?</v>
      </c>
      <c r="L404" s="91" t="str">
        <f t="shared" si="302"/>
        <v>233. Ƴan wace ƙasa ce?</v>
      </c>
    </row>
    <row r="405">
      <c r="A405" s="149" t="s">
        <v>214</v>
      </c>
      <c r="B405" s="131" t="s">
        <v>2727</v>
      </c>
      <c r="C405" s="31" t="s">
        <v>2728</v>
      </c>
      <c r="D405" s="31" t="s">
        <v>2729</v>
      </c>
      <c r="E405" s="31" t="s">
        <v>2730</v>
      </c>
      <c r="F405" s="89">
        <v>234.0</v>
      </c>
      <c r="G405" s="91" t="str">
        <f>IFERROR(__xludf.DUMMYFUNCTION("TRIM(REGEXREPLACE(C405, ""[0-9]+[a-f]?\."", """"))"),"Please enter the nationality of ${hoh_roster_name}")</f>
        <v>Please enter the nationality of ${hoh_roster_name}</v>
      </c>
      <c r="H405" s="91" t="str">
        <f>IFERROR(__xludf.DUMMYFUNCTION("TRIM(REGEXREPLACE(D405, ""[0-9]+[a-f]?\."", """"))"),"Veuillez saisir la nationalité de ${hoh_roster_name}")</f>
        <v>Veuillez saisir la nationalité de ${hoh_roster_name}</v>
      </c>
      <c r="I405" s="91" t="str">
        <f>IFERROR(__xludf.DUMMYFUNCTION("TRIM(REGEXREPLACE(E405, ""[0-9]+[a-f]?\."", """"))"),"Da fatan za a shigar da ƙasar ${hoh_roster_name}")</f>
        <v>Da fatan za a shigar da ƙasar ${hoh_roster_name}</v>
      </c>
      <c r="J405" s="91" t="str">
        <f t="shared" si="300"/>
        <v>234. Please enter the nationality of ${hoh_roster_name}</v>
      </c>
      <c r="K405" s="91" t="str">
        <f t="shared" ref="K405:L405" si="303">$F405&amp;". "&amp;H405</f>
        <v>234. Veuillez saisir la nationalité de ${hoh_roster_name}</v>
      </c>
      <c r="L405" s="91" t="str">
        <f t="shared" si="303"/>
        <v>234. Da fatan za a shigar da ƙasar ${hoh_roster_name}</v>
      </c>
    </row>
    <row r="406">
      <c r="A406" s="81" t="s">
        <v>338</v>
      </c>
      <c r="B406" s="142" t="s">
        <v>2731</v>
      </c>
      <c r="C406" s="31" t="s">
        <v>2732</v>
      </c>
      <c r="D406" s="31" t="s">
        <v>2733</v>
      </c>
      <c r="E406" s="31" t="s">
        <v>2734</v>
      </c>
      <c r="F406" s="89">
        <v>235.0</v>
      </c>
      <c r="G406" s="91" t="str">
        <f>IFERROR(__xludf.DUMMYFUNCTION("TRIM(REGEXREPLACE(C406, ""[0-9]+[a-f]?\."", """"))"),"Is ${hoh_roster_name} still a member of this household?")</f>
        <v>Is ${hoh_roster_name} still a member of this household?</v>
      </c>
      <c r="H406" s="91" t="str">
        <f>IFERROR(__xludf.DUMMYFUNCTION("TRIM(REGEXREPLACE(D406, ""[0-9]+[a-f]?\."", """"))"),"${hoh_roster_name} est-il toujours membre de ce ménage ?")</f>
        <v>${hoh_roster_name} est-il toujours membre de ce ménage ?</v>
      </c>
      <c r="I406" s="91" t="str">
        <f>IFERROR(__xludf.DUMMYFUNCTION("TRIM(REGEXREPLACE(E406, ""[0-9]+[a-f]?\."", """"))"),"Ko suna yana cikin ƴan gidan nan?")</f>
        <v>Ko suna yana cikin ƴan gidan nan?</v>
      </c>
      <c r="J406" s="91" t="str">
        <f t="shared" si="300"/>
        <v>235. Is ${hoh_roster_name} still a member of this household?</v>
      </c>
      <c r="K406" s="91" t="str">
        <f t="shared" ref="K406:L406" si="304">$F406&amp;". "&amp;H406</f>
        <v>235. ${hoh_roster_name} est-il toujours membre de ce ménage ?</v>
      </c>
      <c r="L406" s="91" t="str">
        <f t="shared" si="304"/>
        <v>235. Ko suna yana cikin ƴan gidan nan?</v>
      </c>
    </row>
    <row r="407">
      <c r="A407" s="81" t="s">
        <v>2738</v>
      </c>
      <c r="B407" s="142" t="s">
        <v>2739</v>
      </c>
      <c r="C407" s="31" t="s">
        <v>2740</v>
      </c>
      <c r="D407" s="31" t="s">
        <v>2741</v>
      </c>
      <c r="E407" s="31" t="s">
        <v>2742</v>
      </c>
      <c r="F407" s="89">
        <v>236.0</v>
      </c>
      <c r="G407" s="91" t="str">
        <f>IFERROR(__xludf.DUMMYFUNCTION("TRIM(REGEXREPLACE(C407, ""[0-9]+[a-f]?\."", """"))"),"Why are they not a member of this household?")</f>
        <v>Why are they not a member of this household?</v>
      </c>
      <c r="H407" s="91" t="str">
        <f>IFERROR(__xludf.DUMMYFUNCTION("TRIM(REGEXREPLACE(D407, ""[0-9]+[a-f]?\."", """"))"),"Pourquoi ne font-ils pas partie de ce ménage ?")</f>
        <v>Pourquoi ne font-ils pas partie de ce ménage ?</v>
      </c>
      <c r="I407" s="91" t="str">
        <f>IFERROR(__xludf.DUMMYFUNCTION("TRIM(REGEXREPLACE(E407, ""[0-9]+[a-f]?\."", """"))"),"Me ya sa ba su cikin ƴan gidan nan ?")</f>
        <v>Me ya sa ba su cikin ƴan gidan nan ?</v>
      </c>
      <c r="J407" s="91" t="str">
        <f t="shared" si="300"/>
        <v>236. Why are they not a member of this household?</v>
      </c>
      <c r="K407" s="91" t="str">
        <f t="shared" ref="K407:L407" si="305">$F407&amp;". "&amp;H407</f>
        <v>236. Pourquoi ne font-ils pas partie de ce ménage ?</v>
      </c>
      <c r="L407" s="91" t="str">
        <f t="shared" si="305"/>
        <v>236. Me ya sa ba su cikin ƴan gidan nan ?</v>
      </c>
    </row>
    <row r="408">
      <c r="A408" s="133" t="s">
        <v>214</v>
      </c>
      <c r="B408" s="143" t="s">
        <v>2743</v>
      </c>
      <c r="C408" s="31" t="s">
        <v>2744</v>
      </c>
      <c r="D408" s="31" t="s">
        <v>2745</v>
      </c>
      <c r="E408" s="31" t="s">
        <v>2746</v>
      </c>
      <c r="F408" s="89">
        <v>237.0</v>
      </c>
      <c r="G408" s="91" t="str">
        <f>IFERROR(__xludf.DUMMYFUNCTION("TRIM(REGEXREPLACE(C408, ""[0-9]+[a-f]?\."", """"))"),"Other, specify:")</f>
        <v>Other, specify:</v>
      </c>
      <c r="H408" s="91" t="str">
        <f>IFERROR(__xludf.DUMMYFUNCTION("TRIM(REGEXREPLACE(D408, ""[0-9]+[a-f]?\."", """"))"),"Autre précisez:")</f>
        <v>Autre précisez:</v>
      </c>
      <c r="I408" s="91" t="str">
        <f>IFERROR(__xludf.DUMMYFUNCTION("TRIM(REGEXREPLACE(E408, ""[0-9]+[a-f]?\."", """"))"),"Sauran, bayar da cikakkun bayanai:")</f>
        <v>Sauran, bayar da cikakkun bayanai:</v>
      </c>
      <c r="J408" s="91" t="str">
        <f t="shared" si="300"/>
        <v>237. Other, specify:</v>
      </c>
      <c r="K408" s="91" t="str">
        <f t="shared" ref="K408:L408" si="306">$F408&amp;". "&amp;H408</f>
        <v>237. Autre précisez:</v>
      </c>
      <c r="L408" s="91" t="str">
        <f t="shared" si="306"/>
        <v>237. Sauran, bayar da cikakkun bayanai:</v>
      </c>
    </row>
    <row r="409">
      <c r="A409" s="81" t="s">
        <v>2629</v>
      </c>
      <c r="B409" s="142" t="s">
        <v>2747</v>
      </c>
      <c r="C409" s="31" t="s">
        <v>2748</v>
      </c>
      <c r="D409" s="31" t="s">
        <v>2749</v>
      </c>
      <c r="E409" s="31" t="s">
        <v>2750</v>
      </c>
      <c r="F409" s="89">
        <v>238.0</v>
      </c>
      <c r="G409" s="91" t="str">
        <f>IFERROR(__xludf.DUMMYFUNCTION("TRIM(REGEXREPLACE(C409, ""[0-9]+[a-f]?\."", """"))"),"Please indicate the relation of this member to ${pm_name}")</f>
        <v>Please indicate the relation of this member to ${pm_name}</v>
      </c>
      <c r="H409" s="91" t="str">
        <f>IFERROR(__xludf.DUMMYFUNCTION("TRIM(REGEXREPLACE(D409, ""[0-9]+[a-f]?\."", """"))"),"Veuillez indiquer la relation de ce membre avec ${pm_name}")</f>
        <v>Veuillez indiquer la relation de ce membre avec ${pm_name}</v>
      </c>
      <c r="I409" s="91" t="str">
        <f>IFERROR(__xludf.DUMMYFUNCTION("TRIM(REGEXREPLACE(E409, ""[0-9]+[a-f]?\."", """"))"),"Da fatan za a nuna alakar wannan memba zuwa ${pm_name}")</f>
        <v>Da fatan za a nuna alakar wannan memba zuwa ${pm_name}</v>
      </c>
      <c r="J409" s="91" t="str">
        <f t="shared" si="300"/>
        <v>238. Please indicate the relation of this member to ${pm_name}</v>
      </c>
      <c r="K409" s="91" t="str">
        <f t="shared" ref="K409:L409" si="307">$F409&amp;". "&amp;H409</f>
        <v>238. Veuillez indiquer la relation de ce membre avec ${pm_name}</v>
      </c>
      <c r="L409" s="91" t="str">
        <f t="shared" si="307"/>
        <v>238. Da fatan za a nuna alakar wannan memba zuwa ${pm_name}</v>
      </c>
    </row>
    <row r="410">
      <c r="A410" s="133" t="s">
        <v>214</v>
      </c>
      <c r="B410" s="143" t="s">
        <v>2754</v>
      </c>
      <c r="C410" s="31" t="s">
        <v>2755</v>
      </c>
      <c r="D410" s="31" t="s">
        <v>2756</v>
      </c>
      <c r="E410" s="31" t="s">
        <v>2756</v>
      </c>
      <c r="F410" s="89">
        <v>239.0</v>
      </c>
      <c r="G410" s="91" t="str">
        <f>IFERROR(__xludf.DUMMYFUNCTION("TRIM(REGEXREPLACE(C410, ""[0-9]+[a-f]?\."", """"))"),"Enumerator: Record any details about the death of the family member")</f>
        <v>Enumerator: Record any details about the death of the family member</v>
      </c>
      <c r="H410" s="91" t="str">
        <f>IFERROR(__xludf.DUMMYFUNCTION("TRIM(REGEXREPLACE(D410, ""[0-9]+[a-f]?\."", """"))"),"Enqueteur: Veuillez noter toute information pertinente concernant le décès")</f>
        <v>Enqueteur: Veuillez noter toute information pertinente concernant le décès</v>
      </c>
      <c r="I410" s="91" t="str">
        <f>IFERROR(__xludf.DUMMYFUNCTION("TRIM(REGEXREPLACE(E410, ""[0-9]+[a-f]?\."", """"))"),"Enqueteur: Veuillez noter toute information pertinente concernant le décès")</f>
        <v>Enqueteur: Veuillez noter toute information pertinente concernant le décès</v>
      </c>
      <c r="J410" s="91" t="str">
        <f t="shared" si="300"/>
        <v>239. Enumerator: Record any details about the death of the family member</v>
      </c>
      <c r="K410" s="91" t="str">
        <f t="shared" ref="K410:L410" si="308">$F410&amp;". "&amp;H410</f>
        <v>239. Enqueteur: Veuillez noter toute information pertinente concernant le décès</v>
      </c>
      <c r="L410" s="91" t="str">
        <f t="shared" si="308"/>
        <v>239. Enqueteur: Veuillez noter toute information pertinente concernant le décès</v>
      </c>
    </row>
    <row r="411">
      <c r="A411" s="81" t="s">
        <v>338</v>
      </c>
      <c r="B411" s="142" t="s">
        <v>2757</v>
      </c>
      <c r="C411" s="31" t="s">
        <v>2758</v>
      </c>
      <c r="D411" s="31" t="s">
        <v>2759</v>
      </c>
      <c r="E411" s="31" t="s">
        <v>2760</v>
      </c>
      <c r="F411" s="89">
        <v>240.0</v>
      </c>
      <c r="G411" s="91" t="str">
        <f>IFERROR(__xludf.DUMMYFUNCTION("TRIM(REGEXREPLACE(C411, ""[0-9]+[a-f]?\."", """"))"),"Is ${hoh_roster_name} currently living in your household?")</f>
        <v>Is ${hoh_roster_name} currently living in your household?</v>
      </c>
      <c r="H411" s="91" t="str">
        <f>IFERROR(__xludf.DUMMYFUNCTION("TRIM(REGEXREPLACE(D411, ""[0-9]+[a-f]?\."", """"))"),"Est-ce que ${hoh_roster_name} vit actuellement dans votre ménage ?")</f>
        <v>Est-ce que ${hoh_roster_name} vit actuellement dans votre ménage ?</v>
      </c>
      <c r="I411" s="91" t="str">
        <f>IFERROR(__xludf.DUMMYFUNCTION("TRIM(REGEXREPLACE(E411, ""[0-9]+[a-f]?\."", """"))"),"Ko ${hoh_roster_name} yana zaune a gidanku a halin yanzu ?")</f>
        <v>Ko ${hoh_roster_name} yana zaune a gidanku a halin yanzu ?</v>
      </c>
      <c r="J411" s="91" t="str">
        <f t="shared" si="300"/>
        <v>240. Is ${hoh_roster_name} currently living in your household?</v>
      </c>
      <c r="K411" s="91" t="str">
        <f t="shared" ref="K411:L411" si="309">$F411&amp;". "&amp;H411</f>
        <v>240. Est-ce que ${hoh_roster_name} vit actuellement dans votre ménage ?</v>
      </c>
      <c r="L411" s="91" t="str">
        <f t="shared" si="309"/>
        <v>240. Ko ${hoh_roster_name} yana zaune a gidanku a halin yanzu ?</v>
      </c>
    </row>
    <row r="412">
      <c r="A412" s="81" t="s">
        <v>485</v>
      </c>
      <c r="B412" s="142" t="s">
        <v>2761</v>
      </c>
      <c r="C412" s="31" t="s">
        <v>2762</v>
      </c>
      <c r="D412" s="31" t="s">
        <v>2763</v>
      </c>
      <c r="E412" s="31" t="s">
        <v>2764</v>
      </c>
      <c r="F412" s="89">
        <v>241.0</v>
      </c>
      <c r="G412" s="91" t="str">
        <f>IFERROR(__xludf.DUMMYFUNCTION("TRIM(REGEXREPLACE(C412, ""[0-9]+[a-f]?\."", """"))"),"Is ${hoh_roster_name} currently living in Niger?")</f>
        <v>Is ${hoh_roster_name} currently living in Niger?</v>
      </c>
      <c r="H412" s="91" t="str">
        <f>IFERROR(__xludf.DUMMYFUNCTION("TRIM(REGEXREPLACE(D412, ""[0-9]+[a-f]?\."", """"))"),"Est-ce que ${hoh_roster_name} vit actuellement au Niger ?")</f>
        <v>Est-ce que ${hoh_roster_name} vit actuellement au Niger ?</v>
      </c>
      <c r="I412" s="91" t="str">
        <f>IFERROR(__xludf.DUMMYFUNCTION("TRIM(REGEXREPLACE(E412, ""[0-9]+[a-f]?\."", """"))"),"Ko ${hoh_roster_name} yana zaune a Nijar a halin yanzu?")</f>
        <v>Ko ${hoh_roster_name} yana zaune a Nijar a halin yanzu?</v>
      </c>
      <c r="J412" s="91" t="str">
        <f t="shared" si="300"/>
        <v>241. Is ${hoh_roster_name} currently living in Niger?</v>
      </c>
      <c r="K412" s="91" t="str">
        <f t="shared" ref="K412:L412" si="310">$F412&amp;". "&amp;H412</f>
        <v>241. Est-ce que ${hoh_roster_name} vit actuellement au Niger ?</v>
      </c>
      <c r="L412" s="91" t="str">
        <f t="shared" si="310"/>
        <v>241. Ko ${hoh_roster_name} yana zaune a Nijar a halin yanzu?</v>
      </c>
    </row>
    <row r="413">
      <c r="A413" s="81" t="s">
        <v>500</v>
      </c>
      <c r="B413" s="142" t="s">
        <v>2768</v>
      </c>
      <c r="C413" s="31" t="s">
        <v>2769</v>
      </c>
      <c r="D413" s="31" t="s">
        <v>2770</v>
      </c>
      <c r="E413" s="31" t="s">
        <v>2771</v>
      </c>
      <c r="F413" s="89">
        <v>242.0</v>
      </c>
      <c r="G413" s="91" t="str">
        <f>IFERROR(__xludf.DUMMYFUNCTION("TRIM(REGEXREPLACE(C413, ""[0-9]+[a-f]?\."", """"))"),"What region is ${hoh_roster_name} currently living in?")</f>
        <v>What region is ${hoh_roster_name} currently living in?</v>
      </c>
      <c r="H413" s="91" t="str">
        <f>IFERROR(__xludf.DUMMYFUNCTION("TRIM(REGEXREPLACE(D413, ""[0-9]+[a-f]?\."", """"))"),"Dans quelle région vit actuellement ${hoh_roster_name} ?")</f>
        <v>Dans quelle région vit actuellement ${hoh_roster_name} ?</v>
      </c>
      <c r="I413" s="91" t="str">
        <f>IFERROR(__xludf.DUMMYFUNCTION("TRIM(REGEXREPLACE(E413, ""[0-9]+[a-f]?\."", """"))"),"A cikin wace jaha ce ${hoh_roster_name} yake zaune a yanzu?")</f>
        <v>A cikin wace jaha ce ${hoh_roster_name} yake zaune a yanzu?</v>
      </c>
      <c r="J413" s="91" t="str">
        <f t="shared" si="300"/>
        <v>242. What region is ${hoh_roster_name} currently living in?</v>
      </c>
      <c r="K413" s="91" t="str">
        <f t="shared" ref="K413:L413" si="311">$F413&amp;". "&amp;H413</f>
        <v>242. Dans quelle région vit actuellement ${hoh_roster_name} ?</v>
      </c>
      <c r="L413" s="91" t="str">
        <f t="shared" si="311"/>
        <v>242. A cikin wace jaha ce ${hoh_roster_name} yake zaune a yanzu?</v>
      </c>
    </row>
    <row r="414">
      <c r="A414" s="81" t="s">
        <v>2774</v>
      </c>
      <c r="B414" s="142" t="s">
        <v>2775</v>
      </c>
      <c r="C414" s="31" t="s">
        <v>2777</v>
      </c>
      <c r="D414" s="31" t="s">
        <v>2778</v>
      </c>
      <c r="E414" s="31" t="s">
        <v>2779</v>
      </c>
      <c r="F414" s="89">
        <v>243.0</v>
      </c>
      <c r="G414" s="91" t="str">
        <f>IFERROR(__xludf.DUMMYFUNCTION("TRIM(REGEXREPLACE(C414, ""[0-9]+[a-f]?\."", """"))"),"What country is ${hoh_roster_name} currently living in?")</f>
        <v>What country is ${hoh_roster_name} currently living in?</v>
      </c>
      <c r="H414" s="91" t="str">
        <f>IFERROR(__xludf.DUMMYFUNCTION("TRIM(REGEXREPLACE(D414, ""[0-9]+[a-f]?\."", """"))"),"Dans quel pays vit actuellement ${hoh_roster_name} ?")</f>
        <v>Dans quel pays vit actuellement ${hoh_roster_name} ?</v>
      </c>
      <c r="I414" s="91" t="str">
        <f>IFERROR(__xludf.DUMMYFUNCTION("TRIM(REGEXREPLACE(E414, ""[0-9]+[a-f]?\."", """"))"),"A cikin wace kasa ce ${hoh_roster_name} yake zaune a yanzu?")</f>
        <v>A cikin wace kasa ce ${hoh_roster_name} yake zaune a yanzu?</v>
      </c>
      <c r="J414" s="91" t="str">
        <f t="shared" si="300"/>
        <v>243. What country is ${hoh_roster_name} currently living in?</v>
      </c>
      <c r="K414" s="91" t="str">
        <f t="shared" ref="K414:L414" si="312">$F414&amp;". "&amp;H414</f>
        <v>243. Dans quel pays vit actuellement ${hoh_roster_name} ?</v>
      </c>
      <c r="L414" s="91" t="str">
        <f t="shared" si="312"/>
        <v>243. A cikin wace kasa ce ${hoh_roster_name} yake zaune a yanzu?</v>
      </c>
    </row>
    <row r="415">
      <c r="A415" s="133" t="s">
        <v>214</v>
      </c>
      <c r="B415" s="143" t="s">
        <v>2785</v>
      </c>
      <c r="C415" s="31" t="s">
        <v>2786</v>
      </c>
      <c r="D415" s="31" t="s">
        <v>2787</v>
      </c>
      <c r="E415" s="31" t="s">
        <v>2788</v>
      </c>
      <c r="F415" s="89">
        <v>244.0</v>
      </c>
      <c r="G415" s="91" t="str">
        <f>IFERROR(__xludf.DUMMYFUNCTION("TRIM(REGEXREPLACE(C415, ""[0-9]+[a-f]?\."", """"))"),"Specify other")</f>
        <v>Specify other</v>
      </c>
      <c r="H415" s="91" t="str">
        <f>IFERROR(__xludf.DUMMYFUNCTION("TRIM(REGEXREPLACE(D415, ""[0-9]+[a-f]?\."", """"))"),"Autre à préciser")</f>
        <v>Autre à préciser</v>
      </c>
      <c r="I415" s="91" t="str">
        <f>IFERROR(__xludf.DUMMYFUNCTION("TRIM(REGEXREPLACE(E415, ""[0-9]+[a-f]?\."", """"))"),"Wani daban a Bayyana")</f>
        <v>Wani daban a Bayyana</v>
      </c>
      <c r="J415" s="91" t="str">
        <f t="shared" si="300"/>
        <v>244. Specify other</v>
      </c>
      <c r="K415" s="91" t="str">
        <f t="shared" ref="K415:L415" si="313">$F415&amp;". "&amp;H415</f>
        <v>244. Autre à préciser</v>
      </c>
      <c r="L415" s="91" t="str">
        <f t="shared" si="313"/>
        <v>244. Wani daban a Bayyana</v>
      </c>
    </row>
    <row r="416">
      <c r="A416" s="81" t="s">
        <v>529</v>
      </c>
      <c r="B416" s="142" t="s">
        <v>2792</v>
      </c>
      <c r="C416" s="31" t="s">
        <v>2793</v>
      </c>
      <c r="D416" s="31" t="s">
        <v>2794</v>
      </c>
      <c r="E416" s="31" t="s">
        <v>2795</v>
      </c>
      <c r="F416" s="89">
        <v>245.0</v>
      </c>
      <c r="G416" s="91" t="str">
        <f>IFERROR(__xludf.DUMMYFUNCTION("TRIM(REGEXREPLACE(C416, ""[0-9]+[a-f]?\."", """"))"),"Enumerator: Select town")</f>
        <v>Enumerator: Select town</v>
      </c>
      <c r="H416" s="91" t="str">
        <f>IFERROR(__xludf.DUMMYFUNCTION("TRIM(REGEXREPLACE(D416, ""[0-9]+[a-f]?\."", """"))"),"Enquêteur : Sélectionnez la ville")</f>
        <v>Enquêteur : Sélectionnez la ville</v>
      </c>
      <c r="I416" s="91" t="str">
        <f>IFERROR(__xludf.DUMMYFUNCTION("TRIM(REGEXREPLACE(E416, ""[0-9]+[a-f]?\."", """"))"),"Ɗan bincike: Zaɓi gari")</f>
        <v>Ɗan bincike: Zaɓi gari</v>
      </c>
      <c r="J416" s="91" t="str">
        <f t="shared" si="300"/>
        <v>245. Enumerator: Select town</v>
      </c>
      <c r="K416" s="91" t="str">
        <f t="shared" ref="K416:L416" si="314">$F416&amp;". "&amp;H416</f>
        <v>245. Enquêteur : Sélectionnez la ville</v>
      </c>
      <c r="L416" s="91" t="str">
        <f t="shared" si="314"/>
        <v>245. Ɗan bincike: Zaɓi gari</v>
      </c>
    </row>
    <row r="417">
      <c r="A417" s="67" t="s">
        <v>214</v>
      </c>
      <c r="B417" s="131" t="s">
        <v>2799</v>
      </c>
      <c r="C417" s="31" t="s">
        <v>2800</v>
      </c>
      <c r="D417" s="31" t="s">
        <v>2801</v>
      </c>
      <c r="E417" s="31" t="s">
        <v>2802</v>
      </c>
      <c r="F417" s="89">
        <v>246.0</v>
      </c>
      <c r="G417" s="91" t="str">
        <f>IFERROR(__xludf.DUMMYFUNCTION("TRIM(REGEXREPLACE(C417, ""[0-9]+[a-f]?\."", """"))"),"Specify other")</f>
        <v>Specify other</v>
      </c>
      <c r="H417" s="91" t="str">
        <f>IFERROR(__xludf.DUMMYFUNCTION("TRIM(REGEXREPLACE(D417, ""[0-9]+[a-f]?\."", """"))"),"Autre à préciser")</f>
        <v>Autre à préciser</v>
      </c>
      <c r="I417" s="91" t="str">
        <f>IFERROR(__xludf.DUMMYFUNCTION("TRIM(REGEXREPLACE(E417, ""[0-9]+[a-f]?\."", """"))"),"Wani daban a Bayyana")</f>
        <v>Wani daban a Bayyana</v>
      </c>
      <c r="J417" s="91" t="str">
        <f t="shared" si="300"/>
        <v>246. Specify other</v>
      </c>
      <c r="K417" s="91" t="str">
        <f t="shared" ref="K417:L417" si="315">$F417&amp;". "&amp;H417</f>
        <v>246. Autre à préciser</v>
      </c>
      <c r="L417" s="91" t="str">
        <f t="shared" si="315"/>
        <v>246. Wani daban a Bayyana</v>
      </c>
    </row>
    <row r="418" hidden="1">
      <c r="A418" s="122" t="s">
        <v>150</v>
      </c>
      <c r="B418" s="123" t="s">
        <v>2806</v>
      </c>
      <c r="C418" s="31"/>
      <c r="D418" s="31"/>
      <c r="E418" s="31"/>
      <c r="F418" s="89">
        <v>246.0</v>
      </c>
      <c r="G418" s="91" t="str">
        <f>IFERROR(__xludf.DUMMYFUNCTION("TRIM(REGEXREPLACE(C418, ""[0-9]+[a-f]?\."", """"))"),"")</f>
        <v/>
      </c>
      <c r="H418" s="91" t="str">
        <f>IFERROR(__xludf.DUMMYFUNCTION("TRIM(REGEXREPLACE(D418, ""[0-9]+[a-f]?\."", """"))"),"")</f>
        <v/>
      </c>
      <c r="I418" s="91" t="str">
        <f>IFERROR(__xludf.DUMMYFUNCTION("TRIM(REGEXREPLACE(E418, ""[0-9]+[a-f]?\."", """"))"),"")</f>
        <v/>
      </c>
      <c r="J418" s="91" t="s">
        <v>2807</v>
      </c>
      <c r="K418" s="91" t="s">
        <v>2808</v>
      </c>
      <c r="L418" s="91" t="s">
        <v>2808</v>
      </c>
    </row>
    <row r="419">
      <c r="A419" s="81" t="s">
        <v>338</v>
      </c>
      <c r="B419" s="142" t="s">
        <v>2809</v>
      </c>
      <c r="C419" s="31" t="s">
        <v>2810</v>
      </c>
      <c r="D419" s="31" t="s">
        <v>2811</v>
      </c>
      <c r="E419" s="31" t="s">
        <v>2812</v>
      </c>
      <c r="F419" s="89">
        <v>247.0</v>
      </c>
      <c r="G419" s="91" t="str">
        <f>IFERROR(__xludf.DUMMYFUNCTION("TRIM(REGEXREPLACE(C419, ""[0-9]+[a-f]?\."", """"))"),"Does ${hoh_roster_name} currently suffer from any illness or disability that limits their ability to travel or work?")</f>
        <v>Does ${hoh_roster_name} currently suffer from any illness or disability that limits their ability to travel or work?</v>
      </c>
      <c r="H419" s="91" t="str">
        <f>IFERROR(__xludf.DUMMYFUNCTION("TRIM(REGEXREPLACE(D419, ""[0-9]+[a-f]?\."", """"))"),"Est-ce que ${hoh_roster_name} souffre actuellement d'une maladie ou d'un handicap qui limite sa capacité à voyager ou à travailler ?")</f>
        <v>Est-ce que ${hoh_roster_name} souffre actuellement d'une maladie ou d'un handicap qui limite sa capacité à voyager ou à travailler ?</v>
      </c>
      <c r="I419" s="91" t="str">
        <f>IFERROR(__xludf.DUMMYFUNCTION("TRIM(REGEXREPLACE(E419, ""[0-9]+[a-f]?\."", """"))"),"ko a halin yanzu ${hoh_roster_name} yana da rashin lafiya ko naƙasa wanda ke iya hanashi zuwa balaguro ko yin aiki?")</f>
        <v>ko a halin yanzu ${hoh_roster_name} yana da rashin lafiya ko naƙasa wanda ke iya hanashi zuwa balaguro ko yin aiki?</v>
      </c>
      <c r="J419" s="91" t="str">
        <f t="shared" ref="J419:J431" si="317">F419&amp;". "&amp;G419</f>
        <v>247. Does ${hoh_roster_name} currently suffer from any illness or disability that limits their ability to travel or work?</v>
      </c>
      <c r="K419" s="91" t="str">
        <f t="shared" ref="K419:L419" si="316">$F419&amp;". "&amp;H419</f>
        <v>247. Est-ce que ${hoh_roster_name} souffre actuellement d'une maladie ou d'un handicap qui limite sa capacité à voyager ou à travailler ?</v>
      </c>
      <c r="L419" s="91" t="str">
        <f t="shared" si="316"/>
        <v>247. ko a halin yanzu ${hoh_roster_name} yana da rashin lafiya ko naƙasa wanda ke iya hanashi zuwa balaguro ko yin aiki?</v>
      </c>
    </row>
    <row r="420">
      <c r="A420" s="149" t="s">
        <v>781</v>
      </c>
      <c r="B420" s="142" t="s">
        <v>2817</v>
      </c>
      <c r="C420" s="31" t="s">
        <v>2818</v>
      </c>
      <c r="D420" s="31" t="s">
        <v>2820</v>
      </c>
      <c r="E420" s="31" t="s">
        <v>2822</v>
      </c>
      <c r="F420" s="89">
        <v>248.0</v>
      </c>
      <c r="G420" s="91" t="str">
        <f>IFERROR(__xludf.DUMMYFUNCTION("TRIM(REGEXREPLACE(C420, ""[0-9]+[a-f]?\."", """"))"),"What illness limits ${hoh_roster_name} in this way?")</f>
        <v>What illness limits ${hoh_roster_name} in this way?</v>
      </c>
      <c r="H420" s="91" t="str">
        <f>IFERROR(__xludf.DUMMYFUNCTION("TRIM(REGEXREPLACE(D420, ""[0-9]+[a-f]?\."", """"))"),"Quelle maladie limite ${hoh_roster_name} de cette manière ?")</f>
        <v>Quelle maladie limite ${hoh_roster_name} de cette manière ?</v>
      </c>
      <c r="I420" s="91" t="str">
        <f>IFERROR(__xludf.DUMMYFUNCTION("TRIM(REGEXREPLACE(E420, ""[0-9]+[a-f]?\."", """"))"),"Wace rashin lafiya ke tsaida ${hoh_roster_name} ta haka ?")</f>
        <v>Wace rashin lafiya ke tsaida ${hoh_roster_name} ta haka ?</v>
      </c>
      <c r="J420" s="91" t="str">
        <f t="shared" si="317"/>
        <v>248. What illness limits ${hoh_roster_name} in this way?</v>
      </c>
      <c r="K420" s="91" t="str">
        <f t="shared" ref="K420:L420" si="318">$F420&amp;". "&amp;H420</f>
        <v>248. Quelle maladie limite ${hoh_roster_name} de cette manière ?</v>
      </c>
      <c r="L420" s="91" t="str">
        <f t="shared" si="318"/>
        <v>248. Wace rashin lafiya ke tsaida ${hoh_roster_name} ta haka ?</v>
      </c>
    </row>
    <row r="421">
      <c r="A421" s="133" t="s">
        <v>214</v>
      </c>
      <c r="B421" s="143" t="s">
        <v>2824</v>
      </c>
      <c r="C421" s="31" t="s">
        <v>2826</v>
      </c>
      <c r="D421" s="31" t="s">
        <v>2828</v>
      </c>
      <c r="E421" s="31" t="s">
        <v>2830</v>
      </c>
      <c r="F421" s="89">
        <v>249.0</v>
      </c>
      <c r="G421" s="91" t="str">
        <f>IFERROR(__xludf.DUMMYFUNCTION("TRIM(REGEXREPLACE(C421, ""[0-9]+[a-f]?\."", """"))"),"Other, specify:")</f>
        <v>Other, specify:</v>
      </c>
      <c r="H421" s="91" t="str">
        <f>IFERROR(__xludf.DUMMYFUNCTION("TRIM(REGEXREPLACE(D421, ""[0-9]+[a-f]?\."", """"))"),"Autre précisez:")</f>
        <v>Autre précisez:</v>
      </c>
      <c r="I421" s="91" t="str">
        <f>IFERROR(__xludf.DUMMYFUNCTION("TRIM(REGEXREPLACE(E421, ""[0-9]+[a-f]?\."", """"))"),"Sauran, bayar da cikakkun bayanai:")</f>
        <v>Sauran, bayar da cikakkun bayanai:</v>
      </c>
      <c r="J421" s="91" t="str">
        <f t="shared" si="317"/>
        <v>249. Other, specify:</v>
      </c>
      <c r="K421" s="91" t="str">
        <f t="shared" ref="K421:L421" si="319">$F421&amp;". "&amp;H421</f>
        <v>249. Autre précisez:</v>
      </c>
      <c r="L421" s="91" t="str">
        <f t="shared" si="319"/>
        <v>249. Sauran, bayar da cikakkun bayanai:</v>
      </c>
    </row>
    <row r="422">
      <c r="A422" s="81" t="s">
        <v>338</v>
      </c>
      <c r="B422" s="142" t="s">
        <v>2831</v>
      </c>
      <c r="C422" s="31" t="s">
        <v>2832</v>
      </c>
      <c r="D422" s="31" t="s">
        <v>2833</v>
      </c>
      <c r="E422" s="31" t="s">
        <v>2834</v>
      </c>
      <c r="F422" s="89">
        <v>250.0</v>
      </c>
      <c r="G422" s="91" t="str">
        <f>IFERROR(__xludf.DUMMYFUNCTION("TRIM(REGEXREPLACE(C422, ""[0-9]+[a-f]?\."", """"))"),"Does ${hoh_roster_name} have children?")</f>
        <v>Does ${hoh_roster_name} have children?</v>
      </c>
      <c r="H422" s="91" t="str">
        <f>IFERROR(__xludf.DUMMYFUNCTION("TRIM(REGEXREPLACE(D422, ""[0-9]+[a-f]?\."", """"))"),"Est-ce que ${hoh_roster_name} a des enfants ?")</f>
        <v>Est-ce que ${hoh_roster_name} a des enfants ?</v>
      </c>
      <c r="I422" s="91" t="str">
        <f>IFERROR(__xludf.DUMMYFUNCTION("TRIM(REGEXREPLACE(E422, ""[0-9]+[a-f]?\."", """"))"),"ko ${hoh_roster_name} yana da yara?")</f>
        <v>ko ${hoh_roster_name} yana da yara?</v>
      </c>
      <c r="J422" s="91" t="str">
        <f t="shared" si="317"/>
        <v>250. Does ${hoh_roster_name} have children?</v>
      </c>
      <c r="K422" s="91" t="str">
        <f t="shared" ref="K422:L422" si="320">$F422&amp;". "&amp;H422</f>
        <v>250. Est-ce que ${hoh_roster_name} a des enfants ?</v>
      </c>
      <c r="L422" s="91" t="str">
        <f t="shared" si="320"/>
        <v>250. ko ${hoh_roster_name} yana da yara?</v>
      </c>
    </row>
    <row r="423">
      <c r="A423" s="146" t="s">
        <v>237</v>
      </c>
      <c r="B423" s="147" t="s">
        <v>2839</v>
      </c>
      <c r="C423" s="31" t="s">
        <v>2840</v>
      </c>
      <c r="D423" s="31" t="s">
        <v>2841</v>
      </c>
      <c r="E423" s="31" t="s">
        <v>2842</v>
      </c>
      <c r="F423" s="89">
        <v>251.0</v>
      </c>
      <c r="G423" s="91" t="str">
        <f>IFERROR(__xludf.DUMMYFUNCTION("TRIM(REGEXREPLACE(C423, ""[0-9]+[a-f]?\."", """"))"),"How many children is ${hoh_roster_name} responsible for?")</f>
        <v>How many children is ${hoh_roster_name} responsible for?</v>
      </c>
      <c r="H423" s="91" t="str">
        <f>IFERROR(__xludf.DUMMYFUNCTION("TRIM(REGEXREPLACE(D423, ""[0-9]+[a-f]?\."", """"))"),"De combien d'enfants ${hoh_roster_name} est-il responsable ?")</f>
        <v>De combien d'enfants ${hoh_roster_name} est-il responsable ?</v>
      </c>
      <c r="I423" s="91" t="str">
        <f>IFERROR(__xludf.DUMMYFUNCTION("TRIM(REGEXREPLACE(E423, ""[0-9]+[a-f]?\."", """"))"),"Yara nawa ne ${hoh_roster_name} yake ɗauke da Nauyinsu?")</f>
        <v>Yara nawa ne ${hoh_roster_name} yake ɗauke da Nauyinsu?</v>
      </c>
      <c r="J423" s="91" t="str">
        <f t="shared" si="317"/>
        <v>251. How many children is ${hoh_roster_name} responsible for?</v>
      </c>
      <c r="K423" s="91" t="str">
        <f t="shared" ref="K423:L423" si="321">$F423&amp;". "&amp;H423</f>
        <v>251. De combien d'enfants ${hoh_roster_name} est-il responsable ?</v>
      </c>
      <c r="L423" s="91" t="str">
        <f t="shared" si="321"/>
        <v>251. Yara nawa ne ${hoh_roster_name} yake ɗauke da Nauyinsu?</v>
      </c>
    </row>
    <row r="424">
      <c r="A424" s="81" t="s">
        <v>2843</v>
      </c>
      <c r="B424" s="142" t="s">
        <v>2844</v>
      </c>
      <c r="C424" s="31" t="s">
        <v>2846</v>
      </c>
      <c r="D424" s="31" t="s">
        <v>2848</v>
      </c>
      <c r="E424" s="31" t="s">
        <v>2849</v>
      </c>
      <c r="F424" s="89">
        <v>252.0</v>
      </c>
      <c r="G424" s="91" t="str">
        <f>IFERROR(__xludf.DUMMYFUNCTION("TRIM(REGEXREPLACE(C424, ""[0-9]+[a-f]?\."", """"))"),"What is the highest level of education that ${hoh_roster_name} has completed?")</f>
        <v>What is the highest level of education that ${hoh_roster_name} has completed?</v>
      </c>
      <c r="H424" s="91" t="str">
        <f>IFERROR(__xludf.DUMMYFUNCTION("TRIM(REGEXREPLACE(D424, ""[0-9]+[a-f]?\."", """"))"),"Quel est le plus haut niveau d'études atteint par ${hoh_roster_name} ?")</f>
        <v>Quel est le plus haut niveau d'études atteint par ${hoh_roster_name} ?</v>
      </c>
      <c r="I424" s="91" t="str">
        <f>IFERROR(__xludf.DUMMYFUNCTION("TRIM(REGEXREPLACE(E424, ""[0-9]+[a-f]?\."", """"))"),"Menene mafi girman mastayin ilimi da ${hoh_roster_name} ya kai?")</f>
        <v>Menene mafi girman mastayin ilimi da ${hoh_roster_name} ya kai?</v>
      </c>
      <c r="J424" s="91" t="str">
        <f t="shared" si="317"/>
        <v>252. What is the highest level of education that ${hoh_roster_name} has completed?</v>
      </c>
      <c r="K424" s="91" t="str">
        <f t="shared" ref="K424:L424" si="322">$F424&amp;". "&amp;H424</f>
        <v>252. Quel est le plus haut niveau d'études atteint par ${hoh_roster_name} ?</v>
      </c>
      <c r="L424" s="91" t="str">
        <f t="shared" si="322"/>
        <v>252. Menene mafi girman mastayin ilimi da ${hoh_roster_name} ya kai?</v>
      </c>
    </row>
    <row r="425">
      <c r="A425" s="81" t="s">
        <v>338</v>
      </c>
      <c r="B425" s="142" t="s">
        <v>2852</v>
      </c>
      <c r="C425" s="31" t="s">
        <v>2853</v>
      </c>
      <c r="D425" s="31" t="s">
        <v>2854</v>
      </c>
      <c r="E425" s="31" t="s">
        <v>2855</v>
      </c>
      <c r="F425" s="89">
        <v>253.0</v>
      </c>
      <c r="G425" s="91" t="str">
        <f>IFERROR(__xludf.DUMMYFUNCTION("TRIM(REGEXREPLACE(C425, ""[0-9]+[a-f]?\."", """"))"),"Is ${hoh_roster_name} currently enrolled in school?")</f>
        <v>Is ${hoh_roster_name} currently enrolled in school?</v>
      </c>
      <c r="H425" s="91" t="str">
        <f>IFERROR(__xludf.DUMMYFUNCTION("TRIM(REGEXREPLACE(D425, ""[0-9]+[a-f]?\."", """"))"),"Est-ce que ${hoh_roster_name} est actuellement inscrit à l'école ?")</f>
        <v>Est-ce que ${hoh_roster_name} est actuellement inscrit à l'école ?</v>
      </c>
      <c r="I425" s="91" t="str">
        <f>IFERROR(__xludf.DUMMYFUNCTION("TRIM(REGEXREPLACE(E425, ""[0-9]+[a-f]?\."", """"))"),"Ko ${hoh_roster_name} yana yin lakwal a halin yanzu?")</f>
        <v>Ko ${hoh_roster_name} yana yin lakwal a halin yanzu?</v>
      </c>
      <c r="J425" s="91" t="str">
        <f t="shared" si="317"/>
        <v>253. Is ${hoh_roster_name} currently enrolled in school?</v>
      </c>
      <c r="K425" s="91" t="str">
        <f t="shared" ref="K425:L425" si="323">$F425&amp;". "&amp;H425</f>
        <v>253. Est-ce que ${hoh_roster_name} est actuellement inscrit à l'école ?</v>
      </c>
      <c r="L425" s="91" t="str">
        <f t="shared" si="323"/>
        <v>253. Ko ${hoh_roster_name} yana yin lakwal a halin yanzu?</v>
      </c>
    </row>
    <row r="426">
      <c r="A426" s="81" t="s">
        <v>2856</v>
      </c>
      <c r="B426" s="142" t="s">
        <v>2857</v>
      </c>
      <c r="C426" s="31" t="s">
        <v>2858</v>
      </c>
      <c r="D426" s="31" t="s">
        <v>2861</v>
      </c>
      <c r="E426" s="31" t="s">
        <v>2863</v>
      </c>
      <c r="F426" s="89">
        <v>254.0</v>
      </c>
      <c r="G426" s="91" t="str">
        <f>IFERROR(__xludf.DUMMYFUNCTION("TRIM(REGEXREPLACE(C426, ""[0-9]+[a-f]?\."", """"))"),"What kind of school is ${hoh_roster_name} enrolled in?")</f>
        <v>What kind of school is ${hoh_roster_name} enrolled in?</v>
      </c>
      <c r="H426" s="91" t="str">
        <f>IFERROR(__xludf.DUMMYFUNCTION("TRIM(REGEXREPLACE(D426, ""[0-9]+[a-f]?\."", """"))"),"Dans quel type d'école est inscrit ${hoh_roster_name} ?")</f>
        <v>Dans quel type d'école est inscrit ${hoh_roster_name} ?</v>
      </c>
      <c r="I426" s="91" t="str">
        <f>IFERROR(__xludf.DUMMYFUNCTION("TRIM(REGEXREPLACE(E426, ""[0-9]+[a-f]?\."", """"))"),"Wace irin makaranta aka rubuta ${hoh_roster_name}?")</f>
        <v>Wace irin makaranta aka rubuta ${hoh_roster_name}?</v>
      </c>
      <c r="J426" s="91" t="str">
        <f t="shared" si="317"/>
        <v>254. What kind of school is ${hoh_roster_name} enrolled in?</v>
      </c>
      <c r="K426" s="91" t="str">
        <f t="shared" ref="K426:L426" si="324">$F426&amp;". "&amp;H426</f>
        <v>254. Dans quel type d'école est inscrit ${hoh_roster_name} ?</v>
      </c>
      <c r="L426" s="91" t="str">
        <f t="shared" si="324"/>
        <v>254. Wace irin makaranta aka rubuta ${hoh_roster_name}?</v>
      </c>
    </row>
    <row r="427">
      <c r="A427" s="146" t="s">
        <v>237</v>
      </c>
      <c r="B427" s="147" t="s">
        <v>2874</v>
      </c>
      <c r="C427" s="31" t="s">
        <v>2875</v>
      </c>
      <c r="D427" s="31" t="s">
        <v>2876</v>
      </c>
      <c r="E427" s="31" t="s">
        <v>2877</v>
      </c>
      <c r="F427" s="89">
        <v>255.0</v>
      </c>
      <c r="G427" s="91" t="str">
        <f>IFERROR(__xludf.DUMMYFUNCTION("TRIM(REGEXREPLACE(C427, ""[0-9]+[a-f]?\."", """"))"),"What is the cost of school fees for the current academic year in CFA?")</f>
        <v>What is the cost of school fees for the current academic year in CFA?</v>
      </c>
      <c r="H427" s="91" t="str">
        <f>IFERROR(__xludf.DUMMYFUNCTION("TRIM(REGEXREPLACE(D427, ""[0-9]+[a-f]?\."", """"))"),"Quel est le coût des frais de scolarité pour l'année scolaire en cours (en CFA) ?")</f>
        <v>Quel est le coût des frais de scolarité pour l'année scolaire en cours (en CFA) ?</v>
      </c>
      <c r="I427" s="91" t="str">
        <f>IFERROR(__xludf.DUMMYFUNCTION("TRIM(REGEXREPLACE(E427, ""[0-9]+[a-f]?\."", """"))"),"Nawa ne kuɗin makaranta na wannan shekarar (a sefa)?")</f>
        <v>Nawa ne kuɗin makaranta na wannan shekarar (a sefa)?</v>
      </c>
      <c r="J427" s="91" t="str">
        <f t="shared" si="317"/>
        <v>255. What is the cost of school fees for the current academic year in CFA?</v>
      </c>
      <c r="K427" s="91" t="str">
        <f t="shared" ref="K427:L427" si="325">$F427&amp;". "&amp;H427</f>
        <v>255. Quel est le coût des frais de scolarité pour l'année scolaire en cours (en CFA) ?</v>
      </c>
      <c r="L427" s="91" t="str">
        <f t="shared" si="325"/>
        <v>255. Nawa ne kuɗin makaranta na wannan shekarar (a sefa)?</v>
      </c>
    </row>
    <row r="428">
      <c r="A428" s="146" t="s">
        <v>237</v>
      </c>
      <c r="B428" s="147" t="s">
        <v>2881</v>
      </c>
      <c r="C428" s="31" t="s">
        <v>2882</v>
      </c>
      <c r="D428" s="31" t="s">
        <v>2883</v>
      </c>
      <c r="E428" s="31" t="s">
        <v>2886</v>
      </c>
      <c r="F428" s="89">
        <v>256.0</v>
      </c>
      <c r="G428" s="91" t="str">
        <f>IFERROR(__xludf.DUMMYFUNCTION("TRIM(REGEXREPLACE(C428, ""[0-9]+[a-f]?\."", """"))"),"In the past month (four weeks) how many days has ${hoh_roster_name} missed school for health reasons?")</f>
        <v>In the past month (four weeks) how many days has ${hoh_roster_name} missed school for health reasons?</v>
      </c>
      <c r="H428" s="91" t="str">
        <f>IFERROR(__xludf.DUMMYFUNCTION("TRIM(REGEXREPLACE(D428, ""[0-9]+[a-f]?\."", """"))"),"Au cours du dernier mois (quatre semaines), combien de jours ${hoh_roster_name} a-t-il manqué l'école pour des raisons de santé ?")</f>
        <v>Au cours du dernier mois (quatre semaines), combien de jours ${hoh_roster_name} a-t-il manqué l'école pour des raisons de santé ?</v>
      </c>
      <c r="I428" s="91" t="str">
        <f>IFERROR(__xludf.DUMMYFUNCTION("TRIM(REGEXREPLACE(E428, ""[0-9]+[a-f]?\."", """"))"),"A cikin watan da ya gabata (sati hudu), kwanaki nawa ${hoh_roster_name} yayi fashin zuwa makaranta saboda wata rishin lafiya?")</f>
        <v>A cikin watan da ya gabata (sati hudu), kwanaki nawa ${hoh_roster_name} yayi fashin zuwa makaranta saboda wata rishin lafiya?</v>
      </c>
      <c r="J428" s="91" t="str">
        <f t="shared" si="317"/>
        <v>256. In the past month (four weeks) how many days has ${hoh_roster_name} missed school for health reasons?</v>
      </c>
      <c r="K428" s="91" t="str">
        <f t="shared" ref="K428:L428" si="326">$F428&amp;". "&amp;H428</f>
        <v>256. Au cours du dernier mois (quatre semaines), combien de jours ${hoh_roster_name} a-t-il manqué l'école pour des raisons de santé ?</v>
      </c>
      <c r="L428" s="91" t="str">
        <f t="shared" si="326"/>
        <v>256. A cikin watan da ya gabata (sati hudu), kwanaki nawa ${hoh_roster_name} yayi fashin zuwa makaranta saboda wata rishin lafiya?</v>
      </c>
    </row>
    <row r="429">
      <c r="A429" s="146" t="s">
        <v>237</v>
      </c>
      <c r="B429" s="147" t="s">
        <v>2894</v>
      </c>
      <c r="C429" s="31" t="s">
        <v>2895</v>
      </c>
      <c r="D429" s="31" t="s">
        <v>2896</v>
      </c>
      <c r="E429" s="31" t="s">
        <v>2897</v>
      </c>
      <c r="F429" s="89">
        <v>257.0</v>
      </c>
      <c r="G429" s="91" t="str">
        <f>IFERROR(__xludf.DUMMYFUNCTION("TRIM(REGEXREPLACE(C429, ""[0-9]+[a-f]?\."", """"))"),"In the past month (four weeks) how many days has ${hoh_roster_name} missed school for work or other reasons?")</f>
        <v>In the past month (four weeks) how many days has ${hoh_roster_name} missed school for work or other reasons?</v>
      </c>
      <c r="H429" s="91" t="str">
        <f>IFERROR(__xludf.DUMMYFUNCTION("TRIM(REGEXREPLACE(D429,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429" s="91" t="str">
        <f>IFERROR(__xludf.DUMMYFUNCTION("TRIM(REGEXREPLACE(E429, ""[0-9]+[a-f]?\."", """"))"),"A cikin watan da ya gabata (makonni hudu), kwanaki nawa ${hoh_roster_name} yayi fashin makaranta saboda aiki ko wasu dalilai?")</f>
        <v>A cikin watan da ya gabata (makonni hudu), kwanaki nawa ${hoh_roster_name} yayi fashin makaranta saboda aiki ko wasu dalilai?</v>
      </c>
      <c r="J429" s="91" t="str">
        <f t="shared" si="317"/>
        <v>257. In the past month (four weeks) how many days has ${hoh_roster_name} missed school for work or other reasons?</v>
      </c>
      <c r="K429" s="91" t="str">
        <f t="shared" ref="K429:L429" si="327">$F429&amp;". "&amp;H429</f>
        <v>257. Au cours du dernier mois (quatre semaines), combien de jours ${hoh_roster_name} a-t-il manqué l'école pour le travail ou pour d'autres raisons ?</v>
      </c>
      <c r="L429" s="91" t="str">
        <f t="shared" si="327"/>
        <v>257. A cikin watan da ya gabata (makonni hudu), kwanaki nawa ${hoh_roster_name} yayi fashin makaranta saboda aiki ko wasu dalilai?</v>
      </c>
    </row>
    <row r="430">
      <c r="A430" s="81" t="s">
        <v>485</v>
      </c>
      <c r="B430" s="142" t="s">
        <v>2902</v>
      </c>
      <c r="C430" s="31" t="s">
        <v>2903</v>
      </c>
      <c r="D430" s="31" t="s">
        <v>2904</v>
      </c>
      <c r="E430" s="31" t="s">
        <v>2905</v>
      </c>
      <c r="F430" s="89">
        <v>258.0</v>
      </c>
      <c r="G430" s="91" t="str">
        <f>IFERROR(__xludf.DUMMYFUNCTION("TRIM(REGEXREPLACE(C430, ""[0-9]+[a-f]?\."", """"))"),"Is ${hoh_roster_name} married?")</f>
        <v>Is ${hoh_roster_name} married?</v>
      </c>
      <c r="H430" s="91" t="str">
        <f>IFERROR(__xludf.DUMMYFUNCTION("TRIM(REGEXREPLACE(D430, ""[0-9]+[a-f]?\."", """"))"),"Est-ce que ${hoh_roster_name} est marié ?")</f>
        <v>Est-ce que ${hoh_roster_name} est marié ?</v>
      </c>
      <c r="I430" s="91" t="str">
        <f>IFERROR(__xludf.DUMMYFUNCTION("TRIM(REGEXREPLACE(E430, ""[0-9]+[a-f]?\."", """"))"),"Ko ${hoh_roster_name} yanada aure?")</f>
        <v>Ko ${hoh_roster_name} yanada aure?</v>
      </c>
      <c r="J430" s="91" t="str">
        <f t="shared" si="317"/>
        <v>258. Is ${hoh_roster_name} married?</v>
      </c>
      <c r="K430" s="91" t="str">
        <f t="shared" ref="K430:L430" si="328">$F430&amp;". "&amp;H430</f>
        <v>258. Est-ce que ${hoh_roster_name} est marié ?</v>
      </c>
      <c r="L430" s="91" t="str">
        <f t="shared" si="328"/>
        <v>258. Ko ${hoh_roster_name} yanada aure?</v>
      </c>
    </row>
    <row r="431">
      <c r="A431" s="146" t="s">
        <v>237</v>
      </c>
      <c r="B431" s="147" t="s">
        <v>2910</v>
      </c>
      <c r="C431" s="31" t="s">
        <v>2911</v>
      </c>
      <c r="D431" s="31" t="s">
        <v>2912</v>
      </c>
      <c r="E431" s="31" t="s">
        <v>2913</v>
      </c>
      <c r="F431" s="89">
        <v>259.0</v>
      </c>
      <c r="G431" s="91" t="str">
        <f>IFERROR(__xludf.DUMMYFUNCTION("TRIM(REGEXREPLACE(C431, ""[0-9]+[a-f]?\."", """"))"),"How many wives does ${hoh_new_mem_name} have?")</f>
        <v>How many wives does ${hoh_new_mem_name} have?</v>
      </c>
      <c r="H431" s="91" t="str">
        <f>IFERROR(__xludf.DUMMYFUNCTION("TRIM(REGEXREPLACE(D431, ""[0-9]+[a-f]?\."", """"))"),"Combien de femmes a ${hoh_roster_name} ?")</f>
        <v>Combien de femmes a ${hoh_roster_name} ?</v>
      </c>
      <c r="I431" s="91" t="str">
        <f>IFERROR(__xludf.DUMMYFUNCTION("TRIM(REGEXREPLACE(E431, ""[0-9]+[a-f]?\."", """"))"),"Mata nawa ${hoh_roster_name} yake da su?")</f>
        <v>Mata nawa ${hoh_roster_name} yake da su?</v>
      </c>
      <c r="J431" s="91" t="str">
        <f t="shared" si="317"/>
        <v>259. How many wives does ${hoh_new_mem_name} have?</v>
      </c>
      <c r="K431" s="91" t="str">
        <f t="shared" ref="K431:L431" si="329">$F431&amp;". "&amp;H431</f>
        <v>259. Combien de femmes a ${hoh_roster_name} ?</v>
      </c>
      <c r="L431" s="91" t="str">
        <f t="shared" si="329"/>
        <v>259. Mata nawa ${hoh_roster_name} yake da su?</v>
      </c>
    </row>
    <row r="432" hidden="1">
      <c r="A432" s="122" t="s">
        <v>236</v>
      </c>
      <c r="B432" s="123" t="s">
        <v>2806</v>
      </c>
      <c r="C432" s="31"/>
      <c r="D432" s="31"/>
      <c r="E432" s="31"/>
      <c r="F432" s="89">
        <v>153.0</v>
      </c>
      <c r="G432" s="91" t="str">
        <f>IFERROR(__xludf.DUMMYFUNCTION("TRIM(REGEXREPLACE(C432, ""[0-9]+[a-f]?\."", """"))"),"")</f>
        <v/>
      </c>
      <c r="H432" s="91" t="str">
        <f>IFERROR(__xludf.DUMMYFUNCTION("TRIM(REGEXREPLACE(D432, ""[0-9]+[a-f]?\."", """"))"),"")</f>
        <v/>
      </c>
      <c r="I432" s="91" t="str">
        <f>IFERROR(__xludf.DUMMYFUNCTION("TRIM(REGEXREPLACE(E432, ""[0-9]+[a-f]?\."", """"))"),"")</f>
        <v/>
      </c>
      <c r="J432" s="91" t="str">
        <f>F432 &amp; ". " &amp;G432</f>
        <v>153. </v>
      </c>
      <c r="K432" s="91" t="str">
        <f>F432 &amp; ". " &amp;H432</f>
        <v>153. </v>
      </c>
      <c r="L432" s="91" t="str">
        <f>F432 &amp; ". " &amp;I432</f>
        <v>153. </v>
      </c>
    </row>
    <row r="433" hidden="1">
      <c r="A433" s="248"/>
      <c r="B433" s="169"/>
      <c r="C433" s="31"/>
      <c r="D433" s="31"/>
      <c r="E433" s="31"/>
      <c r="F433" s="89">
        <v>245.0</v>
      </c>
      <c r="G433" s="91" t="str">
        <f>IFERROR(__xludf.DUMMYFUNCTION("TRIM(REGEXREPLACE(C433, ""[0-9]+[a-f]?\."", """"))"),"")</f>
        <v/>
      </c>
      <c r="H433" s="91" t="str">
        <f>IFERROR(__xludf.DUMMYFUNCTION("TRIM(REGEXREPLACE(D433, ""[0-9]+[a-f]?\."", """"))"),"")</f>
        <v/>
      </c>
      <c r="I433" s="91" t="str">
        <f>IFERROR(__xludf.DUMMYFUNCTION("TRIM(REGEXREPLACE(E433, ""[0-9]+[a-f]?\."", """"))"),"")</f>
        <v/>
      </c>
      <c r="J433" s="91" t="s">
        <v>2914</v>
      </c>
      <c r="K433" s="91" t="s">
        <v>2915</v>
      </c>
      <c r="L433" s="91" t="s">
        <v>2916</v>
      </c>
    </row>
    <row r="434" hidden="1">
      <c r="A434" s="249" t="s">
        <v>150</v>
      </c>
      <c r="B434" s="187" t="s">
        <v>2917</v>
      </c>
      <c r="C434" s="31" t="s">
        <v>2918</v>
      </c>
      <c r="D434" s="31"/>
      <c r="E434" s="31"/>
      <c r="F434" s="89">
        <v>246.0</v>
      </c>
      <c r="G434" s="91" t="str">
        <f>IFERROR(__xludf.DUMMYFUNCTION("TRIM(REGEXREPLACE(C434, ""[0-9]+[a-f]?\."", """"))"),"Past Migration")</f>
        <v>Past Migration</v>
      </c>
      <c r="H434" s="91" t="str">
        <f>IFERROR(__xludf.DUMMYFUNCTION("TRIM(REGEXREPLACE(D434, ""[0-9]+[a-f]?\."", """"))"),"")</f>
        <v/>
      </c>
      <c r="I434" s="91" t="str">
        <f>IFERROR(__xludf.DUMMYFUNCTION("TRIM(REGEXREPLACE(E434, ""[0-9]+[a-f]?\."", """"))"),"")</f>
        <v/>
      </c>
      <c r="J434" s="91" t="s">
        <v>2919</v>
      </c>
      <c r="K434" s="91" t="s">
        <v>2920</v>
      </c>
      <c r="L434" s="91" t="s">
        <v>2921</v>
      </c>
    </row>
    <row r="435">
      <c r="A435" s="230" t="s">
        <v>42</v>
      </c>
      <c r="B435" s="205" t="s">
        <v>2923</v>
      </c>
      <c r="C435" s="31" t="s">
        <v>2924</v>
      </c>
      <c r="D435" s="31" t="s">
        <v>2925</v>
      </c>
      <c r="E435" s="31" t="s">
        <v>2926</v>
      </c>
      <c r="F435" s="89">
        <v>260.0</v>
      </c>
      <c r="G435" s="91" t="str">
        <f>IFERROR(__xludf.DUMMYFUNCTION("TRIM(REGEXREPLACE(C435, ""[0-9]+[a-f]?\."", """"))"),"We would now like to ask you about the migration history of ${hoh_roster_name}.")</f>
        <v>We would now like to ask you about the migration history of ${hoh_roster_name}.</v>
      </c>
      <c r="H435" s="91" t="str">
        <f>IFERROR(__xludf.DUMMYFUNCTION("TRIM(REGEXREPLACE(D435, ""[0-9]+[a-f]?\."", """"))"),"Nous aimerions maintenant vous poser des questions sur l'historique de migration de ${hoh_roster_name}.")</f>
        <v>Nous aimerions maintenant vous poser des questions sur l'historique de migration de ${hoh_roster_name}.</v>
      </c>
      <c r="I435" s="91" t="str">
        <f>IFERROR(__xludf.DUMMYFUNCTION("TRIM(REGEXREPLACE(E435, ""[0-9]+[a-f]?\."", """"))"),"Yanzu muna so mu tambaye ka tarihin zuwa biɗa na ${hoh_roster_name}.")</f>
        <v>Yanzu muna so mu tambaye ka tarihin zuwa biɗa na ${hoh_roster_name}.</v>
      </c>
      <c r="J435" s="91" t="str">
        <f t="shared" ref="J435:J438" si="331">F435&amp;". "&amp;G435</f>
        <v>260. We would now like to ask you about the migration history of ${hoh_roster_name}.</v>
      </c>
      <c r="K435" s="91" t="str">
        <f t="shared" ref="K435:L435" si="330">$F435&amp;". "&amp;H435</f>
        <v>260. Nous aimerions maintenant vous poser des questions sur l'historique de migration de ${hoh_roster_name}.</v>
      </c>
      <c r="L435" s="91" t="str">
        <f t="shared" si="330"/>
        <v>260. Yanzu muna so mu tambaye ka tarihin zuwa biɗa na ${hoh_roster_name}.</v>
      </c>
    </row>
    <row r="436">
      <c r="A436" s="230" t="s">
        <v>485</v>
      </c>
      <c r="B436" s="205" t="s">
        <v>2927</v>
      </c>
      <c r="C436" s="31" t="s">
        <v>2928</v>
      </c>
      <c r="D436" s="31" t="s">
        <v>2929</v>
      </c>
      <c r="E436" s="31" t="s">
        <v>2930</v>
      </c>
      <c r="F436" s="89">
        <v>261.0</v>
      </c>
      <c r="G436" s="91" t="str">
        <f>IFERROR(__xludf.DUMMYFUNCTION("TRIM(REGEXREPLACE(C436, ""[0-9]+[a-f]?\."", """"))"),"Since ${period}, has ${hoh_roster_name} spent more than a week (7 days) away from home?")</f>
        <v>Since ${period}, has ${hoh_roster_name} spent more than a week (7 days) away from home?</v>
      </c>
      <c r="H436" s="91" t="str">
        <f>IFERROR(__xludf.DUMMYFUNCTION("TRIM(REGEXREPLACE(D436, ""[0-9]+[a-f]?\."", """"))"),"Depuis cette ${period_french}, ${hoh_roster_name} a-t-il passé plus d'une semaine (7 jours) loin de chez lui ?")</f>
        <v>Depuis cette ${period_french}, ${hoh_roster_name} a-t-il passé plus d'une semaine (7 jours) loin de chez lui ?</v>
      </c>
      <c r="I436" s="91" t="str">
        <f>IFERROR(__xludf.DUMMYFUNCTION("TRIM(REGEXREPLACE(E436, ""[0-9]+[a-f]?\."", """"))"),"Tun wancan ${period_hausa}, ${hoh_roster_name} ya shafe fiye da mako guda (kwana 7) baya gida?")</f>
        <v>Tun wancan ${period_hausa}, ${hoh_roster_name} ya shafe fiye da mako guda (kwana 7) baya gida?</v>
      </c>
      <c r="J436" s="91" t="str">
        <f t="shared" si="331"/>
        <v>261. Since ${period}, has ${hoh_roster_name} spent more than a week (7 days) away from home?</v>
      </c>
      <c r="K436" s="91" t="str">
        <f t="shared" ref="K436:L436" si="332">$F436&amp;". "&amp;H436</f>
        <v>261. Depuis cette ${period_french}, ${hoh_roster_name} a-t-il passé plus d'une semaine (7 jours) loin de chez lui ?</v>
      </c>
      <c r="L436" s="91" t="str">
        <f t="shared" si="332"/>
        <v>261. Tun wancan ${period_hausa}, ${hoh_roster_name} ya shafe fiye da mako guda (kwana 7) baya gida?</v>
      </c>
    </row>
    <row r="437">
      <c r="A437" s="81" t="s">
        <v>2932</v>
      </c>
      <c r="B437" s="86" t="s">
        <v>2934</v>
      </c>
      <c r="C437" s="31" t="s">
        <v>2936</v>
      </c>
      <c r="D437" s="31" t="s">
        <v>2937</v>
      </c>
      <c r="E437" s="31" t="s">
        <v>2938</v>
      </c>
      <c r="F437" s="89">
        <v>262.0</v>
      </c>
      <c r="G437" s="91" t="str">
        <f>IFERROR(__xludf.DUMMYFUNCTION("TRIM(REGEXREPLACE(C437, ""[0-9]+[a-f]?\."", """"))"),"Since ${period}, in which of the following countries has ${hoh_roster_name} spent more than one week? Select all that apply")</f>
        <v>Since ${period}, in which of the following countries has ${hoh_roster_name} spent more than one week? Select all that apply</v>
      </c>
      <c r="H437" s="91" t="str">
        <f>IFERROR(__xludf.DUMMYFUNCTION("TRIM(REGEXREPLACE(D437, ""[0-9]+[a-f]?\."", """"))"),"Depuis cette ${period_french}, dans lequel des pays suivants hoh_roster_name a-t-il passé plus d'une semaine ? Sélectionnez tout ce qui s'y rapporte")</f>
        <v>Depuis cette ${period_french}, dans lequel des pays suivants hoh_roster_name a-t-il passé plus d'une semaine ? Sélectionnez tout ce qui s'y rapporte</v>
      </c>
      <c r="I437" s="91" t="str">
        <f>IFERROR(__xludf.DUMMYFUNCTION("TRIM(REGEXREPLACE(E437, ""[0-9]+[a-f]?\."", """"))"),"Tun daga wancan ${period_hausa}, a cikin waɗanne ƙasashe ne ${hoh_roster_name} ya shafe fiye da mako ɗaya? Zaɓi duk abin da ya dace")</f>
        <v>Tun daga wancan ${period_hausa}, a cikin waɗanne ƙasashe ne ${hoh_roster_name} ya shafe fiye da mako ɗaya? Zaɓi duk abin da ya dace</v>
      </c>
      <c r="J437" s="91" t="str">
        <f t="shared" si="331"/>
        <v>262. Since ${period}, in which of the following countries has ${hoh_roster_name} spent more than one week? Select all that apply</v>
      </c>
      <c r="K437" s="91" t="str">
        <f t="shared" ref="K437:L437" si="333">$F437&amp;". "&amp;H437</f>
        <v>262. Depuis cette ${period_french}, dans lequel des pays suivants hoh_roster_name a-t-il passé plus d'une semaine ? Sélectionnez tout ce qui s'y rapporte</v>
      </c>
      <c r="L437" s="91" t="str">
        <f t="shared" si="333"/>
        <v>262. Tun daga wancan ${period_hausa}, a cikin waɗanne ƙasashe ne ${hoh_roster_name} ya shafe fiye da mako ɗaya? Zaɓi duk abin da ya dace</v>
      </c>
    </row>
    <row r="438">
      <c r="A438" s="133" t="s">
        <v>214</v>
      </c>
      <c r="B438" s="250" t="s">
        <v>2939</v>
      </c>
      <c r="C438" s="31" t="s">
        <v>2940</v>
      </c>
      <c r="D438" s="31" t="s">
        <v>2941</v>
      </c>
      <c r="E438" s="31" t="s">
        <v>2942</v>
      </c>
      <c r="F438" s="89">
        <v>263.0</v>
      </c>
      <c r="G438" s="91" t="str">
        <f>IFERROR(__xludf.DUMMYFUNCTION("TRIM(REGEXREPLACE(C438, ""[0-9]+[a-f]?\."", """"))"),"Specify other")</f>
        <v>Specify other</v>
      </c>
      <c r="H438" s="91" t="str">
        <f>IFERROR(__xludf.DUMMYFUNCTION("TRIM(REGEXREPLACE(D438, ""[0-9]+[a-f]?\."", """"))"),"Autre à préciser")</f>
        <v>Autre à préciser</v>
      </c>
      <c r="I438" s="91" t="str">
        <f>IFERROR(__xludf.DUMMYFUNCTION("TRIM(REGEXREPLACE(E438, ""[0-9]+[a-f]?\."", """"))"),"Wani daban a Bayyana")</f>
        <v>Wani daban a Bayyana</v>
      </c>
      <c r="J438" s="91" t="str">
        <f t="shared" si="331"/>
        <v>263. Specify other</v>
      </c>
      <c r="K438" s="91" t="str">
        <f t="shared" ref="K438:L438" si="334">$F438&amp;". "&amp;H438</f>
        <v>263. Autre à préciser</v>
      </c>
      <c r="L438" s="91" t="str">
        <f t="shared" si="334"/>
        <v>263. Wani daban a Bayyana</v>
      </c>
    </row>
    <row r="439" hidden="1">
      <c r="A439" s="249" t="s">
        <v>108</v>
      </c>
      <c r="B439" s="187" t="s">
        <v>2943</v>
      </c>
      <c r="C439" s="31"/>
      <c r="D439" s="31"/>
      <c r="E439" s="31"/>
      <c r="F439" s="89">
        <v>254.0</v>
      </c>
      <c r="G439" s="91" t="str">
        <f>IFERROR(__xludf.DUMMYFUNCTION("TRIM(REGEXREPLACE(C439, ""[0-9]+[a-f]?\."", """"))"),"")</f>
        <v/>
      </c>
      <c r="H439" s="91" t="str">
        <f>IFERROR(__xludf.DUMMYFUNCTION("TRIM(REGEXREPLACE(D439, ""[0-9]+[a-f]?\."", """"))"),"")</f>
        <v/>
      </c>
      <c r="I439" s="91" t="str">
        <f>IFERROR(__xludf.DUMMYFUNCTION("TRIM(REGEXREPLACE(E439, ""[0-9]+[a-f]?\."", """"))"),"")</f>
        <v/>
      </c>
    </row>
    <row r="440" hidden="1">
      <c r="A440" s="249" t="s">
        <v>108</v>
      </c>
      <c r="B440" s="187" t="s">
        <v>2944</v>
      </c>
      <c r="C440" s="31"/>
      <c r="D440" s="31"/>
      <c r="E440" s="31"/>
      <c r="F440" s="89">
        <v>253.0</v>
      </c>
      <c r="G440" s="91" t="str">
        <f>IFERROR(__xludf.DUMMYFUNCTION("TRIM(REGEXREPLACE(C440, ""[0-9]+[a-f]?\."", """"))"),"")</f>
        <v/>
      </c>
      <c r="H440" s="91" t="str">
        <f>IFERROR(__xludf.DUMMYFUNCTION("TRIM(REGEXREPLACE(D440, ""[0-9]+[a-f]?\."", """"))"),"")</f>
        <v/>
      </c>
      <c r="I440" s="91" t="str">
        <f>IFERROR(__xludf.DUMMYFUNCTION("TRIM(REGEXREPLACE(E440, ""[0-9]+[a-f]?\."", """"))"),"")</f>
        <v/>
      </c>
      <c r="J440" s="91" t="s">
        <v>2949</v>
      </c>
      <c r="K440" s="91" t="s">
        <v>2950</v>
      </c>
      <c r="L440" s="91" t="s">
        <v>2951</v>
      </c>
    </row>
    <row r="441" hidden="1">
      <c r="A441" s="249" t="s">
        <v>108</v>
      </c>
      <c r="B441" s="187" t="s">
        <v>2952</v>
      </c>
      <c r="C441" s="31" t="s">
        <v>2953</v>
      </c>
      <c r="D441" s="31"/>
      <c r="E441" s="31"/>
      <c r="F441" s="89">
        <v>254.0</v>
      </c>
      <c r="G441" s="91" t="str">
        <f>IFERROR(__xludf.DUMMYFUNCTION("TRIM(REGEXREPLACE(C441, ""[0-9]+[a-f]?\."", """"))"),"Excludes Burkina Faso and Mali")</f>
        <v>Excludes Burkina Faso and Mali</v>
      </c>
      <c r="H441" s="91" t="str">
        <f>IFERROR(__xludf.DUMMYFUNCTION("TRIM(REGEXREPLACE(D441, ""[0-9]+[a-f]?\."", """"))"),"")</f>
        <v/>
      </c>
      <c r="I441" s="91" t="str">
        <f>IFERROR(__xludf.DUMMYFUNCTION("TRIM(REGEXREPLACE(E441, ""[0-9]+[a-f]?\."", """"))"),"")</f>
        <v/>
      </c>
      <c r="J441" s="91" t="s">
        <v>2957</v>
      </c>
      <c r="K441" s="91" t="s">
        <v>2958</v>
      </c>
      <c r="L441" s="91" t="s">
        <v>2960</v>
      </c>
    </row>
    <row r="442" hidden="1">
      <c r="A442" s="249" t="s">
        <v>108</v>
      </c>
      <c r="B442" s="187" t="s">
        <v>2963</v>
      </c>
      <c r="C442" s="31"/>
      <c r="D442" s="31"/>
      <c r="E442" s="31"/>
      <c r="F442" s="89">
        <v>255.0</v>
      </c>
      <c r="G442" s="91" t="str">
        <f>IFERROR(__xludf.DUMMYFUNCTION("TRIM(REGEXREPLACE(C442, ""[0-9]+[a-f]?\."", """"))"),"")</f>
        <v/>
      </c>
      <c r="H442" s="91" t="str">
        <f>IFERROR(__xludf.DUMMYFUNCTION("TRIM(REGEXREPLACE(D442, ""[0-9]+[a-f]?\."", """"))"),"")</f>
        <v/>
      </c>
      <c r="I442" s="91" t="str">
        <f>IFERROR(__xludf.DUMMYFUNCTION("TRIM(REGEXREPLACE(E442, ""[0-9]+[a-f]?\."", """"))"),"")</f>
        <v/>
      </c>
      <c r="J442" s="91" t="s">
        <v>2967</v>
      </c>
      <c r="K442" s="91" t="s">
        <v>2968</v>
      </c>
      <c r="L442" s="91" t="s">
        <v>2969</v>
      </c>
    </row>
    <row r="443" hidden="1">
      <c r="A443" s="104" t="s">
        <v>139</v>
      </c>
      <c r="B443" s="141" t="s">
        <v>2970</v>
      </c>
      <c r="C443" s="31"/>
      <c r="D443" s="31"/>
      <c r="E443" s="31"/>
      <c r="F443" s="89">
        <v>256.0</v>
      </c>
      <c r="G443" s="91" t="str">
        <f>IFERROR(__xludf.DUMMYFUNCTION("TRIM(REGEXREPLACE(C443, ""[0-9]+[a-f]?\."", """"))"),"")</f>
        <v/>
      </c>
      <c r="H443" s="91" t="str">
        <f>IFERROR(__xludf.DUMMYFUNCTION("TRIM(REGEXREPLACE(D443, ""[0-9]+[a-f]?\."", """"))"),"")</f>
        <v/>
      </c>
      <c r="I443" s="91" t="str">
        <f>IFERROR(__xludf.DUMMYFUNCTION("TRIM(REGEXREPLACE(E443, ""[0-9]+[a-f]?\."", """"))"),"")</f>
        <v/>
      </c>
      <c r="J443" s="91" t="s">
        <v>2974</v>
      </c>
      <c r="K443" s="91" t="s">
        <v>2975</v>
      </c>
      <c r="L443" s="91" t="s">
        <v>2976</v>
      </c>
    </row>
    <row r="444" hidden="1">
      <c r="A444" s="144" t="s">
        <v>648</v>
      </c>
      <c r="B444" s="187" t="s">
        <v>2977</v>
      </c>
      <c r="C444" s="31" t="s">
        <v>2978</v>
      </c>
      <c r="D444" s="31"/>
      <c r="E444" s="31"/>
      <c r="F444" s="89">
        <v>257.0</v>
      </c>
      <c r="G444" s="91" t="str">
        <f>IFERROR(__xludf.DUMMYFUNCTION("TRIM(REGEXREPLACE(C444, ""[0-9]+[a-f]?\."", """"))"),"Countries")</f>
        <v>Countries</v>
      </c>
      <c r="H444" s="91" t="str">
        <f>IFERROR(__xludf.DUMMYFUNCTION("TRIM(REGEXREPLACE(D444, ""[0-9]+[a-f]?\."", """"))"),"")</f>
        <v/>
      </c>
      <c r="I444" s="91" t="str">
        <f>IFERROR(__xludf.DUMMYFUNCTION("TRIM(REGEXREPLACE(E444, ""[0-9]+[a-f]?\."", """"))"),"")</f>
        <v/>
      </c>
      <c r="J444" s="91" t="s">
        <v>2982</v>
      </c>
      <c r="K444" s="91" t="s">
        <v>2983</v>
      </c>
      <c r="L444" s="91" t="s">
        <v>2984</v>
      </c>
    </row>
    <row r="445" hidden="1">
      <c r="A445" s="104" t="s">
        <v>108</v>
      </c>
      <c r="B445" s="132" t="s">
        <v>2986</v>
      </c>
      <c r="C445" s="31" t="s">
        <v>2987</v>
      </c>
      <c r="D445" s="31"/>
      <c r="E445" s="31"/>
      <c r="F445" s="89">
        <v>254.0</v>
      </c>
      <c r="G445" s="91" t="str">
        <f>IFERROR(__xludf.DUMMYFUNCTION("TRIM(REGEXREPLACE(C445, ""[0-9]+[a-f]?\."", """"))"),"Repeat Group Index")</f>
        <v>Repeat Group Index</v>
      </c>
      <c r="H445" s="91" t="str">
        <f>IFERROR(__xludf.DUMMYFUNCTION("TRIM(REGEXREPLACE(D445, ""[0-9]+[a-f]?\."", """"))"),"")</f>
        <v/>
      </c>
      <c r="I445" s="91" t="str">
        <f>IFERROR(__xludf.DUMMYFUNCTION("TRIM(REGEXREPLACE(E445, ""[0-9]+[a-f]?\."", """"))"),"")</f>
        <v/>
      </c>
      <c r="J445" s="91" t="s">
        <v>2990</v>
      </c>
      <c r="K445" s="91" t="s">
        <v>2991</v>
      </c>
      <c r="L445" s="91" t="s">
        <v>2992</v>
      </c>
    </row>
    <row r="446" hidden="1">
      <c r="A446" s="104" t="s">
        <v>108</v>
      </c>
      <c r="B446" s="132" t="s">
        <v>2993</v>
      </c>
      <c r="C446" s="31" t="s">
        <v>2994</v>
      </c>
      <c r="D446" s="31"/>
      <c r="E446" s="31"/>
      <c r="F446" s="89">
        <v>258.0</v>
      </c>
      <c r="G446" s="91" t="str">
        <f>IFERROR(__xludf.DUMMYFUNCTION("TRIM(REGEXREPLACE(C446, ""[0-9]+[a-f]?\."", """"))"),"Country Index")</f>
        <v>Country Index</v>
      </c>
      <c r="H446" s="91" t="str">
        <f>IFERROR(__xludf.DUMMYFUNCTION("TRIM(REGEXREPLACE(D446, ""[0-9]+[a-f]?\."", """"))"),"")</f>
        <v/>
      </c>
      <c r="I446" s="91" t="str">
        <f>IFERROR(__xludf.DUMMYFUNCTION("TRIM(REGEXREPLACE(E446, ""[0-9]+[a-f]?\."", """"))"),"")</f>
        <v/>
      </c>
    </row>
    <row r="447" hidden="1">
      <c r="A447" s="104" t="s">
        <v>108</v>
      </c>
      <c r="B447" s="132" t="s">
        <v>2995</v>
      </c>
      <c r="C447" s="31" t="s">
        <v>2996</v>
      </c>
      <c r="D447" s="31"/>
      <c r="E447" s="31"/>
      <c r="F447" s="89">
        <v>259.0</v>
      </c>
      <c r="G447" s="91" t="str">
        <f>IFERROR(__xludf.DUMMYFUNCTION("TRIM(REGEXREPLACE(C447, ""[0-9]+[a-f]?\."", """"))"),"Country Name")</f>
        <v>Country Name</v>
      </c>
      <c r="H447" s="91" t="str">
        <f>IFERROR(__xludf.DUMMYFUNCTION("TRIM(REGEXREPLACE(D447, ""[0-9]+[a-f]?\."", """"))"),"")</f>
        <v/>
      </c>
      <c r="I447" s="91" t="str">
        <f>IFERROR(__xludf.DUMMYFUNCTION("TRIM(REGEXREPLACE(E447, ""[0-9]+[a-f]?\."", """"))"),"")</f>
        <v/>
      </c>
    </row>
    <row r="448">
      <c r="A448" s="149" t="s">
        <v>2997</v>
      </c>
      <c r="B448" s="86" t="s">
        <v>2998</v>
      </c>
      <c r="C448" s="31" t="s">
        <v>2999</v>
      </c>
      <c r="D448" s="31" t="s">
        <v>3000</v>
      </c>
      <c r="E448" s="31" t="s">
        <v>3001</v>
      </c>
      <c r="F448" s="89">
        <v>264.0</v>
      </c>
      <c r="G448" s="91" t="str">
        <f>IFERROR(__xludf.DUMMYFUNCTION("TRIM(REGEXREPLACE(C448, ""[0-9]+[a-f]?\."", """"))"),"In ${hoh_destination}, what was the name of the city or town that ${hoh_roster_name} moved to?")</f>
        <v>In ${hoh_destination}, what was the name of the city or town that ${hoh_roster_name} moved to?</v>
      </c>
      <c r="H448" s="91" t="str">
        <f>IFERROR(__xludf.DUMMYFUNCTION("TRIM(REGEXREPLACE(D448, ""[0-9]+[a-f]?\."", """"))"),"À ${hoh_destination}, quel était le nom de la ville dans laquelle ${hoh_roster_name} il a séjourné ?")</f>
        <v>À ${hoh_destination}, quel était le nom de la ville dans laquelle ${hoh_roster_name} il a séjourné ?</v>
      </c>
      <c r="I448" s="91" t="str">
        <f>IFERROR(__xludf.DUMMYFUNCTION("TRIM(REGEXREPLACE(E448, ""[0-9]+[a-f]?\."", """"))"),"A ${hoh_destination}, menene sunan birnin da ${hoh_roster_name} ya zauna?")</f>
        <v>A ${hoh_destination}, menene sunan birnin da ${hoh_roster_name} ya zauna?</v>
      </c>
      <c r="J448" s="91" t="str">
        <f t="shared" ref="J448:J452" si="336">F448&amp;". "&amp;G448</f>
        <v>264. In ${hoh_destination}, what was the name of the city or town that ${hoh_roster_name} moved to?</v>
      </c>
      <c r="K448" s="91" t="str">
        <f t="shared" ref="K448:L448" si="335">$F448&amp;". "&amp;H448</f>
        <v>264. À ${hoh_destination}, quel était le nom de la ville dans laquelle ${hoh_roster_name} il a séjourné ?</v>
      </c>
      <c r="L448" s="91" t="str">
        <f t="shared" si="335"/>
        <v>264. A ${hoh_destination}, menene sunan birnin da ${hoh_roster_name} ya zauna?</v>
      </c>
    </row>
    <row r="449">
      <c r="A449" s="133" t="s">
        <v>214</v>
      </c>
      <c r="B449" s="250" t="s">
        <v>3009</v>
      </c>
      <c r="C449" s="31" t="s">
        <v>3010</v>
      </c>
      <c r="D449" s="31" t="s">
        <v>3011</v>
      </c>
      <c r="E449" s="31" t="s">
        <v>3012</v>
      </c>
      <c r="F449" s="89">
        <v>265.0</v>
      </c>
      <c r="G449" s="91" t="str">
        <f>IFERROR(__xludf.DUMMYFUNCTION("TRIM(REGEXREPLACE(C449, ""[0-9]+[a-f]?\."", """"))"),"Specify other")</f>
        <v>Specify other</v>
      </c>
      <c r="H449" s="91" t="str">
        <f>IFERROR(__xludf.DUMMYFUNCTION("TRIM(REGEXREPLACE(D449, ""[0-9]+[a-f]?\."", """"))"),"Autre à préciser")</f>
        <v>Autre à préciser</v>
      </c>
      <c r="I449" s="91" t="str">
        <f>IFERROR(__xludf.DUMMYFUNCTION("TRIM(REGEXREPLACE(E449, ""[0-9]+[a-f]?\."", """"))"),"Wani daban a Bayyana")</f>
        <v>Wani daban a Bayyana</v>
      </c>
      <c r="J449" s="91" t="str">
        <f t="shared" si="336"/>
        <v>265. Specify other</v>
      </c>
      <c r="K449" s="91" t="str">
        <f t="shared" ref="K449:L449" si="337">$F449&amp;". "&amp;H449</f>
        <v>265. Autre à préciser</v>
      </c>
      <c r="L449" s="91" t="str">
        <f t="shared" si="337"/>
        <v>265. Wani daban a Bayyana</v>
      </c>
    </row>
    <row r="450">
      <c r="A450" s="149" t="s">
        <v>3019</v>
      </c>
      <c r="B450" s="205" t="s">
        <v>3021</v>
      </c>
      <c r="C450" s="31" t="s">
        <v>3023</v>
      </c>
      <c r="D450" s="31" t="s">
        <v>3025</v>
      </c>
      <c r="E450" s="31" t="s">
        <v>3026</v>
      </c>
      <c r="F450" s="89">
        <v>266.0</v>
      </c>
      <c r="G450" s="91" t="str">
        <f>IFERROR(__xludf.DUMMYFUNCTION("TRIM(REGEXREPLACE(C450, ""[0-9]+[a-f]?\."", """"))"),"In ${hoh_destination}, what was the name of the region that ${hoh_roster_name} moved to?")</f>
        <v>In ${hoh_destination}, what was the name of the region that ${hoh_roster_name} moved to?</v>
      </c>
      <c r="H450" s="91" t="str">
        <f>IFERROR(__xludf.DUMMYFUNCTION("TRIM(REGEXREPLACE(D450, ""[0-9]+[a-f]?\."", """"))"),"Dans ${hoh_destination}, quel était le nom de la région vers laquelle ${hoh_roster_name} a été déplacé ?")</f>
        <v>Dans ${hoh_destination}, quel était le nom de la région vers laquelle ${hoh_roster_name} a été déplacé ?</v>
      </c>
      <c r="I450" s="91" t="str">
        <f>IFERROR(__xludf.DUMMYFUNCTION("TRIM(REGEXREPLACE(E450, ""[0-9]+[a-f]?\."", """"))"),"A ${hoh_destination}, menene sunan yankin da ${hoh_roster_name} ya koma?")</f>
        <v>A ${hoh_destination}, menene sunan yankin da ${hoh_roster_name} ya koma?</v>
      </c>
      <c r="J450" s="91" t="str">
        <f t="shared" si="336"/>
        <v>266. In ${hoh_destination}, what was the name of the region that ${hoh_roster_name} moved to?</v>
      </c>
      <c r="K450" s="91" t="str">
        <f t="shared" ref="K450:L450" si="338">$F450&amp;". "&amp;H450</f>
        <v>266. Dans ${hoh_destination}, quel était le nom de la région vers laquelle ${hoh_roster_name} a été déplacé ?</v>
      </c>
      <c r="L450" s="91" t="str">
        <f t="shared" si="338"/>
        <v>266. A ${hoh_destination}, menene sunan yankin da ${hoh_roster_name} ya koma?</v>
      </c>
    </row>
    <row r="451">
      <c r="A451" s="230" t="s">
        <v>214</v>
      </c>
      <c r="B451" s="205" t="s">
        <v>3030</v>
      </c>
      <c r="C451" s="31" t="s">
        <v>3031</v>
      </c>
      <c r="D451" s="31" t="s">
        <v>3032</v>
      </c>
      <c r="E451" s="31" t="s">
        <v>3033</v>
      </c>
      <c r="F451" s="89">
        <v>267.0</v>
      </c>
      <c r="G451" s="91" t="str">
        <f>IFERROR(__xludf.DUMMYFUNCTION("TRIM(REGEXREPLACE(C451, ""[0-9]+[a-f]?\."", """"))"),"Specify other")</f>
        <v>Specify other</v>
      </c>
      <c r="H451" s="91" t="str">
        <f>IFERROR(__xludf.DUMMYFUNCTION("TRIM(REGEXREPLACE(D451, ""[0-9]+[a-f]?\."", """"))"),"Autre à préciser")</f>
        <v>Autre à préciser</v>
      </c>
      <c r="I451" s="91" t="str">
        <f>IFERROR(__xludf.DUMMYFUNCTION("TRIM(REGEXREPLACE(E451, ""[0-9]+[a-f]?\."", """"))"),"Wani daban a Bayyana")</f>
        <v>Wani daban a Bayyana</v>
      </c>
      <c r="J451" s="91" t="str">
        <f t="shared" si="336"/>
        <v>267. Specify other</v>
      </c>
      <c r="K451" s="91" t="str">
        <f t="shared" ref="K451:L451" si="339">$F451&amp;". "&amp;H451</f>
        <v>267. Autre à préciser</v>
      </c>
      <c r="L451" s="91" t="str">
        <f t="shared" si="339"/>
        <v>267. Wani daban a Bayyana</v>
      </c>
    </row>
    <row r="452">
      <c r="A452" s="146" t="s">
        <v>237</v>
      </c>
      <c r="B452" s="205" t="s">
        <v>3040</v>
      </c>
      <c r="C452" s="31" t="s">
        <v>3042</v>
      </c>
      <c r="D452" s="31" t="s">
        <v>3043</v>
      </c>
      <c r="E452" s="31" t="s">
        <v>3045</v>
      </c>
      <c r="F452" s="89">
        <v>268.0</v>
      </c>
      <c r="G452" s="91" t="str">
        <f>IFERROR(__xludf.DUMMYFUNCTION("TRIM(REGEXREPLACE(C452, ""[0-9]+[a-f]?\."", """"))"),"How many times did ${hoh_roster_name} travel to ${hoh_destination} since ${period}?")</f>
        <v>How many times did ${hoh_roster_name} travel to ${hoh_destination} since ${period}?</v>
      </c>
      <c r="H452" s="91" t="str">
        <f>IFERROR(__xludf.DUMMYFUNCTION("TRIM(REGEXREPLACE(D452, ""[0-9]+[a-f]?\."", """"))"),"Combien de fois ${hoh_roster_name} s'est-il rendu à ${hoh_destination} depuis la ${period_french}?")</f>
        <v>Combien de fois ${hoh_roster_name} s'est-il rendu à ${hoh_destination} depuis la ${period_french}?</v>
      </c>
      <c r="I452" s="91" t="str">
        <f>IFERROR(__xludf.DUMMYFUNCTION("TRIM(REGEXREPLACE(E452, ""[0-9]+[a-f]?\."", """"))"),"Sau nawa ${hoh_roster_name} yayi tafiya zuwa ${hoh_destination} tun daga wancan ${period_hausa}?")</f>
        <v>Sau nawa ${hoh_roster_name} yayi tafiya zuwa ${hoh_destination} tun daga wancan ${period_hausa}?</v>
      </c>
      <c r="J452" s="91" t="str">
        <f t="shared" si="336"/>
        <v>268. How many times did ${hoh_roster_name} travel to ${hoh_destination} since ${period}?</v>
      </c>
      <c r="K452" s="91" t="str">
        <f t="shared" ref="K452:L452" si="340">$F452&amp;". "&amp;H452</f>
        <v>268. Combien de fois ${hoh_roster_name} s'est-il rendu à ${hoh_destination} depuis la ${period_french}?</v>
      </c>
      <c r="L452" s="91" t="str">
        <f t="shared" si="340"/>
        <v>268. Sau nawa ${hoh_roster_name} yayi tafiya zuwa ${hoh_destination} tun daga wancan ${period_hausa}?</v>
      </c>
    </row>
    <row r="453" hidden="1">
      <c r="A453" s="144" t="s">
        <v>691</v>
      </c>
      <c r="B453" s="249" t="s">
        <v>2977</v>
      </c>
      <c r="C453" s="31" t="s">
        <v>3051</v>
      </c>
      <c r="D453" s="31"/>
      <c r="E453" s="31"/>
      <c r="F453" s="89">
        <v>260.0</v>
      </c>
      <c r="G453" s="91" t="str">
        <f>IFERROR(__xludf.DUMMYFUNCTION("TRIM(REGEXREPLACE(C453, ""[0-9]+[a-f]?\."", """"))"),"Other Countries")</f>
        <v>Other Countries</v>
      </c>
      <c r="H453" s="91" t="str">
        <f>IFERROR(__xludf.DUMMYFUNCTION("TRIM(REGEXREPLACE(D453, ""[0-9]+[a-f]?\."", """"))"),"")</f>
        <v/>
      </c>
      <c r="I453" s="91" t="str">
        <f>IFERROR(__xludf.DUMMYFUNCTION("TRIM(REGEXREPLACE(E453, ""[0-9]+[a-f]?\."", """"))"),"")</f>
        <v/>
      </c>
      <c r="J453" s="91" t="s">
        <v>3055</v>
      </c>
      <c r="K453" s="91" t="s">
        <v>3056</v>
      </c>
      <c r="L453" s="91" t="s">
        <v>3057</v>
      </c>
    </row>
    <row r="454" hidden="1">
      <c r="A454" s="104" t="s">
        <v>139</v>
      </c>
      <c r="B454" s="141" t="s">
        <v>3058</v>
      </c>
      <c r="C454" s="31"/>
      <c r="D454" s="31"/>
      <c r="E454" s="31"/>
      <c r="F454" s="89">
        <v>261.0</v>
      </c>
      <c r="G454" s="91" t="str">
        <f>IFERROR(__xludf.DUMMYFUNCTION("TRIM(REGEXREPLACE(C454, ""[0-9]+[a-f]?\."", """"))"),"")</f>
        <v/>
      </c>
      <c r="H454" s="91" t="str">
        <f>IFERROR(__xludf.DUMMYFUNCTION("TRIM(REGEXREPLACE(D454, ""[0-9]+[a-f]?\."", """"))"),"")</f>
        <v/>
      </c>
      <c r="I454" s="91" t="str">
        <f>IFERROR(__xludf.DUMMYFUNCTION("TRIM(REGEXREPLACE(E454, ""[0-9]+[a-f]?\."", """"))"),"")</f>
        <v/>
      </c>
      <c r="J454" s="91" t="s">
        <v>3061</v>
      </c>
      <c r="K454" s="91" t="s">
        <v>3062</v>
      </c>
      <c r="L454" s="91" t="s">
        <v>3063</v>
      </c>
    </row>
    <row r="455" hidden="1">
      <c r="A455" s="67" t="s">
        <v>108</v>
      </c>
      <c r="B455" s="69" t="s">
        <v>3066</v>
      </c>
      <c r="C455" s="31"/>
      <c r="D455" s="31"/>
      <c r="E455" s="31"/>
      <c r="F455" s="89">
        <v>262.0</v>
      </c>
      <c r="G455" s="91" t="str">
        <f>IFERROR(__xludf.DUMMYFUNCTION("TRIM(REGEXREPLACE(C455, ""[0-9]+[a-f]?\."", """"))"),"")</f>
        <v/>
      </c>
      <c r="H455" s="91" t="str">
        <f>IFERROR(__xludf.DUMMYFUNCTION("TRIM(REGEXREPLACE(D455, ""[0-9]+[a-f]?\."", """"))"),"")</f>
        <v/>
      </c>
      <c r="I455" s="91" t="str">
        <f>IFERROR(__xludf.DUMMYFUNCTION("TRIM(REGEXREPLACE(E455, ""[0-9]+[a-f]?\."", """"))"),"")</f>
        <v/>
      </c>
      <c r="J455" s="91" t="s">
        <v>3070</v>
      </c>
      <c r="K455" s="91" t="s">
        <v>3072</v>
      </c>
      <c r="L455" s="91" t="s">
        <v>3073</v>
      </c>
    </row>
    <row r="456">
      <c r="A456" s="81" t="s">
        <v>485</v>
      </c>
      <c r="B456" s="142" t="s">
        <v>3074</v>
      </c>
      <c r="C456" s="31" t="s">
        <v>3075</v>
      </c>
      <c r="D456" s="31" t="s">
        <v>3077</v>
      </c>
      <c r="E456" s="31" t="s">
        <v>3079</v>
      </c>
      <c r="F456" s="89">
        <v>269.0</v>
      </c>
      <c r="G456" s="91" t="str">
        <f>IFERROR(__xludf.DUMMYFUNCTION("TRIM(REGEXREPLACE(C456, ""[0-9]+[a-f]?\."", """"))"),"Since ${period}, was there ever a time when ${hoh_roster_name} planned to migrate but then had to cancel their plans?")</f>
        <v>Since ${period}, was there ever a time when ${hoh_roster_name} planned to migrate but then had to cancel their plans?</v>
      </c>
      <c r="H456" s="91" t="str">
        <f>IFERROR(__xludf.DUMMYFUNCTION("TRIM(REGEXREPLACE(D456, ""[0-9]+[a-f]?\."", """"))"),"Depuis cette ${period_french}, y a-t-il déjà eu un moment où ${hoh_roster_name} avait prévu de migrer mais a ensuite dû annuler ses projets ?")</f>
        <v>Depuis cette ${period_french}, y a-t-il déjà eu un moment où ${hoh_roster_name} avait prévu de migrer mais a ensuite dû annuler ses projets ?</v>
      </c>
      <c r="I456" s="91" t="str">
        <f>IFERROR(__xludf.DUMMYFUNCTION("TRIM(REGEXREPLACE(E456, ""[0-9]+[a-f]?\."", """"))"),"Tun daga ${period_hausa}, ko akwai lokacin da ${hoh_roster_name} ya shirya zuwa biɗa amma sai ya soke shirinshi?")</f>
        <v>Tun daga ${period_hausa}, ko akwai lokacin da ${hoh_roster_name} ya shirya zuwa biɗa amma sai ya soke shirinshi?</v>
      </c>
      <c r="J456" s="91" t="str">
        <f t="shared" ref="J456:J458" si="342">F456&amp;". "&amp;G456</f>
        <v>269. Since ${period}, was there ever a time when ${hoh_roster_name} planned to migrate but then had to cancel their plans?</v>
      </c>
      <c r="K456" s="91" t="str">
        <f t="shared" ref="K456:L456" si="341">$F456&amp;". "&amp;H456</f>
        <v>269. Depuis cette ${period_french}, y a-t-il déjà eu un moment où ${hoh_roster_name} avait prévu de migrer mais a ensuite dû annuler ses projets ?</v>
      </c>
      <c r="L456" s="91" t="str">
        <f t="shared" si="341"/>
        <v>269. Tun daga ${period_hausa}, ko akwai lokacin da ${hoh_roster_name} ya shirya zuwa biɗa amma sai ya soke shirinshi?</v>
      </c>
    </row>
    <row r="457">
      <c r="A457" s="164" t="s">
        <v>2932</v>
      </c>
      <c r="B457" s="134" t="s">
        <v>3080</v>
      </c>
      <c r="C457" s="31" t="s">
        <v>3081</v>
      </c>
      <c r="D457" s="31" t="s">
        <v>3082</v>
      </c>
      <c r="E457" s="31" t="s">
        <v>3083</v>
      </c>
      <c r="F457" s="89">
        <v>270.0</v>
      </c>
      <c r="G457" s="91" t="str">
        <f>IFERROR(__xludf.DUMMYFUNCTION("TRIM(REGEXREPLACE(C457, ""[0-9]+[a-f]?\."", """"))"),"Where did they plan to migrate?")</f>
        <v>Where did they plan to migrate?</v>
      </c>
      <c r="H457" s="91" t="str">
        <f>IFERROR(__xludf.DUMMYFUNCTION("TRIM(REGEXREPLACE(D457, ""[0-9]+[a-f]?\."", """"))"),"Où envisageait-il de migrer ?")</f>
        <v>Où envisageait-il de migrer ?</v>
      </c>
      <c r="I457" s="91" t="str">
        <f>IFERROR(__xludf.DUMMYFUNCTION("TRIM(REGEXREPLACE(E457, ""[0-9]+[a-f]?\."", """"))"),"Zuwa ina ya shirya zuwa biɗar?")</f>
        <v>Zuwa ina ya shirya zuwa biɗar?</v>
      </c>
      <c r="J457" s="91" t="str">
        <f t="shared" si="342"/>
        <v>270. Where did they plan to migrate?</v>
      </c>
      <c r="K457" s="91" t="str">
        <f t="shared" ref="K457:L457" si="343">$F457&amp;". "&amp;H457</f>
        <v>270. Où envisageait-il de migrer ?</v>
      </c>
      <c r="L457" s="91" t="str">
        <f t="shared" si="343"/>
        <v>270. Zuwa ina ya shirya zuwa biɗar?</v>
      </c>
    </row>
    <row r="458">
      <c r="A458" s="149" t="s">
        <v>214</v>
      </c>
      <c r="B458" s="134" t="s">
        <v>3087</v>
      </c>
      <c r="C458" s="31" t="s">
        <v>3088</v>
      </c>
      <c r="D458" s="31" t="s">
        <v>3089</v>
      </c>
      <c r="E458" s="31" t="s">
        <v>3090</v>
      </c>
      <c r="F458" s="89">
        <v>271.0</v>
      </c>
      <c r="G458" s="91" t="str">
        <f>IFERROR(__xludf.DUMMYFUNCTION("TRIM(REGEXREPLACE(C458, ""[0-9]+[a-f]?\."", """"))"),"Specify other")</f>
        <v>Specify other</v>
      </c>
      <c r="H458" s="91" t="str">
        <f>IFERROR(__xludf.DUMMYFUNCTION("TRIM(REGEXREPLACE(D458, ""[0-9]+[a-f]?\."", """"))"),"Autre à préciser")</f>
        <v>Autre à préciser</v>
      </c>
      <c r="I458" s="91" t="str">
        <f>IFERROR(__xludf.DUMMYFUNCTION("TRIM(REGEXREPLACE(E458, ""[0-9]+[a-f]?\."", """"))"),"Wani daban a Bayyana")</f>
        <v>Wani daban a Bayyana</v>
      </c>
      <c r="J458" s="91" t="str">
        <f t="shared" si="342"/>
        <v>271. Specify other</v>
      </c>
      <c r="K458" s="91" t="str">
        <f t="shared" ref="K458:L458" si="344">$F458&amp;". "&amp;H458</f>
        <v>271. Autre à préciser</v>
      </c>
      <c r="L458" s="91" t="str">
        <f t="shared" si="344"/>
        <v>271. Wani daban a Bayyana</v>
      </c>
    </row>
    <row r="459" hidden="1">
      <c r="A459" s="149" t="s">
        <v>648</v>
      </c>
      <c r="B459" s="131" t="s">
        <v>3095</v>
      </c>
      <c r="C459" s="31" t="s">
        <v>3096</v>
      </c>
      <c r="D459" s="31"/>
      <c r="E459" s="31"/>
      <c r="F459" s="89">
        <v>266.0</v>
      </c>
      <c r="G459" s="91" t="str">
        <f>IFERROR(__xludf.DUMMYFUNCTION("TRIM(REGEXREPLACE(C459, ""[0-9]+[a-f]?\."", """"))"),"Failed Migrations")</f>
        <v>Failed Migrations</v>
      </c>
      <c r="H459" s="91" t="str">
        <f>IFERROR(__xludf.DUMMYFUNCTION("TRIM(REGEXREPLACE(D459, ""[0-9]+[a-f]?\."", """"))"),"")</f>
        <v/>
      </c>
      <c r="I459" s="91" t="str">
        <f>IFERROR(__xludf.DUMMYFUNCTION("TRIM(REGEXREPLACE(E459, ""[0-9]+[a-f]?\."", """"))"),"")</f>
        <v/>
      </c>
      <c r="J459" s="91" t="s">
        <v>3097</v>
      </c>
      <c r="K459" s="91" t="s">
        <v>3098</v>
      </c>
      <c r="L459" s="91" t="s">
        <v>3099</v>
      </c>
    </row>
    <row r="460" hidden="1">
      <c r="A460" s="149" t="s">
        <v>108</v>
      </c>
      <c r="B460" s="131" t="s">
        <v>3100</v>
      </c>
      <c r="C460" s="31"/>
      <c r="D460" s="31"/>
      <c r="E460" s="31"/>
      <c r="F460" s="89">
        <v>267.0</v>
      </c>
      <c r="G460" s="91" t="str">
        <f>IFERROR(__xludf.DUMMYFUNCTION("TRIM(REGEXREPLACE(C460, ""[0-9]+[a-f]?\."", """"))"),"")</f>
        <v/>
      </c>
      <c r="H460" s="91" t="str">
        <f>IFERROR(__xludf.DUMMYFUNCTION("TRIM(REGEXREPLACE(D460, ""[0-9]+[a-f]?\."", """"))"),"")</f>
        <v/>
      </c>
      <c r="I460" s="91" t="str">
        <f>IFERROR(__xludf.DUMMYFUNCTION("TRIM(REGEXREPLACE(E460, ""[0-9]+[a-f]?\."", """"))"),"")</f>
        <v/>
      </c>
      <c r="J460" s="91" t="s">
        <v>3101</v>
      </c>
      <c r="K460" s="91" t="s">
        <v>3103</v>
      </c>
      <c r="L460" s="91" t="s">
        <v>3105</v>
      </c>
    </row>
    <row r="461" hidden="1">
      <c r="A461" s="149" t="s">
        <v>108</v>
      </c>
      <c r="B461" s="131" t="s">
        <v>3107</v>
      </c>
      <c r="C461" s="31"/>
      <c r="D461" s="31"/>
      <c r="E461" s="31"/>
      <c r="F461" s="89">
        <v>268.0</v>
      </c>
      <c r="G461" s="91" t="str">
        <f>IFERROR(__xludf.DUMMYFUNCTION("TRIM(REGEXREPLACE(C461, ""[0-9]+[a-f]?\."", """"))"),"")</f>
        <v/>
      </c>
      <c r="H461" s="91" t="str">
        <f>IFERROR(__xludf.DUMMYFUNCTION("TRIM(REGEXREPLACE(D461, ""[0-9]+[a-f]?\."", """"))"),"")</f>
        <v/>
      </c>
      <c r="I461" s="91" t="str">
        <f>IFERROR(__xludf.DUMMYFUNCTION("TRIM(REGEXREPLACE(E461, ""[0-9]+[a-f]?\."", """"))"),"")</f>
        <v/>
      </c>
      <c r="J461" s="91" t="s">
        <v>3108</v>
      </c>
      <c r="K461" s="91" t="s">
        <v>3109</v>
      </c>
      <c r="L461" s="91" t="s">
        <v>3110</v>
      </c>
    </row>
    <row r="462" hidden="1">
      <c r="A462" s="104" t="s">
        <v>108</v>
      </c>
      <c r="B462" s="132" t="s">
        <v>3111</v>
      </c>
      <c r="C462" s="31" t="s">
        <v>2996</v>
      </c>
      <c r="D462" s="31"/>
      <c r="E462" s="31"/>
      <c r="F462" s="89">
        <v>161.0</v>
      </c>
      <c r="G462" s="91" t="str">
        <f>IFERROR(__xludf.DUMMYFUNCTION("TRIM(REGEXREPLACE(C462, ""[0-9]+[a-f]?\."", """"))"),"Country Name")</f>
        <v>Country Name</v>
      </c>
      <c r="H462" s="91" t="str">
        <f>IFERROR(__xludf.DUMMYFUNCTION("TRIM(REGEXREPLACE(D462, ""[0-9]+[a-f]?\."", """"))"),"")</f>
        <v/>
      </c>
      <c r="I462" s="91" t="str">
        <f>IFERROR(__xludf.DUMMYFUNCTION("TRIM(REGEXREPLACE(E462, ""[0-9]+[a-f]?\."", """"))"),"")</f>
        <v/>
      </c>
      <c r="J462" s="91" t="str">
        <f>F462 &amp; ". " &amp;G462</f>
        <v>161. Country Name</v>
      </c>
      <c r="K462" s="91" t="str">
        <f>F462 &amp; ". " &amp;H462</f>
        <v>161. </v>
      </c>
      <c r="L462" s="91" t="str">
        <f>F462 &amp; ". " &amp;I462</f>
        <v>161. </v>
      </c>
    </row>
    <row r="463">
      <c r="A463" s="149" t="s">
        <v>2997</v>
      </c>
      <c r="B463" s="86" t="s">
        <v>3115</v>
      </c>
      <c r="C463" s="31" t="s">
        <v>3116</v>
      </c>
      <c r="D463" s="31" t="s">
        <v>3117</v>
      </c>
      <c r="E463" s="31" t="s">
        <v>3118</v>
      </c>
      <c r="F463" s="89">
        <v>272.0</v>
      </c>
      <c r="G463" s="91" t="str">
        <f>IFERROR(__xludf.DUMMYFUNCTION("TRIM(REGEXREPLACE(C463, ""[0-9]+[a-f]?\."", """"))"),"In ${hoh_failed_country}, what was the name of the city or town that ${hoh_roster_name} planned to move to?")</f>
        <v>In ${hoh_failed_country}, what was the name of the city or town that ${hoh_roster_name} planned to move to?</v>
      </c>
      <c r="H463" s="91" t="str">
        <f>IFERROR(__xludf.DUMMYFUNCTION("TRIM(REGEXREPLACE(D463, ""[0-9]+[a-f]?\."", """"))"),"Dans ${hoh_failed_country}, quel était le nom de la ville ou du village vers lequel ${hoh_roster_name} prévoyait de voyager ?")</f>
        <v>Dans ${hoh_failed_country}, quel était le nom de la ville ou du village vers lequel ${hoh_roster_name} prévoyait de voyager ?</v>
      </c>
      <c r="I463" s="91" t="str">
        <f>IFERROR(__xludf.DUMMYFUNCTION("TRIM(REGEXREPLACE(E463, ""[0-9]+[a-f]?\."", """"))"),"A ƙasar ${hoh_failed_country}, menene sunan birni ko garin da sunan ${hoh_roster_name} yayi shirin zuwa?")</f>
        <v>A ƙasar ${hoh_failed_country}, menene sunan birni ko garin da sunan ${hoh_roster_name} yayi shirin zuwa?</v>
      </c>
      <c r="J463" s="91" t="str">
        <f t="shared" ref="J463:J469" si="346">F463&amp;". "&amp;G463</f>
        <v>272. In ${hoh_failed_country}, what was the name of the city or town that ${hoh_roster_name} planned to move to?</v>
      </c>
      <c r="K463" s="91" t="str">
        <f t="shared" ref="K463:L463" si="345">$F463&amp;". "&amp;H463</f>
        <v>272. Dans ${hoh_failed_country}, quel était le nom de la ville ou du village vers lequel ${hoh_roster_name} prévoyait de voyager ?</v>
      </c>
      <c r="L463" s="91" t="str">
        <f t="shared" si="345"/>
        <v>272. A ƙasar ${hoh_failed_country}, menene sunan birni ko garin da sunan ${hoh_roster_name} yayi shirin zuwa?</v>
      </c>
    </row>
    <row r="464">
      <c r="A464" s="133" t="s">
        <v>214</v>
      </c>
      <c r="B464" s="250" t="s">
        <v>3122</v>
      </c>
      <c r="C464" s="31" t="s">
        <v>3123</v>
      </c>
      <c r="D464" s="31" t="s">
        <v>3124</v>
      </c>
      <c r="E464" s="31" t="s">
        <v>3125</v>
      </c>
      <c r="F464" s="89">
        <v>273.0</v>
      </c>
      <c r="G464" s="91" t="str">
        <f>IFERROR(__xludf.DUMMYFUNCTION("TRIM(REGEXREPLACE(C464, ""[0-9]+[a-f]?\."", """"))"),"Specify other")</f>
        <v>Specify other</v>
      </c>
      <c r="H464" s="91" t="str">
        <f>IFERROR(__xludf.DUMMYFUNCTION("TRIM(REGEXREPLACE(D464, ""[0-9]+[a-f]?\."", """"))"),"Autre à préciser")</f>
        <v>Autre à préciser</v>
      </c>
      <c r="I464" s="91" t="str">
        <f>IFERROR(__xludf.DUMMYFUNCTION("TRIM(REGEXREPLACE(E464, ""[0-9]+[a-f]?\."", """"))"),"Wani daban a Bayyana")</f>
        <v>Wani daban a Bayyana</v>
      </c>
      <c r="J464" s="91" t="str">
        <f t="shared" si="346"/>
        <v>273. Specify other</v>
      </c>
      <c r="K464" s="91" t="str">
        <f t="shared" ref="K464:L464" si="347">$F464&amp;". "&amp;H464</f>
        <v>273. Autre à préciser</v>
      </c>
      <c r="L464" s="91" t="str">
        <f t="shared" si="347"/>
        <v>273. Wani daban a Bayyana</v>
      </c>
    </row>
    <row r="465">
      <c r="A465" s="149" t="s">
        <v>3019</v>
      </c>
      <c r="B465" s="205" t="s">
        <v>3132</v>
      </c>
      <c r="C465" s="31" t="s">
        <v>3133</v>
      </c>
      <c r="D465" s="31" t="s">
        <v>3134</v>
      </c>
      <c r="E465" s="31" t="s">
        <v>3135</v>
      </c>
      <c r="F465" s="89">
        <v>274.0</v>
      </c>
      <c r="G465" s="91" t="str">
        <f>IFERROR(__xludf.DUMMYFUNCTION("TRIM(REGEXREPLACE(C465, ""[0-9]+[a-f]?\."", """"))"),"In ${hoh_failed_country}, what was the name of the region that ${hoh_roster_name} planned to move to?")</f>
        <v>In ${hoh_failed_country}, what was the name of the region that ${hoh_roster_name} planned to move to?</v>
      </c>
      <c r="H465" s="91" t="str">
        <f>IFERROR(__xludf.DUMMYFUNCTION("TRIM(REGEXREPLACE(D465, ""[0-9]+[a-f]?\."", """"))"),"Dans ${hoh_failed_country}, quel était le nom de la région dans laquelle ${hoh_roster_name} prévoyait de voyager ?")</f>
        <v>Dans ${hoh_failed_country}, quel était le nom de la région dans laquelle ${hoh_roster_name} prévoyait de voyager ?</v>
      </c>
      <c r="I465" s="91" t="str">
        <f>IFERROR(__xludf.DUMMYFUNCTION("TRIM(REGEXREPLACE(E465, ""[0-9]+[a-f]?\."", """"))"),"A kasar ${hoh_failed_country}, menene sunan yankin da sunan ${hoh_roster_name} ya shirya zuwa?")</f>
        <v>A kasar ${hoh_failed_country}, menene sunan yankin da sunan ${hoh_roster_name} ya shirya zuwa?</v>
      </c>
      <c r="J465" s="91" t="str">
        <f t="shared" si="346"/>
        <v>274. In ${hoh_failed_country}, what was the name of the region that ${hoh_roster_name} planned to move to?</v>
      </c>
      <c r="K465" s="91" t="str">
        <f t="shared" ref="K465:L465" si="348">$F465&amp;". "&amp;H465</f>
        <v>274. Dans ${hoh_failed_country}, quel était le nom de la région dans laquelle ${hoh_roster_name} prévoyait de voyager ?</v>
      </c>
      <c r="L465" s="91" t="str">
        <f t="shared" si="348"/>
        <v>274. A kasar ${hoh_failed_country}, menene sunan yankin da sunan ${hoh_roster_name} ya shirya zuwa?</v>
      </c>
    </row>
    <row r="466">
      <c r="A466" s="230" t="s">
        <v>214</v>
      </c>
      <c r="B466" s="205" t="s">
        <v>3139</v>
      </c>
      <c r="C466" s="31" t="s">
        <v>3140</v>
      </c>
      <c r="D466" s="31" t="s">
        <v>3141</v>
      </c>
      <c r="E466" s="31" t="s">
        <v>3142</v>
      </c>
      <c r="F466" s="89">
        <v>275.0</v>
      </c>
      <c r="G466" s="91" t="str">
        <f>IFERROR(__xludf.DUMMYFUNCTION("TRIM(REGEXREPLACE(C466, ""[0-9]+[a-f]?\."", """"))"),"Specify other")</f>
        <v>Specify other</v>
      </c>
      <c r="H466" s="91" t="str">
        <f>IFERROR(__xludf.DUMMYFUNCTION("TRIM(REGEXREPLACE(D466, ""[0-9]+[a-f]?\."", """"))"),"Autre à préciser")</f>
        <v>Autre à préciser</v>
      </c>
      <c r="I466" s="91" t="str">
        <f>IFERROR(__xludf.DUMMYFUNCTION("TRIM(REGEXREPLACE(E466, ""[0-9]+[a-f]?\."", """"))"),"Wani daban a Bayyana")</f>
        <v>Wani daban a Bayyana</v>
      </c>
      <c r="J466" s="91" t="str">
        <f t="shared" si="346"/>
        <v>275. Specify other</v>
      </c>
      <c r="K466" s="91" t="str">
        <f t="shared" ref="K466:L466" si="349">$F466&amp;". "&amp;H466</f>
        <v>275. Autre à préciser</v>
      </c>
      <c r="L466" s="91" t="str">
        <f t="shared" si="349"/>
        <v>275. Wani daban a Bayyana</v>
      </c>
    </row>
    <row r="467">
      <c r="A467" s="146" t="s">
        <v>237</v>
      </c>
      <c r="B467" s="147" t="s">
        <v>3144</v>
      </c>
      <c r="C467" s="31" t="s">
        <v>3146</v>
      </c>
      <c r="D467" s="31" t="s">
        <v>3147</v>
      </c>
      <c r="E467" s="31" t="s">
        <v>3149</v>
      </c>
      <c r="F467" s="89">
        <v>276.0</v>
      </c>
      <c r="G467" s="91" t="str">
        <f>IFERROR(__xludf.DUMMYFUNCTION("TRIM(REGEXREPLACE(C467, ""[0-9]+[a-f]?\."", """"))"),"How many times did they plan to migrate to ${hoh_failed_country} and fail?")</f>
        <v>How many times did they plan to migrate to ${hoh_failed_country} and fail?</v>
      </c>
      <c r="H467" s="91" t="str">
        <f>IFERROR(__xludf.DUMMYFUNCTION("TRIM(REGEXREPLACE(D467, ""[0-9]+[a-f]?\."", """"))"),"Combien de fois ont-ils prévu de migrer vers ${hoh_failed_country} et ont-ils échoué ?")</f>
        <v>Combien de fois ont-ils prévu de migrer vers ${hoh_failed_country} et ont-ils échoué ?</v>
      </c>
      <c r="I467" s="91" t="str">
        <f>IFERROR(__xludf.DUMMYFUNCTION("TRIM(REGEXREPLACE(E467, ""[0-9]+[a-f]?\."", """"))"),"Sau nawa ya shirya zuwa ƙasar ${hoh_failed_country} kuma ya kasa?")</f>
        <v>Sau nawa ya shirya zuwa ƙasar ${hoh_failed_country} kuma ya kasa?</v>
      </c>
      <c r="J467" s="91" t="str">
        <f t="shared" si="346"/>
        <v>276. How many times did they plan to migrate to ${hoh_failed_country} and fail?</v>
      </c>
      <c r="K467" s="91" t="str">
        <f t="shared" ref="K467:L467" si="350">$F467&amp;". "&amp;H467</f>
        <v>276. Combien de fois ont-ils prévu de migrer vers ${hoh_failed_country} et ont-ils échoué ?</v>
      </c>
      <c r="L467" s="91" t="str">
        <f t="shared" si="350"/>
        <v>276. Sau nawa ya shirya zuwa ƙasar ${hoh_failed_country} kuma ya kasa?</v>
      </c>
    </row>
    <row r="468">
      <c r="A468" s="81" t="s">
        <v>3153</v>
      </c>
      <c r="B468" s="142" t="s">
        <v>3154</v>
      </c>
      <c r="C468" s="31" t="s">
        <v>3155</v>
      </c>
      <c r="D468" s="31" t="s">
        <v>3156</v>
      </c>
      <c r="E468" s="31" t="s">
        <v>3157</v>
      </c>
      <c r="F468" s="89">
        <v>277.0</v>
      </c>
      <c r="G468" s="91" t="str">
        <f>IFERROR(__xludf.DUMMYFUNCTION("TRIM(REGEXREPLACE(C468, ""[0-9]+[a-f]?\."", """"))"),"Why did they change their plans?")</f>
        <v>Why did they change their plans?</v>
      </c>
      <c r="H468" s="91" t="str">
        <f>IFERROR(__xludf.DUMMYFUNCTION("TRIM(REGEXREPLACE(D468, ""[0-9]+[a-f]?\."", """"))"),"Pourquoi a-t-il changé son plan?")</f>
        <v>Pourquoi a-t-il changé son plan?</v>
      </c>
      <c r="I468" s="91" t="str">
        <f>IFERROR(__xludf.DUMMYFUNCTION("TRIM(REGEXREPLACE(E468, ""[0-9]+[a-f]?\."", """"))"),"Me yasa ya fasa tafiyar?")</f>
        <v>Me yasa ya fasa tafiyar?</v>
      </c>
      <c r="J468" s="91" t="str">
        <f t="shared" si="346"/>
        <v>277. Why did they change their plans?</v>
      </c>
      <c r="K468" s="91" t="str">
        <f t="shared" ref="K468:L468" si="351">$F468&amp;". "&amp;H468</f>
        <v>277. Pourquoi a-t-il changé son plan?</v>
      </c>
      <c r="L468" s="91" t="str">
        <f t="shared" si="351"/>
        <v>277. Me yasa ya fasa tafiyar?</v>
      </c>
    </row>
    <row r="469">
      <c r="A469" s="133" t="s">
        <v>214</v>
      </c>
      <c r="B469" s="143" t="s">
        <v>3158</v>
      </c>
      <c r="C469" s="31" t="s">
        <v>3160</v>
      </c>
      <c r="D469" s="31" t="s">
        <v>3161</v>
      </c>
      <c r="E469" s="31" t="s">
        <v>3163</v>
      </c>
      <c r="F469" s="89">
        <v>278.0</v>
      </c>
      <c r="G469" s="91" t="str">
        <f>IFERROR(__xludf.DUMMYFUNCTION("TRIM(REGEXREPLACE(C469, ""[0-9]+[a-f]?\."", """"))"),"Specify other reason")</f>
        <v>Specify other reason</v>
      </c>
      <c r="H469" s="91" t="str">
        <f>IFERROR(__xludf.DUMMYFUNCTION("TRIM(REGEXREPLACE(D469, ""[0-9]+[a-f]?\."", """"))"),"Précisez une autre raison")</f>
        <v>Précisez une autre raison</v>
      </c>
      <c r="I469" s="91" t="str">
        <f>IFERROR(__xludf.DUMMYFUNCTION("TRIM(REGEXREPLACE(E469, ""[0-9]+[a-f]?\."", """"))"),"Baiyana wani dalili daban")</f>
        <v>Baiyana wani dalili daban</v>
      </c>
      <c r="J469" s="91" t="str">
        <f t="shared" si="346"/>
        <v>278. Specify other reason</v>
      </c>
      <c r="K469" s="91" t="str">
        <f t="shared" ref="K469:L469" si="352">$F469&amp;". "&amp;H469</f>
        <v>278. Précisez une autre raison</v>
      </c>
      <c r="L469" s="91" t="str">
        <f t="shared" si="352"/>
        <v>278. Baiyana wani dalili daban</v>
      </c>
    </row>
    <row r="470" hidden="1">
      <c r="A470" s="149" t="s">
        <v>691</v>
      </c>
      <c r="B470" s="131" t="s">
        <v>3095</v>
      </c>
      <c r="C470" s="31"/>
      <c r="D470" s="31"/>
      <c r="E470" s="31"/>
      <c r="F470" s="89">
        <v>272.0</v>
      </c>
      <c r="G470" s="91" t="str">
        <f>IFERROR(__xludf.DUMMYFUNCTION("TRIM(REGEXREPLACE(C470, ""[0-9]+[a-f]?\."", """"))"),"")</f>
        <v/>
      </c>
      <c r="H470" s="91" t="str">
        <f>IFERROR(__xludf.DUMMYFUNCTION("TRIM(REGEXREPLACE(D470, ""[0-9]+[a-f]?\."", """"))"),"")</f>
        <v/>
      </c>
      <c r="I470" s="91" t="str">
        <f>IFERROR(__xludf.DUMMYFUNCTION("TRIM(REGEXREPLACE(E470, ""[0-9]+[a-f]?\."", """"))"),"")</f>
        <v/>
      </c>
      <c r="J470" s="91" t="s">
        <v>3168</v>
      </c>
      <c r="K470" s="91" t="s">
        <v>3169</v>
      </c>
      <c r="L470" s="91" t="s">
        <v>3170</v>
      </c>
    </row>
    <row r="471" hidden="1">
      <c r="A471" s="249" t="s">
        <v>236</v>
      </c>
      <c r="B471" s="150" t="s">
        <v>2917</v>
      </c>
      <c r="C471" s="31" t="s">
        <v>2918</v>
      </c>
      <c r="D471" s="31"/>
      <c r="E471" s="31"/>
      <c r="F471" s="89">
        <v>168.0</v>
      </c>
      <c r="G471" s="91" t="str">
        <f>IFERROR(__xludf.DUMMYFUNCTION("TRIM(REGEXREPLACE(C471, ""[0-9]+[a-f]?\."", """"))"),"Past Migration")</f>
        <v>Past Migration</v>
      </c>
      <c r="H471" s="91" t="str">
        <f>IFERROR(__xludf.DUMMYFUNCTION("TRIM(REGEXREPLACE(D471, ""[0-9]+[a-f]?\."", """"))"),"")</f>
        <v/>
      </c>
      <c r="I471" s="91" t="str">
        <f>IFERROR(__xludf.DUMMYFUNCTION("TRIM(REGEXREPLACE(E471, ""[0-9]+[a-f]?\."", """"))"),"")</f>
        <v/>
      </c>
      <c r="J471" s="91" t="str">
        <f t="shared" ref="J471:J472" si="353">F471 &amp; ". " &amp;G471</f>
        <v>168. Past Migration</v>
      </c>
      <c r="K471" s="91" t="str">
        <f t="shared" ref="K471:K472" si="354">F471 &amp; ". " &amp;H471</f>
        <v>168. </v>
      </c>
      <c r="L471" s="91" t="str">
        <f t="shared" ref="L471:L472" si="355">F471 &amp; ". " &amp;I471</f>
        <v>168. </v>
      </c>
    </row>
    <row r="472" hidden="1">
      <c r="A472" s="67" t="s">
        <v>139</v>
      </c>
      <c r="B472" s="69" t="s">
        <v>3171</v>
      </c>
      <c r="C472" s="31"/>
      <c r="D472" s="31"/>
      <c r="E472" s="31"/>
      <c r="F472" s="89">
        <v>169.0</v>
      </c>
      <c r="G472" s="91" t="str">
        <f>IFERROR(__xludf.DUMMYFUNCTION("TRIM(REGEXREPLACE(C472, ""[0-9]+[a-f]?\."", """"))"),"")</f>
        <v/>
      </c>
      <c r="H472" s="91" t="str">
        <f>IFERROR(__xludf.DUMMYFUNCTION("TRIM(REGEXREPLACE(D472, ""[0-9]+[a-f]?\."", """"))"),"")</f>
        <v/>
      </c>
      <c r="I472" s="91" t="str">
        <f>IFERROR(__xludf.DUMMYFUNCTION("TRIM(REGEXREPLACE(E472, ""[0-9]+[a-f]?\."", """"))"),"")</f>
        <v/>
      </c>
      <c r="J472" s="91" t="str">
        <f t="shared" si="353"/>
        <v>169. </v>
      </c>
      <c r="K472" s="91" t="str">
        <f t="shared" si="354"/>
        <v>169. </v>
      </c>
      <c r="L472" s="91" t="str">
        <f t="shared" si="355"/>
        <v>169. </v>
      </c>
    </row>
    <row r="473" hidden="1">
      <c r="A473" s="67" t="s">
        <v>108</v>
      </c>
      <c r="B473" s="69" t="s">
        <v>3175</v>
      </c>
      <c r="C473" s="31"/>
      <c r="D473" s="31"/>
      <c r="E473" s="31"/>
      <c r="F473" s="89">
        <v>271.0</v>
      </c>
      <c r="G473" s="91" t="str">
        <f>IFERROR(__xludf.DUMMYFUNCTION("TRIM(REGEXREPLACE(C473, ""[0-9]+[a-f]?\."", """"))"),"")</f>
        <v/>
      </c>
      <c r="H473" s="91" t="str">
        <f>IFERROR(__xludf.DUMMYFUNCTION("TRIM(REGEXREPLACE(D473, ""[0-9]+[a-f]?\."", """"))"),"")</f>
        <v/>
      </c>
      <c r="I473" s="91" t="str">
        <f>IFERROR(__xludf.DUMMYFUNCTION("TRIM(REGEXREPLACE(E473, ""[0-9]+[a-f]?\."", """"))"),"")</f>
        <v/>
      </c>
      <c r="J473" s="91" t="s">
        <v>3178</v>
      </c>
      <c r="K473" s="91" t="s">
        <v>3180</v>
      </c>
      <c r="L473" s="91" t="s">
        <v>3181</v>
      </c>
    </row>
    <row r="474" hidden="1">
      <c r="A474" s="144" t="s">
        <v>691</v>
      </c>
      <c r="B474" s="150" t="s">
        <v>2674</v>
      </c>
      <c r="C474" s="31" t="s">
        <v>2675</v>
      </c>
      <c r="D474" s="31"/>
      <c r="E474" s="31"/>
      <c r="F474" s="89">
        <v>275.0</v>
      </c>
      <c r="G474" s="91" t="str">
        <f>IFERROR(__xludf.DUMMYFUNCTION("TRIM(REGEXREPLACE(C474, ""[0-9]+[a-f]?\."", """"))"),"Roster")</f>
        <v>Roster</v>
      </c>
      <c r="H474" s="91" t="str">
        <f>IFERROR(__xludf.DUMMYFUNCTION("TRIM(REGEXREPLACE(D474, ""[0-9]+[a-f]?\."", """"))"),"")</f>
        <v/>
      </c>
      <c r="I474" s="91" t="str">
        <f>IFERROR(__xludf.DUMMYFUNCTION("TRIM(REGEXREPLACE(E474, ""[0-9]+[a-f]?\."", """"))"),"")</f>
        <v/>
      </c>
      <c r="J474" s="91" t="s">
        <v>3182</v>
      </c>
      <c r="K474" s="91" t="s">
        <v>3183</v>
      </c>
      <c r="L474" s="91" t="s">
        <v>3184</v>
      </c>
    </row>
    <row r="475" hidden="1">
      <c r="A475" s="135"/>
      <c r="B475" s="135"/>
      <c r="C475" s="31"/>
      <c r="D475" s="31"/>
      <c r="E475" s="31"/>
      <c r="F475" s="89">
        <v>277.0</v>
      </c>
      <c r="G475" s="91" t="str">
        <f>IFERROR(__xludf.DUMMYFUNCTION("TRIM(REGEXREPLACE(C475, ""[0-9]+[a-f]?\."", """"))"),"")</f>
        <v/>
      </c>
      <c r="H475" s="91" t="str">
        <f>IFERROR(__xludf.DUMMYFUNCTION("TRIM(REGEXREPLACE(D475, ""[0-9]+[a-f]?\."", """"))"),"")</f>
        <v/>
      </c>
      <c r="I475" s="91" t="str">
        <f>IFERROR(__xludf.DUMMYFUNCTION("TRIM(REGEXREPLACE(E475, ""[0-9]+[a-f]?\."", """"))"),"")</f>
        <v/>
      </c>
    </row>
    <row r="476" hidden="1">
      <c r="A476" s="104" t="s">
        <v>108</v>
      </c>
      <c r="B476" s="106" t="s">
        <v>3185</v>
      </c>
      <c r="C476" s="31" t="s">
        <v>3186</v>
      </c>
      <c r="D476" s="31" t="s">
        <v>3187</v>
      </c>
      <c r="E476" s="31" t="s">
        <v>3188</v>
      </c>
      <c r="F476" s="89">
        <v>276.0</v>
      </c>
      <c r="G476" s="91" t="str">
        <f>IFERROR(__xludf.DUMMYFUNCTION("TRIM(REGEXREPLACE(C476, ""[0-9]+[a-f]?\."", """"))"),"Members 7+")</f>
        <v>Members 7+</v>
      </c>
      <c r="H476" s="91" t="str">
        <f>IFERROR(__xludf.DUMMYFUNCTION("TRIM(REGEXREPLACE(D476, ""[0-9]+[a-f]?\."", """"))"),"Membres 7+")</f>
        <v>Membres 7+</v>
      </c>
      <c r="I476" s="91" t="str">
        <f>IFERROR(__xludf.DUMMYFUNCTION("TRIM(REGEXREPLACE(E476, ""[0-9]+[a-f]?\."", """"))"),"Membobi 7+")</f>
        <v>Membobi 7+</v>
      </c>
      <c r="J476" s="91" t="s">
        <v>3189</v>
      </c>
      <c r="K476" s="91" t="s">
        <v>3190</v>
      </c>
      <c r="L476" s="91" t="s">
        <v>3190</v>
      </c>
    </row>
    <row r="477" hidden="1">
      <c r="A477" s="104" t="s">
        <v>108</v>
      </c>
      <c r="B477" s="251" t="s">
        <v>3191</v>
      </c>
      <c r="C477" s="31" t="s">
        <v>3195</v>
      </c>
      <c r="D477" s="31"/>
      <c r="E477" s="31"/>
      <c r="F477" s="89">
        <v>277.0</v>
      </c>
      <c r="G477" s="91" t="str">
        <f>IFERROR(__xludf.DUMMYFUNCTION("TRIM(REGEXREPLACE(C477, ""[0-9]+[a-f]?\."", """"))"),"Members Living in HH")</f>
        <v>Members Living in HH</v>
      </c>
      <c r="H477" s="91" t="str">
        <f>IFERROR(__xludf.DUMMYFUNCTION("TRIM(REGEXREPLACE(D477, ""[0-9]+[a-f]?\."", """"))"),"")</f>
        <v/>
      </c>
      <c r="I477" s="91" t="str">
        <f>IFERROR(__xludf.DUMMYFUNCTION("TRIM(REGEXREPLACE(E477, ""[0-9]+[a-f]?\."", """"))"),"")</f>
        <v/>
      </c>
      <c r="J477" s="91" t="s">
        <v>3196</v>
      </c>
      <c r="K477" s="91" t="s">
        <v>3197</v>
      </c>
      <c r="L477" s="91" t="s">
        <v>3197</v>
      </c>
    </row>
    <row r="478" hidden="1">
      <c r="A478" s="104" t="s">
        <v>108</v>
      </c>
      <c r="B478" s="251" t="s">
        <v>3198</v>
      </c>
      <c r="C478" s="31"/>
      <c r="D478" s="31"/>
      <c r="E478" s="31"/>
      <c r="F478" s="89">
        <v>170.0</v>
      </c>
      <c r="G478" s="91" t="str">
        <f>IFERROR(__xludf.DUMMYFUNCTION("TRIM(REGEXREPLACE(C478, ""[0-9]+[a-f]?\."", """"))"),"")</f>
        <v/>
      </c>
      <c r="H478" s="91" t="str">
        <f>IFERROR(__xludf.DUMMYFUNCTION("TRIM(REGEXREPLACE(D478, ""[0-9]+[a-f]?\."", """"))"),"")</f>
        <v/>
      </c>
      <c r="I478" s="91" t="str">
        <f>IFERROR(__xludf.DUMMYFUNCTION("TRIM(REGEXREPLACE(E478, ""[0-9]+[a-f]?\."", """"))"),"")</f>
        <v/>
      </c>
      <c r="J478" s="91" t="str">
        <f t="shared" ref="J478:J479" si="356">F478 &amp; ". " &amp;G478</f>
        <v>170. </v>
      </c>
      <c r="K478" s="91" t="str">
        <f t="shared" ref="K478:K479" si="357">F478 &amp; ". " &amp;H478</f>
        <v>170. </v>
      </c>
      <c r="L478" s="91" t="str">
        <f t="shared" ref="L478:L479" si="358">F478 &amp; ". " &amp;I478</f>
        <v>170. </v>
      </c>
    </row>
    <row r="479" hidden="1">
      <c r="A479" s="249" t="s">
        <v>108</v>
      </c>
      <c r="B479" s="187" t="s">
        <v>3199</v>
      </c>
      <c r="C479" s="31"/>
      <c r="D479" s="31"/>
      <c r="E479" s="31"/>
      <c r="F479" s="89">
        <v>171.0</v>
      </c>
      <c r="G479" s="91" t="str">
        <f>IFERROR(__xludf.DUMMYFUNCTION("TRIM(REGEXREPLACE(C479, ""[0-9]+[a-f]?\."", """"))"),"")</f>
        <v/>
      </c>
      <c r="H479" s="91" t="str">
        <f>IFERROR(__xludf.DUMMYFUNCTION("TRIM(REGEXREPLACE(D479, ""[0-9]+[a-f]?\."", """"))"),"")</f>
        <v/>
      </c>
      <c r="I479" s="91" t="str">
        <f>IFERROR(__xludf.DUMMYFUNCTION("TRIM(REGEXREPLACE(E479, ""[0-9]+[a-f]?\."", """"))"),"")</f>
        <v/>
      </c>
      <c r="J479" s="91" t="str">
        <f t="shared" si="356"/>
        <v>171. </v>
      </c>
      <c r="K479" s="91" t="str">
        <f t="shared" si="357"/>
        <v>171. </v>
      </c>
      <c r="L479" s="91" t="str">
        <f t="shared" si="358"/>
        <v>171. </v>
      </c>
    </row>
    <row r="480" hidden="1">
      <c r="A480" s="249" t="s">
        <v>108</v>
      </c>
      <c r="B480" s="187" t="s">
        <v>3200</v>
      </c>
      <c r="C480" s="31"/>
      <c r="D480" s="31"/>
      <c r="E480" s="31"/>
      <c r="F480" s="89">
        <v>283.0</v>
      </c>
      <c r="G480" s="91" t="str">
        <f>IFERROR(__xludf.DUMMYFUNCTION("TRIM(REGEXREPLACE(C480, ""[0-9]+[a-f]?\."", """"))"),"")</f>
        <v/>
      </c>
      <c r="H480" s="91" t="str">
        <f>IFERROR(__xludf.DUMMYFUNCTION("TRIM(REGEXREPLACE(D480, ""[0-9]+[a-f]?\."", """"))"),"")</f>
        <v/>
      </c>
      <c r="I480" s="91" t="str">
        <f>IFERROR(__xludf.DUMMYFUNCTION("TRIM(REGEXREPLACE(E480, ""[0-9]+[a-f]?\."", """"))"),"")</f>
        <v/>
      </c>
      <c r="J480" s="91" t="s">
        <v>3201</v>
      </c>
      <c r="K480" s="91" t="s">
        <v>3202</v>
      </c>
      <c r="L480" s="91" t="s">
        <v>3203</v>
      </c>
    </row>
    <row r="481" hidden="1">
      <c r="A481" s="249" t="s">
        <v>108</v>
      </c>
      <c r="B481" s="187" t="s">
        <v>3204</v>
      </c>
      <c r="C481" s="31"/>
      <c r="D481" s="31"/>
      <c r="E481" s="31"/>
      <c r="F481" s="89">
        <v>172.0</v>
      </c>
      <c r="G481" s="91" t="str">
        <f>IFERROR(__xludf.DUMMYFUNCTION("TRIM(REGEXREPLACE(C481, ""[0-9]+[a-f]?\."", """"))"),"")</f>
        <v/>
      </c>
      <c r="H481" s="91" t="str">
        <f>IFERROR(__xludf.DUMMYFUNCTION("TRIM(REGEXREPLACE(D481, ""[0-9]+[a-f]?\."", """"))"),"")</f>
        <v/>
      </c>
      <c r="I481" s="91" t="str">
        <f>IFERROR(__xludf.DUMMYFUNCTION("TRIM(REGEXREPLACE(E481, ""[0-9]+[a-f]?\."", """"))"),"")</f>
        <v/>
      </c>
      <c r="J481" s="91" t="str">
        <f>F481 &amp; ". " &amp;G481</f>
        <v>172. </v>
      </c>
      <c r="K481" s="91" t="str">
        <f>F481 &amp; ". " &amp;H481</f>
        <v>172. </v>
      </c>
      <c r="L481" s="91" t="str">
        <f>F481 &amp; ". " &amp;I481</f>
        <v>172. </v>
      </c>
    </row>
    <row r="482" hidden="1">
      <c r="A482" s="249" t="s">
        <v>108</v>
      </c>
      <c r="B482" s="187" t="s">
        <v>3205</v>
      </c>
      <c r="C482" s="31"/>
      <c r="D482" s="31"/>
      <c r="E482" s="31"/>
      <c r="F482" s="89">
        <v>278.0</v>
      </c>
      <c r="G482" s="91" t="str">
        <f>IFERROR(__xludf.DUMMYFUNCTION("TRIM(REGEXREPLACE(C482, ""[0-9]+[a-f]?\."", """"))"),"")</f>
        <v/>
      </c>
      <c r="H482" s="91" t="str">
        <f>IFERROR(__xludf.DUMMYFUNCTION("TRIM(REGEXREPLACE(D482, ""[0-9]+[a-f]?\."", """"))"),"")</f>
        <v/>
      </c>
      <c r="I482" s="91" t="str">
        <f>IFERROR(__xludf.DUMMYFUNCTION("TRIM(REGEXREPLACE(E482, ""[0-9]+[a-f]?\."", """"))"),"")</f>
        <v/>
      </c>
    </row>
    <row r="483" hidden="1">
      <c r="A483" s="169"/>
      <c r="B483" s="169"/>
      <c r="C483" s="31"/>
      <c r="D483" s="31"/>
      <c r="E483" s="31"/>
      <c r="F483" s="89">
        <v>173.0</v>
      </c>
      <c r="G483" s="91" t="str">
        <f>IFERROR(__xludf.DUMMYFUNCTION("TRIM(REGEXREPLACE(C483, ""[0-9]+[a-f]?\."", """"))"),"")</f>
        <v/>
      </c>
      <c r="H483" s="91" t="str">
        <f>IFERROR(__xludf.DUMMYFUNCTION("TRIM(REGEXREPLACE(D483, ""[0-9]+[a-f]?\."", """"))"),"")</f>
        <v/>
      </c>
      <c r="I483" s="91" t="str">
        <f>IFERROR(__xludf.DUMMYFUNCTION("TRIM(REGEXREPLACE(E483, ""[0-9]+[a-f]?\."", """"))"),"")</f>
        <v/>
      </c>
      <c r="J483" s="91" t="str">
        <f t="shared" ref="J483:J484" si="359">F483 &amp; ". " &amp;G483</f>
        <v>173. </v>
      </c>
      <c r="K483" s="91" t="str">
        <f t="shared" ref="K483:K484" si="360">F483 &amp; ". " &amp;H483</f>
        <v>173. </v>
      </c>
      <c r="L483" s="91" t="str">
        <f t="shared" ref="L483:L484" si="361">F483 &amp; ". " &amp;I483</f>
        <v>173. </v>
      </c>
    </row>
    <row r="484" hidden="1">
      <c r="A484" s="122" t="s">
        <v>150</v>
      </c>
      <c r="B484" s="123" t="s">
        <v>3214</v>
      </c>
      <c r="C484" s="31" t="s">
        <v>3215</v>
      </c>
      <c r="D484" s="31"/>
      <c r="E484" s="31"/>
      <c r="F484" s="89">
        <v>174.0</v>
      </c>
      <c r="G484" s="91" t="str">
        <f>IFERROR(__xludf.DUMMYFUNCTION("TRIM(REGEXREPLACE(C484, ""[0-9]+[a-f]?\."", """"))"),"Household Resources")</f>
        <v>Household Resources</v>
      </c>
      <c r="H484" s="91" t="str">
        <f>IFERROR(__xludf.DUMMYFUNCTION("TRIM(REGEXREPLACE(D484, ""[0-9]+[a-f]?\."", """"))"),"")</f>
        <v/>
      </c>
      <c r="I484" s="91" t="str">
        <f>IFERROR(__xludf.DUMMYFUNCTION("TRIM(REGEXREPLACE(E484, ""[0-9]+[a-f]?\."", """"))"),"")</f>
        <v/>
      </c>
      <c r="J484" s="91" t="str">
        <f t="shared" si="359"/>
        <v>174. Household Resources</v>
      </c>
      <c r="K484" s="91" t="str">
        <f t="shared" si="360"/>
        <v>174. </v>
      </c>
      <c r="L484" s="91" t="str">
        <f t="shared" si="361"/>
        <v>174. </v>
      </c>
    </row>
    <row r="485">
      <c r="A485" s="126" t="s">
        <v>42</v>
      </c>
      <c r="B485" s="127" t="s">
        <v>3220</v>
      </c>
      <c r="C485" s="31" t="s">
        <v>3222</v>
      </c>
      <c r="D485" s="31" t="s">
        <v>3224</v>
      </c>
      <c r="E485" s="31" t="s">
        <v>3225</v>
      </c>
      <c r="F485" s="89">
        <v>279.0</v>
      </c>
      <c r="G485" s="91" t="str">
        <f>IFERROR(__xludf.DUMMYFUNCTION("TRIM(REGEXREPLACE(C485, ""[0-9]+[a-f]?\."", """"))"),"Now I will ask you about how your household manages its resources.")</f>
        <v>Now I will ask you about how your household manages its resources.</v>
      </c>
      <c r="H485" s="91" t="str">
        <f>IFERROR(__xludf.DUMMYFUNCTION("TRIM(REGEXREPLACE(D485, ""[0-9]+[a-f]?\."", """"))"),"Je vais maintenant vous demander comment votre ménage gère ses ressources.")</f>
        <v>Je vais maintenant vous demander comment votre ménage gère ses ressources.</v>
      </c>
      <c r="I485" s="91" t="str">
        <f>IFERROR(__xludf.DUMMYFUNCTION("TRIM(REGEXREPLACE(E485, ""[0-9]+[a-f]?\."", """"))"),"Yanzu zan tambaye ku yadda gidanku yake sarrafa dukiyoyinshi.")</f>
        <v>Yanzu zan tambaye ku yadda gidanku yake sarrafa dukiyoyinshi.</v>
      </c>
      <c r="J485" s="91" t="str">
        <f t="shared" ref="J485:J489" si="363">F485&amp;". "&amp;G485</f>
        <v>279. Now I will ask you about how your household manages its resources.</v>
      </c>
      <c r="K485" s="91" t="str">
        <f t="shared" ref="K485:L485" si="362">$F485&amp;". "&amp;H485</f>
        <v>279. Je vais maintenant vous demander comment votre ménage gère ses ressources.</v>
      </c>
      <c r="L485" s="91" t="str">
        <f t="shared" si="362"/>
        <v>279. Yanzu zan tambaye ku yadda gidanku yake sarrafa dukiyoyinshi.</v>
      </c>
    </row>
    <row r="486">
      <c r="A486" s="81" t="s">
        <v>485</v>
      </c>
      <c r="B486" s="142" t="s">
        <v>3226</v>
      </c>
      <c r="C486" s="31" t="s">
        <v>3228</v>
      </c>
      <c r="D486" s="31" t="s">
        <v>3229</v>
      </c>
      <c r="E486" s="31" t="s">
        <v>3233</v>
      </c>
      <c r="F486" s="89">
        <v>280.0</v>
      </c>
      <c r="G486" s="91" t="str">
        <f>IFERROR(__xludf.DUMMYFUNCTION("TRIM(REGEXREPLACE(C486, ""[0-9]+[a-f]?\."", """"))"),"Do you or another member of the household own this house?")</f>
        <v>Do you or another member of the household own this house?</v>
      </c>
      <c r="H486" s="91" t="str">
        <f>IFERROR(__xludf.DUMMYFUNCTION("TRIM(REGEXREPLACE(D486, ""[0-9]+[a-f]?\."", """"))"),"Est-ce que vous ou un autre membre du ménage êtes propriétaire de cette maison ?")</f>
        <v>Est-ce que vous ou un autre membre du ménage êtes propriétaire de cette maison ?</v>
      </c>
      <c r="I486" s="91" t="str">
        <f>IFERROR(__xludf.DUMMYFUNCTION("TRIM(REGEXREPLACE(E486, ""[0-9]+[a-f]?\."", """"))"),"Shin wannan gidan mallakarku ne kai ko wani dan cikin gidan ?")</f>
        <v>Shin wannan gidan mallakarku ne kai ko wani dan cikin gidan ?</v>
      </c>
      <c r="J486" s="91" t="str">
        <f t="shared" si="363"/>
        <v>280. Do you or another member of the household own this house?</v>
      </c>
      <c r="K486" s="91" t="str">
        <f t="shared" ref="K486:L486" si="364">$F486&amp;". "&amp;H486</f>
        <v>280. Est-ce que vous ou un autre membre du ménage êtes propriétaire de cette maison ?</v>
      </c>
      <c r="L486" s="91" t="str">
        <f t="shared" si="364"/>
        <v>280. Shin wannan gidan mallakarku ne kai ko wani dan cikin gidan ?</v>
      </c>
    </row>
    <row r="487">
      <c r="A487" s="146" t="s">
        <v>237</v>
      </c>
      <c r="B487" s="147" t="s">
        <v>3237</v>
      </c>
      <c r="C487" s="31" t="s">
        <v>3238</v>
      </c>
      <c r="D487" s="31" t="s">
        <v>3239</v>
      </c>
      <c r="E487" s="31" t="s">
        <v>3240</v>
      </c>
      <c r="F487" s="89">
        <v>281.0</v>
      </c>
      <c r="G487" s="91" t="str">
        <f>IFERROR(__xludf.DUMMYFUNCTION("TRIM(REGEXREPLACE(C487, ""[0-9]+[a-f]?\."", """"))"),"What is your best estimate of the value of your home in CFA?")</f>
        <v>What is your best estimate of the value of your home in CFA?</v>
      </c>
      <c r="H487" s="91" t="str">
        <f>IFERROR(__xludf.DUMMYFUNCTION("TRIM(REGEXREPLACE(D487, ""[0-9]+[a-f]?\."", """"))"),"Quelle est votre meilleure estimation de la valeur de votre maison en CFA ?")</f>
        <v>Quelle est votre meilleure estimation de la valeur de votre maison en CFA ?</v>
      </c>
      <c r="I487" s="91" t="str">
        <f>IFERROR(__xludf.DUMMYFUNCTION("TRIM(REGEXREPLACE(E487, ""[0-9]+[a-f]?\."", """"))"),"A ganinka wannan gidan aƙalla ya yi nawa a kudin CFA ?")</f>
        <v>A ganinka wannan gidan aƙalla ya yi nawa a kudin CFA ?</v>
      </c>
      <c r="J487" s="91" t="str">
        <f t="shared" si="363"/>
        <v>281. What is your best estimate of the value of your home in CFA?</v>
      </c>
      <c r="K487" s="91" t="str">
        <f t="shared" ref="K487:L487" si="365">$F487&amp;". "&amp;H487</f>
        <v>281. Quelle est votre meilleure estimation de la valeur de votre maison en CFA ?</v>
      </c>
      <c r="L487" s="91" t="str">
        <f t="shared" si="365"/>
        <v>281. A ganinka wannan gidan aƙalla ya yi nawa a kudin CFA ?</v>
      </c>
    </row>
    <row r="488">
      <c r="A488" s="81" t="s">
        <v>3244</v>
      </c>
      <c r="B488" s="142" t="s">
        <v>3245</v>
      </c>
      <c r="C488" s="31" t="s">
        <v>3246</v>
      </c>
      <c r="D488" s="31" t="s">
        <v>3247</v>
      </c>
      <c r="E488" s="31" t="s">
        <v>3248</v>
      </c>
      <c r="F488" s="89">
        <v>282.0</v>
      </c>
      <c r="G488" s="91" t="str">
        <f>IFERROR(__xludf.DUMMYFUNCTION("TRIM(REGEXREPLACE(C488, ""[0-9]+[a-f]?\."", """"))"),"Does your household own the following goods?")</f>
        <v>Does your household own the following goods?</v>
      </c>
      <c r="H488" s="91" t="str">
        <f>IFERROR(__xludf.DUMMYFUNCTION("TRIM(REGEXREPLACE(D488, ""[0-9]+[a-f]?\."", """"))"),"Votre ménage possède-t-il les biens suivants ?")</f>
        <v>Votre ménage possède-t-il les biens suivants ?</v>
      </c>
      <c r="I488" s="91" t="str">
        <f>IFERROR(__xludf.DUMMYFUNCTION("TRIM(REGEXREPLACE(E488, ""[0-9]+[a-f]?\."", """"))"),"Ko gidanku na da kadarori masu zuwa?")</f>
        <v>Ko gidanku na da kadarori masu zuwa?</v>
      </c>
      <c r="J488" s="91" t="str">
        <f t="shared" si="363"/>
        <v>282. Does your household own the following goods?</v>
      </c>
      <c r="K488" s="91" t="str">
        <f t="shared" ref="K488:L488" si="366">$F488&amp;". "&amp;H488</f>
        <v>282. Votre ménage possède-t-il les biens suivants ?</v>
      </c>
      <c r="L488" s="91" t="str">
        <f t="shared" si="366"/>
        <v>282. Ko gidanku na da kadarori masu zuwa?</v>
      </c>
    </row>
    <row r="489">
      <c r="A489" s="81" t="s">
        <v>3252</v>
      </c>
      <c r="B489" s="142" t="s">
        <v>3253</v>
      </c>
      <c r="C489" s="31" t="s">
        <v>3254</v>
      </c>
      <c r="D489" s="31" t="s">
        <v>3255</v>
      </c>
      <c r="E489" s="31" t="s">
        <v>3256</v>
      </c>
      <c r="F489" s="89">
        <v>283.0</v>
      </c>
      <c r="G489" s="91" t="str">
        <f>IFERROR(__xludf.DUMMYFUNCTION("TRIM(REGEXREPLACE(C489, ""[0-9]+[a-f]?\."", """"))"),"Does your household own any of the following types of livestock?")</f>
        <v>Does your household own any of the following types of livestock?</v>
      </c>
      <c r="H489" s="91" t="str">
        <f>IFERROR(__xludf.DUMMYFUNCTION("TRIM(REGEXREPLACE(D489, ""[0-9]+[a-f]?\."", """"))"),"Votre ménage possède-t-il l'un des types de bétail suivants ?")</f>
        <v>Votre ménage possède-t-il l'un des types de bétail suivants ?</v>
      </c>
      <c r="I489" s="91" t="str">
        <f>IFERROR(__xludf.DUMMYFUNCTION("TRIM(REGEXREPLACE(E489, ""[0-9]+[a-f]?\."", """"))"),"ko gidanku yana da ɗaya daga cikin irin wadannan dabbobi?")</f>
        <v>ko gidanku yana da ɗaya daga cikin irin wadannan dabbobi?</v>
      </c>
      <c r="J489" s="91" t="str">
        <f t="shared" si="363"/>
        <v>283. Does your household own any of the following types of livestock?</v>
      </c>
      <c r="K489" s="91" t="str">
        <f t="shared" ref="K489:L489" si="367">$F489&amp;". "&amp;H489</f>
        <v>283. Votre ménage possède-t-il l'un des types de bétail suivants ?</v>
      </c>
      <c r="L489" s="91" t="str">
        <f t="shared" si="367"/>
        <v>283. ko gidanku yana da ɗaya daga cikin irin wadannan dabbobi?</v>
      </c>
    </row>
    <row r="490" hidden="1">
      <c r="A490" s="104" t="s">
        <v>139</v>
      </c>
      <c r="B490" s="141" t="s">
        <v>3257</v>
      </c>
      <c r="C490" s="31"/>
      <c r="D490" s="31"/>
      <c r="E490" s="31"/>
      <c r="F490" s="89">
        <v>284.0</v>
      </c>
      <c r="G490" s="91" t="str">
        <f>IFERROR(__xludf.DUMMYFUNCTION("TRIM(REGEXREPLACE(C490, ""[0-9]+[a-f]?\."", """"))"),"")</f>
        <v/>
      </c>
      <c r="H490" s="91" t="str">
        <f>IFERROR(__xludf.DUMMYFUNCTION("TRIM(REGEXREPLACE(D490, ""[0-9]+[a-f]?\."", """"))"),"")</f>
        <v/>
      </c>
      <c r="I490" s="91" t="str">
        <f>IFERROR(__xludf.DUMMYFUNCTION("TRIM(REGEXREPLACE(E490, ""[0-9]+[a-f]?\."", """"))"),"")</f>
        <v/>
      </c>
    </row>
    <row r="491" hidden="1">
      <c r="A491" s="144" t="s">
        <v>648</v>
      </c>
      <c r="B491" s="145" t="s">
        <v>3258</v>
      </c>
      <c r="C491" s="31" t="s">
        <v>3259</v>
      </c>
      <c r="D491" s="31" t="s">
        <v>3260</v>
      </c>
      <c r="E491" s="31" t="s">
        <v>3261</v>
      </c>
      <c r="F491" s="89">
        <v>283.0</v>
      </c>
      <c r="G491" s="91" t="str">
        <f>IFERROR(__xludf.DUMMYFUNCTION("TRIM(REGEXREPLACE(C491, ""[0-9]+[a-f]?\."", """"))"),"Assets")</f>
        <v>Assets</v>
      </c>
      <c r="H491" s="91" t="str">
        <f>IFERROR(__xludf.DUMMYFUNCTION("TRIM(REGEXREPLACE(D491, ""[0-9]+[a-f]?\."", """"))"),"Actifs")</f>
        <v>Actifs</v>
      </c>
      <c r="I491" s="91" t="str">
        <f>IFERROR(__xludf.DUMMYFUNCTION("TRIM(REGEXREPLACE(E491, ""[0-9]+[a-f]?\."", """"))"),"Kadara")</f>
        <v>Kadara</v>
      </c>
      <c r="J491" s="91" t="s">
        <v>3265</v>
      </c>
      <c r="K491" s="91" t="s">
        <v>3266</v>
      </c>
      <c r="L491" s="91" t="s">
        <v>3268</v>
      </c>
    </row>
    <row r="492" hidden="1">
      <c r="A492" s="104" t="s">
        <v>108</v>
      </c>
      <c r="B492" s="105" t="s">
        <v>3269</v>
      </c>
      <c r="C492" s="31" t="s">
        <v>3270</v>
      </c>
      <c r="D492" s="31" t="s">
        <v>3271</v>
      </c>
      <c r="E492" s="31" t="s">
        <v>3272</v>
      </c>
      <c r="F492" s="89">
        <v>284.0</v>
      </c>
      <c r="G492" s="91" t="str">
        <f>IFERROR(__xludf.DUMMYFUNCTION("TRIM(REGEXREPLACE(C492, ""[0-9]+[a-f]?\."", """"))"),"Asset Name")</f>
        <v>Asset Name</v>
      </c>
      <c r="H492" s="91" t="str">
        <f>IFERROR(__xludf.DUMMYFUNCTION("TRIM(REGEXREPLACE(D492, ""[0-9]+[a-f]?\."", """"))"),"Nom de l'actif")</f>
        <v>Nom de l'actif</v>
      </c>
      <c r="I492" s="91" t="str">
        <f>IFERROR(__xludf.DUMMYFUNCTION("TRIM(REGEXREPLACE(E492, ""[0-9]+[a-f]?\."", """"))"),"Sunan kadara")</f>
        <v>Sunan kadara</v>
      </c>
      <c r="J492" s="91" t="s">
        <v>3273</v>
      </c>
      <c r="K492" s="91" t="s">
        <v>3274</v>
      </c>
      <c r="L492" s="91" t="s">
        <v>3275</v>
      </c>
    </row>
    <row r="493">
      <c r="A493" s="146" t="s">
        <v>237</v>
      </c>
      <c r="B493" s="147" t="s">
        <v>3276</v>
      </c>
      <c r="C493" s="31" t="s">
        <v>3277</v>
      </c>
      <c r="D493" s="31" t="s">
        <v>3278</v>
      </c>
      <c r="E493" s="31" t="s">
        <v>3281</v>
      </c>
      <c r="F493" s="89">
        <v>284.0</v>
      </c>
      <c r="G493" s="91" t="str">
        <f>IFERROR(__xludf.DUMMYFUNCTION("TRIM(REGEXREPLACE(C493, ""[0-9]+[a-f]?\."", """"))"),"How many ${hoh_livestock_name} does your household own?")</f>
        <v>How many ${hoh_livestock_name} does your household own?</v>
      </c>
      <c r="H493" s="91" t="str">
        <f>IFERROR(__xludf.DUMMYFUNCTION("TRIM(REGEXREPLACE(D493, ""[0-9]+[a-f]?\."", """"))"),"Combien de ${hoh_livestock_name} votre ménage possède-t-il ?")</f>
        <v>Combien de ${hoh_livestock_name} votre ménage possède-t-il ?</v>
      </c>
      <c r="I493" s="91" t="str">
        <f>IFERROR(__xludf.DUMMYFUNCTION("TRIM(REGEXREPLACE(E493, ""[0-9]+[a-f]?\."", """"))"),"${hoh_livestock_name} Nawa gidan ku ya mallaka ?")</f>
        <v>${hoh_livestock_name} Nawa gidan ku ya mallaka ?</v>
      </c>
      <c r="J493" s="91" t="str">
        <f t="shared" ref="J493:J494" si="369">F493&amp;". "&amp;G493</f>
        <v>284. How many ${hoh_livestock_name} does your household own?</v>
      </c>
      <c r="K493" s="91" t="str">
        <f t="shared" ref="K493:L493" si="368">$F493&amp;". "&amp;H493</f>
        <v>284. Combien de ${hoh_livestock_name} votre ménage possède-t-il ?</v>
      </c>
      <c r="L493" s="91" t="str">
        <f t="shared" si="368"/>
        <v>284. ${hoh_livestock_name} Nawa gidan ku ya mallaka ?</v>
      </c>
    </row>
    <row r="494">
      <c r="A494" s="146" t="s">
        <v>237</v>
      </c>
      <c r="B494" s="147" t="s">
        <v>3283</v>
      </c>
      <c r="C494" s="31" t="s">
        <v>3284</v>
      </c>
      <c r="D494" s="31" t="s">
        <v>3285</v>
      </c>
      <c r="E494" s="31" t="s">
        <v>3286</v>
      </c>
      <c r="F494" s="89">
        <v>285.0</v>
      </c>
      <c r="G494" s="91" t="str">
        <f>IFERROR(__xludf.DUMMYFUNCTION("TRIM(REGEXREPLACE(C494, ""[0-9]+[a-f]?\."", """"))"),"How much is ${hoh_livestock_name} worth in CFA?")</f>
        <v>How much is ${hoh_livestock_name} worth in CFA?</v>
      </c>
      <c r="H494" s="91" t="str">
        <f>IFERROR(__xludf.DUMMYFUNCTION("TRIM(REGEXREPLACE(D494, ""[0-9]+[a-f]?\."", """"))"),"Combien vaut ${hoh_livestock_name} en CFA ?")</f>
        <v>Combien vaut ${hoh_livestock_name} en CFA ?</v>
      </c>
      <c r="I494" s="91" t="str">
        <f>IFERROR(__xludf.DUMMYFUNCTION("TRIM(REGEXREPLACE(E494, ""[0-9]+[a-f]?\."", """"))"),"Nawa ne kuɗin ${hoh_livestock_name} a sefa?")</f>
        <v>Nawa ne kuɗin ${hoh_livestock_name} a sefa?</v>
      </c>
      <c r="J494" s="91" t="str">
        <f t="shared" si="369"/>
        <v>285. How much is ${hoh_livestock_name} worth in CFA?</v>
      </c>
      <c r="K494" s="91" t="str">
        <f t="shared" ref="K494:L494" si="370">$F494&amp;". "&amp;H494</f>
        <v>285. Combien vaut ${hoh_livestock_name} en CFA ?</v>
      </c>
      <c r="L494" s="91" t="str">
        <f t="shared" si="370"/>
        <v>285. Nawa ne kuɗin ${hoh_livestock_name} a sefa?</v>
      </c>
    </row>
    <row r="495" hidden="1">
      <c r="A495" s="144" t="s">
        <v>691</v>
      </c>
      <c r="B495" s="150" t="s">
        <v>3258</v>
      </c>
      <c r="C495" s="31" t="s">
        <v>3259</v>
      </c>
      <c r="D495" s="31" t="s">
        <v>3260</v>
      </c>
      <c r="E495" s="31" t="s">
        <v>3261</v>
      </c>
      <c r="F495" s="89">
        <v>282.0</v>
      </c>
      <c r="G495" s="91" t="str">
        <f>IFERROR(__xludf.DUMMYFUNCTION("TRIM(REGEXREPLACE(C495, ""[0-9]+[a-f]?\."", """"))"),"Assets")</f>
        <v>Assets</v>
      </c>
      <c r="H495" s="91" t="str">
        <f>IFERROR(__xludf.DUMMYFUNCTION("TRIM(REGEXREPLACE(D495, ""[0-9]+[a-f]?\."", """"))"),"Actifs")</f>
        <v>Actifs</v>
      </c>
      <c r="I495" s="91" t="str">
        <f>IFERROR(__xludf.DUMMYFUNCTION("TRIM(REGEXREPLACE(E495, ""[0-9]+[a-f]?\."", """"))"),"Kadara")</f>
        <v>Kadara</v>
      </c>
      <c r="J495" s="91" t="s">
        <v>3291</v>
      </c>
      <c r="K495" s="91" t="s">
        <v>3293</v>
      </c>
      <c r="L495" s="91" t="s">
        <v>3294</v>
      </c>
    </row>
    <row r="496" hidden="1">
      <c r="A496" s="104" t="s">
        <v>139</v>
      </c>
      <c r="B496" s="141" t="s">
        <v>3297</v>
      </c>
      <c r="C496" s="31"/>
      <c r="D496" s="31"/>
      <c r="E496" s="31"/>
      <c r="F496" s="89">
        <v>283.0</v>
      </c>
      <c r="G496" s="91" t="str">
        <f>IFERROR(__xludf.DUMMYFUNCTION("TRIM(REGEXREPLACE(C496, ""[0-9]+[a-f]?\."", """"))"),"")</f>
        <v/>
      </c>
      <c r="H496" s="91" t="str">
        <f>IFERROR(__xludf.DUMMYFUNCTION("TRIM(REGEXREPLACE(D496, ""[0-9]+[a-f]?\."", """"))"),"")</f>
        <v/>
      </c>
      <c r="I496" s="91" t="str">
        <f>IFERROR(__xludf.DUMMYFUNCTION("TRIM(REGEXREPLACE(E496, ""[0-9]+[a-f]?\."", """"))"),"")</f>
        <v/>
      </c>
      <c r="J496" s="91" t="s">
        <v>3298</v>
      </c>
      <c r="K496" s="91" t="s">
        <v>3299</v>
      </c>
      <c r="L496" s="91" t="s">
        <v>3300</v>
      </c>
    </row>
    <row r="497" hidden="1">
      <c r="A497" s="67" t="s">
        <v>108</v>
      </c>
      <c r="B497" s="69" t="s">
        <v>3301</v>
      </c>
      <c r="C497" s="31"/>
      <c r="D497" s="31"/>
      <c r="E497" s="31"/>
      <c r="F497" s="89">
        <v>177.0</v>
      </c>
      <c r="G497" s="91" t="str">
        <f>IFERROR(__xludf.DUMMYFUNCTION("TRIM(REGEXREPLACE(C497, ""[0-9]+[a-f]?\."", """"))"),"")</f>
        <v/>
      </c>
      <c r="H497" s="91" t="str">
        <f>IFERROR(__xludf.DUMMYFUNCTION("TRIM(REGEXREPLACE(D497, ""[0-9]+[a-f]?\."", """"))"),"")</f>
        <v/>
      </c>
      <c r="I497" s="91" t="str">
        <f>IFERROR(__xludf.DUMMYFUNCTION("TRIM(REGEXREPLACE(E497, ""[0-9]+[a-f]?\."", """"))"),"")</f>
        <v/>
      </c>
      <c r="J497" s="91" t="str">
        <f>F497 &amp; ". " &amp;G497</f>
        <v>177. </v>
      </c>
      <c r="K497" s="91" t="str">
        <f>F497 &amp; ". " &amp;H497</f>
        <v>177. </v>
      </c>
      <c r="L497" s="91" t="str">
        <f>F497 &amp; ". " &amp;I497</f>
        <v>177. </v>
      </c>
    </row>
    <row r="498" hidden="1">
      <c r="A498" s="104" t="s">
        <v>139</v>
      </c>
      <c r="B498" s="141" t="s">
        <v>3308</v>
      </c>
      <c r="C498" s="31"/>
      <c r="D498" s="31"/>
      <c r="E498" s="31"/>
      <c r="F498" s="89">
        <v>287.0</v>
      </c>
      <c r="G498" s="91" t="str">
        <f>IFERROR(__xludf.DUMMYFUNCTION("TRIM(REGEXREPLACE(C498, ""[0-9]+[a-f]?\."", """"))"),"")</f>
        <v/>
      </c>
      <c r="H498" s="91" t="str">
        <f>IFERROR(__xludf.DUMMYFUNCTION("TRIM(REGEXREPLACE(D498, ""[0-9]+[a-f]?\."", """"))"),"")</f>
        <v/>
      </c>
      <c r="I498" s="91" t="str">
        <f>IFERROR(__xludf.DUMMYFUNCTION("TRIM(REGEXREPLACE(E498, ""[0-9]+[a-f]?\."", """"))"),"")</f>
        <v/>
      </c>
      <c r="J498" s="91" t="s">
        <v>3309</v>
      </c>
      <c r="K498" s="91" t="s">
        <v>3310</v>
      </c>
      <c r="L498" s="91" t="s">
        <v>3311</v>
      </c>
    </row>
    <row r="499">
      <c r="A499" s="126" t="s">
        <v>42</v>
      </c>
      <c r="B499" s="127" t="s">
        <v>3312</v>
      </c>
      <c r="C499" s="31" t="s">
        <v>3313</v>
      </c>
      <c r="D499" s="31" t="s">
        <v>3314</v>
      </c>
      <c r="E499" s="31" t="s">
        <v>3315</v>
      </c>
      <c r="F499" s="89">
        <v>286.0</v>
      </c>
      <c r="G499" s="91" t="str">
        <f>IFERROR(__xludf.DUMMYFUNCTION("TRIM(REGEXREPLACE(C499,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499" s="91" t="str">
        <f>IFERROR(__xludf.DUMMYFUNCTION("TRIM(REGEXREPLACE(D499, ""[0-9]+[a-f]?\."", """"))"),"Maintenant, nous allons parler des activités agricoles et d'élevage de votre ménage.
 Commençons par la dernière saison agricole")</f>
        <v>Maintenant, nous allons parler des activités agricoles et d'élevage de votre ménage.
 Commençons par la dernière saison agricole</v>
      </c>
      <c r="I499" s="91" t="str">
        <f>IFERROR(__xludf.DUMMYFUNCTION("TRIM(REGEXREPLACE(E499, ""[0-9]+[a-f]?\."", """"))"),"Yanzu za mu yi hira bisa aikin noma da kiwo na gidanku.")</f>
        <v>Yanzu za mu yi hira bisa aikin noma da kiwo na gidanku.</v>
      </c>
      <c r="J499" s="91" t="str">
        <f t="shared" ref="J499:J505" si="372">F499&amp;". "&amp;G499</f>
        <v>286. Now we'll talk about your households' agricultural and and animal husbandry activities. 
 Let's starting with the most recent agricultural season</v>
      </c>
      <c r="K499" s="91" t="str">
        <f t="shared" ref="K499:L499" si="371">$F499&amp;". "&amp;H499</f>
        <v>286. Maintenant, nous allons parler des activités agricoles et d'élevage de votre ménage.
 Commençons par la dernière saison agricole</v>
      </c>
      <c r="L499" s="91" t="str">
        <f t="shared" si="371"/>
        <v>286. Yanzu za mu yi hira bisa aikin noma da kiwo na gidanku.</v>
      </c>
    </row>
    <row r="500">
      <c r="A500" s="252" t="s">
        <v>259</v>
      </c>
      <c r="B500" s="253" t="s">
        <v>3319</v>
      </c>
      <c r="C500" s="31" t="s">
        <v>3320</v>
      </c>
      <c r="D500" s="31" t="s">
        <v>3321</v>
      </c>
      <c r="E500" s="31" t="s">
        <v>3323</v>
      </c>
      <c r="F500" s="89">
        <v>287.0</v>
      </c>
      <c r="G500" s="91" t="str">
        <f>IFERROR(__xludf.DUMMYFUNCTION("TRIM(REGEXREPLACE(C500,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500" s="91" t="str">
        <f>IFERROR(__xludf.DUMMYFUNCTION("TRIM(REGEXREPLACE(D500,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500" s="91" t="str">
        <f>IFERROR(__xludf.DUMMYFUNCTION("TRIM(REGEXREPLACE(E500, ""[0-9]+[a-f]?\."", """"))"),"A ganinka da gonakan da kuka mallaka da na haya da na aro wanda kuka noma a bana sun kai eka nawa?")</f>
        <v>A ganinka da gonakan da kuka mallaka da na haya da na aro wanda kuka noma a bana sun kai eka nawa?</v>
      </c>
      <c r="J500" s="91" t="str">
        <f t="shared" si="372"/>
        <v>287. Thinking of all the agricultural land your household owned, rented or and had access to during the last agricultural season, please estimate its total size in hectres</v>
      </c>
      <c r="K500" s="91" t="str">
        <f t="shared" ref="K500:L500" si="373">$F500&amp;". "&amp;H500</f>
        <v>287. En pensant à toutes les terres agricoles que votre ménage possédait, louait ou auxquelles il avait accès au cours de la dernière saison agricole, veuillez estimer leur superficie totale en hectares</v>
      </c>
      <c r="L500" s="91" t="str">
        <f t="shared" si="373"/>
        <v>287. A ganinka da gonakan da kuka mallaka da na haya da na aro wanda kuka noma a bana sun kai eka nawa?</v>
      </c>
    </row>
    <row r="501">
      <c r="A501" s="252" t="s">
        <v>259</v>
      </c>
      <c r="B501" s="253" t="s">
        <v>3326</v>
      </c>
      <c r="C501" s="31" t="s">
        <v>3327</v>
      </c>
      <c r="D501" s="31" t="s">
        <v>3328</v>
      </c>
      <c r="E501" s="31" t="s">
        <v>3329</v>
      </c>
      <c r="F501" s="89">
        <v>288.0</v>
      </c>
      <c r="G501" s="91" t="str">
        <f>IFERROR(__xludf.DUMMYFUNCTION("TRIM(REGEXREPLACE(C501, ""[0-9]+[a-f]?\."", """"))"),"How much of this land (in hectares) do you or another member of your household own?")</f>
        <v>How much of this land (in hectares) do you or another member of your household own?</v>
      </c>
      <c r="H501" s="91" t="str">
        <f>IFERROR(__xludf.DUMMYFUNCTION("TRIM(REGEXREPLACE(D501, ""[0-9]+[a-f]?\."", """"))"),"Quelle superficie de cette terre (en hectares) vous ou un autre membre de votre ménage possédez?")</f>
        <v>Quelle superficie de cette terre (en hectares) vous ou un autre membre de votre ménage possédez?</v>
      </c>
      <c r="I501" s="91" t="str">
        <f>IFERROR(__xludf.DUMMYFUNCTION("TRIM(REGEXREPLACE(E501, ""[0-9]+[a-f]?\."", """"))"),"Eka nawa ne mallakinku cikin wadannan gonakin, ku ko wani ɗan gidanku?")</f>
        <v>Eka nawa ne mallakinku cikin wadannan gonakin, ku ko wani ɗan gidanku?</v>
      </c>
      <c r="J501" s="91" t="str">
        <f t="shared" si="372"/>
        <v>288. How much of this land (in hectares) do you or another member of your household own?</v>
      </c>
      <c r="K501" s="91" t="str">
        <f t="shared" ref="K501:L501" si="374">$F501&amp;". "&amp;H501</f>
        <v>288. Quelle superficie de cette terre (en hectares) vous ou un autre membre de votre ménage possédez?</v>
      </c>
      <c r="L501" s="91" t="str">
        <f t="shared" si="374"/>
        <v>288. Eka nawa ne mallakinku cikin wadannan gonakin, ku ko wani ɗan gidanku?</v>
      </c>
    </row>
    <row r="502">
      <c r="A502" s="252" t="s">
        <v>259</v>
      </c>
      <c r="B502" s="253" t="s">
        <v>3330</v>
      </c>
      <c r="C502" s="31" t="s">
        <v>3331</v>
      </c>
      <c r="D502" s="31" t="s">
        <v>3332</v>
      </c>
      <c r="E502" s="31" t="s">
        <v>3333</v>
      </c>
      <c r="F502" s="89">
        <v>289.0</v>
      </c>
      <c r="G502" s="91" t="str">
        <f>IFERROR(__xludf.DUMMYFUNCTION("TRIM(REGEXREPLACE(C502, ""[0-9]+[a-f]?\."", """"))"),"How much of this land, if any have you sold in the past year?")</f>
        <v>How much of this land, if any have you sold in the past year?</v>
      </c>
      <c r="H502" s="91" t="str">
        <f>IFERROR(__xludf.DUMMYFUNCTION("TRIM(REGEXREPLACE(D502, ""[0-9]+[a-f]?\."", """"))"),"Quelle superficie de ce terrain, si c'est déjà arrivé, avez-vous vendu au cours de l'année écoulée ?")</f>
        <v>Quelle superficie de ce terrain, si c'est déjà arrivé, avez-vous vendu au cours de l'année écoulée ?</v>
      </c>
      <c r="I502" s="91" t="str">
        <f>IFERROR(__xludf.DUMMYFUNCTION("TRIM(REGEXREPLACE(E502, ""[0-9]+[a-f]?\."", """"))"),"Eka nawa ne kuka saida, idan ya taɓa faruwa, a cikin shekarar da ta gabata?")</f>
        <v>Eka nawa ne kuka saida, idan ya taɓa faruwa, a cikin shekarar da ta gabata?</v>
      </c>
      <c r="J502" s="91" t="str">
        <f t="shared" si="372"/>
        <v>289. How much of this land, if any have you sold in the past year?</v>
      </c>
      <c r="K502" s="91" t="str">
        <f t="shared" ref="K502:L502" si="375">$F502&amp;". "&amp;H502</f>
        <v>289. Quelle superficie de ce terrain, si c'est déjà arrivé, avez-vous vendu au cours de l'année écoulée ?</v>
      </c>
      <c r="L502" s="91" t="str">
        <f t="shared" si="375"/>
        <v>289. Eka nawa ne kuka saida, idan ya taɓa faruwa, a cikin shekarar da ta gabata?</v>
      </c>
    </row>
    <row r="503">
      <c r="A503" s="252" t="s">
        <v>259</v>
      </c>
      <c r="B503" s="253" t="s">
        <v>3337</v>
      </c>
      <c r="C503" s="31" t="s">
        <v>3338</v>
      </c>
      <c r="D503" s="31" t="s">
        <v>3339</v>
      </c>
      <c r="E503" s="31" t="s">
        <v>3340</v>
      </c>
      <c r="F503" s="89">
        <v>290.0</v>
      </c>
      <c r="G503" s="91" t="str">
        <f>IFERROR(__xludf.DUMMYFUNCTION("TRIM(REGEXREPLACE(C503, ""[0-9]+[a-f]?\."", """"))"),"How much of this land, if any have you purchased in the past year?")</f>
        <v>How much of this land, if any have you purchased in the past year?</v>
      </c>
      <c r="H503" s="91" t="str">
        <f>IFERROR(__xludf.DUMMYFUNCTION("TRIM(REGEXREPLACE(D503, ""[0-9]+[a-f]?\."", """"))"),"Quelle superficie de ce terrain, si c'est déjà arrivé, avez-vous acheté au cours de la dernière année ?")</f>
        <v>Quelle superficie de ce terrain, si c'est déjà arrivé, avez-vous acheté au cours de la dernière année ?</v>
      </c>
      <c r="I503" s="91" t="str">
        <f>IFERROR(__xludf.DUMMYFUNCTION("TRIM(REGEXREPLACE(E503, ""[0-9]+[a-f]?\."", """"))"),"Eka nawa ne kuka saye, idan ya faru, a cikin shekarar da ta gabata?")</f>
        <v>Eka nawa ne kuka saye, idan ya faru, a cikin shekarar da ta gabata?</v>
      </c>
      <c r="J503" s="91" t="str">
        <f t="shared" si="372"/>
        <v>290. How much of this land, if any have you purchased in the past year?</v>
      </c>
      <c r="K503" s="91" t="str">
        <f t="shared" ref="K503:L503" si="376">$F503&amp;". "&amp;H503</f>
        <v>290. Quelle superficie de ce terrain, si c'est déjà arrivé, avez-vous acheté au cours de la dernière année ?</v>
      </c>
      <c r="L503" s="91" t="str">
        <f t="shared" si="376"/>
        <v>290. Eka nawa ne kuka saye, idan ya faru, a cikin shekarar da ta gabata?</v>
      </c>
    </row>
    <row r="504">
      <c r="A504" s="252" t="s">
        <v>259</v>
      </c>
      <c r="B504" s="253" t="s">
        <v>3341</v>
      </c>
      <c r="C504" s="31" t="s">
        <v>3342</v>
      </c>
      <c r="D504" s="31" t="s">
        <v>3343</v>
      </c>
      <c r="E504" s="31" t="s">
        <v>3344</v>
      </c>
      <c r="F504" s="89">
        <v>291.0</v>
      </c>
      <c r="G504" s="91" t="str">
        <f>IFERROR(__xludf.DUMMYFUNCTION("TRIM(REGEXREPLACE(C504, ""[0-9]+[a-f]?\."", """"))"),"How much of this land (in hectares) did you rent during the last agricultural season?")</f>
        <v>How much of this land (in hectares) did you rent during the last agricultural season?</v>
      </c>
      <c r="H504" s="91" t="str">
        <f>IFERROR(__xludf.DUMMYFUNCTION("TRIM(REGEXREPLACE(D504, ""[0-9]+[a-f]?\."", """"))"),"Quelle superficie de cette terre (en hectares) avez-vous louée au cours de la dernière saison agricole ?")</f>
        <v>Quelle superficie de cette terre (en hectares) avez-vous louée au cours de la dernière saison agricole ?</v>
      </c>
      <c r="I504" s="91" t="str">
        <f>IFERROR(__xludf.DUMMYFUNCTION("TRIM(REGEXREPLACE(E504, ""[0-9]+[a-f]?\."", """"))"),"Eka nawa ne kuka yi haya a lokacin noman da ta wuce?")</f>
        <v>Eka nawa ne kuka yi haya a lokacin noman da ta wuce?</v>
      </c>
      <c r="J504" s="91" t="str">
        <f t="shared" si="372"/>
        <v>291. How much of this land (in hectares) did you rent during the last agricultural season?</v>
      </c>
      <c r="K504" s="91" t="str">
        <f t="shared" ref="K504:L504" si="377">$F504&amp;". "&amp;H504</f>
        <v>291. Quelle superficie de cette terre (en hectares) avez-vous louée au cours de la dernière saison agricole ?</v>
      </c>
      <c r="L504" s="91" t="str">
        <f t="shared" si="377"/>
        <v>291. Eka nawa ne kuka yi haya a lokacin noman da ta wuce?</v>
      </c>
    </row>
    <row r="505">
      <c r="A505" s="146" t="s">
        <v>237</v>
      </c>
      <c r="B505" s="147" t="s">
        <v>3345</v>
      </c>
      <c r="C505" s="31" t="s">
        <v>3346</v>
      </c>
      <c r="D505" s="31" t="s">
        <v>3347</v>
      </c>
      <c r="E505" s="31" t="s">
        <v>3348</v>
      </c>
      <c r="F505" s="89">
        <v>292.0</v>
      </c>
      <c r="G505" s="91" t="str">
        <f>IFERROR(__xludf.DUMMYFUNCTION("TRIM(REGEXREPLACE(C505, ""[0-9]+[a-f]?\."", """"))"),"How much did you pay to rent this land during the last agricultural season (in CFA)?")</f>
        <v>How much did you pay to rent this land during the last agricultural season (in CFA)?</v>
      </c>
      <c r="H505" s="91" t="str">
        <f>IFERROR(__xludf.DUMMYFUNCTION("TRIM(REGEXREPLACE(D505, ""[0-9]+[a-f]?\."", """"))"),"A combien avez-vous loué ce terrain (en CFA) au cours de la dernière saison agricole ?")</f>
        <v>A combien avez-vous loué ce terrain (en CFA) au cours de la dernière saison agricole ?</v>
      </c>
      <c r="I505" s="91" t="str">
        <f>IFERROR(__xludf.DUMMYFUNCTION("TRIM(REGEXREPLACE(E505, ""[0-9]+[a-f]?\."", """"))"),"A nawa kuka yi hayar wannan gonar a lokacin noman da ta wuce (a sefa)?")</f>
        <v>A nawa kuka yi hayar wannan gonar a lokacin noman da ta wuce (a sefa)?</v>
      </c>
      <c r="J505" s="91" t="str">
        <f t="shared" si="372"/>
        <v>292. How much did you pay to rent this land during the last agricultural season (in CFA)?</v>
      </c>
      <c r="K505" s="91" t="str">
        <f t="shared" ref="K505:L505" si="378">$F505&amp;". "&amp;H505</f>
        <v>292. A combien avez-vous loué ce terrain (en CFA) au cours de la dernière saison agricole ?</v>
      </c>
      <c r="L505" s="91" t="str">
        <f t="shared" si="378"/>
        <v>292. A nawa kuka yi hayar wannan gonar a lokacin noman da ta wuce (a sefa)?</v>
      </c>
    </row>
    <row r="506" hidden="1">
      <c r="A506" s="104" t="s">
        <v>139</v>
      </c>
      <c r="B506" s="141" t="s">
        <v>3356</v>
      </c>
      <c r="C506" s="31"/>
      <c r="D506" s="31"/>
      <c r="E506" s="31"/>
      <c r="F506" s="89">
        <v>290.0</v>
      </c>
      <c r="G506" s="91" t="str">
        <f>IFERROR(__xludf.DUMMYFUNCTION("TRIM(REGEXREPLACE(C506, ""[0-9]+[a-f]?\."", """"))"),"")</f>
        <v/>
      </c>
      <c r="H506" s="91" t="str">
        <f>IFERROR(__xludf.DUMMYFUNCTION("TRIM(REGEXREPLACE(D506, ""[0-9]+[a-f]?\."", """"))"),"")</f>
        <v/>
      </c>
      <c r="I506" s="91" t="str">
        <f>IFERROR(__xludf.DUMMYFUNCTION("TRIM(REGEXREPLACE(E506, ""[0-9]+[a-f]?\."", """"))"),"")</f>
        <v/>
      </c>
      <c r="J506" s="91" t="s">
        <v>3357</v>
      </c>
      <c r="K506" s="91" t="s">
        <v>3358</v>
      </c>
      <c r="L506" s="91" t="s">
        <v>3359</v>
      </c>
    </row>
    <row r="507" hidden="1">
      <c r="A507" s="67" t="s">
        <v>108</v>
      </c>
      <c r="B507" s="69" t="s">
        <v>3360</v>
      </c>
      <c r="C507" s="31"/>
      <c r="D507" s="31"/>
      <c r="E507" s="31"/>
      <c r="F507" s="89">
        <v>291.0</v>
      </c>
      <c r="G507" s="91" t="str">
        <f>IFERROR(__xludf.DUMMYFUNCTION("TRIM(REGEXREPLACE(C507, ""[0-9]+[a-f]?\."", """"))"),"")</f>
        <v/>
      </c>
      <c r="H507" s="91" t="str">
        <f>IFERROR(__xludf.DUMMYFUNCTION("TRIM(REGEXREPLACE(D507, ""[0-9]+[a-f]?\."", """"))"),"")</f>
        <v/>
      </c>
      <c r="I507" s="91" t="str">
        <f>IFERROR(__xludf.DUMMYFUNCTION("TRIM(REGEXREPLACE(E507, ""[0-9]+[a-f]?\."", """"))"),"")</f>
        <v/>
      </c>
      <c r="J507" s="91" t="s">
        <v>3361</v>
      </c>
      <c r="K507" s="91" t="s">
        <v>3362</v>
      </c>
      <c r="L507" s="91" t="s">
        <v>3363</v>
      </c>
    </row>
    <row r="508">
      <c r="A508" s="126" t="s">
        <v>42</v>
      </c>
      <c r="B508" s="127" t="s">
        <v>3365</v>
      </c>
      <c r="C508" s="31" t="s">
        <v>3367</v>
      </c>
      <c r="D508" s="31" t="s">
        <v>3369</v>
      </c>
      <c r="E508" s="31" t="s">
        <v>3370</v>
      </c>
      <c r="F508" s="89">
        <v>293.0</v>
      </c>
      <c r="G508" s="91" t="str">
        <f>IFERROR(__xludf.DUMMYFUNCTION("TRIM(REGEXREPLACE(C508, ""[0-9]+[a-f]?\."", """"))"),"Now we will focus on agricultural activities during last agricultural season")</f>
        <v>Now we will focus on agricultural activities during last agricultural season</v>
      </c>
      <c r="H508" s="91" t="str">
        <f>IFERROR(__xludf.DUMMYFUNCTION("TRIM(REGEXREPLACE(D508, ""[0-9]+[a-f]?\."", """"))"),"Maintenant, nous allons nous concentrer sur les activités agricoles au cours de la dernière saison agricole")</f>
        <v>Maintenant, nous allons nous concentrer sur les activités agricoles au cours de la dernière saison agricole</v>
      </c>
      <c r="I508" s="91" t="str">
        <f>IFERROR(__xludf.DUMMYFUNCTION("TRIM(REGEXREPLACE(E508, ""[0-9]+[a-f]?\."", """"))"),"Yanzu za mu maida hankali kan ayyukan noma a lokacin damanar da ta wuce")</f>
        <v>Yanzu za mu maida hankali kan ayyukan noma a lokacin damanar da ta wuce</v>
      </c>
      <c r="J508" s="91" t="str">
        <f t="shared" ref="J508:J510" si="380">F508&amp;". "&amp;G508</f>
        <v>293. Now we will focus on agricultural activities during last agricultural season</v>
      </c>
      <c r="K508" s="91" t="str">
        <f t="shared" ref="K508:L508" si="379">$F508&amp;". "&amp;H508</f>
        <v>293. Maintenant, nous allons nous concentrer sur les activités agricoles au cours de la dernière saison agricole</v>
      </c>
      <c r="L508" s="91" t="str">
        <f t="shared" si="379"/>
        <v>293. Yanzu za mu maida hankali kan ayyukan noma a lokacin damanar da ta wuce</v>
      </c>
    </row>
    <row r="509">
      <c r="A509" s="81" t="s">
        <v>3374</v>
      </c>
      <c r="B509" s="142" t="s">
        <v>3375</v>
      </c>
      <c r="C509" s="31" t="s">
        <v>3376</v>
      </c>
      <c r="D509" s="31" t="s">
        <v>3377</v>
      </c>
      <c r="E509" s="31" t="s">
        <v>3378</v>
      </c>
      <c r="F509" s="89">
        <v>294.0</v>
      </c>
      <c r="G509" s="91" t="str">
        <f>IFERROR(__xludf.DUMMYFUNCTION("TRIM(REGEXREPLACE(C509, ""[0-9]+[a-f]?\."", """"))"),"Which of the following crops did your household grow during the last agricultural season?")</f>
        <v>Which of the following crops did your household grow during the last agricultural season?</v>
      </c>
      <c r="H509" s="91" t="str">
        <f>IFERROR(__xludf.DUMMYFUNCTION("TRIM(REGEXREPLACE(D509, ""[0-9]+[a-f]?\."", """"))"),"Laquelle des cultures suivantes votre ménage a-t-il cultivées au cours de la dernière saison agricole ?")</f>
        <v>Laquelle des cultures suivantes votre ménage a-t-il cultivées au cours de la dernière saison agricole ?</v>
      </c>
      <c r="I509" s="91" t="str">
        <f>IFERROR(__xludf.DUMMYFUNCTION("TRIM(REGEXREPLACE(E509, ""[0-9]+[a-f]?\."", """"))"),"Wanne daga cikin waɗannan amfanin gidanku ya noma a damanar da ta gabata?")</f>
        <v>Wanne daga cikin waɗannan amfanin gidanku ya noma a damanar da ta gabata?</v>
      </c>
      <c r="J509" s="91" t="str">
        <f t="shared" si="380"/>
        <v>294. Which of the following crops did your household grow during the last agricultural season?</v>
      </c>
      <c r="K509" s="91" t="str">
        <f t="shared" ref="K509:L509" si="381">$F509&amp;". "&amp;H509</f>
        <v>294. Laquelle des cultures suivantes votre ménage a-t-il cultivées au cours de la dernière saison agricole ?</v>
      </c>
      <c r="L509" s="91" t="str">
        <f t="shared" si="381"/>
        <v>294. Wanne daga cikin waɗannan amfanin gidanku ya noma a damanar da ta gabata?</v>
      </c>
    </row>
    <row r="510">
      <c r="A510" s="133" t="s">
        <v>214</v>
      </c>
      <c r="B510" s="143" t="s">
        <v>3382</v>
      </c>
      <c r="C510" s="31" t="s">
        <v>3383</v>
      </c>
      <c r="D510" s="31" t="s">
        <v>3384</v>
      </c>
      <c r="E510" s="31" t="s">
        <v>3385</v>
      </c>
      <c r="F510" s="89">
        <v>295.0</v>
      </c>
      <c r="G510" s="91" t="str">
        <f>IFERROR(__xludf.DUMMYFUNCTION("TRIM(REGEXREPLACE(C510, ""[0-9]+[a-f]?\."", """"))"),"Specify other:")</f>
        <v>Specify other:</v>
      </c>
      <c r="H510" s="91" t="str">
        <f>IFERROR(__xludf.DUMMYFUNCTION("TRIM(REGEXREPLACE(D510, ""[0-9]+[a-f]?\."", """"))"),"Précisez la culture")</f>
        <v>Précisez la culture</v>
      </c>
      <c r="I510" s="91" t="str">
        <f>IFERROR(__xludf.DUMMYFUNCTION("TRIM(REGEXREPLACE(E510, ""[0-9]+[a-f]?\."", """"))"),"Baiyana wani abu daban:")</f>
        <v>Baiyana wani abu daban:</v>
      </c>
      <c r="J510" s="91" t="str">
        <f t="shared" si="380"/>
        <v>295. Specify other:</v>
      </c>
      <c r="K510" s="91" t="str">
        <f t="shared" ref="K510:L510" si="382">$F510&amp;". "&amp;H510</f>
        <v>295. Précisez la culture</v>
      </c>
      <c r="L510" s="91" t="str">
        <f t="shared" si="382"/>
        <v>295. Baiyana wani abu daban:</v>
      </c>
    </row>
    <row r="511" hidden="1">
      <c r="A511" s="104" t="s">
        <v>139</v>
      </c>
      <c r="B511" s="141" t="s">
        <v>3389</v>
      </c>
      <c r="C511" s="31"/>
      <c r="D511" s="31"/>
      <c r="E511" s="31"/>
      <c r="F511" s="89">
        <v>294.0</v>
      </c>
      <c r="G511" s="91" t="str">
        <f>IFERROR(__xludf.DUMMYFUNCTION("TRIM(REGEXREPLACE(C511, ""[0-9]+[a-f]?\."", """"))"),"")</f>
        <v/>
      </c>
      <c r="H511" s="91" t="str">
        <f>IFERROR(__xludf.DUMMYFUNCTION("TRIM(REGEXREPLACE(D511, ""[0-9]+[a-f]?\."", """"))"),"")</f>
        <v/>
      </c>
      <c r="I511" s="91" t="str">
        <f>IFERROR(__xludf.DUMMYFUNCTION("TRIM(REGEXREPLACE(E511, ""[0-9]+[a-f]?\."", """"))"),"")</f>
        <v/>
      </c>
      <c r="J511" s="91" t="s">
        <v>3390</v>
      </c>
      <c r="K511" s="91" t="s">
        <v>3391</v>
      </c>
      <c r="L511" s="91" t="s">
        <v>3392</v>
      </c>
    </row>
    <row r="512" hidden="1">
      <c r="A512" s="144" t="s">
        <v>648</v>
      </c>
      <c r="B512" s="145" t="s">
        <v>3393</v>
      </c>
      <c r="C512" s="31" t="s">
        <v>3394</v>
      </c>
      <c r="D512" s="31" t="s">
        <v>3395</v>
      </c>
      <c r="E512" s="31" t="s">
        <v>3396</v>
      </c>
      <c r="F512" s="89">
        <v>289.0</v>
      </c>
      <c r="G512" s="91" t="str">
        <f>IFERROR(__xludf.DUMMYFUNCTION("TRIM(REGEXREPLACE(C512, ""[0-9]+[a-f]?\."", """"))"),"Crops - ${hoh_crop_name}")</f>
        <v>Crops - ${hoh_crop_name}</v>
      </c>
      <c r="H512" s="91" t="str">
        <f>IFERROR(__xludf.DUMMYFUNCTION("TRIM(REGEXREPLACE(D512, ""[0-9]+[a-f]?\."", """"))"),"Cultures - ${hoh_crop_name}")</f>
        <v>Cultures - ${hoh_crop_name}</v>
      </c>
      <c r="I512" s="91" t="str">
        <f>IFERROR(__xludf.DUMMYFUNCTION("TRIM(REGEXREPLACE(E512, ""[0-9]+[a-f]?\."", """"))"),"amfanin gona - ${hoh_crop_name}")</f>
        <v>amfanin gona - ${hoh_crop_name}</v>
      </c>
      <c r="J512" s="91" t="s">
        <v>3397</v>
      </c>
      <c r="K512" s="91" t="s">
        <v>3398</v>
      </c>
      <c r="L512" s="91" t="s">
        <v>3398</v>
      </c>
    </row>
    <row r="513" hidden="1">
      <c r="A513" s="104" t="s">
        <v>108</v>
      </c>
      <c r="B513" s="105" t="s">
        <v>3399</v>
      </c>
      <c r="C513" s="31" t="s">
        <v>3400</v>
      </c>
      <c r="D513" s="31" t="s">
        <v>3401</v>
      </c>
      <c r="E513" s="31" t="s">
        <v>3402</v>
      </c>
      <c r="F513" s="89">
        <v>290.0</v>
      </c>
      <c r="G513" s="91" t="str">
        <f>IFERROR(__xludf.DUMMYFUNCTION("TRIM(REGEXREPLACE(C513, ""[0-9]+[a-f]?\."", """"))"),"Crop Name")</f>
        <v>Crop Name</v>
      </c>
      <c r="H513" s="91" t="str">
        <f>IFERROR(__xludf.DUMMYFUNCTION("TRIM(REGEXREPLACE(D513, ""[0-9]+[a-f]?\."", """"))"),"Nom de la culture")</f>
        <v>Nom de la culture</v>
      </c>
      <c r="I513" s="91" t="str">
        <f>IFERROR(__xludf.DUMMYFUNCTION("TRIM(REGEXREPLACE(E513, ""[0-9]+[a-f]?\."", """"))"),"Sunan amfanin gona")</f>
        <v>Sunan amfanin gona</v>
      </c>
      <c r="J513" s="91" t="s">
        <v>3403</v>
      </c>
      <c r="K513" s="91" t="s">
        <v>3404</v>
      </c>
      <c r="L513" s="91" t="s">
        <v>3405</v>
      </c>
    </row>
    <row r="514" hidden="1">
      <c r="A514" s="122" t="s">
        <v>150</v>
      </c>
      <c r="B514" s="123" t="s">
        <v>3406</v>
      </c>
      <c r="C514" s="31"/>
      <c r="D514" s="31"/>
      <c r="E514" s="31"/>
      <c r="F514" s="89">
        <v>291.0</v>
      </c>
      <c r="G514" s="91" t="str">
        <f>IFERROR(__xludf.DUMMYFUNCTION("TRIM(REGEXREPLACE(C514, ""[0-9]+[a-f]?\."", """"))"),"")</f>
        <v/>
      </c>
      <c r="H514" s="91" t="str">
        <f>IFERROR(__xludf.DUMMYFUNCTION("TRIM(REGEXREPLACE(D514, ""[0-9]+[a-f]?\."", """"))"),"")</f>
        <v/>
      </c>
      <c r="I514" s="91" t="str">
        <f>IFERROR(__xludf.DUMMYFUNCTION("TRIM(REGEXREPLACE(E514, ""[0-9]+[a-f]?\."", """"))"),"")</f>
        <v/>
      </c>
      <c r="J514" s="91" t="s">
        <v>3410</v>
      </c>
      <c r="K514" s="91" t="s">
        <v>3411</v>
      </c>
      <c r="L514" s="91" t="s">
        <v>3412</v>
      </c>
    </row>
    <row r="515">
      <c r="A515" s="252" t="s">
        <v>259</v>
      </c>
      <c r="B515" s="253" t="s">
        <v>3413</v>
      </c>
      <c r="C515" s="31" t="s">
        <v>3414</v>
      </c>
      <c r="D515" s="31" t="s">
        <v>3415</v>
      </c>
      <c r="E515" s="31" t="s">
        <v>3416</v>
      </c>
      <c r="F515" s="89">
        <v>296.0</v>
      </c>
      <c r="G515" s="91" t="str">
        <f>IFERROR(__xludf.DUMMYFUNCTION("TRIM(REGEXREPLACE(C515, ""[0-9]+[a-f]?\."", """"))"),"How much of ${hoh_crop_name} did your household produce?")</f>
        <v>How much of ${hoh_crop_name} did your household produce?</v>
      </c>
      <c r="H515" s="91" t="str">
        <f>IFERROR(__xludf.DUMMYFUNCTION("TRIM(REGEXREPLACE(D515, ""[0-9]+[a-f]?\."", """"))"),"Quelle quantité de ${hoh_crop_name} votre ménage a-t-il produit ?")</f>
        <v>Quelle quantité de ${hoh_crop_name} votre ménage a-t-il produit ?</v>
      </c>
      <c r="I515" s="91" t="str">
        <f>IFERROR(__xludf.DUMMYFUNCTION("TRIM(REGEXREPLACE(E515, ""[0-9]+[a-f]?\."", """"))"),"${hoh_crop_name} Nawa gidanku ya samu?")</f>
        <v>${hoh_crop_name} Nawa gidanku ya samu?</v>
      </c>
      <c r="J515" s="91" t="str">
        <f t="shared" ref="J515:J516" si="384">F515&amp;". "&amp;G515</f>
        <v>296. How much of ${hoh_crop_name} did your household produce?</v>
      </c>
      <c r="K515" s="91" t="str">
        <f t="shared" ref="K515:L515" si="383">$F515&amp;". "&amp;H515</f>
        <v>296. Quelle quantité de ${hoh_crop_name} votre ménage a-t-il produit ?</v>
      </c>
      <c r="L515" s="91" t="str">
        <f t="shared" si="383"/>
        <v>296. ${hoh_crop_name} Nawa gidanku ya samu?</v>
      </c>
    </row>
    <row r="516">
      <c r="A516" s="81" t="s">
        <v>3417</v>
      </c>
      <c r="B516" s="142" t="s">
        <v>3418</v>
      </c>
      <c r="C516" s="31" t="s">
        <v>3419</v>
      </c>
      <c r="D516" s="31" t="s">
        <v>3420</v>
      </c>
      <c r="E516" s="31" t="s">
        <v>3421</v>
      </c>
      <c r="F516" s="89">
        <v>297.0</v>
      </c>
      <c r="G516" s="91" t="str">
        <f>IFERROR(__xludf.DUMMYFUNCTION("TRIM(REGEXREPLACE(C516, ""[0-9]+[a-f]?\."", """"))"),"Select crop unit for ${hoh_crop_name}")</f>
        <v>Select crop unit for ${hoh_crop_name}</v>
      </c>
      <c r="H516" s="91" t="str">
        <f>IFERROR(__xludf.DUMMYFUNCTION("TRIM(REGEXREPLACE(D516, ""[0-9]+[a-f]?\."", """"))"),"Sélectionnez l'unité de culture pour ${hoh_crop_name}")</f>
        <v>Sélectionnez l'unité de culture pour ${hoh_crop_name}</v>
      </c>
      <c r="I516" s="91" t="str">
        <f>IFERROR(__xludf.DUMMYFUNCTION("TRIM(REGEXREPLACE(E516, ""[0-9]+[a-f]?\."", """"))"),"Zaɓi amfanin gonar don ${hoh_crop_name}")</f>
        <v>Zaɓi amfanin gonar don ${hoh_crop_name}</v>
      </c>
      <c r="J516" s="91" t="str">
        <f t="shared" si="384"/>
        <v>297. Select crop unit for ${hoh_crop_name}</v>
      </c>
      <c r="K516" s="91" t="str">
        <f t="shared" ref="K516:L516" si="385">$F516&amp;". "&amp;H516</f>
        <v>297. Sélectionnez l'unité de culture pour ${hoh_crop_name}</v>
      </c>
      <c r="L516" s="91" t="str">
        <f t="shared" si="385"/>
        <v>297. Zaɓi amfanin gonar don ${hoh_crop_name}</v>
      </c>
    </row>
    <row r="517" hidden="1">
      <c r="A517" s="122" t="s">
        <v>236</v>
      </c>
      <c r="B517" s="153" t="s">
        <v>3406</v>
      </c>
      <c r="C517" s="31"/>
      <c r="D517" s="31"/>
      <c r="E517" s="31"/>
      <c r="F517" s="89">
        <v>296.0</v>
      </c>
      <c r="G517" s="91" t="str">
        <f>IFERROR(__xludf.DUMMYFUNCTION("TRIM(REGEXREPLACE(C517, ""[0-9]+[a-f]?\."", """"))"),"")</f>
        <v/>
      </c>
      <c r="H517" s="91" t="str">
        <f>IFERROR(__xludf.DUMMYFUNCTION("TRIM(REGEXREPLACE(D517, ""[0-9]+[a-f]?\."", """"))"),"")</f>
        <v/>
      </c>
      <c r="I517" s="91" t="str">
        <f>IFERROR(__xludf.DUMMYFUNCTION("TRIM(REGEXREPLACE(E517, ""[0-9]+[a-f]?\."", """"))"),"")</f>
        <v/>
      </c>
      <c r="J517" s="91" t="s">
        <v>3426</v>
      </c>
      <c r="K517" s="91" t="s">
        <v>3427</v>
      </c>
      <c r="L517" s="91" t="s">
        <v>3428</v>
      </c>
    </row>
    <row r="518">
      <c r="A518" s="133" t="s">
        <v>214</v>
      </c>
      <c r="B518" s="143" t="s">
        <v>3429</v>
      </c>
      <c r="C518" s="31" t="s">
        <v>3430</v>
      </c>
      <c r="D518" s="31" t="s">
        <v>3431</v>
      </c>
      <c r="E518" s="31" t="s">
        <v>3432</v>
      </c>
      <c r="F518" s="89">
        <v>298.0</v>
      </c>
      <c r="G518" s="91" t="str">
        <f>IFERROR(__xludf.DUMMYFUNCTION("TRIM(REGEXREPLACE(C518, ""[0-9]+[a-f]?\."", """"))"),"Specify other unit:")</f>
        <v>Specify other unit:</v>
      </c>
      <c r="H518" s="91" t="str">
        <f>IFERROR(__xludf.DUMMYFUNCTION("TRIM(REGEXREPLACE(D518, ""[0-9]+[a-f]?\."", """"))"),"Spécifiez une autre unité :")</f>
        <v>Spécifiez une autre unité :</v>
      </c>
      <c r="I518" s="91" t="str">
        <f>IFERROR(__xludf.DUMMYFUNCTION("TRIM(REGEXREPLACE(E518, ""[0-9]+[a-f]?\."", """"))"),"Baiyana wani amfanin gonar daban:")</f>
        <v>Baiyana wani amfanin gonar daban:</v>
      </c>
      <c r="J518" s="91" t="str">
        <f>F518&amp;". "&amp;G518</f>
        <v>298. Specify other unit:</v>
      </c>
      <c r="K518" s="91" t="str">
        <f t="shared" ref="K518:L518" si="386">$F518&amp;". "&amp;H518</f>
        <v>298. Spécifiez une autre unité :</v>
      </c>
      <c r="L518" s="91" t="str">
        <f t="shared" si="386"/>
        <v>298. Baiyana wani amfanin gonar daban:</v>
      </c>
    </row>
    <row r="519" hidden="1">
      <c r="A519" s="104" t="s">
        <v>108</v>
      </c>
      <c r="B519" s="105" t="s">
        <v>3436</v>
      </c>
      <c r="C519" s="31" t="s">
        <v>3437</v>
      </c>
      <c r="D519" s="31"/>
      <c r="E519" s="31"/>
      <c r="F519" s="89">
        <v>183.0</v>
      </c>
      <c r="G519" s="91" t="str">
        <f>IFERROR(__xludf.DUMMYFUNCTION("TRIM(REGEXREPLACE(C519, ""[0-9]+[a-f]?\."", """"))"),"Unit Name")</f>
        <v>Unit Name</v>
      </c>
      <c r="H519" s="91" t="str">
        <f>IFERROR(__xludf.DUMMYFUNCTION("TRIM(REGEXREPLACE(D519, ""[0-9]+[a-f]?\."", """"))"),"")</f>
        <v/>
      </c>
      <c r="I519" s="91" t="str">
        <f>IFERROR(__xludf.DUMMYFUNCTION("TRIM(REGEXREPLACE(E519, ""[0-9]+[a-f]?\."", """"))"),"")</f>
        <v/>
      </c>
      <c r="J519" s="91" t="str">
        <f>F519 &amp; ". " &amp;G519</f>
        <v>183. Unit Name</v>
      </c>
      <c r="K519" s="91" t="str">
        <f>F519 &amp; ". " &amp;H519</f>
        <v>183. </v>
      </c>
      <c r="L519" s="91" t="str">
        <f>F519 &amp; ". " &amp;I519</f>
        <v>183. </v>
      </c>
    </row>
    <row r="520">
      <c r="A520" s="252" t="s">
        <v>259</v>
      </c>
      <c r="B520" s="253" t="s">
        <v>3444</v>
      </c>
      <c r="C520" s="31" t="s">
        <v>3445</v>
      </c>
      <c r="D520" s="31" t="s">
        <v>3446</v>
      </c>
      <c r="E520" s="31" t="s">
        <v>3447</v>
      </c>
      <c r="F520" s="89">
        <v>299.0</v>
      </c>
      <c r="G520" s="91" t="str">
        <f>IFERROR(__xludf.DUMMYFUNCTION("TRIM(REGEXREPLACE(C520, ""[0-9]+[a-f]?\."", """"))"),"What quantity (${hoh_crop_unit_name}) of ${hoh_crop_name} did your household sell since the last harvest?")</f>
        <v>What quantity (${hoh_crop_unit_name}) of ${hoh_crop_name} did your household sell since the last harvest?</v>
      </c>
      <c r="H520" s="91" t="str">
        <f>IFERROR(__xludf.DUMMYFUNCTION("TRIM(REGEXREPLACE(D520, ""[0-9]+[a-f]?\."", """"))"),"Quelle quantité (${hoh_crop_unit_name}) de ${hoh_crop_name} votre ménage a-t-il vendu depuis la dernière récolte ?")</f>
        <v>Quelle quantité (${hoh_crop_unit_name}) de ${hoh_crop_name} votre ménage a-t-il vendu depuis la dernière récolte ?</v>
      </c>
      <c r="I520" s="91" t="str">
        <f>IFERROR(__xludf.DUMMYFUNCTION("TRIM(REGEXREPLACE(E520, ""[0-9]+[a-f]?\."", """"))"),"Nawa ne yawan (${hoh_crop_unit_name}) na ${hoh_crop_name} gidanku ya saida tun daga kaka na ƙarshe?")</f>
        <v>Nawa ne yawan (${hoh_crop_unit_name}) na ${hoh_crop_name} gidanku ya saida tun daga kaka na ƙarshe?</v>
      </c>
      <c r="J520" s="91" t="str">
        <f t="shared" ref="J520:J523" si="388">F520&amp;". "&amp;G520</f>
        <v>299. What quantity (${hoh_crop_unit_name}) of ${hoh_crop_name} did your household sell since the last harvest?</v>
      </c>
      <c r="K520" s="91" t="str">
        <f t="shared" ref="K520:L520" si="387">$F520&amp;". "&amp;H520</f>
        <v>299. Quelle quantité (${hoh_crop_unit_name}) de ${hoh_crop_name} votre ménage a-t-il vendu depuis la dernière récolte ?</v>
      </c>
      <c r="L520" s="91" t="str">
        <f t="shared" si="387"/>
        <v>299. Nawa ne yawan (${hoh_crop_unit_name}) na ${hoh_crop_name} gidanku ya saida tun daga kaka na ƙarshe?</v>
      </c>
    </row>
    <row r="521">
      <c r="A521" s="146" t="s">
        <v>237</v>
      </c>
      <c r="B521" s="147" t="s">
        <v>3451</v>
      </c>
      <c r="C521" s="31" t="s">
        <v>3452</v>
      </c>
      <c r="D521" s="31" t="s">
        <v>3453</v>
      </c>
      <c r="E521" s="31" t="s">
        <v>3454</v>
      </c>
      <c r="F521" s="89">
        <v>300.0</v>
      </c>
      <c r="G521" s="91" t="str">
        <f>IFERROR(__xludf.DUMMYFUNCTION("TRIM(REGEXREPLACE(C521, ""[0-9]+[a-f]?\."", """"))"),"What was the price per ${hoh_crop_unit_name} of ${hoh_crop_name} you sold in CFA?")</f>
        <v>What was the price per ${hoh_crop_unit_name} of ${hoh_crop_name} you sold in CFA?</v>
      </c>
      <c r="H521" s="91" t="str">
        <f>IFERROR(__xludf.DUMMYFUNCTION("TRIM(REGEXREPLACE(D521, ""[0-9]+[a-f]?\."", """"))"),"Quel était le prix unitaire (${hoh_crop_unit_name}) de ${hoh_crop_name} que vous avez vendu en CFA ?")</f>
        <v>Quel était le prix unitaire (${hoh_crop_unit_name}) de ${hoh_crop_name} que vous avez vendu en CFA ?</v>
      </c>
      <c r="I521" s="91" t="str">
        <f>IFERROR(__xludf.DUMMYFUNCTION("TRIM(REGEXREPLACE(E521, ""[0-9]+[a-f]?\."", """"))"),"Nawa farashin kowane ${hoh_crop_unit_name} na ${hoh_crop_name} da kuka saida a CFA?")</f>
        <v>Nawa farashin kowane ${hoh_crop_unit_name} na ${hoh_crop_name} da kuka saida a CFA?</v>
      </c>
      <c r="J521" s="91" t="str">
        <f t="shared" si="388"/>
        <v>300. What was the price per ${hoh_crop_unit_name} of ${hoh_crop_name} you sold in CFA?</v>
      </c>
      <c r="K521" s="91" t="str">
        <f t="shared" ref="K521:L521" si="389">$F521&amp;". "&amp;H521</f>
        <v>300. Quel était le prix unitaire (${hoh_crop_unit_name}) de ${hoh_crop_name} que vous avez vendu en CFA ?</v>
      </c>
      <c r="L521" s="91" t="str">
        <f t="shared" si="389"/>
        <v>300. Nawa farashin kowane ${hoh_crop_unit_name} na ${hoh_crop_name} da kuka saida a CFA?</v>
      </c>
    </row>
    <row r="522">
      <c r="A522" s="252" t="s">
        <v>259</v>
      </c>
      <c r="B522" s="253" t="s">
        <v>3458</v>
      </c>
      <c r="C522" s="31" t="s">
        <v>3459</v>
      </c>
      <c r="D522" s="31" t="s">
        <v>3460</v>
      </c>
      <c r="E522" s="31" t="s">
        <v>3461</v>
      </c>
      <c r="F522" s="89">
        <v>301.0</v>
      </c>
      <c r="G522" s="91" t="str">
        <f>IFERROR(__xludf.DUMMYFUNCTION("TRIM(REGEXREPLACE(C522, ""[0-9]+[a-f]?\."", """"))"),"How many ${hoh_crop_unit_name}s of ${hoh_crop_name} did your household consume?")</f>
        <v>How many ${hoh_crop_unit_name}s of ${hoh_crop_name} did your household consume?</v>
      </c>
      <c r="H522" s="91" t="str">
        <f>IFERROR(__xludf.DUMMYFUNCTION("TRIM(REGEXREPLACE(D522, ""[0-9]+[a-f]?\."", """"))"),"Quelle quantité (${hoh_crop_unit_name}) de ${hoh_crop_name} votre ménage a-t-il consommé ?")</f>
        <v>Quelle quantité (${hoh_crop_unit_name}) de ${hoh_crop_name} votre ménage a-t-il consommé ?</v>
      </c>
      <c r="I522" s="91" t="str">
        <f>IFERROR(__xludf.DUMMYFUNCTION("TRIM(REGEXREPLACE(E522, ""[0-9]+[a-f]?\."", """"))"),"Nawa yawan ${hoh_crop_unit_name} na ${hoh_crop_name} gidanku ya cinye?")</f>
        <v>Nawa yawan ${hoh_crop_unit_name} na ${hoh_crop_name} gidanku ya cinye?</v>
      </c>
      <c r="J522" s="91" t="str">
        <f t="shared" si="388"/>
        <v>301. How many ${hoh_crop_unit_name}s of ${hoh_crop_name} did your household consume?</v>
      </c>
      <c r="K522" s="91" t="str">
        <f t="shared" ref="K522:L522" si="390">$F522&amp;". "&amp;H522</f>
        <v>301. Quelle quantité (${hoh_crop_unit_name}) de ${hoh_crop_name} votre ménage a-t-il consommé ?</v>
      </c>
      <c r="L522" s="91" t="str">
        <f t="shared" si="390"/>
        <v>301. Nawa yawan ${hoh_crop_unit_name} na ${hoh_crop_name} gidanku ya cinye?</v>
      </c>
    </row>
    <row r="523">
      <c r="A523" s="146" t="s">
        <v>237</v>
      </c>
      <c r="B523" s="147" t="s">
        <v>3465</v>
      </c>
      <c r="C523" s="31" t="s">
        <v>3466</v>
      </c>
      <c r="D523" s="31" t="s">
        <v>3467</v>
      </c>
      <c r="E523" s="31" t="s">
        <v>3468</v>
      </c>
      <c r="F523" s="89">
        <v>302.0</v>
      </c>
      <c r="G523" s="91" t="str">
        <f>IFERROR(__xludf.DUMMYFUNCTION("TRIM(REGEXREPLACE(C523, ""[0-9]+[a-f]?\."", """"))"),"If you were to sell the ${hoh_crop_name} that you consumed, what would be the price per ${hoh_crop_unit_name} in CFA?")</f>
        <v>If you were to sell the ${hoh_crop_name} that you consumed, what would be the price per ${hoh_crop_unit_name} in CFA?</v>
      </c>
      <c r="H523" s="91" t="str">
        <f>IFERROR(__xludf.DUMMYFUNCTION("TRIM(REGEXREPLACE(D523, ""[0-9]+[a-f]?\."", """"))"),"Si vous devriez vendre les ${hoh_crop_name} que vous avez consommés, quel serait le prix par ${hoh_crop_unit_name} en CFA ?")</f>
        <v>Si vous devriez vendre les ${hoh_crop_name} que vous avez consommés, quel serait le prix par ${hoh_crop_unit_name} en CFA ?</v>
      </c>
      <c r="I523" s="91" t="str">
        <f>IFERROR(__xludf.DUMMYFUNCTION("TRIM(REGEXREPLACE(E523, ""[0-9]+[a-f]?\."", """"))"),"Idan za ku sayar da ${hoh_crop_name} da kuka cinye, nawa zaku iya sayar da $ {hoh_crop_unit_name} a CFA?")</f>
        <v>Idan za ku sayar da ${hoh_crop_name} da kuka cinye, nawa zaku iya sayar da $ {hoh_crop_unit_name} a CFA?</v>
      </c>
      <c r="J523" s="91" t="str">
        <f t="shared" si="388"/>
        <v>302. If you were to sell the ${hoh_crop_name} that you consumed, what would be the price per ${hoh_crop_unit_name} in CFA?</v>
      </c>
      <c r="K523" s="91" t="str">
        <f t="shared" ref="K523:L523" si="391">$F523&amp;". "&amp;H523</f>
        <v>302. Si vous devriez vendre les ${hoh_crop_name} que vous avez consommés, quel serait le prix par ${hoh_crop_unit_name} en CFA ?</v>
      </c>
      <c r="L523" s="91" t="str">
        <f t="shared" si="391"/>
        <v>302. Idan za ku sayar da ${hoh_crop_name} da kuka cinye, nawa zaku iya sayar da $ {hoh_crop_unit_name} a CFA?</v>
      </c>
    </row>
    <row r="524" hidden="1">
      <c r="A524" s="254" t="s">
        <v>108</v>
      </c>
      <c r="B524" s="253" t="s">
        <v>3469</v>
      </c>
      <c r="C524" s="31"/>
      <c r="D524" s="31"/>
      <c r="E524" s="31"/>
      <c r="F524" s="89">
        <v>299.0</v>
      </c>
      <c r="G524" s="91" t="str">
        <f>IFERROR(__xludf.DUMMYFUNCTION("TRIM(REGEXREPLACE(C524, ""[0-9]+[a-f]?\."", """"))"),"")</f>
        <v/>
      </c>
      <c r="H524" s="91" t="str">
        <f>IFERROR(__xludf.DUMMYFUNCTION("TRIM(REGEXREPLACE(D524, ""[0-9]+[a-f]?\."", """"))"),"")</f>
        <v/>
      </c>
      <c r="I524" s="91" t="str">
        <f>IFERROR(__xludf.DUMMYFUNCTION("TRIM(REGEXREPLACE(E524, ""[0-9]+[a-f]?\."", """"))"),"")</f>
        <v/>
      </c>
      <c r="J524" s="91" t="s">
        <v>3472</v>
      </c>
      <c r="K524" s="91" t="s">
        <v>3474</v>
      </c>
      <c r="L524" s="91" t="s">
        <v>3475</v>
      </c>
    </row>
    <row r="525">
      <c r="A525" s="254" t="s">
        <v>42</v>
      </c>
      <c r="B525" s="255" t="s">
        <v>3476</v>
      </c>
      <c r="C525" s="31" t="s">
        <v>3477</v>
      </c>
      <c r="D525" s="31" t="s">
        <v>3478</v>
      </c>
      <c r="E525" s="31" t="s">
        <v>3479</v>
      </c>
      <c r="F525" s="89">
        <v>303.0</v>
      </c>
      <c r="G525" s="91" t="str">
        <f>IFERROR(__xludf.DUMMYFUNCTION("TRIM(REGEXREPLACE(C525, ""[0-9]+[a-f]?\."", """"))"),"The amount you have left (${hoh_qty_left}) is negative. Please return and revise your responses.")</f>
        <v>The amount you have left (${hoh_qty_left}) is negative. Please return and revise your responses.</v>
      </c>
      <c r="H525" s="91" t="str">
        <f>IFERROR(__xludf.DUMMYFUNCTION("TRIM(REGEXREPLACE(D525, ""[0-9]+[a-f]?\."", """"))"),"Le montant qu'il vous reste (${hoh_qty_left}) est négatif. Veuillez revenir et réviser vos réponses.")</f>
        <v>Le montant qu'il vous reste (${hoh_qty_left}) est négatif. Veuillez revenir et réviser vos réponses.</v>
      </c>
      <c r="I525" s="91" t="str">
        <f>IFERROR(__xludf.DUMMYFUNCTION("TRIM(REGEXREPLACE(E525, ""[0-9]+[a-f]?\."", """"))"),"jimillar kuɗin da suka saura (${hoh_qty_left}) maras kyau ne. Da fatan za a dawo a sake duba amsoshin.")</f>
        <v>jimillar kuɗin da suka saura (${hoh_qty_left}) maras kyau ne. Da fatan za a dawo a sake duba amsoshin.</v>
      </c>
      <c r="J525" s="91" t="str">
        <f t="shared" ref="J525:J527" si="393">F525&amp;". "&amp;G525</f>
        <v>303. The amount you have left (${hoh_qty_left}) is negative. Please return and revise your responses.</v>
      </c>
      <c r="K525" s="91" t="str">
        <f t="shared" ref="K525:L525" si="392">$F525&amp;". "&amp;H525</f>
        <v>303. Le montant qu'il vous reste (${hoh_qty_left}) est négatif. Veuillez revenir et réviser vos réponses.</v>
      </c>
      <c r="L525" s="91" t="str">
        <f t="shared" si="392"/>
        <v>303. jimillar kuɗin da suka saura (${hoh_qty_left}) maras kyau ne. Da fatan za a dawo a sake duba amsoshin.</v>
      </c>
    </row>
    <row r="526">
      <c r="A526" s="254" t="s">
        <v>485</v>
      </c>
      <c r="B526" s="255" t="s">
        <v>3481</v>
      </c>
      <c r="C526" s="31" t="s">
        <v>3482</v>
      </c>
      <c r="D526" s="31" t="s">
        <v>3483</v>
      </c>
      <c r="E526" s="31" t="s">
        <v>3484</v>
      </c>
      <c r="F526" s="89">
        <v>304.0</v>
      </c>
      <c r="G526" s="91" t="str">
        <f>IFERROR(__xludf.DUMMYFUNCTION("TRIM(REGEXREPLACE(C526, ""[0-9]+[a-f]?\."", """"))"),"Based on your responses, you had ${hoh_qty_left} ${hoh_crop_unit_name} left over. Does this sound correct?")</f>
        <v>Based on your responses, you had ${hoh_qty_left} ${hoh_crop_unit_name} left over. Does this sound correct?</v>
      </c>
      <c r="H526" s="91" t="str">
        <f>IFERROR(__xludf.DUMMYFUNCTION("TRIM(REGEXREPLACE(D526, ""[0-9]+[a-f]?\."", """"))"),"D'après vos réponses, il vous restait ${hoh_qty_left} ${hoh_crop_unit_name}. Est-ce que cela semble correct ?")</f>
        <v>D'après vos réponses, il vous restait ${hoh_qty_left} ${hoh_crop_unit_name}. Est-ce que cela semble correct ?</v>
      </c>
      <c r="I526" s="91" t="str">
        <f>IFERROR(__xludf.DUMMYFUNCTION("TRIM(REGEXREPLACE(E526, ""[0-9]+[a-f]?\."", """"))"),"Dangane da amsoshinku, kuna da sauran ${hoh_qty_left} ${hoh_crop_unit_name}. Ko wannan yayi daidai?")</f>
        <v>Dangane da amsoshinku, kuna da sauran ${hoh_qty_left} ${hoh_crop_unit_name}. Ko wannan yayi daidai?</v>
      </c>
      <c r="J526" s="91" t="str">
        <f t="shared" si="393"/>
        <v>304. Based on your responses, you had ${hoh_qty_left} ${hoh_crop_unit_name} left over. Does this sound correct?</v>
      </c>
      <c r="K526" s="91" t="str">
        <f t="shared" ref="K526:L526" si="394">$F526&amp;". "&amp;H526</f>
        <v>304. D'après vos réponses, il vous restait ${hoh_qty_left} ${hoh_crop_unit_name}. Est-ce que cela semble correct ?</v>
      </c>
      <c r="L526" s="91" t="str">
        <f t="shared" si="394"/>
        <v>304. Dangane da amsoshinku, kuna da sauran ${hoh_qty_left} ${hoh_crop_unit_name}. Ko wannan yayi daidai?</v>
      </c>
    </row>
    <row r="527">
      <c r="A527" s="254" t="s">
        <v>237</v>
      </c>
      <c r="B527" s="255" t="s">
        <v>3488</v>
      </c>
      <c r="C527" s="31" t="s">
        <v>3489</v>
      </c>
      <c r="D527" s="31" t="s">
        <v>3490</v>
      </c>
      <c r="E527" s="31" t="s">
        <v>3491</v>
      </c>
      <c r="F527" s="89">
        <v>305.0</v>
      </c>
      <c r="G527" s="91" t="str">
        <f>IFERROR(__xludf.DUMMYFUNCTION("TRIM(REGEXREPLACE(C527, ""[0-9]+[a-f]?\."", """"))"),"If you were to sell the ${hoh_crop_name} that you had left over, what would be the price per ${hoh_crop_unit_name} in CFA?")</f>
        <v>If you were to sell the ${hoh_crop_name} that you had left over, what would be the price per ${hoh_crop_unit_name} in CFA?</v>
      </c>
      <c r="H527" s="91" t="str">
        <f>IFERROR(__xludf.DUMMYFUNCTION("TRIM(REGEXREPLACE(D527, ""[0-9]+[a-f]?\."", """"))"),"Si vous deviez vendre les ${hoh_crop_name} qui vous reste, quel serait le prix par ${hoh_crop_unit_name} en CFA ?")</f>
        <v>Si vous deviez vendre les ${hoh_crop_name} qui vous reste, quel serait le prix par ${hoh_crop_unit_name} en CFA ?</v>
      </c>
      <c r="I527" s="91" t="str">
        <f>IFERROR(__xludf.DUMMYFUNCTION("TRIM(REGEXREPLACE(E527, ""[0-9]+[a-f]?\."", """"))"),"Idan za ku sayar da ${hoh_crop_name} da ya muku saura, zaku iya sayar da $ {hoh_crop_unit_name} a CFA?")</f>
        <v>Idan za ku sayar da ${hoh_crop_name} da ya muku saura, zaku iya sayar da $ {hoh_crop_unit_name} a CFA?</v>
      </c>
      <c r="J527" s="91" t="str">
        <f t="shared" si="393"/>
        <v>305. If you were to sell the ${hoh_crop_name} that you had left over, what would be the price per ${hoh_crop_unit_name} in CFA?</v>
      </c>
      <c r="K527" s="91" t="str">
        <f t="shared" ref="K527:L527" si="395">$F527&amp;". "&amp;H527</f>
        <v>305. Si vous deviez vendre les ${hoh_crop_name} qui vous reste, quel serait le prix par ${hoh_crop_unit_name} en CFA ?</v>
      </c>
      <c r="L527" s="91" t="str">
        <f t="shared" si="395"/>
        <v>305. Idan za ku sayar da ${hoh_crop_name} da ya muku saura, zaku iya sayar da $ {hoh_crop_unit_name} a CFA?</v>
      </c>
    </row>
    <row r="528" hidden="1">
      <c r="A528" s="104" t="s">
        <v>108</v>
      </c>
      <c r="B528" s="105" t="s">
        <v>3493</v>
      </c>
      <c r="C528" s="31"/>
      <c r="D528" s="31"/>
      <c r="E528" s="31"/>
      <c r="F528" s="89">
        <v>184.0</v>
      </c>
      <c r="G528" s="91" t="str">
        <f>IFERROR(__xludf.DUMMYFUNCTION("TRIM(REGEXREPLACE(C528, ""[0-9]+[a-f]?\."", """"))"),"")</f>
        <v/>
      </c>
      <c r="H528" s="91" t="str">
        <f>IFERROR(__xludf.DUMMYFUNCTION("TRIM(REGEXREPLACE(D528, ""[0-9]+[a-f]?\."", """"))"),"")</f>
        <v/>
      </c>
      <c r="I528" s="91" t="str">
        <f>IFERROR(__xludf.DUMMYFUNCTION("TRIM(REGEXREPLACE(E528, ""[0-9]+[a-f]?\."", """"))"),"")</f>
        <v/>
      </c>
      <c r="J528" s="91" t="str">
        <f>F528 &amp; ". " &amp;G528</f>
        <v>184. </v>
      </c>
      <c r="K528" s="91" t="str">
        <f>F528 &amp; ". " &amp;H528</f>
        <v>184. </v>
      </c>
      <c r="L528" s="91" t="str">
        <f>F528 &amp; ". " &amp;I528</f>
        <v>184. </v>
      </c>
    </row>
    <row r="529" hidden="1">
      <c r="A529" s="144" t="s">
        <v>691</v>
      </c>
      <c r="B529" s="150" t="s">
        <v>3393</v>
      </c>
      <c r="C529" s="31" t="s">
        <v>3498</v>
      </c>
      <c r="D529" s="31" t="s">
        <v>3500</v>
      </c>
      <c r="E529" s="31" t="s">
        <v>3502</v>
      </c>
      <c r="F529" s="89">
        <v>309.0</v>
      </c>
      <c r="G529" s="91" t="str">
        <f>IFERROR(__xludf.DUMMYFUNCTION("TRIM(REGEXREPLACE(C529, ""[0-9]+[a-f]?\."", """"))"),"Crops")</f>
        <v>Crops</v>
      </c>
      <c r="H529" s="91" t="str">
        <f>IFERROR(__xludf.DUMMYFUNCTION("TRIM(REGEXREPLACE(D529, ""[0-9]+[a-f]?\."", """"))"),"Cultures")</f>
        <v>Cultures</v>
      </c>
      <c r="I529" s="91" t="str">
        <f>IFERROR(__xludf.DUMMYFUNCTION("TRIM(REGEXREPLACE(E529, ""[0-9]+[a-f]?\."", """"))"),"amfanin gona")</f>
        <v>amfanin gona</v>
      </c>
      <c r="J529" s="91" t="s">
        <v>3503</v>
      </c>
      <c r="K529" s="91" t="s">
        <v>3504</v>
      </c>
      <c r="L529" s="91" t="s">
        <v>3505</v>
      </c>
    </row>
    <row r="530" hidden="1">
      <c r="A530" s="256"/>
      <c r="B530" s="256"/>
      <c r="C530" s="31"/>
      <c r="D530" s="31"/>
      <c r="E530" s="31"/>
    </row>
    <row r="531" hidden="1">
      <c r="A531" s="122" t="s">
        <v>150</v>
      </c>
      <c r="B531" s="242" t="s">
        <v>3506</v>
      </c>
      <c r="C531" s="31" t="s">
        <v>3507</v>
      </c>
      <c r="D531" s="31" t="s">
        <v>3508</v>
      </c>
      <c r="E531" s="31" t="s">
        <v>3509</v>
      </c>
    </row>
    <row r="532">
      <c r="A532" s="126" t="s">
        <v>42</v>
      </c>
      <c r="B532" s="243" t="s">
        <v>3510</v>
      </c>
      <c r="C532" s="31" t="s">
        <v>3511</v>
      </c>
      <c r="D532" s="31" t="s">
        <v>3512</v>
      </c>
      <c r="E532" s="31" t="s">
        <v>3513</v>
      </c>
      <c r="F532" s="89">
        <v>306.0</v>
      </c>
      <c r="G532" s="91" t="str">
        <f>IFERROR(__xludf.DUMMYFUNCTION("TRIM(REGEXREPLACE(C532, ""[0-9]+[a-f]?\."", """"))"),"How much did your household spend on the following types of expenses during the last agricultural season in CFA?")</f>
        <v>How much did your household spend on the following types of expenses during the last agricultural season in CFA?</v>
      </c>
      <c r="H532" s="91" t="str">
        <f>IFERROR(__xludf.DUMMYFUNCTION("TRIM(REGEXREPLACE(D532, ""[0-9]+[a-f]?\."", """"))"),"Combien votre ménage a-t-il dépensé pour les types de dépenses suivantes au cours de la dernière saison agricole (en CFA) ?")</f>
        <v>Combien votre ménage a-t-il dépensé pour les types de dépenses suivantes au cours de la dernière saison agricole (en CFA) ?</v>
      </c>
      <c r="I532" s="91" t="str">
        <f>IFERROR(__xludf.DUMMYFUNCTION("TRIM(REGEXREPLACE(E532, ""[0-9]+[a-f]?\."", """"))"),"Nawa ne gidanku ya kashe akan waɗannan abubuwan a lokacin noman da ya wuce (a sefa)?")</f>
        <v>Nawa ne gidanku ya kashe akan waɗannan abubuwan a lokacin noman da ya wuce (a sefa)?</v>
      </c>
      <c r="J532" s="91" t="str">
        <f t="shared" ref="J532:J536" si="397">F532&amp;". "&amp;G532</f>
        <v>306. How much did your household spend on the following types of expenses during the last agricultural season in CFA?</v>
      </c>
      <c r="K532" s="91" t="str">
        <f t="shared" ref="K532:L532" si="396">$F532&amp;". "&amp;H532</f>
        <v>306. Combien votre ménage a-t-il dépensé pour les types de dépenses suivantes au cours de la dernière saison agricole (en CFA) ?</v>
      </c>
      <c r="L532" s="91" t="str">
        <f t="shared" si="396"/>
        <v>306. Nawa ne gidanku ya kashe akan waɗannan abubuwan a lokacin noman da ya wuce (a sefa)?</v>
      </c>
    </row>
    <row r="533">
      <c r="A533" s="146" t="s">
        <v>237</v>
      </c>
      <c r="B533" s="257" t="s">
        <v>3517</v>
      </c>
      <c r="C533" s="31" t="s">
        <v>3518</v>
      </c>
      <c r="D533" s="31" t="s">
        <v>3519</v>
      </c>
      <c r="E533" s="31" t="s">
        <v>3520</v>
      </c>
      <c r="F533" s="89">
        <v>307.0</v>
      </c>
      <c r="G533" s="91" t="str">
        <f>IFERROR(__xludf.DUMMYFUNCTION("TRIM(REGEXREPLACE(C533, ""[0-9]+[a-f]?\."", """"))"),"Seeds")</f>
        <v>Seeds</v>
      </c>
      <c r="H533" s="91" t="str">
        <f>IFERROR(__xludf.DUMMYFUNCTION("TRIM(REGEXREPLACE(D533, ""[0-9]+[a-f]?\."", """"))"),"Semences")</f>
        <v>Semences</v>
      </c>
      <c r="I533" s="91" t="str">
        <f>IFERROR(__xludf.DUMMYFUNCTION("TRIM(REGEXREPLACE(E533, ""[0-9]+[a-f]?\."", """"))"),"Iri")</f>
        <v>Iri</v>
      </c>
      <c r="J533" s="91" t="str">
        <f t="shared" si="397"/>
        <v>307. Seeds</v>
      </c>
      <c r="K533" s="91" t="str">
        <f t="shared" ref="K533:L533" si="398">$F533&amp;". "&amp;H533</f>
        <v>307. Semences</v>
      </c>
      <c r="L533" s="91" t="str">
        <f t="shared" si="398"/>
        <v>307. Iri</v>
      </c>
    </row>
    <row r="534">
      <c r="A534" s="146" t="s">
        <v>237</v>
      </c>
      <c r="B534" s="257" t="s">
        <v>3524</v>
      </c>
      <c r="C534" s="31" t="s">
        <v>3525</v>
      </c>
      <c r="D534" s="31" t="s">
        <v>3526</v>
      </c>
      <c r="E534" s="31" t="s">
        <v>3527</v>
      </c>
      <c r="F534" s="89">
        <v>308.0</v>
      </c>
      <c r="G534" s="91" t="str">
        <f>IFERROR(__xludf.DUMMYFUNCTION("TRIM(REGEXREPLACE(C534, ""[0-9]+[a-f]?\."", """"))"),"Fertilizer")</f>
        <v>Fertilizer</v>
      </c>
      <c r="H534" s="91" t="str">
        <f>IFERROR(__xludf.DUMMYFUNCTION("TRIM(REGEXREPLACE(D534, ""[0-9]+[a-f]?\."", """"))"),"Engrais")</f>
        <v>Engrais</v>
      </c>
      <c r="I534" s="91" t="str">
        <f>IFERROR(__xludf.DUMMYFUNCTION("TRIM(REGEXREPLACE(E534, ""[0-9]+[a-f]?\."", """"))"),"Takin zamani")</f>
        <v>Takin zamani</v>
      </c>
      <c r="J534" s="91" t="str">
        <f t="shared" si="397"/>
        <v>308. Fertilizer</v>
      </c>
      <c r="K534" s="91" t="str">
        <f t="shared" ref="K534:L534" si="399">$F534&amp;". "&amp;H534</f>
        <v>308. Engrais</v>
      </c>
      <c r="L534" s="91" t="str">
        <f t="shared" si="399"/>
        <v>308. Takin zamani</v>
      </c>
    </row>
    <row r="535">
      <c r="A535" s="146" t="s">
        <v>237</v>
      </c>
      <c r="B535" s="257" t="s">
        <v>3528</v>
      </c>
      <c r="C535" s="31" t="s">
        <v>3529</v>
      </c>
      <c r="D535" s="31" t="s">
        <v>3530</v>
      </c>
      <c r="E535" s="31" t="s">
        <v>3531</v>
      </c>
      <c r="F535" s="89">
        <v>309.0</v>
      </c>
      <c r="G535" s="91" t="str">
        <f>IFERROR(__xludf.DUMMYFUNCTION("TRIM(REGEXREPLACE(C535, ""[0-9]+[a-f]?\."", """"))"),"Renting machines and tools (i.e. for plowing or spraying)")</f>
        <v>Renting machines and tools (i.e. for plowing or spraying)</v>
      </c>
      <c r="H535" s="91" t="str">
        <f>IFERROR(__xludf.DUMMYFUNCTION("TRIM(REGEXREPLACE(D535, ""[0-9]+[a-f]?\."", """"))"),"Location de machines et d'outils (c'est-à-dire pour labourer ou pulvériser)")</f>
        <v>Location de machines et d'outils (c'est-à-dire pour labourer ou pulvériser)</v>
      </c>
      <c r="I535" s="91" t="str">
        <f>IFERROR(__xludf.DUMMYFUNCTION("TRIM(REGEXREPLACE(E535, ""[0-9]+[a-f]?\."", """"))"),"Hayar injina da kayan aiki ( don noma ko feshi)")</f>
        <v>Hayar injina da kayan aiki ( don noma ko feshi)</v>
      </c>
      <c r="J535" s="91" t="str">
        <f t="shared" si="397"/>
        <v>309. Renting machines and tools (i.e. for plowing or spraying)</v>
      </c>
      <c r="K535" s="91" t="str">
        <f t="shared" ref="K535:L535" si="400">$F535&amp;". "&amp;H535</f>
        <v>309. Location de machines et d'outils (c'est-à-dire pour labourer ou pulvériser)</v>
      </c>
      <c r="L535" s="91" t="str">
        <f t="shared" si="400"/>
        <v>309. Hayar injina da kayan aiki ( don noma ko feshi)</v>
      </c>
    </row>
    <row r="536">
      <c r="A536" s="146" t="s">
        <v>237</v>
      </c>
      <c r="B536" s="257" t="s">
        <v>3535</v>
      </c>
      <c r="C536" s="31" t="s">
        <v>3536</v>
      </c>
      <c r="D536" s="31" t="s">
        <v>3537</v>
      </c>
      <c r="E536" s="31" t="s">
        <v>3538</v>
      </c>
      <c r="F536" s="89">
        <v>310.0</v>
      </c>
      <c r="G536" s="91" t="str">
        <f>IFERROR(__xludf.DUMMYFUNCTION("TRIM(REGEXREPLACE(C536, ""[0-9]+[a-f]?\."", """"))"),"Water")</f>
        <v>Water</v>
      </c>
      <c r="H536" s="91" t="str">
        <f>IFERROR(__xludf.DUMMYFUNCTION("TRIM(REGEXREPLACE(D536, ""[0-9]+[a-f]?\."", """"))"),"Eau")</f>
        <v>Eau</v>
      </c>
      <c r="I536" s="91" t="str">
        <f>IFERROR(__xludf.DUMMYFUNCTION("TRIM(REGEXREPLACE(E536, ""[0-9]+[a-f]?\."", """"))"),"Ruwa")</f>
        <v>Ruwa</v>
      </c>
      <c r="J536" s="91" t="str">
        <f t="shared" si="397"/>
        <v>310. Water</v>
      </c>
      <c r="K536" s="91" t="str">
        <f t="shared" ref="K536:L536" si="401">$F536&amp;". "&amp;H536</f>
        <v>310. Eau</v>
      </c>
      <c r="L536" s="91" t="str">
        <f t="shared" si="401"/>
        <v>310. Ruwa</v>
      </c>
    </row>
    <row r="537" hidden="1">
      <c r="A537" s="122" t="s">
        <v>236</v>
      </c>
      <c r="B537" s="122" t="s">
        <v>3506</v>
      </c>
      <c r="C537" s="31" t="s">
        <v>3507</v>
      </c>
      <c r="D537" s="31" t="s">
        <v>3539</v>
      </c>
      <c r="E537" s="31" t="s">
        <v>3540</v>
      </c>
      <c r="F537" s="89">
        <v>302.0</v>
      </c>
      <c r="G537" s="91" t="str">
        <f>IFERROR(__xludf.DUMMYFUNCTION("TRIM(REGEXREPLACE(C537, ""[0-9]+[a-f]?\."", """"))"),"Household Agriculture Expenses")</f>
        <v>Household Agriculture Expenses</v>
      </c>
      <c r="H537" s="91" t="str">
        <f>IFERROR(__xludf.DUMMYFUNCTION("TRIM(REGEXREPLACE(D537, ""[0-9]+[a-f]?\."", """"))"),"Dépenses agricoles des ménages")</f>
        <v>Dépenses agricoles des ménages</v>
      </c>
      <c r="I537" s="91" t="str">
        <f>IFERROR(__xludf.DUMMYFUNCTION("TRIM(REGEXREPLACE(E537, ""[0-9]+[a-f]?\."", """"))"),"Kashe-kashen kuɗin aikin gona na gida")</f>
        <v>Kashe-kashen kuɗin aikin gona na gida</v>
      </c>
    </row>
    <row r="538" hidden="1">
      <c r="A538" s="104" t="s">
        <v>139</v>
      </c>
      <c r="B538" s="141" t="s">
        <v>3541</v>
      </c>
      <c r="C538" s="31"/>
      <c r="D538" s="31"/>
      <c r="E538" s="31"/>
      <c r="F538" s="89">
        <v>303.0</v>
      </c>
      <c r="G538" s="91" t="str">
        <f>IFERROR(__xludf.DUMMYFUNCTION("TRIM(REGEXREPLACE(C538, ""[0-9]+[a-f]?\."", """"))"),"")</f>
        <v/>
      </c>
      <c r="H538" s="91" t="str">
        <f>IFERROR(__xludf.DUMMYFUNCTION("TRIM(REGEXREPLACE(D538, ""[0-9]+[a-f]?\."", """"))"),"")</f>
        <v/>
      </c>
      <c r="I538" s="91" t="str">
        <f>IFERROR(__xludf.DUMMYFUNCTION("TRIM(REGEXREPLACE(E538, ""[0-9]+[a-f]?\."", """"))"),"")</f>
        <v/>
      </c>
    </row>
    <row r="539" hidden="1">
      <c r="A539" s="67" t="s">
        <v>108</v>
      </c>
      <c r="B539" s="69" t="s">
        <v>3545</v>
      </c>
      <c r="C539" s="31"/>
      <c r="D539" s="31"/>
      <c r="E539" s="31"/>
      <c r="F539" s="89">
        <v>302.0</v>
      </c>
      <c r="G539" s="91" t="str">
        <f>IFERROR(__xludf.DUMMYFUNCTION("TRIM(REGEXREPLACE(C539, ""[0-9]+[a-f]?\."", """"))"),"")</f>
        <v/>
      </c>
      <c r="H539" s="91" t="str">
        <f>IFERROR(__xludf.DUMMYFUNCTION("TRIM(REGEXREPLACE(D539, ""[0-9]+[a-f]?\."", """"))"),"")</f>
        <v/>
      </c>
      <c r="I539" s="91" t="str">
        <f>IFERROR(__xludf.DUMMYFUNCTION("TRIM(REGEXREPLACE(E539, ""[0-9]+[a-f]?\."", """"))"),"")</f>
        <v/>
      </c>
      <c r="J539" s="91" t="s">
        <v>3546</v>
      </c>
      <c r="K539" s="91" t="s">
        <v>3547</v>
      </c>
      <c r="L539" s="91" t="s">
        <v>3548</v>
      </c>
    </row>
    <row r="540" hidden="1">
      <c r="A540" s="169"/>
      <c r="B540" s="169"/>
      <c r="C540" s="31"/>
      <c r="D540" s="31"/>
      <c r="E540" s="31"/>
      <c r="F540" s="89">
        <v>303.0</v>
      </c>
      <c r="G540" s="91" t="str">
        <f>IFERROR(__xludf.DUMMYFUNCTION("TRIM(REGEXREPLACE(C540, ""[0-9]+[a-f]?\."", """"))"),"")</f>
        <v/>
      </c>
      <c r="H540" s="91" t="str">
        <f>IFERROR(__xludf.DUMMYFUNCTION("TRIM(REGEXREPLACE(D540, ""[0-9]+[a-f]?\."", """"))"),"")</f>
        <v/>
      </c>
      <c r="I540" s="91" t="str">
        <f>IFERROR(__xludf.DUMMYFUNCTION("TRIM(REGEXREPLACE(E540, ""[0-9]+[a-f]?\."", """"))"),"")</f>
        <v/>
      </c>
      <c r="J540" s="91" t="s">
        <v>3553</v>
      </c>
      <c r="K540" s="91" t="s">
        <v>3554</v>
      </c>
      <c r="L540" s="91" t="s">
        <v>3555</v>
      </c>
    </row>
    <row r="541" hidden="1">
      <c r="A541" s="104" t="s">
        <v>139</v>
      </c>
      <c r="B541" s="141" t="s">
        <v>3556</v>
      </c>
      <c r="C541" s="31"/>
      <c r="D541" s="31"/>
      <c r="E541" s="31"/>
      <c r="F541" s="89">
        <v>304.0</v>
      </c>
      <c r="G541" s="91" t="str">
        <f>IFERROR(__xludf.DUMMYFUNCTION("TRIM(REGEXREPLACE(C541, ""[0-9]+[a-f]?\."", """"))"),"")</f>
        <v/>
      </c>
      <c r="H541" s="91" t="str">
        <f>IFERROR(__xludf.DUMMYFUNCTION("TRIM(REGEXREPLACE(D541, ""[0-9]+[a-f]?\."", """"))"),"")</f>
        <v/>
      </c>
      <c r="I541" s="91" t="str">
        <f>IFERROR(__xludf.DUMMYFUNCTION("TRIM(REGEXREPLACE(E541, ""[0-9]+[a-f]?\."", """"))"),"")</f>
        <v/>
      </c>
      <c r="J541" s="91" t="s">
        <v>3557</v>
      </c>
      <c r="K541" s="91" t="s">
        <v>3558</v>
      </c>
      <c r="L541" s="91" t="s">
        <v>3559</v>
      </c>
    </row>
    <row r="542">
      <c r="A542" s="126" t="s">
        <v>42</v>
      </c>
      <c r="B542" s="243" t="s">
        <v>3560</v>
      </c>
      <c r="C542" s="31" t="s">
        <v>3561</v>
      </c>
      <c r="D542" s="31" t="s">
        <v>3563</v>
      </c>
      <c r="E542" s="31" t="s">
        <v>3565</v>
      </c>
      <c r="F542" s="89">
        <v>311.0</v>
      </c>
      <c r="G542" s="91" t="str">
        <f>IFERROR(__xludf.DUMMYFUNCTION("TRIM(REGEXREPLACE(C542, ""[0-9]+[a-f]?\."", """"))"),"We want to understand how many days people worked in your fields and who did this work.")</f>
        <v>We want to understand how many days people worked in your fields and who did this work.</v>
      </c>
      <c r="H542" s="91" t="str">
        <f>IFERROR(__xludf.DUMMYFUNCTION("TRIM(REGEXREPLACE(D542, ""[0-9]+[a-f]?\."", """"))"),"Nous voulons comprendre combien de jours des gens ont travaillé dans vos champs et qui a fait ce travail.")</f>
        <v>Nous voulons comprendre combien de jours des gens ont travaillé dans vos champs et qui a fait ce travail.</v>
      </c>
      <c r="I542" s="91" t="str">
        <f>IFERROR(__xludf.DUMMYFUNCTION("TRIM(REGEXREPLACE(E542, ""[0-9]+[a-f]?\."", """"))"),"Muna son mu fahimci kwanaki nawa mutane suka yi aiki a gonakinku da kuma wanda ya yi wannan aikin.")</f>
        <v>Muna son mu fahimci kwanaki nawa mutane suka yi aiki a gonakinku da kuma wanda ya yi wannan aikin.</v>
      </c>
      <c r="J542" s="91" t="str">
        <f t="shared" ref="J542:J544" si="403">F542&amp;". "&amp;G542</f>
        <v>311. We want to understand how many days people worked in your fields and who did this work.</v>
      </c>
      <c r="K542" s="91" t="str">
        <f t="shared" ref="K542:L542" si="402">$F542&amp;". "&amp;H542</f>
        <v>311. Nous voulons comprendre combien de jours des gens ont travaillé dans vos champs et qui a fait ce travail.</v>
      </c>
      <c r="L542" s="91" t="str">
        <f t="shared" si="402"/>
        <v>311. Muna son mu fahimci kwanaki nawa mutane suka yi aiki a gonakinku da kuma wanda ya yi wannan aikin.</v>
      </c>
    </row>
    <row r="543">
      <c r="A543" s="146" t="s">
        <v>237</v>
      </c>
      <c r="B543" s="257" t="s">
        <v>3567</v>
      </c>
      <c r="C543" s="31" t="s">
        <v>3568</v>
      </c>
      <c r="D543" s="31" t="s">
        <v>3569</v>
      </c>
      <c r="E543" s="31" t="s">
        <v>3570</v>
      </c>
      <c r="F543" s="89">
        <v>312.0</v>
      </c>
      <c r="G543" s="91" t="str">
        <f>IFERROR(__xludf.DUMMYFUNCTION("TRIM(REGEXREPLACE(C543,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543" s="91" t="str">
        <f>IFERROR(__xludf.DUMMYFUNCTION("TRIM(REGEXREPLACE(D543,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543" s="91" t="str">
        <f>IFERROR(__xludf.DUMMYFUNCTION("TRIM(REGEXREPLACE(E543,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543" s="91" t="str">
        <f t="shared" si="403"/>
        <v>312. Think about the last agricultural season. How many weeks were people working in your fields? This includes work by people who are members of your household and those who are not members of your household.</v>
      </c>
      <c r="K543" s="91" t="str">
        <f t="shared" ref="K543:L543" si="404">$F543&amp;". "&amp;H543</f>
        <v>312. Pensez à la dernière saison agricole. Combien de semaines au total les gens ont-ils travaillé dans vos champs ? Cela inclut le travail des personnes qui sont membres de votre ménage et celles qui ne le sont pas.</v>
      </c>
      <c r="L543" s="91" t="str">
        <f t="shared" si="404"/>
        <v>312. Ku tuna da lokacin noma na ƙarshe. Makonni nawa mutane ke aiki a filayenku? Wannan ya haɗa da aikin mutanen da ke cikin gidanku da waɗanda ba ƴan gidanku ba ne.</v>
      </c>
    </row>
    <row r="544">
      <c r="A544" s="146" t="s">
        <v>237</v>
      </c>
      <c r="B544" s="257" t="s">
        <v>3574</v>
      </c>
      <c r="C544" s="31" t="s">
        <v>3575</v>
      </c>
      <c r="D544" s="31" t="s">
        <v>3576</v>
      </c>
      <c r="E544" s="31" t="s">
        <v>3577</v>
      </c>
      <c r="F544" s="89">
        <v>313.0</v>
      </c>
      <c r="G544" s="91" t="str">
        <f>IFERROR(__xludf.DUMMYFUNCTION("TRIM(REGEXREPLACE(C544,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544" s="91" t="str">
        <f>IFERROR(__xludf.DUMMYFUNCTION("TRIM(REGEXREPLACE(D544,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544" s="91" t="str">
        <f>IFERROR(__xludf.DUMMYFUNCTION("TRIM(REGEXREPLACE(E544,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544" s="91" t="str">
        <f t="shared" si="403"/>
        <v>313. Think about a typical week during the last agricultural season. How many days were people working in your fields? This includes work by people who are members of your household and those who are not members of your household.</v>
      </c>
      <c r="K544" s="91" t="str">
        <f t="shared" ref="K544:L544" si="405">$F544&amp;". "&amp;H544</f>
        <v>313. Pensez à une semaine typique au cours de la dernière saison agricole. Combien de jours les gens ont-ils travaillé dans vos champs par semaine ? Cela inclut le travail des personnes qui sont membres de votre ménage et celles qui ne le sont pas.</v>
      </c>
      <c r="L544" s="91" t="str">
        <f t="shared" si="405"/>
        <v>313. Ku tuna da mako guda na lokacin damana ta ƙarshe. Kwanaki nawa mutane suke aiki a gonkinku a cikin kowane sati? Wannan ya haɗa da aikin mutanen da ke cikin gidan ku da waɗanda ba 'yan gidan ku ba ne.</v>
      </c>
    </row>
    <row r="545" hidden="1">
      <c r="A545" s="256"/>
      <c r="B545" s="256"/>
      <c r="C545" s="31"/>
      <c r="D545" s="31"/>
      <c r="E545" s="31"/>
      <c r="F545" s="89">
        <v>302.0</v>
      </c>
      <c r="G545" s="91" t="str">
        <f>IFERROR(__xludf.DUMMYFUNCTION("TRIM(REGEXREPLACE(C545, ""[0-9]+[a-f]?\."", """"))"),"")</f>
        <v/>
      </c>
      <c r="H545" s="91" t="str">
        <f>IFERROR(__xludf.DUMMYFUNCTION("TRIM(REGEXREPLACE(D545, ""[0-9]+[a-f]?\."", """"))"),"")</f>
        <v/>
      </c>
      <c r="I545" s="91" t="str">
        <f>IFERROR(__xludf.DUMMYFUNCTION("TRIM(REGEXREPLACE(E545, ""[0-9]+[a-f]?\."", """"))"),"")</f>
        <v/>
      </c>
      <c r="J545" s="91" t="s">
        <v>3581</v>
      </c>
      <c r="K545" s="91" t="s">
        <v>3584</v>
      </c>
      <c r="L545" s="91" t="s">
        <v>3587</v>
      </c>
    </row>
    <row r="546" hidden="1">
      <c r="A546" s="144" t="s">
        <v>648</v>
      </c>
      <c r="B546" s="145" t="s">
        <v>3588</v>
      </c>
      <c r="C546" s="31" t="s">
        <v>3589</v>
      </c>
      <c r="D546" s="31" t="s">
        <v>3590</v>
      </c>
      <c r="E546" s="31" t="s">
        <v>3591</v>
      </c>
      <c r="F546" s="89">
        <v>303.0</v>
      </c>
      <c r="G546" s="91" t="str">
        <f>IFERROR(__xludf.DUMMYFUNCTION("TRIM(REGEXREPLACE(C546, ""[0-9]+[a-f]?\."", """"))"),"Household Members Working")</f>
        <v>Household Members Working</v>
      </c>
      <c r="H546" s="91" t="str">
        <f>IFERROR(__xludf.DUMMYFUNCTION("TRIM(REGEXREPLACE(D546, ""[0-9]+[a-f]?\."", """"))"),"Membres actifs du ménage")</f>
        <v>Membres actifs du ménage</v>
      </c>
      <c r="I546" s="91" t="str">
        <f>IFERROR(__xludf.DUMMYFUNCTION("TRIM(REGEXREPLACE(E546, ""[0-9]+[a-f]?\."", """"))"),"Ƴan gida masu Ƙarhin aiki")</f>
        <v>Ƴan gida masu Ƙarhin aiki</v>
      </c>
      <c r="J546" s="91" t="s">
        <v>3592</v>
      </c>
      <c r="K546" s="91" t="s">
        <v>3593</v>
      </c>
      <c r="L546" s="91" t="s">
        <v>3594</v>
      </c>
    </row>
    <row r="547" hidden="1">
      <c r="A547" s="104" t="s">
        <v>108</v>
      </c>
      <c r="B547" s="105" t="s">
        <v>3595</v>
      </c>
      <c r="C547" s="31"/>
      <c r="D547" s="31"/>
      <c r="E547" s="31"/>
      <c r="F547" s="89">
        <v>307.0</v>
      </c>
      <c r="G547" s="91" t="str">
        <f>IFERROR(__xludf.DUMMYFUNCTION("TRIM(REGEXREPLACE(C547, ""[0-9]+[a-f]?\."", """"))"),"")</f>
        <v/>
      </c>
      <c r="H547" s="91" t="str">
        <f>IFERROR(__xludf.DUMMYFUNCTION("TRIM(REGEXREPLACE(D547, ""[0-9]+[a-f]?\."", """"))"),"")</f>
        <v/>
      </c>
      <c r="I547" s="91" t="str">
        <f>IFERROR(__xludf.DUMMYFUNCTION("TRIM(REGEXREPLACE(E547, ""[0-9]+[a-f]?\."", """"))"),"")</f>
        <v/>
      </c>
      <c r="J547" s="91" t="s">
        <v>3599</v>
      </c>
      <c r="K547" s="91" t="s">
        <v>3600</v>
      </c>
      <c r="L547" s="91" t="s">
        <v>3601</v>
      </c>
    </row>
    <row r="548" hidden="1">
      <c r="A548" s="104" t="s">
        <v>108</v>
      </c>
      <c r="B548" s="105" t="s">
        <v>3602</v>
      </c>
      <c r="C548" s="31" t="s">
        <v>3603</v>
      </c>
      <c r="D548" s="31" t="s">
        <v>3604</v>
      </c>
      <c r="E548" s="31" t="s">
        <v>3605</v>
      </c>
      <c r="F548" s="89">
        <v>308.0</v>
      </c>
      <c r="G548" s="91" t="str">
        <f>IFERROR(__xludf.DUMMYFUNCTION("TRIM(REGEXREPLACE(C548, ""[0-9]+[a-f]?\."", """"))"),"Household Name")</f>
        <v>Household Name</v>
      </c>
      <c r="H548" s="91" t="str">
        <f>IFERROR(__xludf.DUMMYFUNCTION("TRIM(REGEXREPLACE(D548, ""[0-9]+[a-f]?\."", """"))"),"Nom du ménage")</f>
        <v>Nom du ménage</v>
      </c>
      <c r="I548" s="91" t="str">
        <f>IFERROR(__xludf.DUMMYFUNCTION("TRIM(REGEXREPLACE(E548, ""[0-9]+[a-f]?\."", """"))"),"Sunan gida")</f>
        <v>Sunan gida</v>
      </c>
      <c r="J548" s="91" t="s">
        <v>3609</v>
      </c>
      <c r="K548" s="91" t="s">
        <v>3610</v>
      </c>
      <c r="L548" s="91" t="s">
        <v>3611</v>
      </c>
    </row>
    <row r="549">
      <c r="A549" s="146" t="s">
        <v>237</v>
      </c>
      <c r="B549" s="147" t="s">
        <v>3613</v>
      </c>
      <c r="C549" s="31" t="s">
        <v>3615</v>
      </c>
      <c r="D549" s="31" t="s">
        <v>3617</v>
      </c>
      <c r="E549" s="31" t="s">
        <v>3618</v>
      </c>
      <c r="F549" s="89">
        <v>314.0</v>
      </c>
      <c r="G549" s="91" t="str">
        <f>IFERROR(__xludf.DUMMYFUNCTION("TRIM(REGEXREPLACE(C549, ""[0-9]+[a-f]?\."", """"))"),"Can you estimate how many days during the last agricultural season did ${hoh_labor_name} work in field?")</f>
        <v>Can you estimate how many days during the last agricultural season did ${hoh_labor_name} work in field?</v>
      </c>
      <c r="H549" s="91" t="str">
        <f>IFERROR(__xludf.DUMMYFUNCTION("TRIM(REGEXREPLACE(D549, ""[0-9]+[a-f]?\."", """"))"),"Pouvez-vous estimer combien de jours au cours de la dernière saison agricole ${hoh_labor_name} a-t-il travaillé dans les champs ?")</f>
        <v>Pouvez-vous estimer combien de jours au cours de la dernière saison agricole ${hoh_labor_name} a-t-il travaillé dans les champs ?</v>
      </c>
      <c r="I549" s="91" t="str">
        <f>IFERROR(__xludf.DUMMYFUNCTION("TRIM(REGEXREPLACE(E549, ""[0-9]+[a-f]?\."", """"))"),"Za ku iya ƙiyasin kwanaki nawa a lokacin noman da ya gabata ${hoh_labor_name} ya yi aikin a noma?")</f>
        <v>Za ku iya ƙiyasin kwanaki nawa a lokacin noman da ya gabata ${hoh_labor_name} ya yi aikin a noma?</v>
      </c>
      <c r="J549" s="91" t="str">
        <f>F549&amp;". "&amp;G549</f>
        <v>314. Can you estimate how many days during the last agricultural season did ${hoh_labor_name} work in field?</v>
      </c>
      <c r="K549" s="91" t="str">
        <f t="shared" ref="K549:L549" si="406">$F549&amp;". "&amp;H549</f>
        <v>314. Pouvez-vous estimer combien de jours au cours de la dernière saison agricole ${hoh_labor_name} a-t-il travaillé dans les champs ?</v>
      </c>
      <c r="L549" s="91" t="str">
        <f t="shared" si="406"/>
        <v>314. Za ku iya ƙiyasin kwanaki nawa a lokacin noman da ya gabata ${hoh_labor_name} ya yi aikin a noma?</v>
      </c>
    </row>
    <row r="550" hidden="1">
      <c r="A550" s="144" t="s">
        <v>691</v>
      </c>
      <c r="B550" s="150" t="s">
        <v>3588</v>
      </c>
      <c r="C550" s="31" t="s">
        <v>3589</v>
      </c>
      <c r="D550" s="31" t="s">
        <v>3590</v>
      </c>
      <c r="E550" s="31" t="s">
        <v>3591</v>
      </c>
      <c r="F550" s="89">
        <v>188.0</v>
      </c>
      <c r="G550" s="91" t="str">
        <f>IFERROR(__xludf.DUMMYFUNCTION("TRIM(REGEXREPLACE(C550, ""[0-9]+[a-f]?\."", """"))"),"Household Members Working")</f>
        <v>Household Members Working</v>
      </c>
      <c r="H550" s="91" t="str">
        <f>IFERROR(__xludf.DUMMYFUNCTION("TRIM(REGEXREPLACE(D550, ""[0-9]+[a-f]?\."", """"))"),"Membres actifs du ménage")</f>
        <v>Membres actifs du ménage</v>
      </c>
      <c r="I550" s="91" t="str">
        <f>IFERROR(__xludf.DUMMYFUNCTION("TRIM(REGEXREPLACE(E550, ""[0-9]+[a-f]?\."", """"))"),"Ƴan gida masu Ƙarhin aiki")</f>
        <v>Ƴan gida masu Ƙarhin aiki</v>
      </c>
      <c r="J550" s="91" t="str">
        <f>F550 &amp; ". " &amp;G550</f>
        <v>188. Household Members Working</v>
      </c>
      <c r="K550" s="91" t="str">
        <f>F550 &amp; ". " &amp;H550</f>
        <v>188. Membres actifs du ménage</v>
      </c>
      <c r="L550" s="91" t="str">
        <f>F550 &amp; ". " &amp;I550</f>
        <v>188. Ƴan gida masu Ƙarhin aiki</v>
      </c>
    </row>
    <row r="551">
      <c r="A551" s="149" t="s">
        <v>42</v>
      </c>
      <c r="B551" s="131" t="s">
        <v>3627</v>
      </c>
      <c r="C551" s="31" t="s">
        <v>3629</v>
      </c>
      <c r="D551" s="31" t="s">
        <v>3630</v>
      </c>
      <c r="E551" s="31" t="s">
        <v>3631</v>
      </c>
      <c r="F551" s="89">
        <v>315.0</v>
      </c>
      <c r="G551" s="91" t="str">
        <f>IFERROR(__xludf.DUMMYFUNCTION("TRIM(REGEXREPLACE(C551, ""[0-9]+[a-f]?\."", """"))"),"The following questions about agricultural labor are for the last agricultural season (last 180 days).")</f>
        <v>The following questions about agricultural labor are for the last agricultural season (last 180 days).</v>
      </c>
      <c r="H551" s="91" t="str">
        <f>IFERROR(__xludf.DUMMYFUNCTION("TRIM(REGEXREPLACE(D551, ""[0-9]+[a-f]?\."", """"))"),"Les questions suivantes sur le travail agricole concernent la dernière saison agricole (180 derniers jours).\")</f>
        <v>Les questions suivantes sur le travail agricole concernent la dernière saison agricole (180 derniers jours).\</v>
      </c>
      <c r="I551" s="91" t="str">
        <f>IFERROR(__xludf.DUMMYFUNCTION("TRIM(REGEXREPLACE(E551, ""[0-9]+[a-f]?\."", """"))"),"Tambayoyi masu zuwa game da aikin noma na ƙarshe ne (kwanaki 180 na ƙarshe).")</f>
        <v>Tambayoyi masu zuwa game da aikin noma na ƙarshe ne (kwanaki 180 na ƙarshe).</v>
      </c>
      <c r="J551" s="91" t="str">
        <f t="shared" ref="J551:J555" si="408">F551&amp;". "&amp;G551</f>
        <v>315. The following questions about agricultural labor are for the last agricultural season (last 180 days).</v>
      </c>
      <c r="K551" s="91" t="str">
        <f t="shared" ref="K551:L551" si="407">$F551&amp;". "&amp;H551</f>
        <v>315. Les questions suivantes sur le travail agricole concernent la dernière saison agricole (180 derniers jours).\</v>
      </c>
      <c r="L551" s="91" t="str">
        <f t="shared" si="407"/>
        <v>315. Tambayoyi masu zuwa game da aikin noma na ƙarshe ne (kwanaki 180 na ƙarshe).</v>
      </c>
    </row>
    <row r="552">
      <c r="A552" s="81" t="s">
        <v>338</v>
      </c>
      <c r="B552" s="142" t="s">
        <v>3635</v>
      </c>
      <c r="C552" s="31" t="s">
        <v>3636</v>
      </c>
      <c r="D552" s="31" t="s">
        <v>3637</v>
      </c>
      <c r="E552" s="31" t="s">
        <v>3638</v>
      </c>
      <c r="F552" s="89">
        <v>316.0</v>
      </c>
      <c r="G552" s="91" t="str">
        <f>IFERROR(__xludf.DUMMYFUNCTION("TRIM(REGEXREPLACE(C552, ""[0-9]+[a-f]?\."", """"))"),"Did you hire anyone outside of your household to work in your fields?")</f>
        <v>Did you hire anyone outside of your household to work in your fields?</v>
      </c>
      <c r="H552" s="91" t="str">
        <f>IFERROR(__xludf.DUMMYFUNCTION("TRIM(REGEXREPLACE(D552, ""[0-9]+[a-f]?\."", """"))"),"Avez-vous embauché quelqu'un en dehors de votre ménage pour travailler dans vos champs ?")</f>
        <v>Avez-vous embauché quelqu'un en dehors de votre ménage pour travailler dans vos champs ?</v>
      </c>
      <c r="I552" s="91" t="str">
        <f>IFERROR(__xludf.DUMMYFUNCTION("TRIM(REGEXREPLACE(E552, ""[0-9]+[a-f]?\."", """"))"),"Ko kun ɗauki wani dan barema da ba ɗan gidanku ba don yin aiki a gonakinku?")</f>
        <v>Ko kun ɗauki wani dan barema da ba ɗan gidanku ba don yin aiki a gonakinku?</v>
      </c>
      <c r="J552" s="91" t="str">
        <f t="shared" si="408"/>
        <v>316. Did you hire anyone outside of your household to work in your fields?</v>
      </c>
      <c r="K552" s="91" t="str">
        <f t="shared" ref="K552:L552" si="409">$F552&amp;". "&amp;H552</f>
        <v>316. Avez-vous embauché quelqu'un en dehors de votre ménage pour travailler dans vos champs ?</v>
      </c>
      <c r="L552" s="91" t="str">
        <f t="shared" si="409"/>
        <v>316. Ko kun ɗauki wani dan barema da ba ɗan gidanku ba don yin aiki a gonakinku?</v>
      </c>
    </row>
    <row r="553">
      <c r="A553" s="146" t="s">
        <v>237</v>
      </c>
      <c r="B553" s="147" t="s">
        <v>3639</v>
      </c>
      <c r="C553" s="31" t="s">
        <v>3640</v>
      </c>
      <c r="D553" s="31" t="s">
        <v>3641</v>
      </c>
      <c r="E553" s="31" t="s">
        <v>3642</v>
      </c>
      <c r="F553" s="89">
        <v>317.0</v>
      </c>
      <c r="G553" s="91" t="str">
        <f>IFERROR(__xludf.DUMMYFUNCTION("TRIM(REGEXREPLACE(C553, ""[0-9]+[a-f]?\."", """"))"),"How many different people did you hire people to work in your fields?")</f>
        <v>How many different people did you hire people to work in your fields?</v>
      </c>
      <c r="H553" s="91" t="str">
        <f>IFERROR(__xludf.DUMMYFUNCTION("TRIM(REGEXREPLACE(D553, ""[0-9]+[a-f]?\."", """"))"),"Combien de personnes avez-vous embauchées pour travailler dans vos champs ?")</f>
        <v>Combien de personnes avez-vous embauchées pour travailler dans vos champs ?</v>
      </c>
      <c r="I553" s="91" t="str">
        <f>IFERROR(__xludf.DUMMYFUNCTION("TRIM(REGEXREPLACE(E553, ""[0-9]+[a-f]?\."", """"))"),"Mutane nawa kuka ɗauka don yin aiki a gonakinku?")</f>
        <v>Mutane nawa kuka ɗauka don yin aiki a gonakinku?</v>
      </c>
      <c r="J553" s="91" t="str">
        <f t="shared" si="408"/>
        <v>317. How many different people did you hire people to work in your fields?</v>
      </c>
      <c r="K553" s="91" t="str">
        <f t="shared" ref="K553:L553" si="410">$F553&amp;". "&amp;H553</f>
        <v>317. Combien de personnes avez-vous embauchées pour travailler dans vos champs ?</v>
      </c>
      <c r="L553" s="91" t="str">
        <f t="shared" si="410"/>
        <v>317. Mutane nawa kuka ɗauka don yin aiki a gonakinku?</v>
      </c>
    </row>
    <row r="554">
      <c r="A554" s="146" t="s">
        <v>237</v>
      </c>
      <c r="B554" s="147" t="s">
        <v>3650</v>
      </c>
      <c r="C554" s="31" t="s">
        <v>3651</v>
      </c>
      <c r="D554" s="31" t="s">
        <v>3652</v>
      </c>
      <c r="E554" s="31" t="s">
        <v>3653</v>
      </c>
      <c r="F554" s="89">
        <v>318.0</v>
      </c>
      <c r="G554" s="91" t="str">
        <f>IFERROR(__xludf.DUMMYFUNCTION("TRIM(REGEXREPLACE(C554, ""[0-9]+[a-f]?\."", """"))"),"How many days did each laborer work in your fields?")</f>
        <v>How many days did each laborer work in your fields?</v>
      </c>
      <c r="H554" s="91" t="str">
        <f>IFERROR(__xludf.DUMMYFUNCTION("TRIM(REGEXREPLACE(D554, ""[0-9]+[a-f]?\."", """"))"),"Combien de jours chaque ouvrier a-t-il travaillé dans vos champs ?")</f>
        <v>Combien de jours chaque ouvrier a-t-il travaillé dans vos champs ?</v>
      </c>
      <c r="I554" s="91" t="str">
        <f>IFERROR(__xludf.DUMMYFUNCTION("TRIM(REGEXREPLACE(E554, ""[0-9]+[a-f]?\."", """"))"),"Kwanaki nawa kowane ma'aikaci yayi aiki a gonakinku?")</f>
        <v>Kwanaki nawa kowane ma'aikaci yayi aiki a gonakinku?</v>
      </c>
      <c r="J554" s="91" t="str">
        <f t="shared" si="408"/>
        <v>318. How many days did each laborer work in your fields?</v>
      </c>
      <c r="K554" s="91" t="str">
        <f t="shared" ref="K554:L554" si="411">$F554&amp;". "&amp;H554</f>
        <v>318. Combien de jours chaque ouvrier a-t-il travaillé dans vos champs ?</v>
      </c>
      <c r="L554" s="91" t="str">
        <f t="shared" si="411"/>
        <v>318. Kwanaki nawa kowane ma'aikaci yayi aiki a gonakinku?</v>
      </c>
    </row>
    <row r="555">
      <c r="A555" s="146" t="s">
        <v>237</v>
      </c>
      <c r="B555" s="147" t="s">
        <v>3655</v>
      </c>
      <c r="C555" s="31" t="s">
        <v>3657</v>
      </c>
      <c r="D555" s="31" t="s">
        <v>3658</v>
      </c>
      <c r="E555" s="31" t="s">
        <v>3660</v>
      </c>
      <c r="F555" s="89">
        <v>319.0</v>
      </c>
      <c r="G555" s="91" t="str">
        <f>IFERROR(__xludf.DUMMYFUNCTION("TRIM(REGEXREPLACE(C555, ""[0-9]+[a-f]?\."", """"))"),"What was the daily wage you paid for people to work in your fields, or how much would you pay in CFA?")</f>
        <v>What was the daily wage you paid for people to work in your fields, or how much would you pay in CFA?</v>
      </c>
      <c r="H555" s="91" t="str">
        <f>IFERROR(__xludf.DUMMYFUNCTION("TRIM(REGEXREPLACE(D555, ""[0-9]+[a-f]?\."", """"))"),"Quel était le salaire journalier que vous payiez pour que les gens travaillent dans vos champs, ou combien paieriez-vous en CFA ?")</f>
        <v>Quel était le salaire journalier que vous payiez pour que les gens travaillent dans vos champs, ou combien paieriez-vous en CFA ?</v>
      </c>
      <c r="I555" s="91" t="str">
        <f>IFERROR(__xludf.DUMMYFUNCTION("TRIM(REGEXREPLACE(E555, ""[0-9]+[a-f]?\."", """"))"),"Nawa ne kuke biyan waɗanda suka yi aiki a gonakinku a dukkan wuni a sefa ?")</f>
        <v>Nawa ne kuke biyan waɗanda suka yi aiki a gonakinku a dukkan wuni a sefa ?</v>
      </c>
      <c r="J555" s="91" t="str">
        <f t="shared" si="408"/>
        <v>319. What was the daily wage you paid for people to work in your fields, or how much would you pay in CFA?</v>
      </c>
      <c r="K555" s="91" t="str">
        <f t="shared" ref="K555:L555" si="412">$F555&amp;". "&amp;H555</f>
        <v>319. Quel était le salaire journalier que vous payiez pour que les gens travaillent dans vos champs, ou combien paieriez-vous en CFA ?</v>
      </c>
      <c r="L555" s="91" t="str">
        <f t="shared" si="412"/>
        <v>319. Nawa ne kuke biyan waɗanda suka yi aiki a gonakinku a dukkan wuni a sefa ?</v>
      </c>
    </row>
    <row r="556" hidden="1">
      <c r="A556" s="104" t="s">
        <v>108</v>
      </c>
      <c r="B556" s="105" t="s">
        <v>3664</v>
      </c>
      <c r="C556" s="31" t="s">
        <v>3665</v>
      </c>
      <c r="D556" s="31" t="s">
        <v>3667</v>
      </c>
      <c r="E556" s="31" t="s">
        <v>3669</v>
      </c>
      <c r="F556" s="89">
        <v>191.0</v>
      </c>
      <c r="G556" s="91" t="str">
        <f>IFERROR(__xludf.DUMMYFUNCTION("TRIM(REGEXREPLACE(C556, ""[0-9]+[a-f]?\."", """"))"),"Calculate total, you paid X amount, is this correct? 
Sold - investments - paid for day labor")</f>
        <v>Calculate total, you paid X amount, is this correct? 
Sold - investments - paid for day labor</v>
      </c>
      <c r="H556" s="91" t="str">
        <f>IFERROR(__xludf.DUMMYFUNCTION("TRIM(REGEXREPLACE(D556, ""[0-9]+[a-f]?\."", """"))"),"Calculez le total, vous avez payé X montant, est-ce correct ?
 Vendu - investissements - payé pour le travail journalier")</f>
        <v>Calculez le total, vous avez payé X montant, est-ce correct ?
 Vendu - investissements - payé pour le travail journalier</v>
      </c>
      <c r="I556" s="91" t="str">
        <f>IFERROR(__xludf.DUMMYFUNCTION("TRIM(REGEXREPLACE(E556, ""[0-9]+[a-f]?\."", """"))"),"Kayi lissafin jimillar, kun biya kuɗin X, ko daidai ne?
 An saida - zuba jari - biya ga aikin wuni")</f>
        <v>Kayi lissafin jimillar, kun biya kuɗin X, ko daidai ne?
 An saida - zuba jari - biya ga aikin wuni</v>
      </c>
      <c r="J556" s="91" t="str">
        <f>F556 &amp; ". " &amp;G556</f>
        <v>191. Calculate total, you paid X amount, is this correct? 
Sold - investments - paid for day labor</v>
      </c>
      <c r="K556" s="91" t="str">
        <f>F556 &amp; ". " &amp;H556</f>
        <v>191. Calculez le total, vous avez payé X montant, est-ce correct ?
 Vendu - investissements - payé pour le travail journalier</v>
      </c>
      <c r="L556" s="91" t="str">
        <f>F556 &amp; ". " &amp;I556</f>
        <v>191. Kayi lissafin jimillar, kun biya kuɗin X, ko daidai ne?
 An saida - zuba jari - biya ga aikin wuni</v>
      </c>
    </row>
    <row r="557">
      <c r="A557" s="81" t="s">
        <v>338</v>
      </c>
      <c r="B557" s="142" t="s">
        <v>3677</v>
      </c>
      <c r="C557" s="31" t="s">
        <v>3678</v>
      </c>
      <c r="D557" s="31" t="s">
        <v>3679</v>
      </c>
      <c r="E557" s="31" t="s">
        <v>3680</v>
      </c>
      <c r="F557" s="89">
        <v>320.0</v>
      </c>
      <c r="G557" s="91" t="str">
        <f>IFERROR(__xludf.DUMMYFUNCTION("TRIM(REGEXREPLACE(C557,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557" s="91" t="str">
        <f>IFERROR(__xludf.DUMMYFUNCTION("TRIM(REGEXREPLACE(D557, ""[0-9]+[a-f]?\."", """"))"),"Pour toutes les dépenses pour vos champs dont nous avons parlé, vous avez payé ${hoh_total_paid} en CFA, est-ce correct ?")</f>
        <v>Pour toutes les dépenses pour vos champs dont nous avons parlé, vous avez payé ${hoh_total_paid} en CFA, est-ce correct ?</v>
      </c>
      <c r="I557" s="91" t="str">
        <f>IFERROR(__xludf.DUMMYFUNCTION("TRIM(REGEXREPLACE(E557,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557" s="91" t="str">
        <f t="shared" ref="J557:J559" si="414">F557&amp;". "&amp;G557</f>
        <v>320. Thinking of your expenses related to labor and investment in your fields during the last agricultural season, you spent a total of ${hoh_total_paid} in CFA, is this correct?</v>
      </c>
      <c r="K557" s="91" t="str">
        <f t="shared" ref="K557:L557" si="413">$F557&amp;". "&amp;H557</f>
        <v>320. Pour toutes les dépenses pour vos champs dont nous avons parlé, vous avez payé ${hoh_total_paid} en CFA, est-ce correct ?</v>
      </c>
      <c r="L557" s="91" t="str">
        <f t="shared" si="413"/>
        <v>320. Ku tuna da dukkan kuɗaɗen da kuka kashe a kan aikin gona a lokacin aikin noma na ƙarshe, kun kashe jimillar ${hoh_total_paid} a CFA, wannan daidai ne?</v>
      </c>
    </row>
    <row r="558">
      <c r="A558" s="126" t="s">
        <v>42</v>
      </c>
      <c r="B558" s="127" t="s">
        <v>3681</v>
      </c>
      <c r="C558" s="31" t="s">
        <v>3683</v>
      </c>
      <c r="D558" s="31" t="s">
        <v>3685</v>
      </c>
      <c r="E558" s="31" t="s">
        <v>3687</v>
      </c>
      <c r="F558" s="89">
        <v>321.0</v>
      </c>
      <c r="G558" s="91" t="str">
        <f>IFERROR(__xludf.DUMMYFUNCTION("TRIM(REGEXREPLACE(C558, ""[0-9]+[a-f]?\."", """"))"),"Now we'll ask about any work by members of your household in fields owned by other people.")</f>
        <v>Now we'll ask about any work by members of your household in fields owned by other people.</v>
      </c>
      <c r="H558" s="91" t="str">
        <f>IFERROR(__xludf.DUMMYFUNCTION("TRIM(REGEXREPLACE(D558,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558" s="91" t="str">
        <f>IFERROR(__xludf.DUMMYFUNCTION("TRIM(REGEXREPLACE(E558, ""[0-9]+[a-f]?\."", """"))"),"Yanzu za mu yi tambayoyi game da duk wani aiki da ƴan gidanku suka yi a gonakin wasu mutane.")</f>
        <v>Yanzu za mu yi tambayoyi game da duk wani aiki da ƴan gidanku suka yi a gonakin wasu mutane.</v>
      </c>
      <c r="J558" s="91" t="str">
        <f t="shared" si="414"/>
        <v>321. Now we'll ask about any work by members of your household in fields owned by other people.</v>
      </c>
      <c r="K558" s="91" t="str">
        <f t="shared" ref="K558:L558" si="415">$F558&amp;". "&amp;H558</f>
        <v>321. Nous allons maintenant poser des questions sur tout travail effectué par des membres de votre ménage dans des champs appartenant à d'autres personnes.</v>
      </c>
      <c r="L558" s="91" t="str">
        <f t="shared" si="415"/>
        <v>321. Yanzu za mu yi tambayoyi game da duk wani aiki da ƴan gidanku suka yi a gonakin wasu mutane.</v>
      </c>
    </row>
    <row r="559">
      <c r="A559" s="81" t="s">
        <v>338</v>
      </c>
      <c r="B559" s="142" t="s">
        <v>3692</v>
      </c>
      <c r="C559" s="31" t="s">
        <v>3693</v>
      </c>
      <c r="D559" s="31" t="s">
        <v>3694</v>
      </c>
      <c r="E559" s="31" t="s">
        <v>3695</v>
      </c>
      <c r="F559" s="89">
        <v>322.0</v>
      </c>
      <c r="G559" s="91" t="str">
        <f>IFERROR(__xludf.DUMMYFUNCTION("TRIM(REGEXREPLACE(C559, ""[0-9]+[a-f]?\."", """"))"),"Have any family members worked as a day labor in fields for someone else?")</f>
        <v>Have any family members worked as a day labor in fields for someone else?</v>
      </c>
      <c r="H559" s="91" t="str">
        <f>IFERROR(__xludf.DUMMYFUNCTION("TRIM(REGEXREPLACE(D559,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559" s="91" t="str">
        <f>IFERROR(__xludf.DUMMYFUNCTION("TRIM(REGEXREPLACE(E559, ""[0-9]+[a-f]?\."", """"))"),"Ko wani ɗan gidanku ya yi aiki a matsayin ɗan barema a gonar wani?")</f>
        <v>Ko wani ɗan gidanku ya yi aiki a matsayin ɗan barema a gonar wani?</v>
      </c>
      <c r="J559" s="91" t="str">
        <f t="shared" si="414"/>
        <v>322. Have any family members worked as a day labor in fields for someone else?</v>
      </c>
      <c r="K559" s="91" t="str">
        <f t="shared" ref="K559:L559" si="416">$F559&amp;". "&amp;H559</f>
        <v>322. Pensez à tout membre de votre ménage, y-a t-il des membres de votre ménage qui ont travaillé comme journaliers dans le champs de quelqu'un d'autre ?</v>
      </c>
      <c r="L559" s="91" t="str">
        <f t="shared" si="416"/>
        <v>322. Ko wani ɗan gidanku ya yi aiki a matsayin ɗan barema a gonar wani?</v>
      </c>
    </row>
    <row r="560" hidden="1">
      <c r="A560" s="104" t="s">
        <v>139</v>
      </c>
      <c r="B560" s="141" t="s">
        <v>3699</v>
      </c>
      <c r="C560" s="31"/>
      <c r="D560" s="31"/>
      <c r="E560" s="31"/>
      <c r="F560" s="89">
        <v>195.0</v>
      </c>
      <c r="G560" s="91" t="str">
        <f>IFERROR(__xludf.DUMMYFUNCTION("TRIM(REGEXREPLACE(C560, ""[0-9]+[a-f]?\."", """"))"),"")</f>
        <v/>
      </c>
      <c r="H560" s="91" t="str">
        <f>IFERROR(__xludf.DUMMYFUNCTION("TRIM(REGEXREPLACE(D560, ""[0-9]+[a-f]?\."", """"))"),"")</f>
        <v/>
      </c>
      <c r="I560" s="91" t="str">
        <f>IFERROR(__xludf.DUMMYFUNCTION("TRIM(REGEXREPLACE(E560, ""[0-9]+[a-f]?\."", """"))"),"")</f>
        <v/>
      </c>
      <c r="J560" s="91" t="str">
        <f t="shared" ref="J560:J561" si="417">F560 &amp; ". " &amp;G560</f>
        <v>195. </v>
      </c>
      <c r="K560" s="91" t="str">
        <f t="shared" ref="K560:K561" si="418">F560 &amp; ". " &amp;H560</f>
        <v>195. </v>
      </c>
      <c r="L560" s="91" t="str">
        <f t="shared" ref="L560:L561" si="419">F560 &amp; ". " &amp;I560</f>
        <v>195. </v>
      </c>
    </row>
    <row r="561" hidden="1">
      <c r="A561" s="67" t="s">
        <v>108</v>
      </c>
      <c r="B561" s="69" t="s">
        <v>3703</v>
      </c>
      <c r="C561" s="31"/>
      <c r="D561" s="31"/>
      <c r="E561" s="31"/>
      <c r="F561" s="89">
        <v>196.0</v>
      </c>
      <c r="G561" s="91" t="str">
        <f>IFERROR(__xludf.DUMMYFUNCTION("TRIM(REGEXREPLACE(C561, ""[0-9]+[a-f]?\."", """"))"),"")</f>
        <v/>
      </c>
      <c r="H561" s="91" t="str">
        <f>IFERROR(__xludf.DUMMYFUNCTION("TRIM(REGEXREPLACE(D561, ""[0-9]+[a-f]?\."", """"))"),"")</f>
        <v/>
      </c>
      <c r="I561" s="91" t="str">
        <f>IFERROR(__xludf.DUMMYFUNCTION("TRIM(REGEXREPLACE(E561, ""[0-9]+[a-f]?\."", """"))"),"")</f>
        <v/>
      </c>
      <c r="J561" s="91" t="str">
        <f t="shared" si="417"/>
        <v>196. </v>
      </c>
      <c r="K561" s="91" t="str">
        <f t="shared" si="418"/>
        <v>196. </v>
      </c>
      <c r="L561" s="91" t="str">
        <f t="shared" si="419"/>
        <v>196. </v>
      </c>
    </row>
    <row r="562" hidden="1">
      <c r="A562" s="104" t="s">
        <v>139</v>
      </c>
      <c r="B562" s="141" t="s">
        <v>3710</v>
      </c>
      <c r="C562" s="31"/>
      <c r="D562" s="31"/>
      <c r="E562" s="31"/>
      <c r="F562" s="89">
        <v>320.0</v>
      </c>
      <c r="G562" s="91" t="str">
        <f>IFERROR(__xludf.DUMMYFUNCTION("TRIM(REGEXREPLACE(C562, ""[0-9]+[a-f]?\."", """"))"),"")</f>
        <v/>
      </c>
      <c r="H562" s="91" t="str">
        <f>IFERROR(__xludf.DUMMYFUNCTION("TRIM(REGEXREPLACE(D562, ""[0-9]+[a-f]?\."", """"))"),"")</f>
        <v/>
      </c>
      <c r="I562" s="91" t="str">
        <f>IFERROR(__xludf.DUMMYFUNCTION("TRIM(REGEXREPLACE(E562, ""[0-9]+[a-f]?\."", """"))"),"")</f>
        <v/>
      </c>
      <c r="J562" s="91" t="s">
        <v>3711</v>
      </c>
      <c r="K562" s="91" t="s">
        <v>3712</v>
      </c>
      <c r="L562" s="91" t="s">
        <v>3713</v>
      </c>
    </row>
    <row r="563" hidden="1">
      <c r="A563" s="144" t="s">
        <v>648</v>
      </c>
      <c r="B563" s="145" t="s">
        <v>3714</v>
      </c>
      <c r="C563" s="31" t="s">
        <v>3715</v>
      </c>
      <c r="D563" s="31" t="s">
        <v>3716</v>
      </c>
      <c r="E563" s="31" t="s">
        <v>3717</v>
      </c>
      <c r="F563" s="89">
        <v>197.0</v>
      </c>
      <c r="G563" s="91" t="str">
        <f>IFERROR(__xludf.DUMMYFUNCTION("TRIM(REGEXREPLACE(C563, ""[0-9]+[a-f]?\."", """"))"),"Household Day Laborers")</f>
        <v>Household Day Laborers</v>
      </c>
      <c r="H563" s="91" t="str">
        <f>IFERROR(__xludf.DUMMYFUNCTION("TRIM(REGEXREPLACE(D563, ""[0-9]+[a-f]?\."", """"))"),"Travaileurs journaliers")</f>
        <v>Travaileurs journaliers</v>
      </c>
      <c r="I563" s="91" t="str">
        <f>IFERROR(__xludf.DUMMYFUNCTION("TRIM(REGEXREPLACE(E563, ""[0-9]+[a-f]?\."", """"))"),"Masu aikin wuni")</f>
        <v>Masu aikin wuni</v>
      </c>
      <c r="J563" s="91" t="str">
        <f t="shared" ref="J563:J564" si="420">F563 &amp; ". " &amp;G563</f>
        <v>197. Household Day Laborers</v>
      </c>
      <c r="K563" s="91" t="str">
        <f t="shared" ref="K563:K564" si="421">F563 &amp; ". " &amp;H563</f>
        <v>197. Travaileurs journaliers</v>
      </c>
      <c r="L563" s="91" t="str">
        <f t="shared" ref="L563:L564" si="422">F563 &amp; ". " &amp;I563</f>
        <v>197. Masu aikin wuni</v>
      </c>
    </row>
    <row r="564" hidden="1">
      <c r="A564" s="104" t="s">
        <v>108</v>
      </c>
      <c r="B564" s="105" t="s">
        <v>3723</v>
      </c>
      <c r="C564" s="31"/>
      <c r="D564" s="31"/>
      <c r="E564" s="31"/>
      <c r="F564" s="89">
        <v>198.0</v>
      </c>
      <c r="G564" s="91" t="str">
        <f>IFERROR(__xludf.DUMMYFUNCTION("TRIM(REGEXREPLACE(C564, ""[0-9]+[a-f]?\."", """"))"),"")</f>
        <v/>
      </c>
      <c r="H564" s="91" t="str">
        <f>IFERROR(__xludf.DUMMYFUNCTION("TRIM(REGEXREPLACE(D564, ""[0-9]+[a-f]?\."", """"))"),"")</f>
        <v/>
      </c>
      <c r="I564" s="91" t="str">
        <f>IFERROR(__xludf.DUMMYFUNCTION("TRIM(REGEXREPLACE(E564, ""[0-9]+[a-f]?\."", """"))"),"")</f>
        <v/>
      </c>
      <c r="J564" s="91" t="str">
        <f t="shared" si="420"/>
        <v>198. </v>
      </c>
      <c r="K564" s="91" t="str">
        <f t="shared" si="421"/>
        <v>198. </v>
      </c>
      <c r="L564" s="91" t="str">
        <f t="shared" si="422"/>
        <v>198. </v>
      </c>
    </row>
    <row r="565" hidden="1">
      <c r="A565" s="104" t="s">
        <v>108</v>
      </c>
      <c r="B565" s="105" t="s">
        <v>3724</v>
      </c>
      <c r="C565" s="31"/>
      <c r="D565" s="31"/>
      <c r="E565" s="31"/>
      <c r="F565" s="89">
        <v>315.0</v>
      </c>
      <c r="G565" s="91" t="str">
        <f>IFERROR(__xludf.DUMMYFUNCTION("TRIM(REGEXREPLACE(C565, ""[0-9]+[a-f]?\."", """"))"),"")</f>
        <v/>
      </c>
      <c r="H565" s="91" t="str">
        <f>IFERROR(__xludf.DUMMYFUNCTION("TRIM(REGEXREPLACE(D565, ""[0-9]+[a-f]?\."", """"))"),"")</f>
        <v/>
      </c>
      <c r="I565" s="91" t="str">
        <f>IFERROR(__xludf.DUMMYFUNCTION("TRIM(REGEXREPLACE(E565, ""[0-9]+[a-f]?\."", """"))"),"")</f>
        <v/>
      </c>
      <c r="J565" s="91" t="s">
        <v>3725</v>
      </c>
      <c r="K565" s="91" t="s">
        <v>3726</v>
      </c>
      <c r="L565" s="91" t="s">
        <v>3727</v>
      </c>
    </row>
    <row r="566">
      <c r="A566" s="146" t="s">
        <v>237</v>
      </c>
      <c r="B566" s="147" t="s">
        <v>3728</v>
      </c>
      <c r="C566" s="31" t="s">
        <v>3729</v>
      </c>
      <c r="D566" s="31" t="s">
        <v>3730</v>
      </c>
      <c r="E566" s="31" t="s">
        <v>3731</v>
      </c>
      <c r="F566" s="89">
        <v>323.0</v>
      </c>
      <c r="G566" s="91" t="str">
        <f>IFERROR(__xludf.DUMMYFUNCTION("TRIM(REGEXREPLACE(C566, ""[0-9]+[a-f]?\."", """"))"),"Can you estimate how many days ${hoh_paid_name} worked as a day laborer in the fields for someone else?")</f>
        <v>Can you estimate how many days ${hoh_paid_name} worked as a day laborer in the fields for someone else?</v>
      </c>
      <c r="H566" s="91" t="str">
        <f>IFERROR(__xludf.DUMMYFUNCTION("TRIM(REGEXREPLACE(D566, ""[0-9]+[a-f]?\."", """"))"),"Pouvez-vous estimer combien de jours ${hoh_paid_name} a travaillé comme journalier dans les champs d'autres personnes ?")</f>
        <v>Pouvez-vous estimer combien de jours ${hoh_paid_name} a travaillé comme journalier dans les champs d'autres personnes ?</v>
      </c>
      <c r="I566" s="91" t="str">
        <f>IFERROR(__xludf.DUMMYFUNCTION("TRIM(REGEXREPLACE(E566, ""[0-9]+[a-f]?\."", """"))"),"Za ku iya misalta ko wuni nawa ${hoh_paid_name} yayi aiki a matsayin ma'aikacin barema a gonar wasu mutane?")</f>
        <v>Za ku iya misalta ko wuni nawa ${hoh_paid_name} yayi aiki a matsayin ma'aikacin barema a gonar wasu mutane?</v>
      </c>
      <c r="J566" s="91" t="str">
        <f t="shared" ref="J566:J567" si="424">F566&amp;". "&amp;G566</f>
        <v>323. Can you estimate how many days ${hoh_paid_name} worked as a day laborer in the fields for someone else?</v>
      </c>
      <c r="K566" s="91" t="str">
        <f t="shared" ref="K566:L566" si="423">$F566&amp;". "&amp;H566</f>
        <v>323. Pouvez-vous estimer combien de jours ${hoh_paid_name} a travaillé comme journalier dans les champs d'autres personnes ?</v>
      </c>
      <c r="L566" s="91" t="str">
        <f t="shared" si="423"/>
        <v>323. Za ku iya misalta ko wuni nawa ${hoh_paid_name} yayi aiki a matsayin ma'aikacin barema a gonar wasu mutane?</v>
      </c>
    </row>
    <row r="567">
      <c r="A567" s="146" t="s">
        <v>237</v>
      </c>
      <c r="B567" s="147" t="s">
        <v>3739</v>
      </c>
      <c r="C567" s="31" t="s">
        <v>3740</v>
      </c>
      <c r="D567" s="31" t="s">
        <v>3741</v>
      </c>
      <c r="E567" s="31" t="s">
        <v>3742</v>
      </c>
      <c r="F567" s="89">
        <v>324.0</v>
      </c>
      <c r="G567" s="91" t="str">
        <f>IFERROR(__xludf.DUMMYFUNCTION("TRIM(REGEXREPLACE(C567, ""[0-9]+[a-f]?\."", """"))"),"What was the daily wage paid to ${hoh_paid_name} working as a day laborer for someone else in CFA?")</f>
        <v>What was the daily wage paid to ${hoh_paid_name} working as a day laborer for someone else in CFA?</v>
      </c>
      <c r="H567" s="91" t="str">
        <f>IFERROR(__xludf.DUMMYFUNCTION("TRIM(REGEXREPLACE(D567, ""[0-9]+[a-f]?\."", """"))"),"Quel était le salaire journalier payé à ${hoh_paid_name} travaillant comme journalier pour quelqu'un d'autre en CFA ?")</f>
        <v>Quel était le salaire journalier payé à ${hoh_paid_name} travaillant comme journalier pour quelqu'un d'autre en CFA ?</v>
      </c>
      <c r="I567" s="91" t="str">
        <f>IFERROR(__xludf.DUMMYFUNCTION("TRIM(REGEXREPLACE(E567, ""[0-9]+[a-f]?\."", """"))"),"Nawa biyan ${hoh_paid_name} na wuni a lokacin da yake barema a gonar wani a sefa?")</f>
        <v>Nawa biyan ${hoh_paid_name} na wuni a lokacin da yake barema a gonar wani a sefa?</v>
      </c>
      <c r="J567" s="91" t="str">
        <f t="shared" si="424"/>
        <v>324. What was the daily wage paid to ${hoh_paid_name} working as a day laborer for someone else in CFA?</v>
      </c>
      <c r="K567" s="91" t="str">
        <f t="shared" ref="K567:L567" si="425">$F567&amp;". "&amp;H567</f>
        <v>324. Quel était le salaire journalier payé à ${hoh_paid_name} travaillant comme journalier pour quelqu'un d'autre en CFA ?</v>
      </c>
      <c r="L567" s="91" t="str">
        <f t="shared" si="425"/>
        <v>324. Nawa biyan ${hoh_paid_name} na wuni a lokacin da yake barema a gonar wani a sefa?</v>
      </c>
    </row>
    <row r="568" hidden="1">
      <c r="A568" s="104" t="s">
        <v>108</v>
      </c>
      <c r="B568" s="105" t="s">
        <v>3746</v>
      </c>
      <c r="C568" s="31" t="s">
        <v>3747</v>
      </c>
      <c r="D568" s="31" t="s">
        <v>3748</v>
      </c>
      <c r="E568" s="31" t="s">
        <v>3749</v>
      </c>
      <c r="F568" s="89">
        <v>318.0</v>
      </c>
      <c r="G568" s="91" t="str">
        <f>IFERROR(__xludf.DUMMYFUNCTION("TRIM(REGEXREPLACE(C568, ""[0-9]+[a-f]?\."", """"))"),"paid_ag * paid_ag_wage")</f>
        <v>paid_ag * paid_ag_wage</v>
      </c>
      <c r="H568" s="91" t="str">
        <f>IFERROR(__xludf.DUMMYFUNCTION("TRIM(REGEXREPLACE(D568, ""[0-9]+[a-f]?\."", """"))"),"payé_ag * payé_ag_wage")</f>
        <v>payé_ag * payé_ag_wage</v>
      </c>
      <c r="I568" s="91" t="str">
        <f>IFERROR(__xludf.DUMMYFUNCTION("TRIM(REGEXREPLACE(E568, ""[0-9]+[a-f]?\."", """"))"),"biya_ag * biya_ag_wage")</f>
        <v>biya_ag * biya_ag_wage</v>
      </c>
      <c r="J568" s="91" t="s">
        <v>3750</v>
      </c>
      <c r="K568" s="91" t="s">
        <v>3751</v>
      </c>
      <c r="L568" s="91" t="s">
        <v>3752</v>
      </c>
    </row>
    <row r="569" hidden="1">
      <c r="A569" s="144" t="s">
        <v>691</v>
      </c>
      <c r="B569" s="150" t="s">
        <v>3714</v>
      </c>
      <c r="C569" s="31"/>
      <c r="D569" s="31"/>
      <c r="E569" s="31"/>
      <c r="F569" s="89">
        <v>319.0</v>
      </c>
      <c r="G569" s="91" t="str">
        <f>IFERROR(__xludf.DUMMYFUNCTION("TRIM(REGEXREPLACE(C569, ""[0-9]+[a-f]?\."", """"))"),"")</f>
        <v/>
      </c>
      <c r="H569" s="91" t="str">
        <f>IFERROR(__xludf.DUMMYFUNCTION("TRIM(REGEXREPLACE(D569, ""[0-9]+[a-f]?\."", """"))"),"")</f>
        <v/>
      </c>
      <c r="I569" s="91" t="str">
        <f>IFERROR(__xludf.DUMMYFUNCTION("TRIM(REGEXREPLACE(E569, ""[0-9]+[a-f]?\."", """"))"),"")</f>
        <v/>
      </c>
      <c r="J569" s="91" t="s">
        <v>3756</v>
      </c>
      <c r="K569" s="91" t="s">
        <v>3757</v>
      </c>
      <c r="L569" s="91" t="s">
        <v>3758</v>
      </c>
    </row>
    <row r="570" hidden="1">
      <c r="A570" s="104" t="s">
        <v>139</v>
      </c>
      <c r="B570" s="141" t="s">
        <v>3760</v>
      </c>
      <c r="C570" s="31"/>
      <c r="D570" s="31"/>
      <c r="E570" s="31"/>
      <c r="F570" s="89">
        <v>320.0</v>
      </c>
      <c r="G570" s="91" t="str">
        <f>IFERROR(__xludf.DUMMYFUNCTION("TRIM(REGEXREPLACE(C570, ""[0-9]+[a-f]?\."", """"))"),"")</f>
        <v/>
      </c>
      <c r="H570" s="91" t="str">
        <f>IFERROR(__xludf.DUMMYFUNCTION("TRIM(REGEXREPLACE(D570, ""[0-9]+[a-f]?\."", """"))"),"")</f>
        <v/>
      </c>
      <c r="I570" s="91" t="str">
        <f>IFERROR(__xludf.DUMMYFUNCTION("TRIM(REGEXREPLACE(E570, ""[0-9]+[a-f]?\."", """"))"),"")</f>
        <v/>
      </c>
      <c r="J570" s="91" t="s">
        <v>3763</v>
      </c>
      <c r="K570" s="91" t="s">
        <v>3764</v>
      </c>
      <c r="L570" s="91" t="s">
        <v>3765</v>
      </c>
    </row>
    <row r="571" hidden="1">
      <c r="A571" s="67" t="s">
        <v>108</v>
      </c>
      <c r="B571" s="69" t="s">
        <v>3766</v>
      </c>
      <c r="C571" s="31"/>
      <c r="D571" s="31"/>
      <c r="E571" s="31"/>
      <c r="F571" s="89">
        <v>325.0</v>
      </c>
      <c r="G571" s="91" t="str">
        <f>IFERROR(__xludf.DUMMYFUNCTION("TRIM(REGEXREPLACE(C571, ""[0-9]+[a-f]?\."", """"))"),"")</f>
        <v/>
      </c>
      <c r="H571" s="91" t="str">
        <f>IFERROR(__xludf.DUMMYFUNCTION("TRIM(REGEXREPLACE(D571, ""[0-9]+[a-f]?\."", """"))"),"")</f>
        <v/>
      </c>
      <c r="I571" s="91" t="str">
        <f>IFERROR(__xludf.DUMMYFUNCTION("TRIM(REGEXREPLACE(E571, ""[0-9]+[a-f]?\."", """"))"),"")</f>
        <v/>
      </c>
    </row>
    <row r="572">
      <c r="A572" s="81" t="s">
        <v>338</v>
      </c>
      <c r="B572" s="142" t="s">
        <v>3767</v>
      </c>
      <c r="C572" s="31" t="s">
        <v>3768</v>
      </c>
      <c r="D572" s="31" t="s">
        <v>3769</v>
      </c>
      <c r="E572" s="31" t="s">
        <v>3770</v>
      </c>
      <c r="F572" s="89">
        <v>325.0</v>
      </c>
      <c r="G572" s="91" t="str">
        <f>IFERROR(__xludf.DUMMYFUNCTION("TRIM(REGEXREPLACE(C572, ""[0-9]+[a-f]?\."", """"))"),"Thinking about the last agricultural season, did you need to pay other expenses we did not ask you about?")</f>
        <v>Thinking about the last agricultural season, did you need to pay other expenses we did not ask you about?</v>
      </c>
      <c r="H572" s="91" t="str">
        <f>IFERROR(__xludf.DUMMYFUNCTION("TRIM(REGEXREPLACE(D572, ""[0-9]+[a-f]?\."", """"))"),"En pensant à la dernière saison agricole, avez-vous dû faire d'autres dépenses dont nous n'avons pas parlé ?")</f>
        <v>En pensant à la dernière saison agricole, avez-vous dû faire d'autres dépenses dont nous n'avons pas parlé ?</v>
      </c>
      <c r="I572" s="91" t="str">
        <f>IFERROR(__xludf.DUMMYFUNCTION("TRIM(REGEXREPLACE(E572, ""[0-9]+[a-f]?\."", """"))"),"A tunaninka a lokacin noman da ya gabata, akwai wasu kashe kashen kuɗi da kuka yi wanda ba mu yi zancen su ba?")</f>
        <v>A tunaninka a lokacin noman da ya gabata, akwai wasu kashe kashen kuɗi da kuka yi wanda ba mu yi zancen su ba?</v>
      </c>
      <c r="J572" s="91" t="str">
        <f t="shared" ref="J572:J574" si="427">F572&amp;". "&amp;G572</f>
        <v>325. Thinking about the last agricultural season, did you need to pay other expenses we did not ask you about?</v>
      </c>
      <c r="K572" s="91" t="str">
        <f t="shared" ref="K572:L572" si="426">$F572&amp;". "&amp;H572</f>
        <v>325. En pensant à la dernière saison agricole, avez-vous dû faire d'autres dépenses dont nous n'avons pas parlé ?</v>
      </c>
      <c r="L572" s="91" t="str">
        <f t="shared" si="426"/>
        <v>325. A tunaninka a lokacin noman da ya gabata, akwai wasu kashe kashen kuɗi da kuka yi wanda ba mu yi zancen su ba?</v>
      </c>
    </row>
    <row r="573">
      <c r="A573" s="133" t="s">
        <v>214</v>
      </c>
      <c r="B573" s="143" t="s">
        <v>3774</v>
      </c>
      <c r="C573" s="31" t="s">
        <v>3775</v>
      </c>
      <c r="D573" s="31" t="s">
        <v>3776</v>
      </c>
      <c r="E573" s="31" t="s">
        <v>3777</v>
      </c>
      <c r="F573" s="89">
        <v>326.0</v>
      </c>
      <c r="G573" s="91" t="str">
        <f>IFERROR(__xludf.DUMMYFUNCTION("TRIM(REGEXREPLACE(C573, ""[0-9]+[a-f]?\."", """"))"),"What was the expense?")</f>
        <v>What was the expense?</v>
      </c>
      <c r="H573" s="91" t="str">
        <f>IFERROR(__xludf.DUMMYFUNCTION("TRIM(REGEXREPLACE(D573, ""[0-9]+[a-f]?\."", """"))"),"Quelle était la dépense ?")</f>
        <v>Quelle était la dépense ?</v>
      </c>
      <c r="I573" s="91" t="str">
        <f>IFERROR(__xludf.DUMMYFUNCTION("TRIM(REGEXREPLACE(E573, ""[0-9]+[a-f]?\."", """"))"),"wane kashe kuɗi ne ?")</f>
        <v>wane kashe kuɗi ne ?</v>
      </c>
      <c r="J573" s="91" t="str">
        <f t="shared" si="427"/>
        <v>326. What was the expense?</v>
      </c>
      <c r="K573" s="91" t="str">
        <f t="shared" ref="K573:L573" si="428">$F573&amp;". "&amp;H573</f>
        <v>326. Quelle était la dépense ?</v>
      </c>
      <c r="L573" s="91" t="str">
        <f t="shared" si="428"/>
        <v>326. wane kashe kuɗi ne ?</v>
      </c>
    </row>
    <row r="574">
      <c r="A574" s="146" t="s">
        <v>237</v>
      </c>
      <c r="B574" s="147" t="s">
        <v>3781</v>
      </c>
      <c r="C574" s="31" t="s">
        <v>3783</v>
      </c>
      <c r="D574" s="31" t="s">
        <v>3784</v>
      </c>
      <c r="E574" s="31" t="s">
        <v>3785</v>
      </c>
      <c r="F574" s="89">
        <v>327.0</v>
      </c>
      <c r="G574" s="91" t="str">
        <f>IFERROR(__xludf.DUMMYFUNCTION("TRIM(REGEXREPLACE(C574, ""[0-9]+[a-f]?\."", """"))"),"What was the approximate value of ${hoh_ag_exp_other_name} in CFA?")</f>
        <v>What was the approximate value of ${hoh_ag_exp_other_name} in CFA?</v>
      </c>
      <c r="H574" s="91" t="str">
        <f>IFERROR(__xludf.DUMMYFUNCTION("TRIM(REGEXREPLACE(D574, ""[0-9]+[a-f]?\."", """"))"),"Quelle était la valeur approximative de ${hoh_ag_exp_other_name} en CFA ?")</f>
        <v>Quelle était la valeur approximative de ${hoh_ag_exp_other_name} en CFA ?</v>
      </c>
      <c r="I574" s="91" t="str">
        <f>IFERROR(__xludf.DUMMYFUNCTION("TRIM(REGEXREPLACE(E574, ""[0-9]+[a-f]?\."", """"))"),"Nawa farashin ${hoh_ag_exp_other_name} a wacan lokacin a sefa?")</f>
        <v>Nawa farashin ${hoh_ag_exp_other_name} a wacan lokacin a sefa?</v>
      </c>
      <c r="J574" s="91" t="str">
        <f t="shared" si="427"/>
        <v>327. What was the approximate value of ${hoh_ag_exp_other_name} in CFA?</v>
      </c>
      <c r="K574" s="91" t="str">
        <f t="shared" ref="K574:L574" si="429">$F574&amp;". "&amp;H574</f>
        <v>327. Quelle était la valeur approximative de ${hoh_ag_exp_other_name} en CFA ?</v>
      </c>
      <c r="L574" s="91" t="str">
        <f t="shared" si="429"/>
        <v>327. Nawa farashin ${hoh_ag_exp_other_name} a wacan lokacin a sefa?</v>
      </c>
    </row>
    <row r="575" hidden="1">
      <c r="A575" s="104" t="s">
        <v>108</v>
      </c>
      <c r="B575" s="105" t="s">
        <v>3790</v>
      </c>
      <c r="C575" s="31" t="s">
        <v>3791</v>
      </c>
      <c r="D575" s="31"/>
      <c r="E575" s="31"/>
      <c r="F575" s="89">
        <v>321.0</v>
      </c>
      <c r="G575" s="91" t="str">
        <f>IFERROR(__xludf.DUMMYFUNCTION("TRIM(REGEXREPLACE(C575, ""[0-9]+[a-f]?\."", """"))"),"Total wages from outside ag work")</f>
        <v>Total wages from outside ag work</v>
      </c>
      <c r="H575" s="91" t="str">
        <f>IFERROR(__xludf.DUMMYFUNCTION("TRIM(REGEXREPLACE(D575, ""[0-9]+[a-f]?\."", """"))"),"")</f>
        <v/>
      </c>
      <c r="I575" s="91" t="str">
        <f>IFERROR(__xludf.DUMMYFUNCTION("TRIM(REGEXREPLACE(E575, ""[0-9]+[a-f]?\."", """"))"),"")</f>
        <v/>
      </c>
      <c r="J575" s="91" t="s">
        <v>3794</v>
      </c>
      <c r="K575" s="91" t="s">
        <v>3795</v>
      </c>
      <c r="L575" s="91" t="s">
        <v>3796</v>
      </c>
    </row>
    <row r="576" hidden="1">
      <c r="A576" s="104" t="s">
        <v>108</v>
      </c>
      <c r="B576" s="105" t="s">
        <v>3797</v>
      </c>
      <c r="C576" s="31" t="s">
        <v>3798</v>
      </c>
      <c r="D576" s="31"/>
      <c r="E576" s="31"/>
      <c r="F576" s="89">
        <v>322.0</v>
      </c>
      <c r="G576" s="91" t="str">
        <f>IFERROR(__xludf.DUMMYFUNCTION("TRIM(REGEXREPLACE(C576, ""[0-9]+[a-f]?\."", """"))"),"Total sales of own crops (not incl. own consumption)")</f>
        <v>Total sales of own crops (not incl. own consumption)</v>
      </c>
      <c r="H576" s="91" t="str">
        <f>IFERROR(__xludf.DUMMYFUNCTION("TRIM(REGEXREPLACE(D576, ""[0-9]+[a-f]?\."", """"))"),"")</f>
        <v/>
      </c>
      <c r="I576" s="91" t="str">
        <f>IFERROR(__xludf.DUMMYFUNCTION("TRIM(REGEXREPLACE(E576, ""[0-9]+[a-f]?\."", """"))"),"")</f>
        <v/>
      </c>
      <c r="J576" s="91" t="s">
        <v>3799</v>
      </c>
      <c r="K576" s="91" t="s">
        <v>3800</v>
      </c>
      <c r="L576" s="91" t="s">
        <v>3801</v>
      </c>
    </row>
    <row r="577" hidden="1">
      <c r="A577" s="104" t="s">
        <v>108</v>
      </c>
      <c r="B577" s="105" t="s">
        <v>3802</v>
      </c>
      <c r="C577" s="31" t="s">
        <v>3803</v>
      </c>
      <c r="D577" s="31"/>
      <c r="E577" s="31"/>
      <c r="F577" s="89">
        <v>323.0</v>
      </c>
      <c r="G577" s="91" t="str">
        <f>IFERROR(__xludf.DUMMYFUNCTION("TRIM(REGEXREPLACE(C577, ""[0-9]+[a-f]?\."", """"))"),"Wages paid for work on own farm")</f>
        <v>Wages paid for work on own farm</v>
      </c>
      <c r="H577" s="91" t="str">
        <f>IFERROR(__xludf.DUMMYFUNCTION("TRIM(REGEXREPLACE(D577, ""[0-9]+[a-f]?\."", """"))"),"")</f>
        <v/>
      </c>
      <c r="I577" s="91" t="str">
        <f>IFERROR(__xludf.DUMMYFUNCTION("TRIM(REGEXREPLACE(E577, ""[0-9]+[a-f]?\."", """"))"),"")</f>
        <v/>
      </c>
      <c r="J577" s="91" t="s">
        <v>3807</v>
      </c>
      <c r="K577" s="91" t="s">
        <v>3808</v>
      </c>
      <c r="L577" s="91" t="s">
        <v>3809</v>
      </c>
    </row>
    <row r="578" hidden="1">
      <c r="A578" s="104" t="s">
        <v>108</v>
      </c>
      <c r="B578" s="105" t="s">
        <v>3810</v>
      </c>
      <c r="C578" s="31" t="s">
        <v>3811</v>
      </c>
      <c r="D578" s="31"/>
      <c r="E578" s="31"/>
      <c r="F578" s="89">
        <v>327.0</v>
      </c>
      <c r="G578" s="91" t="str">
        <f>IFERROR(__xludf.DUMMYFUNCTION("TRIM(REGEXREPLACE(C578, ""[0-9]+[a-f]?\."", """"))"),"Cost of seed")</f>
        <v>Cost of seed</v>
      </c>
      <c r="H578" s="91" t="str">
        <f>IFERROR(__xludf.DUMMYFUNCTION("TRIM(REGEXREPLACE(D578, ""[0-9]+[a-f]?\."", """"))"),"")</f>
        <v/>
      </c>
      <c r="I578" s="91" t="str">
        <f>IFERROR(__xludf.DUMMYFUNCTION("TRIM(REGEXREPLACE(E578, ""[0-9]+[a-f]?\."", """"))"),"")</f>
        <v/>
      </c>
      <c r="J578" s="91" t="s">
        <v>3812</v>
      </c>
      <c r="K578" s="91" t="s">
        <v>3813</v>
      </c>
      <c r="L578" s="91" t="s">
        <v>3814</v>
      </c>
    </row>
    <row r="579" hidden="1">
      <c r="A579" s="104" t="s">
        <v>108</v>
      </c>
      <c r="B579" s="105" t="s">
        <v>3815</v>
      </c>
      <c r="C579" s="31" t="s">
        <v>3816</v>
      </c>
      <c r="D579" s="31"/>
      <c r="E579" s="31"/>
      <c r="F579" s="89">
        <v>200.0</v>
      </c>
      <c r="G579" s="91" t="str">
        <f>IFERROR(__xludf.DUMMYFUNCTION("TRIM(REGEXREPLACE(C579, ""[0-9]+[a-f]?\."", """"))"),"Cost of fertilizer")</f>
        <v>Cost of fertilizer</v>
      </c>
      <c r="H579" s="91" t="str">
        <f>IFERROR(__xludf.DUMMYFUNCTION("TRIM(REGEXREPLACE(D579, ""[0-9]+[a-f]?\."", """"))"),"")</f>
        <v/>
      </c>
      <c r="I579" s="91" t="str">
        <f>IFERROR(__xludf.DUMMYFUNCTION("TRIM(REGEXREPLACE(E579, ""[0-9]+[a-f]?\."", """"))"),"")</f>
        <v/>
      </c>
      <c r="J579" s="91" t="str">
        <f>F579 &amp; ". " &amp;G579</f>
        <v>200. Cost of fertilizer</v>
      </c>
      <c r="K579" s="91" t="str">
        <f>F579 &amp; ". " &amp;H579</f>
        <v>200. </v>
      </c>
      <c r="L579" s="91" t="str">
        <f>F579 &amp; ". " &amp;I579</f>
        <v>200. </v>
      </c>
    </row>
    <row r="580" hidden="1">
      <c r="A580" s="104" t="s">
        <v>108</v>
      </c>
      <c r="B580" s="105" t="s">
        <v>3824</v>
      </c>
      <c r="C580" s="31" t="s">
        <v>3825</v>
      </c>
      <c r="D580" s="31"/>
      <c r="E580" s="31"/>
      <c r="F580" s="89">
        <v>325.0</v>
      </c>
      <c r="G580" s="91" t="str">
        <f>IFERROR(__xludf.DUMMYFUNCTION("TRIM(REGEXREPLACE(C580, ""[0-9]+[a-f]?\."", """"))"),"Cost of machinery")</f>
        <v>Cost of machinery</v>
      </c>
      <c r="H580" s="91" t="str">
        <f>IFERROR(__xludf.DUMMYFUNCTION("TRIM(REGEXREPLACE(D580, ""[0-9]+[a-f]?\."", """"))"),"")</f>
        <v/>
      </c>
      <c r="I580" s="91" t="str">
        <f>IFERROR(__xludf.DUMMYFUNCTION("TRIM(REGEXREPLACE(E580, ""[0-9]+[a-f]?\."", """"))"),"")</f>
        <v/>
      </c>
      <c r="J580" s="91" t="s">
        <v>3826</v>
      </c>
      <c r="K580" s="91" t="s">
        <v>3827</v>
      </c>
      <c r="L580" s="91" t="s">
        <v>3828</v>
      </c>
    </row>
    <row r="581" hidden="1">
      <c r="A581" s="104" t="s">
        <v>108</v>
      </c>
      <c r="B581" s="105" t="s">
        <v>3829</v>
      </c>
      <c r="C581" s="31" t="s">
        <v>3831</v>
      </c>
      <c r="D581" s="31"/>
      <c r="E581" s="31"/>
      <c r="F581" s="89">
        <v>326.0</v>
      </c>
      <c r="G581" s="91" t="str">
        <f>IFERROR(__xludf.DUMMYFUNCTION("TRIM(REGEXREPLACE(C581, ""[0-9]+[a-f]?\."", """"))"),"Cost of water")</f>
        <v>Cost of water</v>
      </c>
      <c r="H581" s="91" t="str">
        <f>IFERROR(__xludf.DUMMYFUNCTION("TRIM(REGEXREPLACE(D581, ""[0-9]+[a-f]?\."", """"))"),"")</f>
        <v/>
      </c>
      <c r="I581" s="91" t="str">
        <f>IFERROR(__xludf.DUMMYFUNCTION("TRIM(REGEXREPLACE(E581, ""[0-9]+[a-f]?\."", """"))"),"")</f>
        <v/>
      </c>
      <c r="J581" s="91" t="s">
        <v>3834</v>
      </c>
      <c r="K581" s="91" t="s">
        <v>3835</v>
      </c>
      <c r="L581" s="91" t="s">
        <v>3836</v>
      </c>
    </row>
    <row r="582" hidden="1">
      <c r="A582" s="104" t="s">
        <v>108</v>
      </c>
      <c r="B582" s="105" t="s">
        <v>3837</v>
      </c>
      <c r="C582" s="31" t="s">
        <v>3838</v>
      </c>
      <c r="D582" s="31"/>
      <c r="E582" s="31"/>
    </row>
    <row r="583" hidden="1">
      <c r="A583" s="104" t="s">
        <v>108</v>
      </c>
      <c r="B583" s="105" t="s">
        <v>3839</v>
      </c>
      <c r="C583" s="31"/>
      <c r="D583" s="31"/>
      <c r="E583" s="31"/>
    </row>
    <row r="584">
      <c r="A584" s="81" t="s">
        <v>338</v>
      </c>
      <c r="B584" s="142" t="s">
        <v>3840</v>
      </c>
      <c r="C584" s="31" t="s">
        <v>3841</v>
      </c>
      <c r="D584" s="31" t="s">
        <v>3842</v>
      </c>
      <c r="E584" s="31" t="s">
        <v>3843</v>
      </c>
      <c r="F584" s="89">
        <v>328.0</v>
      </c>
      <c r="G584" s="91" t="str">
        <f>IFERROR(__xludf.DUMMYFUNCTION("TRIM(REGEXREPLACE(C584, ""[0-9]+[a-f]?\."", """"))"),"Total income: ${hoh_total_income}
 Does this seem right?")</f>
        <v>Total income: ${hoh_total_income}
 Does this seem right?</v>
      </c>
      <c r="H584" s="91" t="str">
        <f>IFERROR(__xludf.DUMMYFUNCTION("TRIM(REGEXREPLACE(D584, ""[0-9]+[a-f]?\."", """"))"),"Revenu total : ${hoh_total_income}
 Cela vous semble-t-il juste ?")</f>
        <v>Revenu total : ${hoh_total_income}
 Cela vous semble-t-il juste ?</v>
      </c>
      <c r="I584" s="91" t="str">
        <f>IFERROR(__xludf.DUMMYFUNCTION("TRIM(REGEXREPLACE(E584, ""[0-9]+[a-f]?\."", """"))"),"Jimillar kuɗin shiga: ${hoh_total_income}
 ko kuna ganin hakan yayi daidai?")</f>
        <v>Jimillar kuɗin shiga: ${hoh_total_income}
 ko kuna ganin hakan yayi daidai?</v>
      </c>
      <c r="J584" s="91" t="str">
        <f t="shared" ref="J584:J585" si="431">F584&amp;". "&amp;G584</f>
        <v>328. Total income: ${hoh_total_income}
 Does this seem right?</v>
      </c>
      <c r="K584" s="91" t="str">
        <f t="shared" ref="K584:L584" si="430">$F584&amp;". "&amp;H584</f>
        <v>328. Revenu total : ${hoh_total_income}
 Cela vous semble-t-il juste ?</v>
      </c>
      <c r="L584" s="91" t="str">
        <f t="shared" si="430"/>
        <v>328. Jimillar kuɗin shiga: ${hoh_total_income}
 ko kuna ganin hakan yayi daidai?</v>
      </c>
    </row>
    <row r="585">
      <c r="A585" s="126" t="s">
        <v>42</v>
      </c>
      <c r="B585" s="243" t="s">
        <v>3850</v>
      </c>
      <c r="C585" s="31" t="s">
        <v>3851</v>
      </c>
      <c r="D585" s="31"/>
      <c r="E585" s="31"/>
      <c r="F585" s="89">
        <v>329.0</v>
      </c>
      <c r="G585" s="91" t="str">
        <f>IFERROR(__xludf.DUMMYFUNCTION("TRIM(REGEXREPLACE(C585, ""[0-9]+[a-f]?\."", """"))"),"Now we'll ask about income generating activity from animal husbandry in the past six months")</f>
        <v>Now we'll ask about income generating activity from animal husbandry in the past six months</v>
      </c>
      <c r="H585" s="91" t="str">
        <f>IFERROR(__xludf.DUMMYFUNCTION("TRIM(REGEXREPLACE(D585, ""[0-9]+[a-f]?\."", """"))"),"")</f>
        <v/>
      </c>
      <c r="I585" s="91" t="str">
        <f>IFERROR(__xludf.DUMMYFUNCTION("TRIM(REGEXREPLACE(E585, ""[0-9]+[a-f]?\."", """"))"),"")</f>
        <v/>
      </c>
      <c r="J585" s="91" t="str">
        <f t="shared" si="431"/>
        <v>329. Now we'll ask about income generating activity from animal husbandry in the past six months</v>
      </c>
      <c r="K585" s="91" t="str">
        <f t="shared" ref="K585:L585" si="432">$F585&amp;". "&amp;H585</f>
        <v>329. </v>
      </c>
      <c r="L585" s="91" t="str">
        <f t="shared" si="432"/>
        <v>329. </v>
      </c>
    </row>
    <row r="586" hidden="1">
      <c r="A586" s="104" t="s">
        <v>139</v>
      </c>
      <c r="B586" s="141" t="s">
        <v>3856</v>
      </c>
      <c r="C586" s="31"/>
      <c r="D586" s="31"/>
      <c r="E586" s="31"/>
      <c r="F586" s="89">
        <v>330.0</v>
      </c>
      <c r="G586" s="91" t="str">
        <f>IFERROR(__xludf.DUMMYFUNCTION("TRIM(REGEXREPLACE(C586, ""[0-9]+[a-f]?\."", """"))"),"")</f>
        <v/>
      </c>
      <c r="H586" s="91" t="str">
        <f>IFERROR(__xludf.DUMMYFUNCTION("TRIM(REGEXREPLACE(D586, ""[0-9]+[a-f]?\."", """"))"),"")</f>
        <v/>
      </c>
      <c r="I586" s="91" t="str">
        <f>IFERROR(__xludf.DUMMYFUNCTION("TRIM(REGEXREPLACE(E586, ""[0-9]+[a-f]?\."", """"))"),"")</f>
        <v/>
      </c>
      <c r="J586" s="91" t="s">
        <v>3860</v>
      </c>
      <c r="K586" s="91" t="s">
        <v>3861</v>
      </c>
      <c r="L586" s="91" t="s">
        <v>3862</v>
      </c>
    </row>
    <row r="587" hidden="1">
      <c r="A587" s="144" t="s">
        <v>648</v>
      </c>
      <c r="B587" s="145" t="s">
        <v>3864</v>
      </c>
      <c r="C587" s="31" t="s">
        <v>3867</v>
      </c>
      <c r="D587" s="31" t="s">
        <v>3868</v>
      </c>
      <c r="E587" s="31" t="s">
        <v>3869</v>
      </c>
      <c r="F587" s="89">
        <v>327.0</v>
      </c>
      <c r="G587" s="91" t="str">
        <f>IFERROR(__xludf.DUMMYFUNCTION("TRIM(REGEXREPLACE(C587, ""[0-9]+[a-f]?\."", """"))"),"Livestock Activity")</f>
        <v>Livestock Activity</v>
      </c>
      <c r="H587" s="91" t="str">
        <f>IFERROR(__xludf.DUMMYFUNCTION("TRIM(REGEXREPLACE(D587, ""[0-9]+[a-f]?\."", """"))"),"Activité d'élevage")</f>
        <v>Activité d'élevage</v>
      </c>
      <c r="I587" s="91" t="str">
        <f>IFERROR(__xludf.DUMMYFUNCTION("TRIM(REGEXREPLACE(E587, ""[0-9]+[a-f]?\."", """"))"),"Ayyukan kiwo")</f>
        <v>Ayyukan kiwo</v>
      </c>
      <c r="J587" s="91" t="s">
        <v>3870</v>
      </c>
      <c r="K587" s="91" t="s">
        <v>3871</v>
      </c>
      <c r="L587" s="91" t="s">
        <v>3872</v>
      </c>
    </row>
    <row r="588" hidden="1">
      <c r="A588" s="104" t="s">
        <v>108</v>
      </c>
      <c r="B588" s="105" t="s">
        <v>3876</v>
      </c>
      <c r="C588" s="31"/>
      <c r="D588" s="31"/>
      <c r="E588" s="31"/>
      <c r="F588" s="89">
        <v>332.0</v>
      </c>
      <c r="G588" s="91" t="str">
        <f>IFERROR(__xludf.DUMMYFUNCTION("TRIM(REGEXREPLACE(C588, ""[0-9]+[a-f]?\."", """"))"),"")</f>
        <v/>
      </c>
      <c r="H588" s="91" t="str">
        <f>IFERROR(__xludf.DUMMYFUNCTION("TRIM(REGEXREPLACE(D588, ""[0-9]+[a-f]?\."", """"))"),"")</f>
        <v/>
      </c>
      <c r="I588" s="91" t="str">
        <f>IFERROR(__xludf.DUMMYFUNCTION("TRIM(REGEXREPLACE(E588, ""[0-9]+[a-f]?\."", """"))"),"")</f>
        <v/>
      </c>
      <c r="J588" s="91" t="s">
        <v>3880</v>
      </c>
      <c r="K588" s="91" t="s">
        <v>3881</v>
      </c>
      <c r="L588" s="91" t="s">
        <v>3882</v>
      </c>
    </row>
    <row r="589">
      <c r="A589" s="146" t="s">
        <v>237</v>
      </c>
      <c r="B589" s="147" t="s">
        <v>3883</v>
      </c>
      <c r="C589" s="31" t="s">
        <v>3884</v>
      </c>
      <c r="D589" s="31"/>
      <c r="E589" s="31"/>
      <c r="F589" s="89">
        <v>330.0</v>
      </c>
      <c r="G589" s="91" t="str">
        <f>IFERROR(__xludf.DUMMYFUNCTION("TRIM(REGEXREPLACE(C589, ""[0-9]+[a-f]?\."", """"))"),"How many ${hoh_livestock_act_name} did you buy?")</f>
        <v>How many ${hoh_livestock_act_name} did you buy?</v>
      </c>
      <c r="H589" s="91" t="str">
        <f>IFERROR(__xludf.DUMMYFUNCTION("TRIM(REGEXREPLACE(D589, ""[0-9]+[a-f]?\."", """"))"),"")</f>
        <v/>
      </c>
      <c r="I589" s="91" t="str">
        <f>IFERROR(__xludf.DUMMYFUNCTION("TRIM(REGEXREPLACE(E589, ""[0-9]+[a-f]?\."", """"))"),"")</f>
        <v/>
      </c>
      <c r="J589" s="91" t="str">
        <f t="shared" ref="J589:J594" si="434">F589&amp;". "&amp;G589</f>
        <v>330. How many ${hoh_livestock_act_name} did you buy?</v>
      </c>
      <c r="K589" s="91" t="str">
        <f t="shared" ref="K589:L589" si="433">$F589&amp;". "&amp;H589</f>
        <v>330. </v>
      </c>
      <c r="L589" s="91" t="str">
        <f t="shared" si="433"/>
        <v>330. </v>
      </c>
    </row>
    <row r="590">
      <c r="A590" s="146" t="s">
        <v>237</v>
      </c>
      <c r="B590" s="258" t="s">
        <v>3889</v>
      </c>
      <c r="C590" s="31" t="s">
        <v>3890</v>
      </c>
      <c r="D590" s="31" t="s">
        <v>3891</v>
      </c>
      <c r="E590" s="31" t="s">
        <v>3892</v>
      </c>
      <c r="F590" s="89">
        <v>331.0</v>
      </c>
      <c r="G590" s="91" t="str">
        <f>IFERROR(__xludf.DUMMYFUNCTION("TRIM(REGEXREPLACE(C590, ""[0-9]+[a-f]?\."", """"))"),"How much did you buy ${hoh_livestock_act_name} for in CFA?")</f>
        <v>How much did you buy ${hoh_livestock_act_name} for in CFA?</v>
      </c>
      <c r="H590" s="91" t="str">
        <f>IFERROR(__xludf.DUMMYFUNCTION("TRIM(REGEXREPLACE(D590, ""[0-9]+[a-f]?\."", """"))"),"Pour combien avez-vous acheté ${hoh_livestock_act_name} en CFA ?")</f>
        <v>Pour combien avez-vous acheté ${hoh_livestock_act_name} en CFA ?</v>
      </c>
      <c r="I590" s="91" t="str">
        <f>IFERROR(__xludf.DUMMYFUNCTION("TRIM(REGEXREPLACE(E590, ""[0-9]+[a-f]?\."", """"))"),"A nawa kuka sayi ${hoh_livestock_act_name} a kuɗin CFA?")</f>
        <v>A nawa kuka sayi ${hoh_livestock_act_name} a kuɗin CFA?</v>
      </c>
      <c r="J590" s="91" t="str">
        <f t="shared" si="434"/>
        <v>331. How much did you buy ${hoh_livestock_act_name} for in CFA?</v>
      </c>
      <c r="K590" s="91" t="str">
        <f t="shared" ref="K590:L590" si="435">$F590&amp;". "&amp;H590</f>
        <v>331. Pour combien avez-vous acheté ${hoh_livestock_act_name} en CFA ?</v>
      </c>
      <c r="L590" s="91" t="str">
        <f t="shared" si="435"/>
        <v>331. A nawa kuka sayi ${hoh_livestock_act_name} a kuɗin CFA?</v>
      </c>
    </row>
    <row r="591">
      <c r="A591" s="146" t="s">
        <v>237</v>
      </c>
      <c r="B591" s="147" t="s">
        <v>3896</v>
      </c>
      <c r="C591" s="31" t="s">
        <v>3897</v>
      </c>
      <c r="D591" s="31"/>
      <c r="E591" s="31"/>
      <c r="F591" s="89">
        <v>332.0</v>
      </c>
      <c r="G591" s="91" t="str">
        <f>IFERROR(__xludf.DUMMYFUNCTION("TRIM(REGEXREPLACE(C591, ""[0-9]+[a-f]?\."", """"))"),"How many ${hoh_livestock_act_name} did you sell?")</f>
        <v>How many ${hoh_livestock_act_name} did you sell?</v>
      </c>
      <c r="H591" s="91" t="str">
        <f>IFERROR(__xludf.DUMMYFUNCTION("TRIM(REGEXREPLACE(D591, ""[0-9]+[a-f]?\."", """"))"),"")</f>
        <v/>
      </c>
      <c r="I591" s="91" t="str">
        <f>IFERROR(__xludf.DUMMYFUNCTION("TRIM(REGEXREPLACE(E591, ""[0-9]+[a-f]?\."", """"))"),"")</f>
        <v/>
      </c>
      <c r="J591" s="91" t="str">
        <f t="shared" si="434"/>
        <v>332. How many ${hoh_livestock_act_name} did you sell?</v>
      </c>
      <c r="K591" s="91" t="str">
        <f t="shared" ref="K591:L591" si="436">$F591&amp;". "&amp;H591</f>
        <v>332. </v>
      </c>
      <c r="L591" s="91" t="str">
        <f t="shared" si="436"/>
        <v>332. </v>
      </c>
    </row>
    <row r="592">
      <c r="A592" s="146" t="s">
        <v>237</v>
      </c>
      <c r="B592" s="258" t="s">
        <v>3901</v>
      </c>
      <c r="C592" s="31" t="s">
        <v>3902</v>
      </c>
      <c r="D592" s="31" t="s">
        <v>3903</v>
      </c>
      <c r="E592" s="31" t="s">
        <v>3904</v>
      </c>
      <c r="F592" s="89">
        <v>333.0</v>
      </c>
      <c r="G592" s="91" t="str">
        <f>IFERROR(__xludf.DUMMYFUNCTION("TRIM(REGEXREPLACE(C592, ""[0-9]+[a-f]?\."", """"))"),"How much did you sell ${hoh_livestock_act_name} for in CFA?")</f>
        <v>How much did you sell ${hoh_livestock_act_name} for in CFA?</v>
      </c>
      <c r="H592" s="91" t="str">
        <f>IFERROR(__xludf.DUMMYFUNCTION("TRIM(REGEXREPLACE(D592, ""[0-9]+[a-f]?\."", """"))"),"Pour combien avez-vous vendu ${hoh_livestock_act_name} en CFA ?")</f>
        <v>Pour combien avez-vous vendu ${hoh_livestock_act_name} en CFA ?</v>
      </c>
      <c r="I592" s="91" t="str">
        <f>IFERROR(__xludf.DUMMYFUNCTION("TRIM(REGEXREPLACE(E592, ""[0-9]+[a-f]?\."", """"))"),"Nawa kuka sayar da ${hoh_livestock_act_name} a kuɗin CFA?")</f>
        <v>Nawa kuka sayar da ${hoh_livestock_act_name} a kuɗin CFA?</v>
      </c>
      <c r="J592" s="91" t="str">
        <f t="shared" si="434"/>
        <v>333. How much did you sell ${hoh_livestock_act_name} for in CFA?</v>
      </c>
      <c r="K592" s="91" t="str">
        <f t="shared" ref="K592:L592" si="437">$F592&amp;". "&amp;H592</f>
        <v>333. Pour combien avez-vous vendu ${hoh_livestock_act_name} en CFA ?</v>
      </c>
      <c r="L592" s="91" t="str">
        <f t="shared" si="437"/>
        <v>333. Nawa kuka sayar da ${hoh_livestock_act_name} a kuɗin CFA?</v>
      </c>
    </row>
    <row r="593">
      <c r="A593" s="146" t="s">
        <v>237</v>
      </c>
      <c r="B593" s="147" t="s">
        <v>3908</v>
      </c>
      <c r="C593" s="31" t="s">
        <v>3909</v>
      </c>
      <c r="D593" s="31"/>
      <c r="E593" s="31"/>
      <c r="F593" s="89">
        <v>334.0</v>
      </c>
      <c r="G593" s="91" t="str">
        <f>IFERROR(__xludf.DUMMYFUNCTION("TRIM(REGEXREPLACE(C593, ""[0-9]+[a-f]?\."", """"))"),"How many ${hoh_livestock_act_name} did you consume?")</f>
        <v>How many ${hoh_livestock_act_name} did you consume?</v>
      </c>
      <c r="H593" s="91" t="str">
        <f>IFERROR(__xludf.DUMMYFUNCTION("TRIM(REGEXREPLACE(D593, ""[0-9]+[a-f]?\."", """"))"),"")</f>
        <v/>
      </c>
      <c r="I593" s="91" t="str">
        <f>IFERROR(__xludf.DUMMYFUNCTION("TRIM(REGEXREPLACE(E593, ""[0-9]+[a-f]?\."", """"))"),"")</f>
        <v/>
      </c>
      <c r="J593" s="91" t="str">
        <f t="shared" si="434"/>
        <v>334. How many ${hoh_livestock_act_name} did you consume?</v>
      </c>
      <c r="K593" s="91" t="str">
        <f t="shared" ref="K593:L593" si="438">$F593&amp;". "&amp;H593</f>
        <v>334. </v>
      </c>
      <c r="L593" s="91" t="str">
        <f t="shared" si="438"/>
        <v>334. </v>
      </c>
    </row>
    <row r="594">
      <c r="A594" s="146" t="s">
        <v>237</v>
      </c>
      <c r="B594" s="258" t="s">
        <v>3910</v>
      </c>
      <c r="C594" s="31" t="s">
        <v>3911</v>
      </c>
      <c r="D594" s="31" t="s">
        <v>3912</v>
      </c>
      <c r="E594" s="31" t="s">
        <v>3913</v>
      </c>
      <c r="F594" s="89">
        <v>335.0</v>
      </c>
      <c r="G594" s="91" t="str">
        <f>IFERROR(__xludf.DUMMYFUNCTION("TRIM(REGEXREPLACE(C594, ""[0-9]+[a-f]?\."", """"))"),"If you were to sell the ${hoh_livestock_act_name} you consumed, how much would you sell them for in CFA?")</f>
        <v>If you were to sell the ${hoh_livestock_act_name} you consumed, how much would you sell them for in CFA?</v>
      </c>
      <c r="H594" s="91" t="str">
        <f>IFERROR(__xludf.DUMMYFUNCTION("TRIM(REGEXREPLACE(D594, ""[0-9]+[a-f]?\."", """"))"),"Si vous devriez vendre les ${hoh_livestock_act_name} que vous avez consommés, à combien les vendriez-vous en CFA ?")</f>
        <v>Si vous devriez vendre les ${hoh_livestock_act_name} que vous avez consommés, à combien les vendriez-vous en CFA ?</v>
      </c>
      <c r="I594" s="91" t="str">
        <f>IFERROR(__xludf.DUMMYFUNCTION("TRIM(REGEXREPLACE(E594, ""[0-9]+[a-f]?\."", """"))"),"Idan za ku sayar da ${hoh_livestock_act_name} da kuka cinye, nawa za ku sayar da su a CFA?")</f>
        <v>Idan za ku sayar da ${hoh_livestock_act_name} da kuka cinye, nawa za ku sayar da su a CFA?</v>
      </c>
      <c r="J594" s="91" t="str">
        <f t="shared" si="434"/>
        <v>335. If you were to sell the ${hoh_livestock_act_name} you consumed, how much would you sell them for in CFA?</v>
      </c>
      <c r="K594" s="91" t="str">
        <f t="shared" ref="K594:L594" si="439">$F594&amp;". "&amp;H594</f>
        <v>335. Si vous devriez vendre les ${hoh_livestock_act_name} que vous avez consommés, à combien les vendriez-vous en CFA ?</v>
      </c>
      <c r="L594" s="91" t="str">
        <f t="shared" si="439"/>
        <v>335. Idan za ku sayar da ${hoh_livestock_act_name} da kuka cinye, nawa za ku sayar da su a CFA?</v>
      </c>
    </row>
    <row r="595" hidden="1">
      <c r="A595" s="144" t="s">
        <v>691</v>
      </c>
      <c r="B595" s="150" t="s">
        <v>3864</v>
      </c>
      <c r="C595" s="31" t="s">
        <v>3867</v>
      </c>
      <c r="D595" s="31" t="s">
        <v>3868</v>
      </c>
      <c r="E595" s="31" t="s">
        <v>3869</v>
      </c>
      <c r="F595" s="89">
        <v>331.0</v>
      </c>
      <c r="G595" s="91" t="str">
        <f>IFERROR(__xludf.DUMMYFUNCTION("TRIM(REGEXREPLACE(C595, ""[0-9]+[a-f]?\."", """"))"),"Livestock Activity")</f>
        <v>Livestock Activity</v>
      </c>
      <c r="H595" s="91" t="str">
        <f>IFERROR(__xludf.DUMMYFUNCTION("TRIM(REGEXREPLACE(D595, ""[0-9]+[a-f]?\."", """"))"),"Activité d'élevage")</f>
        <v>Activité d'élevage</v>
      </c>
      <c r="I595" s="91" t="str">
        <f>IFERROR(__xludf.DUMMYFUNCTION("TRIM(REGEXREPLACE(E595, ""[0-9]+[a-f]?\."", """"))"),"Ayyukan kiwo")</f>
        <v>Ayyukan kiwo</v>
      </c>
      <c r="J595" s="91" t="s">
        <v>3919</v>
      </c>
      <c r="K595" s="91" t="s">
        <v>3920</v>
      </c>
      <c r="L595" s="91" t="s">
        <v>3921</v>
      </c>
    </row>
    <row r="596" hidden="1">
      <c r="A596" s="256"/>
      <c r="B596" s="256"/>
      <c r="C596" s="31"/>
      <c r="D596" s="31"/>
      <c r="E596" s="31"/>
    </row>
    <row r="597" hidden="1">
      <c r="A597" s="256"/>
      <c r="B597" s="256"/>
      <c r="C597" s="31"/>
      <c r="D597" s="31"/>
      <c r="E597" s="31"/>
      <c r="F597" s="89">
        <v>336.0</v>
      </c>
      <c r="G597" s="91" t="str">
        <f>IFERROR(__xludf.DUMMYFUNCTION("TRIM(REGEXREPLACE(C597, ""[0-9]+[a-f]?\."", """"))"),"")</f>
        <v/>
      </c>
      <c r="H597" s="91" t="str">
        <f>IFERROR(__xludf.DUMMYFUNCTION("TRIM(REGEXREPLACE(D597, ""[0-9]+[a-f]?\."", """"))"),"")</f>
        <v/>
      </c>
      <c r="I597" s="91" t="str">
        <f>IFERROR(__xludf.DUMMYFUNCTION("TRIM(REGEXREPLACE(E597, ""[0-9]+[a-f]?\."", """"))"),"")</f>
        <v/>
      </c>
    </row>
    <row r="598">
      <c r="A598" s="146" t="s">
        <v>237</v>
      </c>
      <c r="B598" s="147" t="s">
        <v>3925</v>
      </c>
      <c r="C598" s="31" t="s">
        <v>3926</v>
      </c>
      <c r="D598" s="31" t="s">
        <v>3927</v>
      </c>
      <c r="E598" s="31" t="s">
        <v>3928</v>
      </c>
      <c r="F598" s="89">
        <v>336.0</v>
      </c>
      <c r="G598" s="91" t="str">
        <f>IFERROR(__xludf.DUMMYFUNCTION("TRIM(REGEXREPLACE(C598, ""[0-9]+[a-f]?\."", """"))"),"In the past six months, how much did you spend on food and health expense for all of your animals (in CFA)?")</f>
        <v>In the past six months, how much did you spend on food and health expense for all of your animals (in CFA)?</v>
      </c>
      <c r="H598" s="91" t="str">
        <f>IFERROR(__xludf.DUMMYFUNCTION("TRIM(REGEXREPLACE(D598, ""[0-9]+[a-f]?\."", """"))"),"Au cours des six derniers mois, combien avez-vous dépensé en nourriture et en soins pour tous vos animaux (en CFA) ?")</f>
        <v>Au cours des six derniers mois, combien avez-vous dépensé en nourriture et en soins pour tous vos animaux (en CFA) ?</v>
      </c>
      <c r="I598" s="91" t="str">
        <f>IFERROR(__xludf.DUMMYFUNCTION("TRIM(REGEXREPLACE(E598, ""[0-9]+[a-f]?\."", """"))"),"A cikin watanni shida da suka gabata, nawa kuka kashe akan abinci da kuɗin kiwon lafiya ga dukan dabbobinku (a cikin CFA)?")</f>
        <v>A cikin watanni shida da suka gabata, nawa kuka kashe akan abinci da kuɗin kiwon lafiya ga dukan dabbobinku (a cikin CFA)?</v>
      </c>
      <c r="J598" s="91" t="str">
        <f t="shared" ref="J598:J603" si="441">F598&amp;". "&amp;G598</f>
        <v>336. In the past six months, how much did you spend on food and health expense for all of your animals (in CFA)?</v>
      </c>
      <c r="K598" s="91" t="str">
        <f t="shared" ref="K598:L598" si="440">$F598&amp;". "&amp;H598</f>
        <v>336. Au cours des six derniers mois, combien avez-vous dépensé en nourriture et en soins pour tous vos animaux (en CFA) ?</v>
      </c>
      <c r="L598" s="91" t="str">
        <f t="shared" si="440"/>
        <v>336. A cikin watanni shida da suka gabata, nawa kuka kashe akan abinci da kuɗin kiwon lafiya ga dukan dabbobinku (a cikin CFA)?</v>
      </c>
    </row>
    <row r="599">
      <c r="A599" s="126" t="s">
        <v>42</v>
      </c>
      <c r="B599" s="127" t="s">
        <v>3930</v>
      </c>
      <c r="C599" s="31" t="s">
        <v>3931</v>
      </c>
      <c r="D599" s="31" t="s">
        <v>3932</v>
      </c>
      <c r="E599" s="31" t="s">
        <v>3933</v>
      </c>
      <c r="F599" s="89">
        <v>337.0</v>
      </c>
      <c r="G599" s="91" t="str">
        <f>IFERROR(__xludf.DUMMYFUNCTION("TRIM(REGEXREPLACE(C599, ""[0-9]+[a-f]?\."", """"))"),"When thinking about the past six months, I would like to ask you about how many days a typical week people in your household worked. We know people may work more during some weeks rather than others, please think about what happens during most weeks.")</f>
        <v>When thinking about the past six months, I would like to ask you about how many days a typical week people in your household worked. We know people may work more during some weeks rather than others, please think about what happens during most weeks.</v>
      </c>
      <c r="H599" s="91" t="str">
        <f>IFERROR(__xludf.DUMMYFUNCTION("TRIM(REGEXREPLACE(D599, ""[0-9]+[a-f]?\."", """"))"),"En pensant aux six derniers mois, j'aimerais vous demander combien de jours par semaine les membres de votre menage ont travaillé en moyenne. Nous savons que certaines personnes travaillent plus certaines semaines que d'autres ; pensez donc à ce qui se pa"&amp;"sse la plupart du temps.")</f>
        <v>En pensant aux six derniers mois, j'aimerais vous demander combien de jours par semaine les membres de votre menage ont travaillé en moyenne. Nous savons que certaines personnes travaillent plus certaines semaines que d'autres ; pensez donc à ce qui se passe la plupart du temps.</v>
      </c>
      <c r="I599" s="91" t="str">
        <f>IFERROR(__xludf.DUMMYFUNCTION("TRIM(REGEXREPLACE(E599, ""[0-9]+[a-f]?\."", """"))"),"Yi tunani game da watanni shida da suka gabata, Ina so in tambaye ku game da kwanaki nawa a mako na yau da kullun mutane a gidanku suke aiki. Mun san cewa zasu mutane na iya yin aiki da yawa a cikin wasu makonni maimakon wasu, kenan muna fatan za ku yi tu"&amp;"nanin abin da ke faruwa a yawancin lokaci.")</f>
        <v>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v>
      </c>
      <c r="J599" s="91" t="str">
        <f t="shared" si="441"/>
        <v>337. When thinking about the past six months, I would like to ask you about how many days a typical week people in your household worked. We know people may work more during some weeks rather than others, please think about what happens during most weeks.</v>
      </c>
      <c r="K599" s="91" t="str">
        <f t="shared" ref="K599:L599" si="442">$F599&amp;". "&amp;H599</f>
        <v>337. En pensant aux six derniers mois, j'aimerais vous demander combien de jours par semaine les membres de votre menage ont travaillé en moyenne. Nous savons que certaines personnes travaillent plus certaines semaines que d'autres ; pensez donc à ce qui se passe la plupart du temps.</v>
      </c>
      <c r="L599" s="91" t="str">
        <f t="shared" si="442"/>
        <v>337. 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v>
      </c>
    </row>
    <row r="600">
      <c r="A600" s="146" t="s">
        <v>237</v>
      </c>
      <c r="B600" s="147" t="s">
        <v>3934</v>
      </c>
      <c r="C600" s="31" t="s">
        <v>3935</v>
      </c>
      <c r="D600" s="31" t="s">
        <v>3936</v>
      </c>
      <c r="E600" s="31" t="s">
        <v>3937</v>
      </c>
      <c r="F600" s="89">
        <v>338.0</v>
      </c>
      <c r="G600" s="91" t="str">
        <f>IFERROR(__xludf.DUMMYFUNCTION("TRIM(REGEXREPLACE(C600, ""[0-9]+[a-f]?\."", """"))"),"How many days did people in your household work to care for your animals in a typical week in the past six months?")</f>
        <v>How many days did people in your household work to care for your animals in a typical week in the past six months?</v>
      </c>
      <c r="H600" s="91" t="str">
        <f>IFERROR(__xludf.DUMMYFUNCTION("TRIM(REGEXREPLACE(D600, ""[0-9]+[a-f]?\."", """"))"),"Au cours des six derniers mois, combien de jours de travail les membres de votre menage ont-ils consacrés à vos animaux par semaine ?")</f>
        <v>Au cours des six derniers mois, combien de jours de travail les membres de votre menage ont-ils consacrés à vos animaux par semaine ?</v>
      </c>
      <c r="I600" s="91" t="str">
        <f>IFERROR(__xludf.DUMMYFUNCTION("TRIM(REGEXREPLACE(E600, ""[0-9]+[a-f]?\."", """"))"),"A cikin watanni shida da suka gabata, kwana nawa mutanen gidanku suka yi aiki don kula da dabbobinku a cikin mako guda ?")</f>
        <v>A cikin watanni shida da suka gabata, kwana nawa mutanen gidanku suka yi aiki don kula da dabbobinku a cikin mako guda ?</v>
      </c>
      <c r="J600" s="91" t="str">
        <f t="shared" si="441"/>
        <v>338. How many days did people in your household work to care for your animals in a typical week in the past six months?</v>
      </c>
      <c r="K600" s="91" t="str">
        <f t="shared" ref="K600:L600" si="443">$F600&amp;". "&amp;H600</f>
        <v>338. Au cours des six derniers mois, combien de jours de travail les membres de votre menage ont-ils consacrés à vos animaux par semaine ?</v>
      </c>
      <c r="L600" s="91" t="str">
        <f t="shared" si="443"/>
        <v>338. A cikin watanni shida da suka gabata, kwana nawa mutanen gidanku suka yi aiki don kula da dabbobinku a cikin mako guda ?</v>
      </c>
    </row>
    <row r="601">
      <c r="A601" s="81" t="s">
        <v>338</v>
      </c>
      <c r="B601" s="142" t="s">
        <v>3938</v>
      </c>
      <c r="C601" s="31" t="s">
        <v>3939</v>
      </c>
      <c r="D601" s="31" t="s">
        <v>3940</v>
      </c>
      <c r="E601" s="31" t="s">
        <v>3941</v>
      </c>
      <c r="F601" s="89">
        <v>339.0</v>
      </c>
      <c r="G601" s="91" t="str">
        <f>IFERROR(__xludf.DUMMYFUNCTION("TRIM(REGEXREPLACE(C601, ""[0-9]+[a-f]?\."", """"))"),"In the past six months, did you hire anyone outside your household to care for your animals?")</f>
        <v>In the past six months, did you hire anyone outside your household to care for your animals?</v>
      </c>
      <c r="H601" s="91" t="str">
        <f>IFERROR(__xludf.DUMMYFUNCTION("TRIM(REGEXREPLACE(D601, ""[0-9]+[a-f]?\."", """"))"),"Au cours des six derniers mois, avez-vous embauché une personne extérieure à votre foyer pour s'occuper de vos animaux ?")</f>
        <v>Au cours des six derniers mois, avez-vous embauché une personne extérieure à votre foyer pour s'occuper de vos animaux ?</v>
      </c>
      <c r="I601" s="91" t="str">
        <f>IFERROR(__xludf.DUMMYFUNCTION("TRIM(REGEXREPLACE(E601, ""[0-9]+[a-f]?\."", """"))"),"A cikin wata shida da suka gabata, ko kun dauki hayar wani wanda ba ɗan gidanku ba don kula da dabbobinku?")</f>
        <v>A cikin wata shida da suka gabata, ko kun dauki hayar wani wanda ba ɗan gidanku ba don kula da dabbobinku?</v>
      </c>
      <c r="J601" s="91" t="str">
        <f t="shared" si="441"/>
        <v>339. In the past six months, did you hire anyone outside your household to care for your animals?</v>
      </c>
      <c r="K601" s="91" t="str">
        <f t="shared" ref="K601:L601" si="444">$F601&amp;". "&amp;H601</f>
        <v>339. Au cours des six derniers mois, avez-vous embauché une personne extérieure à votre foyer pour s'occuper de vos animaux ?</v>
      </c>
      <c r="L601" s="91" t="str">
        <f t="shared" si="444"/>
        <v>339. A cikin wata shida da suka gabata, ko kun dauki hayar wani wanda ba ɗan gidanku ba don kula da dabbobinku?</v>
      </c>
    </row>
    <row r="602">
      <c r="A602" s="146" t="s">
        <v>237</v>
      </c>
      <c r="B602" s="147" t="s">
        <v>3942</v>
      </c>
      <c r="C602" s="31" t="s">
        <v>3943</v>
      </c>
      <c r="D602" s="31" t="s">
        <v>3944</v>
      </c>
      <c r="E602" s="31" t="s">
        <v>3945</v>
      </c>
      <c r="F602" s="89">
        <v>340.0</v>
      </c>
      <c r="G602" s="91" t="str">
        <f>IFERROR(__xludf.DUMMYFUNCTION("TRIM(REGEXREPLACE(C602, ""[0-9]+[a-f]?\."", """"))"),"In the last six months, for how many weeks did you hire people to care for your livestock?")</f>
        <v>In the last six months, for how many weeks did you hire people to care for your livestock?</v>
      </c>
      <c r="H602" s="91" t="str">
        <f>IFERROR(__xludf.DUMMYFUNCTION("TRIM(REGEXREPLACE(D602, ""[0-9]+[a-f]?\."", """"))"),"Au cours des six derniers mois, pendant combien de semaines avez-vous embauché des personnes pour s'occuper de votre bétail ?")</f>
        <v>Au cours des six derniers mois, pendant combien de semaines avez-vous embauché des personnes pour s'occuper de votre bétail ?</v>
      </c>
      <c r="I602" s="91" t="str">
        <f>IFERROR(__xludf.DUMMYFUNCTION("TRIM(REGEXREPLACE(E602, ""[0-9]+[a-f]?\."", """"))"),"A cikin watanni shida da suka gabata, tsawon makonni nawa kuka dauki hayar mutane don kula da dabbobinku?")</f>
        <v>A cikin watanni shida da suka gabata, tsawon makonni nawa kuka dauki hayar mutane don kula da dabbobinku?</v>
      </c>
      <c r="J602" s="91" t="str">
        <f t="shared" si="441"/>
        <v>340. In the last six months, for how many weeks did you hire people to care for your livestock?</v>
      </c>
      <c r="K602" s="91" t="str">
        <f t="shared" ref="K602:L602" si="445">$F602&amp;". "&amp;H602</f>
        <v>340. Au cours des six derniers mois, pendant combien de semaines avez-vous embauché des personnes pour s'occuper de votre bétail ?</v>
      </c>
      <c r="L602" s="91" t="str">
        <f t="shared" si="445"/>
        <v>340. A cikin watanni shida da suka gabata, tsawon makonni nawa kuka dauki hayar mutane don kula da dabbobinku?</v>
      </c>
    </row>
    <row r="603">
      <c r="A603" s="146" t="s">
        <v>237</v>
      </c>
      <c r="B603" s="147" t="s">
        <v>3947</v>
      </c>
      <c r="C603" s="31" t="s">
        <v>3948</v>
      </c>
      <c r="D603" s="31" t="s">
        <v>3949</v>
      </c>
      <c r="E603" s="31" t="s">
        <v>3950</v>
      </c>
      <c r="F603" s="89">
        <v>341.0</v>
      </c>
      <c r="G603" s="91" t="str">
        <f>IFERROR(__xludf.DUMMYFUNCTION("TRIM(REGEXREPLACE(C603, ""[0-9]+[a-f]?\."", """"))"),"What was the weekly wage paid to people who care for your animals, or how much would you pay in CFA?")</f>
        <v>What was the weekly wage paid to people who care for your animals, or how much would you pay in CFA?</v>
      </c>
      <c r="H603" s="91" t="str">
        <f>IFERROR(__xludf.DUMMYFUNCTION("TRIM(REGEXREPLACE(D603, ""[0-9]+[a-f]?\."", """"))"),"Quel était les frais hebdomadaire payés aux personnes qui s'occupent de vos animaux, ou combien paieriez-vous en CFA ?")</f>
        <v>Quel était les frais hebdomadaire payés aux personnes qui s'occupent de vos animaux, ou combien paieriez-vous en CFA ?</v>
      </c>
      <c r="I603" s="91" t="str">
        <f>IFERROR(__xludf.DUMMYFUNCTION("TRIM(REGEXREPLACE(E603, ""[0-9]+[a-f]?\."", """"))"),"105 a. Nawa albashin mako-mako na wannan mutanen da ke kula da dabbobinku a CFA?")</f>
        <v>105 a. Nawa albashin mako-mako na wannan mutanen da ke kula da dabbobinku a CFA?</v>
      </c>
      <c r="J603" s="91" t="str">
        <f t="shared" si="441"/>
        <v>341. What was the weekly wage paid to people who care for your animals, or how much would you pay in CFA?</v>
      </c>
      <c r="K603" s="91" t="str">
        <f t="shared" ref="K603:L603" si="446">$F603&amp;". "&amp;H603</f>
        <v>341. Quel était les frais hebdomadaire payés aux personnes qui s'occupent de vos animaux, ou combien paieriez-vous en CFA ?</v>
      </c>
      <c r="L603" s="91" t="str">
        <f t="shared" si="446"/>
        <v>341. 105 a. Nawa albashin mako-mako na wannan mutanen da ke kula da dabbobinku a CFA?</v>
      </c>
    </row>
    <row r="604" hidden="1">
      <c r="A604" s="104" t="s">
        <v>108</v>
      </c>
      <c r="B604" s="105" t="s">
        <v>3951</v>
      </c>
      <c r="C604" s="31"/>
      <c r="D604" s="31"/>
      <c r="E604" s="31"/>
      <c r="F604" s="89">
        <v>201.0</v>
      </c>
      <c r="G604" s="91" t="str">
        <f>IFERROR(__xludf.DUMMYFUNCTION("TRIM(REGEXREPLACE(C604, ""[0-9]+[a-f]?\."", """"))"),"")</f>
        <v/>
      </c>
      <c r="H604" s="91" t="str">
        <f>IFERROR(__xludf.DUMMYFUNCTION("TRIM(REGEXREPLACE(D604, ""[0-9]+[a-f]?\."", """"))"),"")</f>
        <v/>
      </c>
      <c r="I604" s="91" t="str">
        <f>IFERROR(__xludf.DUMMYFUNCTION("TRIM(REGEXREPLACE(E604, ""[0-9]+[a-f]?\."", """"))"),"")</f>
        <v/>
      </c>
      <c r="J604" s="91" t="str">
        <f>F604 &amp; ". " &amp;G604</f>
        <v>201. </v>
      </c>
      <c r="K604" s="91" t="str">
        <f>F604 &amp; ". " &amp;H604</f>
        <v>201. </v>
      </c>
      <c r="L604" s="91" t="str">
        <f>F604 &amp; ". " &amp;I604</f>
        <v>201. </v>
      </c>
    </row>
    <row r="605">
      <c r="A605" s="81" t="s">
        <v>338</v>
      </c>
      <c r="B605" s="142" t="s">
        <v>3955</v>
      </c>
      <c r="C605" s="31" t="s">
        <v>3956</v>
      </c>
      <c r="D605" s="31" t="s">
        <v>3957</v>
      </c>
      <c r="E605" s="31" t="s">
        <v>3958</v>
      </c>
      <c r="F605" s="89">
        <v>342.0</v>
      </c>
      <c r="G605" s="91" t="str">
        <f>IFERROR(__xludf.DUMMYFUNCTION("TRIM(REGEXREPLACE(C605, ""[0-9]+[a-f]?\."", """"))"),"You paid ${hoh_hire_livestock_total} in CFA for people to care for your animals, is this correct?")</f>
        <v>You paid ${hoh_hire_livestock_total} in CFA for people to care for your animals, is this correct?</v>
      </c>
      <c r="H605" s="91" t="str">
        <f>IFERROR(__xludf.DUMMYFUNCTION("TRIM(REGEXREPLACE(D605, ""[0-9]+[a-f]?\."", """"))"),"Vous avez payé ${hoh_hire_livestock_total} (en CFA) aux personnes qui s'occupent de vos animaux, est-ce exact ?")</f>
        <v>Vous avez payé ${hoh_hire_livestock_total} (en CFA) aux personnes qui s'occupent de vos animaux, est-ce exact ?</v>
      </c>
      <c r="I605" s="91" t="str">
        <f>IFERROR(__xludf.DUMMYFUNCTION("TRIM(REGEXREPLACE(E605, ""[0-9]+[a-f]?\."", """"))"),"${hoh_hire_livestock_total} (a sefa) kuka biya, ko daidai ne?")</f>
        <v>${hoh_hire_livestock_total} (a sefa) kuka biya, ko daidai ne?</v>
      </c>
      <c r="J605" s="91" t="str">
        <f t="shared" ref="J605:J612" si="448">F605&amp;". "&amp;G605</f>
        <v>342. You paid ${hoh_hire_livestock_total} in CFA for people to care for your animals, is this correct?</v>
      </c>
      <c r="K605" s="91" t="str">
        <f t="shared" ref="K605:L605" si="447">$F605&amp;". "&amp;H605</f>
        <v>342. Vous avez payé ${hoh_hire_livestock_total} (en CFA) aux personnes qui s'occupent de vos animaux, est-ce exact ?</v>
      </c>
      <c r="L605" s="91" t="str">
        <f t="shared" si="447"/>
        <v>342. ${hoh_hire_livestock_total} (a sefa) kuka biya, ko daidai ne?</v>
      </c>
    </row>
    <row r="606">
      <c r="A606" s="81" t="s">
        <v>338</v>
      </c>
      <c r="B606" s="142" t="s">
        <v>3962</v>
      </c>
      <c r="C606" s="31" t="s">
        <v>3963</v>
      </c>
      <c r="D606" s="31" t="s">
        <v>3964</v>
      </c>
      <c r="E606" s="31" t="s">
        <v>3965</v>
      </c>
      <c r="F606" s="89">
        <v>343.0</v>
      </c>
      <c r="G606" s="91" t="str">
        <f>IFERROR(__xludf.DUMMYFUNCTION("TRIM(REGEXREPLACE(C606, ""[0-9]+[a-f]?\."", """"))"),"In the past six months, did any member of your household care for livestock owned by other people?")</f>
        <v>In the past six months, did any member of your household care for livestock owned by other people?</v>
      </c>
      <c r="H606" s="91" t="str">
        <f>IFERROR(__xludf.DUMMYFUNCTION("TRIM(REGEXREPLACE(D606, ""[0-9]+[a-f]?\."", """"))"),"Au cours des six derniers mois, un membre de votre menage a-t-il pris soin du bétail appartenant à d'autres personnes ?")</f>
        <v>Au cours des six derniers mois, un membre de votre menage a-t-il pris soin du bétail appartenant à d'autres personnes ?</v>
      </c>
      <c r="I606" s="91" t="str">
        <f>IFERROR(__xludf.DUMMYFUNCTION("TRIM(REGEXREPLACE(E606, ""[0-9]+[a-f]?\."", """"))"),"A cikin wata shida da suka wuce, akwai wani daga cikin ƴan gidan ku da ya kula da dabbobin wasu mutane?")</f>
        <v>A cikin wata shida da suka wuce, akwai wani daga cikin ƴan gidan ku da ya kula da dabbobin wasu mutane?</v>
      </c>
      <c r="J606" s="91" t="str">
        <f t="shared" si="448"/>
        <v>343. In the past six months, did any member of your household care for livestock owned by other people?</v>
      </c>
      <c r="K606" s="91" t="str">
        <f t="shared" ref="K606:L606" si="449">$F606&amp;". "&amp;H606</f>
        <v>343. Au cours des six derniers mois, un membre de votre menage a-t-il pris soin du bétail appartenant à d'autres personnes ?</v>
      </c>
      <c r="L606" s="91" t="str">
        <f t="shared" si="449"/>
        <v>343. A cikin wata shida da suka wuce, akwai wani daga cikin ƴan gidan ku da ya kula da dabbobin wasu mutane?</v>
      </c>
    </row>
    <row r="607">
      <c r="A607" s="146" t="s">
        <v>237</v>
      </c>
      <c r="B607" s="147" t="s">
        <v>3969</v>
      </c>
      <c r="C607" s="31" t="s">
        <v>3970</v>
      </c>
      <c r="D607" s="31" t="s">
        <v>3971</v>
      </c>
      <c r="E607" s="31" t="s">
        <v>3972</v>
      </c>
      <c r="F607" s="89">
        <v>344.0</v>
      </c>
      <c r="G607" s="91" t="str">
        <f>IFERROR(__xludf.DUMMYFUNCTION("TRIM(REGEXREPLACE(C607, ""[0-9]+[a-f]?\."", """"))"),"In a typical week, how many days did they do this job?")</f>
        <v>In a typical week, how many days did they do this job?</v>
      </c>
      <c r="H607" s="91" t="str">
        <f>IFERROR(__xludf.DUMMYFUNCTION("TRIM(REGEXREPLACE(D607, ""[0-9]+[a-f]?\."", """"))"),"Au cours d'une semaine normale, combien de jours ont-ils fait ce travail ?")</f>
        <v>Au cours d'une semaine normale, combien de jours ont-ils fait ce travail ?</v>
      </c>
      <c r="I607" s="91" t="str">
        <f>IFERROR(__xludf.DUMMYFUNCTION("TRIM(REGEXREPLACE(E607, ""[0-9]+[a-f]?\."", """"))"),"A cikin mako, kwana nawa suka yi wannan aikin?")</f>
        <v>A cikin mako, kwana nawa suka yi wannan aikin?</v>
      </c>
      <c r="J607" s="91" t="str">
        <f t="shared" si="448"/>
        <v>344. In a typical week, how many days did they do this job?</v>
      </c>
      <c r="K607" s="91" t="str">
        <f t="shared" ref="K607:L607" si="450">$F607&amp;". "&amp;H607</f>
        <v>344. Au cours d'une semaine normale, combien de jours ont-ils fait ce travail ?</v>
      </c>
      <c r="L607" s="91" t="str">
        <f t="shared" si="450"/>
        <v>344. A cikin mako, kwana nawa suka yi wannan aikin?</v>
      </c>
    </row>
    <row r="608">
      <c r="A608" s="146" t="s">
        <v>237</v>
      </c>
      <c r="B608" s="147" t="s">
        <v>3973</v>
      </c>
      <c r="C608" s="31" t="s">
        <v>3974</v>
      </c>
      <c r="D608" s="31" t="s">
        <v>3975</v>
      </c>
      <c r="E608" s="31" t="s">
        <v>3976</v>
      </c>
      <c r="F608" s="89">
        <v>345.0</v>
      </c>
      <c r="G608" s="91" t="str">
        <f>IFERROR(__xludf.DUMMYFUNCTION("TRIM(REGEXREPLACE(C608, ""[0-9]+[a-f]?\."", """"))"),"What was the daily wage paid to household members who cared for livestock owned by other people?")</f>
        <v>What was the daily wage paid to household members who cared for livestock owned by other people?</v>
      </c>
      <c r="H608" s="91" t="str">
        <f>IFERROR(__xludf.DUMMYFUNCTION("TRIM(REGEXREPLACE(D608,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608" s="91" t="str">
        <f>IFERROR(__xludf.DUMMYFUNCTION("TRIM(REGEXREPLACE(E608, ""[0-9]+[a-f]?\."", """"))"),"Nawa ne biyan wuni na ƴan gida masu kula da dabbobin wasu mutane (a kuɗin CFA)?")</f>
        <v>Nawa ne biyan wuni na ƴan gida masu kula da dabbobin wasu mutane (a kuɗin CFA)?</v>
      </c>
      <c r="J608" s="91" t="str">
        <f t="shared" si="448"/>
        <v>345. What was the daily wage paid to household members who cared for livestock owned by other people?</v>
      </c>
      <c r="K608" s="91" t="str">
        <f t="shared" ref="K608:L608" si="451">$F608&amp;". "&amp;H608</f>
        <v>345. Quel étaient les frais journaliers payés aux membres de votre ménage qui s'occupent des animaux du bétail appartenant à d'autres personnes en CFA ?</v>
      </c>
      <c r="L608" s="91" t="str">
        <f t="shared" si="451"/>
        <v>345. Nawa ne biyan wuni na ƴan gida masu kula da dabbobin wasu mutane (a kuɗin CFA)?</v>
      </c>
    </row>
    <row r="609">
      <c r="A609" s="126" t="s">
        <v>42</v>
      </c>
      <c r="B609" s="127" t="s">
        <v>3977</v>
      </c>
      <c r="C609" s="31" t="s">
        <v>3978</v>
      </c>
      <c r="D609" s="31"/>
      <c r="E609" s="31"/>
      <c r="F609" s="89">
        <v>346.0</v>
      </c>
      <c r="G609" s="91" t="str">
        <f>IFERROR(__xludf.DUMMYFUNCTION("TRIM(REGEXREPLACE(C609, ""[0-9]+[a-f]?\."", """"))"),"Now we will ask about other forms of income people in your household may have earned in the past six months.")</f>
        <v>Now we will ask about other forms of income people in your household may have earned in the past six months.</v>
      </c>
      <c r="H609" s="91" t="str">
        <f>IFERROR(__xludf.DUMMYFUNCTION("TRIM(REGEXREPLACE(D609, ""[0-9]+[a-f]?\."", """"))"),"")</f>
        <v/>
      </c>
      <c r="I609" s="91" t="str">
        <f>IFERROR(__xludf.DUMMYFUNCTION("TRIM(REGEXREPLACE(E609, ""[0-9]+[a-f]?\."", """"))"),"")</f>
        <v/>
      </c>
      <c r="J609" s="91" t="str">
        <f t="shared" si="448"/>
        <v>346. Now we will ask about other forms of income people in your household may have earned in the past six months.</v>
      </c>
      <c r="K609" s="91" t="str">
        <f t="shared" ref="K609:L609" si="452">$F609&amp;". "&amp;H609</f>
        <v>346. </v>
      </c>
      <c r="L609" s="91" t="str">
        <f t="shared" si="452"/>
        <v>346. </v>
      </c>
    </row>
    <row r="610">
      <c r="A610" s="81" t="s">
        <v>338</v>
      </c>
      <c r="B610" s="142" t="s">
        <v>3979</v>
      </c>
      <c r="C610" s="31" t="s">
        <v>3980</v>
      </c>
      <c r="D610" s="31" t="s">
        <v>3981</v>
      </c>
      <c r="E610" s="31" t="s">
        <v>3982</v>
      </c>
      <c r="F610" s="89">
        <v>347.0</v>
      </c>
      <c r="G610" s="91" t="str">
        <f>IFERROR(__xludf.DUMMYFUNCTION("TRIM(REGEXREPLACE(C610, ""[0-9]+[a-f]?\."", """"))"),"Do you or another member of your household own land that is currently not used for agriculture, outside of your current home?")</f>
        <v>Do you or another member of your household own land that is currently not used for agriculture, outside of your current home?</v>
      </c>
      <c r="H610" s="91" t="str">
        <f>IFERROR(__xludf.DUMMYFUNCTION("TRIM(REGEXREPLACE(D610,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610" s="91" t="str">
        <f>IFERROR(__xludf.DUMMYFUNCTION("TRIM(REGEXREPLACE(E610, ""[0-9]+[a-f]?\."", """"))"),"Shin kai ko wani na gidanku kuna da wasu hilaye wanda ba na noma ba bancin gidanku da kuke ciki a halin yanzu?")</f>
        <v>Shin kai ko wani na gidanku kuna da wasu hilaye wanda ba na noma ba bancin gidanku da kuke ciki a halin yanzu?</v>
      </c>
      <c r="J610" s="91" t="str">
        <f t="shared" si="448"/>
        <v>347. Do you or another member of your household own land that is currently not used for agriculture, outside of your current home?</v>
      </c>
      <c r="K610" s="91" t="str">
        <f t="shared" ref="K610:L610" si="453">$F610&amp;". "&amp;H610</f>
        <v>347. Est-ce que vous ou un autre membre de votre ménage possédez des terres qui ne sont actuellement pas utilisées pour l'agriculture, en dehors de votre domicile actuel ?</v>
      </c>
      <c r="L610" s="91" t="str">
        <f t="shared" si="453"/>
        <v>347. Shin kai ko wani na gidanku kuna da wasu hilaye wanda ba na noma ba bancin gidanku da kuke ciki a halin yanzu?</v>
      </c>
    </row>
    <row r="611">
      <c r="A611" s="146" t="s">
        <v>237</v>
      </c>
      <c r="B611" s="147" t="s">
        <v>3983</v>
      </c>
      <c r="C611" s="31" t="s">
        <v>3984</v>
      </c>
      <c r="D611" s="31" t="s">
        <v>3985</v>
      </c>
      <c r="E611" s="31" t="s">
        <v>3986</v>
      </c>
      <c r="F611" s="89">
        <v>348.0</v>
      </c>
      <c r="G611" s="91" t="str">
        <f>IFERROR(__xludf.DUMMYFUNCTION("TRIM(REGEXREPLACE(C611, ""[0-9]+[a-f]?\."", """"))"),"In the past six months, what is the total revenue from rent of land or other property in CFA?")</f>
        <v>In the past six months, what is the total revenue from rent of land or other property in CFA?</v>
      </c>
      <c r="H611" s="91" t="str">
        <f>IFERROR(__xludf.DUMMYFUNCTION("TRIM(REGEXREPLACE(D611, ""[0-9]+[a-f]?\."", """"))"),"Au cours des six derniers mois, quel a été le montant total des revenus locatifs de terres ou d'autres biens en CFA ?")</f>
        <v>Au cours des six derniers mois, quel a été le montant total des revenus locatifs de terres ou d'autres biens en CFA ?</v>
      </c>
      <c r="I611" s="91" t="str">
        <f>IFERROR(__xludf.DUMMYFUNCTION("TRIM(REGEXREPLACE(E611, ""[0-9]+[a-f]?\."", """"))"),"A cikin watanni shida da suka gabata, nawa ne jimillar kuɗaɗen da kuka samu daga hayar filaye ko wasu kadarori a CFA?")</f>
        <v>A cikin watanni shida da suka gabata, nawa ne jimillar kuɗaɗen da kuka samu daga hayar filaye ko wasu kadarori a CFA?</v>
      </c>
      <c r="J611" s="91" t="str">
        <f t="shared" si="448"/>
        <v>348. In the past six months, what is the total revenue from rent of land or other property in CFA?</v>
      </c>
      <c r="K611" s="91" t="str">
        <f t="shared" ref="K611:L611" si="454">$F611&amp;". "&amp;H611</f>
        <v>348. Au cours des six derniers mois, quel a été le montant total des revenus locatifs de terres ou d'autres biens en CFA ?</v>
      </c>
      <c r="L611" s="91" t="str">
        <f t="shared" si="454"/>
        <v>348. A cikin watanni shida da suka gabata, nawa ne jimillar kuɗaɗen da kuka samu daga hayar filaye ko wasu kadarori a CFA?</v>
      </c>
    </row>
    <row r="612">
      <c r="A612" s="146" t="s">
        <v>237</v>
      </c>
      <c r="B612" s="147" t="s">
        <v>3987</v>
      </c>
      <c r="C612" s="31" t="s">
        <v>3988</v>
      </c>
      <c r="D612" s="31" t="s">
        <v>3989</v>
      </c>
      <c r="E612" s="31" t="s">
        <v>3990</v>
      </c>
      <c r="F612" s="89">
        <v>349.0</v>
      </c>
      <c r="G612" s="91" t="str">
        <f>IFERROR(__xludf.DUMMYFUNCTION("TRIM(REGEXREPLACE(C612, ""[0-9]+[a-f]?\."", """"))"),"In the past six months, what is the total value of interest from loans you have given to others in CFA?")</f>
        <v>In the past six months, what is the total value of interest from loans you have given to others in CFA?</v>
      </c>
      <c r="H612" s="91" t="str">
        <f>IFERROR(__xludf.DUMMYFUNCTION("TRIM(REGEXREPLACE(D612, ""[0-9]+[a-f]?\."", """"))"),"Au cours des six derniers mois, quel a été le montant total des intérêts des prêts que vous avez accordés à d'autres en CFA ?")</f>
        <v>Au cours des six derniers mois, quel a été le montant total des intérêts des prêts que vous avez accordés à d'autres en CFA ?</v>
      </c>
      <c r="I612" s="91" t="str">
        <f>IFERROR(__xludf.DUMMYFUNCTION("TRIM(REGEXREPLACE(E612, ""[0-9]+[a-f]?\."", """"))"),"A cikin watanni shida da suka gabata, nawa ne jimillar ribar da kuka samu daga rancen da kuka bai wa wasu a CFA?")</f>
        <v>A cikin watanni shida da suka gabata, nawa ne jimillar ribar da kuka samu daga rancen da kuka bai wa wasu a CFA?</v>
      </c>
      <c r="J612" s="91" t="str">
        <f t="shared" si="448"/>
        <v>349. In the past six months, what is the total value of interest from loans you have given to others in CFA?</v>
      </c>
      <c r="K612" s="91" t="str">
        <f t="shared" ref="K612:L612" si="455">$F612&amp;". "&amp;H612</f>
        <v>349. Au cours des six derniers mois, quel a été le montant total des intérêts des prêts que vous avez accordés à d'autres en CFA ?</v>
      </c>
      <c r="L612" s="91" t="str">
        <f t="shared" si="455"/>
        <v>349. A cikin watanni shida da suka gabata, nawa ne jimillar ribar da kuka samu daga rancen da kuka bai wa wasu a CFA?</v>
      </c>
    </row>
    <row r="613" hidden="1">
      <c r="A613" s="104" t="s">
        <v>139</v>
      </c>
      <c r="B613" s="141" t="s">
        <v>3991</v>
      </c>
      <c r="C613" s="31"/>
      <c r="D613" s="31"/>
      <c r="E613" s="31"/>
      <c r="F613" s="89">
        <v>338.0</v>
      </c>
      <c r="G613" s="91" t="str">
        <f>IFERROR(__xludf.DUMMYFUNCTION("TRIM(REGEXREPLACE(C613, ""[0-9]+[a-f]?\."", """"))"),"")</f>
        <v/>
      </c>
      <c r="H613" s="91" t="str">
        <f>IFERROR(__xludf.DUMMYFUNCTION("TRIM(REGEXREPLACE(D613, ""[0-9]+[a-f]?\."", """"))"),"")</f>
        <v/>
      </c>
      <c r="I613" s="91" t="str">
        <f>IFERROR(__xludf.DUMMYFUNCTION("TRIM(REGEXREPLACE(E613, ""[0-9]+[a-f]?\."", """"))"),"")</f>
        <v/>
      </c>
      <c r="J613" s="91" t="s">
        <v>3992</v>
      </c>
      <c r="K613" s="91" t="s">
        <v>3993</v>
      </c>
      <c r="L613" s="91" t="s">
        <v>3994</v>
      </c>
    </row>
    <row r="614" hidden="1">
      <c r="A614" s="67" t="s">
        <v>108</v>
      </c>
      <c r="B614" s="69" t="s">
        <v>3995</v>
      </c>
      <c r="C614" s="31"/>
      <c r="D614" s="31"/>
      <c r="E614" s="31"/>
      <c r="F614" s="89">
        <v>339.0</v>
      </c>
      <c r="G614" s="91" t="str">
        <f>IFERROR(__xludf.DUMMYFUNCTION("TRIM(REGEXREPLACE(C614, ""[0-9]+[a-f]?\."", """"))"),"")</f>
        <v/>
      </c>
      <c r="H614" s="91" t="str">
        <f>IFERROR(__xludf.DUMMYFUNCTION("TRIM(REGEXREPLACE(D614, ""[0-9]+[a-f]?\."", """"))"),"")</f>
        <v/>
      </c>
      <c r="I614" s="91" t="str">
        <f>IFERROR(__xludf.DUMMYFUNCTION("TRIM(REGEXREPLACE(E614, ""[0-9]+[a-f]?\."", """"))"),"")</f>
        <v/>
      </c>
      <c r="J614" s="91" t="s">
        <v>3997</v>
      </c>
      <c r="K614" s="91" t="s">
        <v>3998</v>
      </c>
      <c r="L614" s="91" t="s">
        <v>3999</v>
      </c>
    </row>
    <row r="615" hidden="1">
      <c r="A615" s="169"/>
      <c r="B615" s="169"/>
      <c r="C615" s="31"/>
      <c r="D615" s="31"/>
      <c r="E615" s="31"/>
      <c r="F615" s="89">
        <v>340.0</v>
      </c>
      <c r="G615" s="91" t="str">
        <f>IFERROR(__xludf.DUMMYFUNCTION("TRIM(REGEXREPLACE(C615, ""[0-9]+[a-f]?\."", """"))"),"")</f>
        <v/>
      </c>
      <c r="H615" s="91" t="str">
        <f>IFERROR(__xludf.DUMMYFUNCTION("TRIM(REGEXREPLACE(D615, ""[0-9]+[a-f]?\."", """"))"),"")</f>
        <v/>
      </c>
      <c r="I615" s="91" t="str">
        <f>IFERROR(__xludf.DUMMYFUNCTION("TRIM(REGEXREPLACE(E615, ""[0-9]+[a-f]?\."", """"))"),"")</f>
        <v/>
      </c>
      <c r="J615" s="91" t="s">
        <v>4000</v>
      </c>
      <c r="K615" s="91" t="s">
        <v>4001</v>
      </c>
      <c r="L615" s="91" t="s">
        <v>4002</v>
      </c>
    </row>
    <row r="616" hidden="1">
      <c r="A616" s="104" t="s">
        <v>139</v>
      </c>
      <c r="B616" s="141" t="s">
        <v>4003</v>
      </c>
      <c r="C616" s="31"/>
      <c r="D616" s="31"/>
      <c r="E616" s="31"/>
      <c r="F616" s="89">
        <v>341.0</v>
      </c>
      <c r="G616" s="91" t="str">
        <f>IFERROR(__xludf.DUMMYFUNCTION("TRIM(REGEXREPLACE(C616, ""[0-9]+[a-f]?\."", """"))"),"")</f>
        <v/>
      </c>
      <c r="H616" s="91" t="str">
        <f>IFERROR(__xludf.DUMMYFUNCTION("TRIM(REGEXREPLACE(D616, ""[0-9]+[a-f]?\."", """"))"),"")</f>
        <v/>
      </c>
      <c r="I616" s="91" t="str">
        <f>IFERROR(__xludf.DUMMYFUNCTION("TRIM(REGEXREPLACE(E616, ""[0-9]+[a-f]?\."", """"))"),"")</f>
        <v/>
      </c>
      <c r="J616" s="91" t="s">
        <v>4007</v>
      </c>
      <c r="K616" s="91" t="s">
        <v>4008</v>
      </c>
      <c r="L616" s="91" t="s">
        <v>4009</v>
      </c>
    </row>
    <row r="617">
      <c r="A617" s="81" t="s">
        <v>338</v>
      </c>
      <c r="B617" s="142" t="s">
        <v>4010</v>
      </c>
      <c r="C617" s="31" t="s">
        <v>4011</v>
      </c>
      <c r="D617" s="31" t="s">
        <v>4012</v>
      </c>
      <c r="E617" s="31" t="s">
        <v>4013</v>
      </c>
      <c r="F617" s="89">
        <v>350.0</v>
      </c>
      <c r="G617" s="91" t="str">
        <f>IFERROR(__xludf.DUMMYFUNCTION("TRIM(REGEXREPLACE(C617,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617" s="91" t="str">
        <f>IFERROR(__xludf.DUMMYFUNCTION("TRIM(REGEXREPLACE(D617,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617" s="91" t="str">
        <f>IFERROR(__xludf.DUMMYFUNCTION("TRIM(REGEXREPLACE(E617,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617" s="91" t="str">
        <f t="shared" ref="J617:J619" si="457">F617&amp;". "&amp;G617</f>
        <v>350. Does anyone in the household fully, or partly own and operate an income generating activity that is not farming or herding? (i.e. a shop where you sell goods, restaurant, butcher shop)?</v>
      </c>
      <c r="K617" s="91" t="str">
        <f t="shared" ref="K617:L617" si="456">$F617&amp;". "&amp;H617</f>
        <v>350. Quelqu'un dans le ménage possède-t-il entièrement ou partiellement une activité génératrice de revenus autre que l'agriculture ou l'élevage ? (C'est-à-dire un magasin où vous vendez des marchandises, un restaurant, une boucherie) ?</v>
      </c>
      <c r="L617" s="91" t="str">
        <f t="shared" si="456"/>
        <v>350. Ko akwai wani ɗan gidanku mai sana'a wanda jarin gaba daya nashi ko na hadin gwiwa ne banda noma da kiyo? ( kantin saida kaya, gidan abinci, fawa)?</v>
      </c>
    </row>
    <row r="618">
      <c r="A618" s="81" t="s">
        <v>4017</v>
      </c>
      <c r="B618" s="142" t="s">
        <v>4018</v>
      </c>
      <c r="C618" s="31" t="s">
        <v>4019</v>
      </c>
      <c r="D618" s="31" t="s">
        <v>4020</v>
      </c>
      <c r="E618" s="31" t="s">
        <v>4021</v>
      </c>
      <c r="F618" s="89">
        <v>351.0</v>
      </c>
      <c r="G618" s="91" t="str">
        <f>IFERROR(__xludf.DUMMYFUNCTION("TRIM(REGEXREPLACE(C618, ""[0-9]+[a-f]?\."", """"))"),"What type of business is this?")</f>
        <v>What type of business is this?</v>
      </c>
      <c r="H618" s="91" t="str">
        <f>IFERROR(__xludf.DUMMYFUNCTION("TRIM(REGEXREPLACE(D618, ""[0-9]+[a-f]?\."", """"))"),"Quel type d'entreprise est-ce?")</f>
        <v>Quel type d'entreprise est-ce?</v>
      </c>
      <c r="I618" s="91" t="str">
        <f>IFERROR(__xludf.DUMMYFUNCTION("TRIM(REGEXREPLACE(E618, ""[0-9]+[a-f]?\."", """"))"),"Wane irin kasuwanci ne?")</f>
        <v>Wane irin kasuwanci ne?</v>
      </c>
      <c r="J618" s="91" t="str">
        <f t="shared" si="457"/>
        <v>351. What type of business is this?</v>
      </c>
      <c r="K618" s="91" t="str">
        <f t="shared" ref="K618:L618" si="458">$F618&amp;". "&amp;H618</f>
        <v>351. Quel type d'entreprise est-ce?</v>
      </c>
      <c r="L618" s="91" t="str">
        <f t="shared" si="458"/>
        <v>351. Wane irin kasuwanci ne?</v>
      </c>
    </row>
    <row r="619">
      <c r="A619" s="133" t="s">
        <v>214</v>
      </c>
      <c r="B619" s="143" t="s">
        <v>4023</v>
      </c>
      <c r="C619" s="31" t="s">
        <v>4025</v>
      </c>
      <c r="D619" s="31" t="s">
        <v>4027</v>
      </c>
      <c r="E619" s="31" t="s">
        <v>4028</v>
      </c>
      <c r="F619" s="89">
        <v>352.0</v>
      </c>
      <c r="G619" s="91" t="str">
        <f>IFERROR(__xludf.DUMMYFUNCTION("TRIM(REGEXREPLACE(C619, ""[0-9]+[a-f]?\."", """"))"),"Specify other")</f>
        <v>Specify other</v>
      </c>
      <c r="H619" s="91" t="str">
        <f>IFERROR(__xludf.DUMMYFUNCTION("TRIM(REGEXREPLACE(D619, ""[0-9]+[a-f]?\."", """"))"),"Autre à préciser :")</f>
        <v>Autre à préciser :</v>
      </c>
      <c r="I619" s="91" t="str">
        <f>IFERROR(__xludf.DUMMYFUNCTION("TRIM(REGEXREPLACE(E619, ""[0-9]+[a-f]?\."", """"))"),"Baiyana wani abu daban:")</f>
        <v>Baiyana wani abu daban:</v>
      </c>
      <c r="J619" s="91" t="str">
        <f t="shared" si="457"/>
        <v>352. Specify other</v>
      </c>
      <c r="K619" s="91" t="str">
        <f t="shared" ref="K619:L619" si="459">$F619&amp;". "&amp;H619</f>
        <v>352. Autre à préciser :</v>
      </c>
      <c r="L619" s="91" t="str">
        <f t="shared" si="459"/>
        <v>352. Baiyana wani abu daban:</v>
      </c>
    </row>
    <row r="620" hidden="1">
      <c r="A620" s="104" t="s">
        <v>108</v>
      </c>
      <c r="B620" s="105" t="s">
        <v>4029</v>
      </c>
      <c r="C620" s="31"/>
      <c r="D620" s="31"/>
      <c r="E620" s="31"/>
      <c r="F620" s="89">
        <v>205.0</v>
      </c>
      <c r="G620" s="91" t="str">
        <f>IFERROR(__xludf.DUMMYFUNCTION("TRIM(REGEXREPLACE(C620, ""[0-9]+[a-f]?\."", """"))"),"")</f>
        <v/>
      </c>
      <c r="H620" s="91" t="str">
        <f>IFERROR(__xludf.DUMMYFUNCTION("TRIM(REGEXREPLACE(D620, ""[0-9]+[a-f]?\."", """"))"),"")</f>
        <v/>
      </c>
      <c r="I620" s="91" t="str">
        <f>IFERROR(__xludf.DUMMYFUNCTION("TRIM(REGEXREPLACE(E620, ""[0-9]+[a-f]?\."", """"))"),"")</f>
        <v/>
      </c>
      <c r="J620" s="91" t="str">
        <f>F620 &amp; ". " &amp;G620</f>
        <v>205. </v>
      </c>
      <c r="K620" s="91" t="str">
        <f>F620 &amp; ". " &amp;H620</f>
        <v>205. </v>
      </c>
      <c r="L620" s="91" t="str">
        <f>F620 &amp; ". " &amp;I620</f>
        <v>205. </v>
      </c>
    </row>
    <row r="621">
      <c r="A621" s="81" t="s">
        <v>338</v>
      </c>
      <c r="B621" s="142" t="s">
        <v>4030</v>
      </c>
      <c r="C621" s="31" t="s">
        <v>4031</v>
      </c>
      <c r="D621" s="31" t="s">
        <v>4032</v>
      </c>
      <c r="E621" s="31" t="s">
        <v>4033</v>
      </c>
      <c r="F621" s="89">
        <v>353.0</v>
      </c>
      <c r="G621" s="91" t="str">
        <f>IFERROR(__xludf.DUMMYFUNCTION("TRIM(REGEXREPLACE(C621, ""[0-9]+[a-f]?\."", """"))"),"Do you have a permanent location (i.e. building)?")</f>
        <v>Do you have a permanent location (i.e. building)?</v>
      </c>
      <c r="H621" s="91" t="str">
        <f>IFERROR(__xludf.DUMMYFUNCTION("TRIM(REGEXREPLACE(D621, ""[0-9]+[a-f]?\."", """"))"),"Avez-vous un emplacement permanent (c'est-à-dire un bâtiment) ?")</f>
        <v>Avez-vous un emplacement permanent (c'est-à-dire un bâtiment) ?</v>
      </c>
      <c r="I621" s="91" t="str">
        <f>IFERROR(__xludf.DUMMYFUNCTION("TRIM(REGEXREPLACE(E621, ""[0-9]+[a-f]?\."", """"))"),"Kuna da wurin dindindin (kamar gini)?")</f>
        <v>Kuna da wurin dindindin (kamar gini)?</v>
      </c>
      <c r="J621" s="91" t="str">
        <f t="shared" ref="J621:J623" si="461">F621&amp;". "&amp;G621</f>
        <v>353. Do you have a permanent location (i.e. building)?</v>
      </c>
      <c r="K621" s="91" t="str">
        <f t="shared" ref="K621:L621" si="460">$F621&amp;". "&amp;H621</f>
        <v>353. Avez-vous un emplacement permanent (c'est-à-dire un bâtiment) ?</v>
      </c>
      <c r="L621" s="91" t="str">
        <f t="shared" si="460"/>
        <v>353. Kuna da wurin dindindin (kamar gini)?</v>
      </c>
    </row>
    <row r="622">
      <c r="A622" s="146" t="s">
        <v>237</v>
      </c>
      <c r="B622" s="147" t="s">
        <v>4037</v>
      </c>
      <c r="C622" s="31" t="s">
        <v>4038</v>
      </c>
      <c r="D622" s="31" t="s">
        <v>4039</v>
      </c>
      <c r="E622" s="31" t="s">
        <v>4040</v>
      </c>
      <c r="F622" s="89">
        <v>354.0</v>
      </c>
      <c r="G622" s="91" t="str">
        <f>IFERROR(__xludf.DUMMYFUNCTION("TRIM(REGEXREPLACE(C622, ""[0-9]+[a-f]?\."", """"))"),"How many people outside of your household do you employ in this business?")</f>
        <v>How many people outside of your household do you employ in this business?</v>
      </c>
      <c r="H622" s="91" t="str">
        <f>IFERROR(__xludf.DUMMYFUNCTION("TRIM(REGEXREPLACE(D622, ""[0-9]+[a-f]?\."", """"))"),"Combien de personnes en dehors de votre ménage employez-vous dans cette entreprise ?")</f>
        <v>Combien de personnes en dehors de votre ménage employez-vous dans cette entreprise ?</v>
      </c>
      <c r="I622" s="91" t="str">
        <f>IFERROR(__xludf.DUMMYFUNCTION("TRIM(REGEXREPLACE(E622, ""[0-9]+[a-f]?\."", """"))"),"Mutane nawa ne kuka dauka aiki banda ƴan gidan a wannan kasuwancin?")</f>
        <v>Mutane nawa ne kuka dauka aiki banda ƴan gidan a wannan kasuwancin?</v>
      </c>
      <c r="J622" s="91" t="str">
        <f t="shared" si="461"/>
        <v>354. How many people outside of your household do you employ in this business?</v>
      </c>
      <c r="K622" s="91" t="str">
        <f t="shared" ref="K622:L622" si="462">$F622&amp;". "&amp;H622</f>
        <v>354. Combien de personnes en dehors de votre ménage employez-vous dans cette entreprise ?</v>
      </c>
      <c r="L622" s="91" t="str">
        <f t="shared" si="462"/>
        <v>354. Mutane nawa ne kuka dauka aiki banda ƴan gidan a wannan kasuwancin?</v>
      </c>
    </row>
    <row r="623">
      <c r="A623" s="146" t="s">
        <v>237</v>
      </c>
      <c r="B623" s="147" t="s">
        <v>4044</v>
      </c>
      <c r="C623" s="31" t="s">
        <v>4045</v>
      </c>
      <c r="D623" s="31" t="s">
        <v>4046</v>
      </c>
      <c r="E623" s="31" t="s">
        <v>4047</v>
      </c>
      <c r="F623" s="89">
        <v>355.0</v>
      </c>
      <c r="G623" s="91" t="str">
        <f>IFERROR(__xludf.DUMMYFUNCTION("TRIM(REGEXREPLACE(C623, ""[0-9]+[a-f]?\."", """"))"),"How much do you pay per day for people to work in this business in CFA?")</f>
        <v>How much do you pay per day for people to work in this business in CFA?</v>
      </c>
      <c r="H623" s="91" t="str">
        <f>IFERROR(__xludf.DUMMYFUNCTION("TRIM(REGEXREPLACE(D623, ""[0-9]+[a-f]?\."", """"))"),"Combien payez-vous par jour pour que les gens travaillent dans cette entreprise (en CFA) ?")</f>
        <v>Combien payez-vous par jour pour que les gens travaillent dans cette entreprise (en CFA) ?</v>
      </c>
      <c r="I623" s="91" t="str">
        <f>IFERROR(__xludf.DUMMYFUNCTION("TRIM(REGEXREPLACE(E623, ""[0-9]+[a-f]?\."", """"))"),"Nawa kuke biyan su a wuni (a sefa) ?")</f>
        <v>Nawa kuke biyan su a wuni (a sefa) ?</v>
      </c>
      <c r="J623" s="91" t="str">
        <f t="shared" si="461"/>
        <v>355. How much do you pay per day for people to work in this business in CFA?</v>
      </c>
      <c r="K623" s="91" t="str">
        <f t="shared" ref="K623:L623" si="463">$F623&amp;". "&amp;H623</f>
        <v>355. Combien payez-vous par jour pour que les gens travaillent dans cette entreprise (en CFA) ?</v>
      </c>
      <c r="L623" s="91" t="str">
        <f t="shared" si="463"/>
        <v>355. Nawa kuke biyan su a wuni (a sefa) ?</v>
      </c>
    </row>
    <row r="624" hidden="1">
      <c r="A624" s="256"/>
      <c r="B624" s="256"/>
      <c r="C624" s="31"/>
      <c r="D624" s="31"/>
      <c r="E624" s="31"/>
      <c r="F624" s="89">
        <v>207.0</v>
      </c>
      <c r="G624" s="91" t="str">
        <f>IFERROR(__xludf.DUMMYFUNCTION("TRIM(REGEXREPLACE(C624, ""[0-9]+[a-f]?\."", """"))"),"")</f>
        <v/>
      </c>
      <c r="H624" s="91" t="str">
        <f>IFERROR(__xludf.DUMMYFUNCTION("TRIM(REGEXREPLACE(D624, ""[0-9]+[a-f]?\."", """"))"),"")</f>
        <v/>
      </c>
      <c r="I624" s="91" t="str">
        <f>IFERROR(__xludf.DUMMYFUNCTION("TRIM(REGEXREPLACE(E624, ""[0-9]+[a-f]?\."", """"))"),"")</f>
        <v/>
      </c>
      <c r="J624" s="91" t="str">
        <f t="shared" ref="J624:J625" si="464">F624 &amp; ". " &amp;G624</f>
        <v>207. </v>
      </c>
      <c r="K624" s="91" t="str">
        <f t="shared" ref="K624:K625" si="465">F624 &amp; ". " &amp;H624</f>
        <v>207. </v>
      </c>
      <c r="L624" s="91" t="str">
        <f t="shared" ref="L624:L625" si="466">F624 &amp; ". " &amp;I624</f>
        <v>207. </v>
      </c>
    </row>
    <row r="625" hidden="1">
      <c r="A625" s="144" t="s">
        <v>648</v>
      </c>
      <c r="B625" s="145" t="s">
        <v>4054</v>
      </c>
      <c r="C625" s="31" t="s">
        <v>4056</v>
      </c>
      <c r="D625" s="31"/>
      <c r="E625" s="31"/>
      <c r="F625" s="89">
        <v>208.0</v>
      </c>
      <c r="G625" s="91" t="str">
        <f>IFERROR(__xludf.DUMMYFUNCTION("TRIM(REGEXREPLACE(C625, ""[0-9]+[a-f]?\."", """"))"),"Members in Business")</f>
        <v>Members in Business</v>
      </c>
      <c r="H625" s="91" t="str">
        <f>IFERROR(__xludf.DUMMYFUNCTION("TRIM(REGEXREPLACE(D625, ""[0-9]+[a-f]?\."", """"))"),"")</f>
        <v/>
      </c>
      <c r="I625" s="91" t="str">
        <f>IFERROR(__xludf.DUMMYFUNCTION("TRIM(REGEXREPLACE(E625, ""[0-9]+[a-f]?\."", """"))"),"")</f>
        <v/>
      </c>
      <c r="J625" s="91" t="str">
        <f t="shared" si="464"/>
        <v>208. Members in Business</v>
      </c>
      <c r="K625" s="91" t="str">
        <f t="shared" si="465"/>
        <v>208. </v>
      </c>
      <c r="L625" s="91" t="str">
        <f t="shared" si="466"/>
        <v>208. </v>
      </c>
    </row>
    <row r="626" hidden="1">
      <c r="A626" s="104" t="s">
        <v>108</v>
      </c>
      <c r="B626" s="105" t="s">
        <v>4068</v>
      </c>
      <c r="C626" s="31"/>
      <c r="D626" s="31"/>
      <c r="E626" s="31"/>
      <c r="F626" s="89">
        <v>351.0</v>
      </c>
      <c r="G626" s="91" t="str">
        <f>IFERROR(__xludf.DUMMYFUNCTION("TRIM(REGEXREPLACE(C626, ""[0-9]+[a-f]?\."", """"))"),"")</f>
        <v/>
      </c>
      <c r="H626" s="91" t="str">
        <f>IFERROR(__xludf.DUMMYFUNCTION("TRIM(REGEXREPLACE(D626, ""[0-9]+[a-f]?\."", """"))"),"")</f>
        <v/>
      </c>
      <c r="I626" s="91" t="str">
        <f>IFERROR(__xludf.DUMMYFUNCTION("TRIM(REGEXREPLACE(E626, ""[0-9]+[a-f]?\."", """"))"),"")</f>
        <v/>
      </c>
      <c r="J626" s="91" t="s">
        <v>4072</v>
      </c>
      <c r="K626" s="91" t="s">
        <v>4073</v>
      </c>
      <c r="L626" s="91" t="s">
        <v>4074</v>
      </c>
    </row>
    <row r="627" hidden="1">
      <c r="A627" s="104" t="s">
        <v>108</v>
      </c>
      <c r="B627" s="105" t="s">
        <v>4075</v>
      </c>
      <c r="C627" s="31"/>
      <c r="D627" s="31"/>
      <c r="E627" s="31"/>
      <c r="F627" s="89">
        <v>352.0</v>
      </c>
      <c r="G627" s="91" t="str">
        <f>IFERROR(__xludf.DUMMYFUNCTION("TRIM(REGEXREPLACE(C627, ""[0-9]+[a-f]?\."", """"))"),"")</f>
        <v/>
      </c>
      <c r="H627" s="91" t="str">
        <f>IFERROR(__xludf.DUMMYFUNCTION("TRIM(REGEXREPLACE(D627, ""[0-9]+[a-f]?\."", """"))"),"")</f>
        <v/>
      </c>
      <c r="I627" s="91" t="str">
        <f>IFERROR(__xludf.DUMMYFUNCTION("TRIM(REGEXREPLACE(E627, ""[0-9]+[a-f]?\."", """"))"),"")</f>
        <v/>
      </c>
      <c r="J627" s="91" t="s">
        <v>4079</v>
      </c>
      <c r="K627" s="91" t="s">
        <v>4080</v>
      </c>
      <c r="L627" s="91" t="s">
        <v>4081</v>
      </c>
    </row>
    <row r="628" hidden="1">
      <c r="A628" s="104" t="s">
        <v>108</v>
      </c>
      <c r="B628" s="105" t="s">
        <v>4082</v>
      </c>
      <c r="C628" s="31"/>
      <c r="D628" s="31"/>
      <c r="E628" s="31"/>
      <c r="F628" s="89">
        <v>353.0</v>
      </c>
      <c r="G628" s="91" t="str">
        <f>IFERROR(__xludf.DUMMYFUNCTION("TRIM(REGEXREPLACE(C628, ""[0-9]+[a-f]?\."", """"))"),"")</f>
        <v/>
      </c>
      <c r="H628" s="91" t="str">
        <f>IFERROR(__xludf.DUMMYFUNCTION("TRIM(REGEXREPLACE(D628, ""[0-9]+[a-f]?\."", """"))"),"")</f>
        <v/>
      </c>
      <c r="I628" s="91" t="str">
        <f>IFERROR(__xludf.DUMMYFUNCTION("TRIM(REGEXREPLACE(E628, ""[0-9]+[a-f]?\."", """"))"),"")</f>
        <v/>
      </c>
      <c r="J628" s="91" t="s">
        <v>4083</v>
      </c>
      <c r="K628" s="91" t="s">
        <v>4084</v>
      </c>
      <c r="L628" s="91" t="s">
        <v>4085</v>
      </c>
    </row>
    <row r="629">
      <c r="A629" s="146" t="s">
        <v>237</v>
      </c>
      <c r="B629" s="147" t="s">
        <v>4086</v>
      </c>
      <c r="C629" s="31" t="s">
        <v>4087</v>
      </c>
      <c r="D629" s="31" t="s">
        <v>4088</v>
      </c>
      <c r="E629" s="31" t="s">
        <v>4089</v>
      </c>
      <c r="F629" s="89">
        <v>356.0</v>
      </c>
      <c r="G629" s="91" t="str">
        <f>IFERROR(__xludf.DUMMYFUNCTION("TRIM(REGEXREPLACE(C629, ""[0-9]+[a-f]?\."", """"))"),"In a typical week during the past six months, how many days did ${hoh_biz_name} work in the household business?")</f>
        <v>In a typical week during the past six months, how many days did ${hoh_biz_name} work in the household business?</v>
      </c>
      <c r="H629" s="91" t="str">
        <f>IFERROR(__xludf.DUMMYFUNCTION("TRIM(REGEXREPLACE(D629, ""[0-9]+[a-f]?\."", """"))"),"Au cours d'une semaine normale dans les six derniers mois, combien de jours ${hoh_biz_name} a-t-il travaillé dans l'entreprise familiale ?")</f>
        <v>Au cours d'une semaine normale dans les six derniers mois, combien de jours ${hoh_biz_name} a-t-il travaillé dans l'entreprise familiale ?</v>
      </c>
      <c r="I629" s="91" t="str">
        <f>IFERROR(__xludf.DUMMYFUNCTION("TRIM(REGEXREPLACE(E629, ""[0-9]+[a-f]?\."", """"))"),"A cikin mako guda a cikin watanni shida da suka gabata, kwanaki nawa ${hoh_biz_name} yayi aiki a cikin kasuwancin gida?")</f>
        <v>A cikin mako guda a cikin watanni shida da suka gabata, kwanaki nawa ${hoh_biz_name} yayi aiki a cikin kasuwancin gida?</v>
      </c>
      <c r="J629" s="91" t="str">
        <f>F629&amp;". "&amp;G629</f>
        <v>356. In a typical week during the past six months, how many days did ${hoh_biz_name} work in the household business?</v>
      </c>
      <c r="K629" s="91" t="str">
        <f t="shared" ref="K629:L629" si="467">$F629&amp;". "&amp;H629</f>
        <v>356. Au cours d'une semaine normale dans les six derniers mois, combien de jours ${hoh_biz_name} a-t-il travaillé dans l'entreprise familiale ?</v>
      </c>
      <c r="L629" s="91" t="str">
        <f t="shared" si="467"/>
        <v>356. A cikin mako guda a cikin watanni shida da suka gabata, kwanaki nawa ${hoh_biz_name} yayi aiki a cikin kasuwancin gida?</v>
      </c>
    </row>
    <row r="630" hidden="1">
      <c r="A630" s="144" t="s">
        <v>691</v>
      </c>
      <c r="B630" s="150" t="s">
        <v>4054</v>
      </c>
      <c r="C630" s="31" t="s">
        <v>4056</v>
      </c>
      <c r="D630" s="31"/>
      <c r="E630" s="31"/>
      <c r="F630" s="89">
        <v>355.0</v>
      </c>
      <c r="G630" s="91" t="str">
        <f>IFERROR(__xludf.DUMMYFUNCTION("TRIM(REGEXREPLACE(C630, ""[0-9]+[a-f]?\."", """"))"),"Members in Business")</f>
        <v>Members in Business</v>
      </c>
      <c r="H630" s="91" t="str">
        <f>IFERROR(__xludf.DUMMYFUNCTION("TRIM(REGEXREPLACE(D630, ""[0-9]+[a-f]?\."", """"))"),"")</f>
        <v/>
      </c>
      <c r="I630" s="91" t="str">
        <f>IFERROR(__xludf.DUMMYFUNCTION("TRIM(REGEXREPLACE(E630, ""[0-9]+[a-f]?\."", """"))"),"")</f>
        <v/>
      </c>
      <c r="J630" s="91" t="s">
        <v>4093</v>
      </c>
      <c r="K630" s="91" t="s">
        <v>4094</v>
      </c>
      <c r="L630" s="91" t="s">
        <v>4095</v>
      </c>
    </row>
    <row r="631" hidden="1">
      <c r="A631" s="104" t="s">
        <v>139</v>
      </c>
      <c r="B631" s="141" t="s">
        <v>4097</v>
      </c>
      <c r="C631" s="31"/>
      <c r="D631" s="31"/>
      <c r="E631" s="31"/>
      <c r="F631" s="89">
        <v>209.0</v>
      </c>
      <c r="G631" s="91" t="str">
        <f>IFERROR(__xludf.DUMMYFUNCTION("TRIM(REGEXREPLACE(C631, ""[0-9]+[a-f]?\."", """"))"),"")</f>
        <v/>
      </c>
      <c r="H631" s="91" t="str">
        <f>IFERROR(__xludf.DUMMYFUNCTION("TRIM(REGEXREPLACE(D631, ""[0-9]+[a-f]?\."", """"))"),"")</f>
        <v/>
      </c>
      <c r="I631" s="91" t="str">
        <f>IFERROR(__xludf.DUMMYFUNCTION("TRIM(REGEXREPLACE(E631, ""[0-9]+[a-f]?\."", """"))"),"")</f>
        <v/>
      </c>
      <c r="J631" s="91" t="str">
        <f>F631 &amp; ". " &amp;G631</f>
        <v>209. </v>
      </c>
      <c r="K631" s="91" t="str">
        <f>F631 &amp; ". " &amp;H631</f>
        <v>209. </v>
      </c>
      <c r="L631" s="91" t="str">
        <f>F631 &amp; ". " &amp;I631</f>
        <v>209. </v>
      </c>
    </row>
    <row r="632" hidden="1">
      <c r="A632" s="67" t="s">
        <v>108</v>
      </c>
      <c r="B632" s="69" t="s">
        <v>4104</v>
      </c>
      <c r="C632" s="31"/>
      <c r="D632" s="31"/>
      <c r="E632" s="31"/>
      <c r="F632" s="89">
        <v>357.0</v>
      </c>
      <c r="G632" s="91" t="str">
        <f>IFERROR(__xludf.DUMMYFUNCTION("TRIM(REGEXREPLACE(C632, ""[0-9]+[a-f]?\."", """"))"),"")</f>
        <v/>
      </c>
      <c r="H632" s="91" t="str">
        <f>IFERROR(__xludf.DUMMYFUNCTION("TRIM(REGEXREPLACE(D632, ""[0-9]+[a-f]?\."", """"))"),"")</f>
        <v/>
      </c>
      <c r="I632" s="91" t="str">
        <f>IFERROR(__xludf.DUMMYFUNCTION("TRIM(REGEXREPLACE(E632, ""[0-9]+[a-f]?\."", """"))"),"")</f>
        <v/>
      </c>
      <c r="J632" s="91" t="s">
        <v>4105</v>
      </c>
      <c r="K632" s="91" t="s">
        <v>4106</v>
      </c>
      <c r="L632" s="91" t="s">
        <v>4107</v>
      </c>
    </row>
    <row r="633">
      <c r="A633" s="146" t="s">
        <v>237</v>
      </c>
      <c r="B633" s="147" t="s">
        <v>4108</v>
      </c>
      <c r="C633" s="31" t="s">
        <v>4109</v>
      </c>
      <c r="D633" s="31" t="s">
        <v>4110</v>
      </c>
      <c r="E633" s="31" t="s">
        <v>4111</v>
      </c>
      <c r="F633" s="89">
        <v>357.0</v>
      </c>
      <c r="G633" s="91" t="str">
        <f>IFERROR(__xludf.DUMMYFUNCTION("TRIM(REGEXREPLACE(C633, ""[0-9]+[a-f]?\."", """"))"),"Thinking about all of the revenues from this business in the past six months, what was the total amount of money coming in from this business in the last six months?")</f>
        <v>Thinking about all of the revenues from this business in the past six months, what was the total amount of money coming in from this business in the last six months?</v>
      </c>
      <c r="H633" s="91" t="str">
        <f>IFERROR(__xludf.DUMMYFUNCTION("TRIM(REGEXREPLACE(D633, ""[0-9]+[a-f]?\."", """"))"),"En considérant tous les revenus de cette entreprise au cours des six derniers mois, quel a été le montant total des rentrées d'argent provenant de cette entreprise au cours des six derniers mois ?")</f>
        <v>En considérant tous les revenus de cette entreprise au cours des six derniers mois, quel a été le montant total des rentrées d'argent provenant de cette entreprise au cours des six derniers mois ?</v>
      </c>
      <c r="I633" s="91" t="str">
        <f>IFERROR(__xludf.DUMMYFUNCTION("TRIM(REGEXREPLACE(E633, ""[0-9]+[a-f]?\."", """"))"),"Idan aka yi la’akari da dukkan kuɗaɗen shiga da aka samu daga wannan sana’ar a cikin watanni shida da suka gabata, nawa ne yawan kuɗaɗen da aka samu daga wannan sana’ar a cikin watanni shida da suka gabata?")</f>
        <v>Idan aka yi la’akari da dukkan kuɗaɗen shiga da aka samu daga wannan sana’ar a cikin watanni shida da suka gabata, nawa ne yawan kuɗaɗen da aka samu daga wannan sana’ar a cikin watanni shida da suka gabata?</v>
      </c>
      <c r="J633" s="91" t="str">
        <f t="shared" ref="J633:J634" si="469">F633&amp;". "&amp;G633</f>
        <v>357. Thinking about all of the revenues from this business in the past six months, what was the total amount of money coming in from this business in the last six months?</v>
      </c>
      <c r="K633" s="91" t="str">
        <f t="shared" ref="K633:L633" si="468">$F633&amp;". "&amp;H633</f>
        <v>357. En considérant tous les revenus de cette entreprise au cours des six derniers mois, quel a été le montant total des rentrées d'argent provenant de cette entreprise au cours des six derniers mois ?</v>
      </c>
      <c r="L633" s="91" t="str">
        <f t="shared" si="468"/>
        <v>357. Idan aka yi la’akari da dukkan kuɗaɗen shiga da aka samu daga wannan sana’ar a cikin watanni shida da suka gabata, nawa ne yawan kuɗaɗen da aka samu daga wannan sana’ar a cikin watanni shida da suka gabata?</v>
      </c>
    </row>
    <row r="634">
      <c r="A634" s="146" t="s">
        <v>237</v>
      </c>
      <c r="B634" s="147" t="s">
        <v>4114</v>
      </c>
      <c r="C634" s="31" t="s">
        <v>4115</v>
      </c>
      <c r="D634" s="31" t="s">
        <v>4116</v>
      </c>
      <c r="E634" s="31" t="s">
        <v>4117</v>
      </c>
      <c r="F634" s="89">
        <v>358.0</v>
      </c>
      <c r="G634" s="91" t="str">
        <f>IFERROR(__xludf.DUMMYFUNCTION("TRIM(REGEXREPLACE(C634, ""[0-9]+[a-f]?\."", """"))"),"Thinking about all of the the expenses from this business, what was the total amount of money you spent on costs related to this business in the last six months?")</f>
        <v>Thinking about all of the the expenses from this business, what was the total amount of money you spent on costs related to this business in the last six months?</v>
      </c>
      <c r="H634" s="91" t="str">
        <f>IFERROR(__xludf.DUMMYFUNCTION("TRIM(REGEXREPLACE(D634, ""[0-9]+[a-f]?\."", """"))"),"En considérant toutes les dépenses de cette entreprise, quel a été le montant total des dépenses liées à cette entreprise au cours des six derniers mois ?")</f>
        <v>En considérant toutes les dépenses de cette entreprise, quel a été le montant total des dépenses liées à cette entreprise au cours des six derniers mois ?</v>
      </c>
      <c r="I634" s="91" t="str">
        <f>IFERROR(__xludf.DUMMYFUNCTION("TRIM(REGEXREPLACE(E634, ""[0-9]+[a-f]?\."", """"))"),"Idan aka yi la’akari da duk abin da aka kashe daga wannan kasuwancin, nawa ne jimlar kuɗin da kuka kashe akan farashi mai alaƙa da wannan kasuwancin a cikin watanni shida da suka gabata?")</f>
        <v>Idan aka yi la’akari da duk abin da aka kashe daga wannan kasuwancin, nawa ne jimlar kuɗin da kuka kashe akan farashi mai alaƙa da wannan kasuwancin a cikin watanni shida da suka gabata?</v>
      </c>
      <c r="J634" s="91" t="str">
        <f t="shared" si="469"/>
        <v>358. Thinking about all of the the expenses from this business, what was the total amount of money you spent on costs related to this business in the last six months?</v>
      </c>
      <c r="K634" s="91" t="str">
        <f t="shared" ref="K634:L634" si="470">$F634&amp;". "&amp;H634</f>
        <v>358. En considérant toutes les dépenses de cette entreprise, quel a été le montant total des dépenses liées à cette entreprise au cours des six derniers mois ?</v>
      </c>
      <c r="L634" s="91" t="str">
        <f t="shared" si="470"/>
        <v>358. Idan aka yi la’akari da duk abin da aka kashe daga wannan kasuwancin, nawa ne jimlar kuɗin da kuka kashe akan farashi mai alaƙa da wannan kasuwancin a cikin watanni shida da suka gabata?</v>
      </c>
    </row>
    <row r="635" hidden="1">
      <c r="A635" s="104" t="s">
        <v>108</v>
      </c>
      <c r="B635" s="105" t="s">
        <v>4119</v>
      </c>
      <c r="C635" s="31"/>
      <c r="D635" s="31"/>
      <c r="E635" s="31"/>
      <c r="F635" s="89">
        <v>360.0</v>
      </c>
      <c r="G635" s="91" t="str">
        <f>IFERROR(__xludf.DUMMYFUNCTION("TRIM(REGEXREPLACE(C635, ""[0-9]+[a-f]?\."", """"))"),"")</f>
        <v/>
      </c>
      <c r="H635" s="91" t="str">
        <f>IFERROR(__xludf.DUMMYFUNCTION("TRIM(REGEXREPLACE(D635, ""[0-9]+[a-f]?\."", """"))"),"")</f>
        <v/>
      </c>
      <c r="I635" s="91" t="str">
        <f>IFERROR(__xludf.DUMMYFUNCTION("TRIM(REGEXREPLACE(E635, ""[0-9]+[a-f]?\."", """"))"),"")</f>
        <v/>
      </c>
      <c r="J635" s="91" t="s">
        <v>4120</v>
      </c>
      <c r="K635" s="91" t="s">
        <v>4121</v>
      </c>
      <c r="L635" s="91" t="s">
        <v>4122</v>
      </c>
    </row>
    <row r="636">
      <c r="A636" s="81" t="s">
        <v>338</v>
      </c>
      <c r="B636" s="142" t="s">
        <v>4123</v>
      </c>
      <c r="C636" s="31" t="s">
        <v>4124</v>
      </c>
      <c r="D636" s="31" t="s">
        <v>4126</v>
      </c>
      <c r="E636" s="31" t="s">
        <v>4128</v>
      </c>
      <c r="F636" s="89">
        <v>359.0</v>
      </c>
      <c r="G636" s="91" t="str">
        <f>IFERROR(__xludf.DUMMYFUNCTION("TRIM(REGEXREPLACE(C636, ""[0-9]+[a-f]?\."", """"))"),"Thinking about all the revenue and expense related to this business during the past six months, you said that the net income from this business for your household is ${hoh_biz_income}. Is that correct?")</f>
        <v>Thinking about all the revenue and expense related to this business during the past six months, you said that the net income from this business for your household is ${hoh_biz_income}. Is that correct?</v>
      </c>
      <c r="H636" s="91" t="str">
        <f>IFERROR(__xludf.DUMMYFUNCTION("TRIM(REGEXREPLACE(D636, ""[0-9]+[a-f]?\."", """"))"),"En considérant tous les revenus et dépenses liés à cette entreprise au cours des six derniers mois, vous avez indiqué que le revenu net de votre menage s'élevait à ${hoh_biz_income}. Est-ce exact ?")</f>
        <v>En considérant tous les revenus et dépenses liés à cette entreprise au cours des six derniers mois, vous avez indiqué que le revenu net de votre menage s'élevait à ${hoh_biz_income}. Est-ce exact ?</v>
      </c>
      <c r="I636" s="91" t="str">
        <f>IFERROR(__xludf.DUMMYFUNCTION("TRIM(REGEXREPLACE(E636, ""[0-9]+[a-f]?\."", """"))"),"Idan aka yi la'akari da duk kuɗaɗen shiga da kashewa da suka shafi wannan kasuwancin a cikin watanni shida da suka gabata, kun ce yawan kuɗin da aka samu daga wannan kasuwancin na gidan ku shine ${hoh_biz_income}. Shin hakan daidai ne?")</f>
        <v>Idan aka yi la'akari da duk kuɗaɗen shiga da kashewa da suka shafi wannan kasuwancin a cikin watanni shida da suka gabata, kun ce yawan kuɗin da aka samu daga wannan kasuwancin na gidan ku shine ${hoh_biz_income}. Shin hakan daidai ne?</v>
      </c>
      <c r="J636" s="91" t="str">
        <f t="shared" ref="J636:J637" si="472">F636&amp;". "&amp;G636</f>
        <v>359. Thinking about all the revenue and expense related to this business during the past six months, you said that the net income from this business for your household is ${hoh_biz_income}. Is that correct?</v>
      </c>
      <c r="K636" s="91" t="str">
        <f t="shared" ref="K636:L636" si="471">$F636&amp;". "&amp;H636</f>
        <v>359. En considérant tous les revenus et dépenses liés à cette entreprise au cours des six derniers mois, vous avez indiqué que le revenu net de votre menage s'élevait à ${hoh_biz_income}. Est-ce exact ?</v>
      </c>
      <c r="L636" s="91" t="str">
        <f t="shared" si="471"/>
        <v>359. Idan aka yi la'akari da duk kuɗaɗen shiga da kashewa da suka shafi wannan kasuwancin a cikin watanni shida da suka gabata, kun ce yawan kuɗin da aka samu daga wannan kasuwancin na gidan ku shine ${hoh_biz_income}. Shin hakan daidai ne?</v>
      </c>
    </row>
    <row r="637">
      <c r="A637" s="126" t="s">
        <v>42</v>
      </c>
      <c r="B637" s="127" t="s">
        <v>4130</v>
      </c>
      <c r="C637" s="31" t="s">
        <v>4131</v>
      </c>
      <c r="D637" s="31" t="s">
        <v>4132</v>
      </c>
      <c r="E637" s="31" t="s">
        <v>4133</v>
      </c>
      <c r="F637" s="89">
        <v>360.0</v>
      </c>
      <c r="G637" s="91" t="str">
        <f>IFERROR(__xludf.DUMMYFUNCTION("TRIM(REGEXREPLACE(C637, ""[0-9]+[a-f]?\."", """"))"),"We have discussed work done by members of your household in agriculture, in husbandry, in a business owned by your family.")</f>
        <v>We have discussed work done by members of your household in agriculture, in husbandry, in a business owned by your family.</v>
      </c>
      <c r="H637" s="91" t="str">
        <f>IFERROR(__xludf.DUMMYFUNCTION("TRIM(REGEXREPLACE(D637, ""[0-9]+[a-f]?\."", """"))"),"Nous avons discuté du travail effectué par les membres de votre ménage dans l'agriculture, l'élevage, dans une entreprise appartenant à votre famille.")</f>
        <v>Nous avons discuté du travail effectué par les membres de votre ménage dans l'agriculture, l'élevage, dans une entreprise appartenant à votre famille.</v>
      </c>
      <c r="I637" s="91" t="str">
        <f>IFERROR(__xludf.DUMMYFUNCTION("TRIM(REGEXREPLACE(E637, ""[0-9]+[a-f]?\."", """"))"),"“Mun tattauna bisa ayyukan da ƴan gidanku suka yi a harakar noma da kiwo, kasuwancin da ƴan gidanku suka mallaka.")</f>
        <v>“Mun tattauna bisa ayyukan da ƴan gidanku suka yi a harakar noma da kiwo, kasuwancin da ƴan gidanku suka mallaka.</v>
      </c>
      <c r="J637" s="91" t="str">
        <f t="shared" si="472"/>
        <v>360. We have discussed work done by members of your household in agriculture, in husbandry, in a business owned by your family.</v>
      </c>
      <c r="K637" s="91" t="str">
        <f t="shared" ref="K637:L637" si="473">$F637&amp;". "&amp;H637</f>
        <v>360. Nous avons discuté du travail effectué par les membres de votre ménage dans l'agriculture, l'élevage, dans une entreprise appartenant à votre famille.</v>
      </c>
      <c r="L637" s="91" t="str">
        <f t="shared" si="473"/>
        <v>360. “Mun tattauna bisa ayyukan da ƴan gidanku suka yi a harakar noma da kiwo, kasuwancin da ƴan gidanku suka mallaka.</v>
      </c>
    </row>
    <row r="638" hidden="1">
      <c r="A638" s="104" t="s">
        <v>139</v>
      </c>
      <c r="B638" s="141" t="s">
        <v>4140</v>
      </c>
      <c r="C638" s="31"/>
      <c r="D638" s="31"/>
      <c r="E638" s="31"/>
      <c r="F638" s="89">
        <v>363.0</v>
      </c>
      <c r="G638" s="91" t="str">
        <f>IFERROR(__xludf.DUMMYFUNCTION("TRIM(REGEXREPLACE(C638, ""[0-9]+[a-f]?\."", """"))"),"")</f>
        <v/>
      </c>
      <c r="H638" s="91" t="str">
        <f>IFERROR(__xludf.DUMMYFUNCTION("TRIM(REGEXREPLACE(D638, ""[0-9]+[a-f]?\."", """"))"),"")</f>
        <v/>
      </c>
      <c r="I638" s="91" t="str">
        <f>IFERROR(__xludf.DUMMYFUNCTION("TRIM(REGEXREPLACE(E638, ""[0-9]+[a-f]?\."", """"))"),"")</f>
        <v/>
      </c>
      <c r="J638" s="91" t="s">
        <v>4141</v>
      </c>
      <c r="K638" s="91" t="s">
        <v>4142</v>
      </c>
      <c r="L638" s="91" t="s">
        <v>4143</v>
      </c>
    </row>
    <row r="639" hidden="1">
      <c r="A639" s="144" t="s">
        <v>648</v>
      </c>
      <c r="B639" s="145" t="s">
        <v>4145</v>
      </c>
      <c r="C639" s="31" t="s">
        <v>4147</v>
      </c>
      <c r="D639" s="31" t="s">
        <v>4148</v>
      </c>
      <c r="E639" s="31" t="s">
        <v>4150</v>
      </c>
      <c r="F639" s="89">
        <v>364.0</v>
      </c>
      <c r="G639" s="91" t="str">
        <f>IFERROR(__xludf.DUMMYFUNCTION("TRIM(REGEXREPLACE(C639, ""[0-9]+[a-f]?\."", """"))"),"Outside Activities")</f>
        <v>Outside Activities</v>
      </c>
      <c r="H639" s="91" t="str">
        <f>IFERROR(__xludf.DUMMYFUNCTION("TRIM(REGEXREPLACE(D639, ""[0-9]+[a-f]?\."", """"))"),"Activités extérieures")</f>
        <v>Activités extérieures</v>
      </c>
      <c r="I639" s="91" t="str">
        <f>IFERROR(__xludf.DUMMYFUNCTION("TRIM(REGEXREPLACE(E639, ""[0-9]+[a-f]?\."", """"))"),"Ayyukan da ba na gida ba")</f>
        <v>Ayyukan da ba na gida ba</v>
      </c>
      <c r="J639" s="91" t="s">
        <v>4151</v>
      </c>
      <c r="K639" s="91" t="s">
        <v>4152</v>
      </c>
      <c r="L639" s="91" t="s">
        <v>4153</v>
      </c>
    </row>
    <row r="640" hidden="1">
      <c r="A640" s="104" t="s">
        <v>108</v>
      </c>
      <c r="B640" s="105" t="s">
        <v>4156</v>
      </c>
      <c r="C640" s="31"/>
      <c r="D640" s="31"/>
      <c r="E640" s="31"/>
      <c r="F640" s="89">
        <v>365.0</v>
      </c>
      <c r="G640" s="91" t="str">
        <f>IFERROR(__xludf.DUMMYFUNCTION("TRIM(REGEXREPLACE(C640, ""[0-9]+[a-f]?\."", """"))"),"")</f>
        <v/>
      </c>
      <c r="H640" s="91" t="str">
        <f>IFERROR(__xludf.DUMMYFUNCTION("TRIM(REGEXREPLACE(D640, ""[0-9]+[a-f]?\."", """"))"),"")</f>
        <v/>
      </c>
      <c r="I640" s="91" t="str">
        <f>IFERROR(__xludf.DUMMYFUNCTION("TRIM(REGEXREPLACE(E640, ""[0-9]+[a-f]?\."", """"))"),"")</f>
        <v/>
      </c>
      <c r="J640" s="91" t="s">
        <v>4158</v>
      </c>
      <c r="K640" s="91" t="s">
        <v>4159</v>
      </c>
      <c r="L640" s="91" t="s">
        <v>4160</v>
      </c>
    </row>
    <row r="641" hidden="1">
      <c r="A641" s="104" t="s">
        <v>108</v>
      </c>
      <c r="B641" s="105" t="s">
        <v>4161</v>
      </c>
      <c r="C641" s="31"/>
      <c r="D641" s="31"/>
      <c r="E641" s="31"/>
      <c r="F641" s="89">
        <v>366.0</v>
      </c>
      <c r="G641" s="91" t="str">
        <f>IFERROR(__xludf.DUMMYFUNCTION("TRIM(REGEXREPLACE(C641, ""[0-9]+[a-f]?\."", """"))"),"")</f>
        <v/>
      </c>
      <c r="H641" s="91" t="str">
        <f>IFERROR(__xludf.DUMMYFUNCTION("TRIM(REGEXREPLACE(D641, ""[0-9]+[a-f]?\."", """"))"),"")</f>
        <v/>
      </c>
      <c r="I641" s="91" t="str">
        <f>IFERROR(__xludf.DUMMYFUNCTION("TRIM(REGEXREPLACE(E641, ""[0-9]+[a-f]?\."", """"))"),"")</f>
        <v/>
      </c>
      <c r="J641" s="91" t="s">
        <v>4162</v>
      </c>
      <c r="K641" s="91" t="s">
        <v>4164</v>
      </c>
      <c r="L641" s="91" t="s">
        <v>4165</v>
      </c>
    </row>
    <row r="642">
      <c r="A642" s="81" t="s">
        <v>338</v>
      </c>
      <c r="B642" s="142" t="s">
        <v>4168</v>
      </c>
      <c r="C642" s="31" t="s">
        <v>4169</v>
      </c>
      <c r="D642" s="31" t="s">
        <v>4170</v>
      </c>
      <c r="E642" s="31" t="s">
        <v>4171</v>
      </c>
      <c r="F642" s="89">
        <v>361.0</v>
      </c>
      <c r="G642" s="91" t="str">
        <f>IFERROR(__xludf.DUMMYFUNCTION("TRIM(REGEXREPLACE(C642, ""[0-9]+[a-f]?\."", """"))"),"In the past six months, did ${hoh_member_act_name} earn money from any other activity?")</f>
        <v>In the past six months, did ${hoh_member_act_name} earn money from any other activity?</v>
      </c>
      <c r="H642" s="91" t="str">
        <f>IFERROR(__xludf.DUMMYFUNCTION("TRIM(REGEXREPLACE(D642, ""[0-9]+[a-f]?\."", """"))"),"Au cours des six derniers mois, ${hoh_member_act_name} a-t-il gagné de l'argent grâce à une autre activité ?")</f>
        <v>Au cours des six derniers mois, ${hoh_member_act_name} a-t-il gagné de l'argent grâce à une autre activité ?</v>
      </c>
      <c r="I642" s="91" t="str">
        <f>IFERROR(__xludf.DUMMYFUNCTION("TRIM(REGEXREPLACE(E642, ""[0-9]+[a-f]?\."", """"))"),"A cikin watanni shida da suka gabata, ${hoh_member_act_name} ya sami kuɗi daga wani aiki daban ?")</f>
        <v>A cikin watanni shida da suka gabata, ${hoh_member_act_name} ya sami kuɗi daga wani aiki daban ?</v>
      </c>
      <c r="J642" s="91" t="str">
        <f t="shared" ref="J642:J644" si="475">F642&amp;". "&amp;G642</f>
        <v>361. In the past six months, did ${hoh_member_act_name} earn money from any other activity?</v>
      </c>
      <c r="K642" s="91" t="str">
        <f t="shared" ref="K642:L642" si="474">$F642&amp;". "&amp;H642</f>
        <v>361. Au cours des six derniers mois, ${hoh_member_act_name} a-t-il gagné de l'argent grâce à une autre activité ?</v>
      </c>
      <c r="L642" s="91" t="str">
        <f t="shared" si="474"/>
        <v>361. A cikin watanni shida da suka gabata, ${hoh_member_act_name} ya sami kuɗi daga wani aiki daban ?</v>
      </c>
    </row>
    <row r="643">
      <c r="A643" s="81" t="s">
        <v>4017</v>
      </c>
      <c r="B643" s="142" t="s">
        <v>4175</v>
      </c>
      <c r="C643" s="31" t="s">
        <v>4176</v>
      </c>
      <c r="D643" s="31" t="s">
        <v>4177</v>
      </c>
      <c r="E643" s="31" t="s">
        <v>4178</v>
      </c>
      <c r="F643" s="89">
        <v>362.0</v>
      </c>
      <c r="G643" s="91" t="str">
        <f>IFERROR(__xludf.DUMMYFUNCTION("TRIM(REGEXREPLACE(C643, ""[0-9]+[a-f]?\."", """"))"),"What was the activity?")</f>
        <v>What was the activity?</v>
      </c>
      <c r="H643" s="91" t="str">
        <f>IFERROR(__xludf.DUMMYFUNCTION("TRIM(REGEXREPLACE(D643, ""[0-9]+[a-f]?\."", """"))"),"Quelle était l'activité ?")</f>
        <v>Quelle était l'activité ?</v>
      </c>
      <c r="I643" s="91" t="str">
        <f>IFERROR(__xludf.DUMMYFUNCTION("TRIM(REGEXREPLACE(E643, ""[0-9]+[a-f]?\."", """"))"),"Menene aikin?")</f>
        <v>Menene aikin?</v>
      </c>
      <c r="J643" s="91" t="str">
        <f t="shared" si="475"/>
        <v>362. What was the activity?</v>
      </c>
      <c r="K643" s="91" t="str">
        <f t="shared" ref="K643:L643" si="476">$F643&amp;". "&amp;H643</f>
        <v>362. Quelle était l'activité ?</v>
      </c>
      <c r="L643" s="91" t="str">
        <f t="shared" si="476"/>
        <v>362. Menene aikin?</v>
      </c>
    </row>
    <row r="644">
      <c r="A644" s="133" t="s">
        <v>214</v>
      </c>
      <c r="B644" s="143" t="s">
        <v>4182</v>
      </c>
      <c r="C644" s="31" t="s">
        <v>4183</v>
      </c>
      <c r="D644" s="31" t="s">
        <v>4184</v>
      </c>
      <c r="E644" s="31" t="s">
        <v>4185</v>
      </c>
      <c r="F644" s="89">
        <v>363.0</v>
      </c>
      <c r="G644" s="91" t="str">
        <f>IFERROR(__xludf.DUMMYFUNCTION("TRIM(REGEXREPLACE(C644, ""[0-9]+[a-f]?\."", """"))"),"Specify the activity")</f>
        <v>Specify the activity</v>
      </c>
      <c r="H644" s="91" t="str">
        <f>IFERROR(__xludf.DUMMYFUNCTION("TRIM(REGEXREPLACE(D644, ""[0-9]+[a-f]?\."", """"))"),"Précisez l'activité")</f>
        <v>Précisez l'activité</v>
      </c>
      <c r="I644" s="91" t="str">
        <f>IFERROR(__xludf.DUMMYFUNCTION("TRIM(REGEXREPLACE(E644, ""[0-9]+[a-f]?\."", """"))"),"Baiyana aikin")</f>
        <v>Baiyana aikin</v>
      </c>
      <c r="J644" s="91" t="str">
        <f t="shared" si="475"/>
        <v>363. Specify the activity</v>
      </c>
      <c r="K644" s="91" t="str">
        <f t="shared" ref="K644:L644" si="477">$F644&amp;". "&amp;H644</f>
        <v>363. Précisez l'activité</v>
      </c>
      <c r="L644" s="91" t="str">
        <f t="shared" si="477"/>
        <v>363. Baiyana aikin</v>
      </c>
    </row>
    <row r="645" hidden="1">
      <c r="A645" s="104" t="s">
        <v>108</v>
      </c>
      <c r="B645" s="105" t="s">
        <v>4190</v>
      </c>
      <c r="C645" s="31"/>
      <c r="D645" s="31"/>
      <c r="E645" s="31"/>
      <c r="F645" s="89">
        <v>370.0</v>
      </c>
      <c r="G645" s="91" t="str">
        <f>IFERROR(__xludf.DUMMYFUNCTION("TRIM(REGEXREPLACE(C645, ""[0-9]+[a-f]?\."", """"))"),"")</f>
        <v/>
      </c>
      <c r="H645" s="91" t="str">
        <f>IFERROR(__xludf.DUMMYFUNCTION("TRIM(REGEXREPLACE(D645, ""[0-9]+[a-f]?\."", """"))"),"")</f>
        <v/>
      </c>
      <c r="I645" s="91" t="str">
        <f>IFERROR(__xludf.DUMMYFUNCTION("TRIM(REGEXREPLACE(E645, ""[0-9]+[a-f]?\."", """"))"),"")</f>
        <v/>
      </c>
      <c r="J645" s="91" t="s">
        <v>4194</v>
      </c>
      <c r="K645" s="91" t="s">
        <v>4195</v>
      </c>
      <c r="L645" s="91" t="s">
        <v>4196</v>
      </c>
    </row>
    <row r="646">
      <c r="A646" s="146" t="s">
        <v>237</v>
      </c>
      <c r="B646" s="147" t="s">
        <v>4197</v>
      </c>
      <c r="C646" s="31" t="s">
        <v>4198</v>
      </c>
      <c r="D646" s="31" t="s">
        <v>4200</v>
      </c>
      <c r="E646" s="31" t="s">
        <v>4202</v>
      </c>
      <c r="F646" s="89">
        <v>364.0</v>
      </c>
      <c r="G646" s="91" t="str">
        <f>IFERROR(__xludf.DUMMYFUNCTION("TRIM(REGEXREPLACE(C646,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646" s="91" t="str">
        <f>IFERROR(__xludf.DUMMYFUNCTION("TRIM(REGEXREPLACE(D646,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646" s="91" t="str">
        <f>IFERROR(__xludf.DUMMYFUNCTION("TRIM(REGEXREPLACE(E646,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646" s="91" t="str">
        <f t="shared" ref="J646:J648" si="479">F646&amp;". "&amp;G646</f>
        <v>364. How much does ${hoh_member_act_name} earn from this activity during an average week (that they are engaged in ${hoh_member_other_activity_name})?</v>
      </c>
      <c r="K646" s="91" t="str">
        <f t="shared" ref="K646:L646" si="478">$F646&amp;". "&amp;H646</f>
        <v>364. Combien ${hoh_member_act_name} gagne-t-il grâce à cette activité au cours d'une semaine en moyenne (pendant laquelle il est engagé comme ${hoh_member_other_activity_name}) ?</v>
      </c>
      <c r="L646" s="91" t="str">
        <f t="shared" si="478"/>
        <v>364. A takaice nawa ${hoh_member_act_name} yake samu daga wannan aiki a cikin sati (a lokacin da suke cikin aikin ${hoh_member_other_activity_name})?</v>
      </c>
    </row>
    <row r="647">
      <c r="A647" s="146" t="s">
        <v>237</v>
      </c>
      <c r="B647" s="147" t="s">
        <v>4204</v>
      </c>
      <c r="C647" s="31" t="s">
        <v>4205</v>
      </c>
      <c r="D647" s="31" t="s">
        <v>4206</v>
      </c>
      <c r="E647" s="31" t="s">
        <v>4208</v>
      </c>
      <c r="F647" s="89">
        <v>365.0</v>
      </c>
      <c r="G647" s="91" t="str">
        <f>IFERROR(__xludf.DUMMYFUNCTION("TRIM(REGEXREPLACE(C647, ""[0-9]+[a-f]?\."", """"))"),"Think about the past six months how many weeks did they engage in ${hoh_member_other_activity_name}?")</f>
        <v>Think about the past six months how many weeks did they engage in ${hoh_member_other_activity_name}?</v>
      </c>
      <c r="H647" s="91" t="str">
        <f>IFERROR(__xludf.DUMMYFUNCTION("TRIM(REGEXREPLACE(D647, ""[0-9]+[a-f]?\."", """"))"),"Pensez aux six derniers mois, combien de semaines ont-ils consacrées à ${hoh_member_other_activity_name} ?")</f>
        <v>Pensez aux six derniers mois, combien de semaines ont-ils consacrées à ${hoh_member_other_activity_name} ?</v>
      </c>
      <c r="I647" s="91" t="str">
        <f>IFERROR(__xludf.DUMMYFUNCTION("TRIM(REGEXREPLACE(E647, ""[0-9]+[a-f]?\."", """"))"),"Ku tuna da lokacin da ${hoh_member_other_activity_name} a watanni shida da suka gabata tsawon makonni nawa suka yi wannan aikin ?")</f>
        <v>Ku tuna da lokacin da ${hoh_member_other_activity_name} a watanni shida da suka gabata tsawon makonni nawa suka yi wannan aikin ?</v>
      </c>
      <c r="J647" s="91" t="str">
        <f t="shared" si="479"/>
        <v>365. Think about the past six months how many weeks did they engage in ${hoh_member_other_activity_name}?</v>
      </c>
      <c r="K647" s="91" t="str">
        <f t="shared" ref="K647:L647" si="480">$F647&amp;". "&amp;H647</f>
        <v>365. Pensez aux six derniers mois, combien de semaines ont-ils consacrées à ${hoh_member_other_activity_name} ?</v>
      </c>
      <c r="L647" s="91" t="str">
        <f t="shared" si="480"/>
        <v>365. Ku tuna da lokacin da ${hoh_member_other_activity_name} a watanni shida da suka gabata tsawon makonni nawa suka yi wannan aikin ?</v>
      </c>
    </row>
    <row r="648">
      <c r="A648" s="146" t="s">
        <v>237</v>
      </c>
      <c r="B648" s="147" t="s">
        <v>4214</v>
      </c>
      <c r="C648" s="31" t="s">
        <v>4215</v>
      </c>
      <c r="D648" s="31" t="s">
        <v>4216</v>
      </c>
      <c r="E648" s="31" t="s">
        <v>4217</v>
      </c>
      <c r="F648" s="89">
        <v>366.0</v>
      </c>
      <c r="G648" s="91" t="str">
        <f>IFERROR(__xludf.DUMMYFUNCTION("TRIM(REGEXREPLACE(C648,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648" s="91" t="str">
        <f>IFERROR(__xludf.DUMMYFUNCTION("TRIM(REGEXREPLACE(D648,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648" s="91" t="str">
        <f>IFERROR(__xludf.DUMMYFUNCTION("TRIM(REGEXREPLACE(E648, ""[0-9]+[a-f]?\."", """"))"),"Ko za ku iya kimanta gudunmawar kuɗi da kaya da ${hoh_member_act_name} ya kawo gidan a cikin sati guda (banda aiki)?")</f>
        <v>Ko za ku iya kimanta gudunmawar kuɗi da kaya da ${hoh_member_act_name} ya kawo gidan a cikin sati guda (banda aiki)?</v>
      </c>
      <c r="J648" s="91" t="str">
        <f t="shared" si="479"/>
        <v>366. Can you estimate how much ${hoh_member_act_name} contributes to the household common pot in a typical week (excluding labor) including both cash and in goods?</v>
      </c>
      <c r="K648" s="91" t="str">
        <f t="shared" ref="K648:L648" si="481">$F648&amp;". "&amp;H648</f>
        <v>366. Pouvez-vous estimer la contribution de ${hoh_member_act_name} au fond commun du ménage au cours d'une semaine normale (hors main-d'œuvre), y compris en espèces et en nature ?</v>
      </c>
      <c r="L648" s="91" t="str">
        <f t="shared" si="481"/>
        <v>366. Ko za ku iya kimanta gudunmawar kuɗi da kaya da ${hoh_member_act_name} ya kawo gidan a cikin sati guda (banda aiki)?</v>
      </c>
    </row>
    <row r="649" hidden="1">
      <c r="A649" s="144" t="s">
        <v>691</v>
      </c>
      <c r="B649" s="150" t="s">
        <v>4145</v>
      </c>
      <c r="C649" s="31" t="s">
        <v>4147</v>
      </c>
      <c r="D649" s="31" t="s">
        <v>4148</v>
      </c>
      <c r="E649" s="31" t="s">
        <v>4150</v>
      </c>
      <c r="F649" s="89">
        <v>381.0</v>
      </c>
      <c r="G649" s="91" t="str">
        <f>IFERROR(__xludf.DUMMYFUNCTION("TRIM(REGEXREPLACE(C649, ""[0-9]+[a-f]?\."", """"))"),"Outside Activities")</f>
        <v>Outside Activities</v>
      </c>
      <c r="H649" s="91" t="str">
        <f>IFERROR(__xludf.DUMMYFUNCTION("TRIM(REGEXREPLACE(D649, ""[0-9]+[a-f]?\."", """"))"),"Activités extérieures")</f>
        <v>Activités extérieures</v>
      </c>
      <c r="I649" s="91" t="str">
        <f>IFERROR(__xludf.DUMMYFUNCTION("TRIM(REGEXREPLACE(E649, ""[0-9]+[a-f]?\."", """"))"),"Ayyukan da ba na gida ba")</f>
        <v>Ayyukan da ba na gida ba</v>
      </c>
      <c r="J649" s="91" t="s">
        <v>4224</v>
      </c>
      <c r="K649" s="91" t="s">
        <v>4225</v>
      </c>
      <c r="L649" s="91" t="s">
        <v>4226</v>
      </c>
    </row>
    <row r="650" hidden="1">
      <c r="A650" s="104" t="s">
        <v>139</v>
      </c>
      <c r="B650" s="141" t="s">
        <v>4227</v>
      </c>
      <c r="C650" s="31"/>
      <c r="D650" s="31"/>
      <c r="E650" s="31"/>
      <c r="F650" s="89">
        <v>382.0</v>
      </c>
      <c r="G650" s="91" t="str">
        <f>IFERROR(__xludf.DUMMYFUNCTION("TRIM(REGEXREPLACE(C650, ""[0-9]+[a-f]?\."", """"))"),"")</f>
        <v/>
      </c>
      <c r="H650" s="91" t="str">
        <f>IFERROR(__xludf.DUMMYFUNCTION("TRIM(REGEXREPLACE(D650, ""[0-9]+[a-f]?\."", """"))"),"")</f>
        <v/>
      </c>
      <c r="I650" s="91" t="str">
        <f>IFERROR(__xludf.DUMMYFUNCTION("TRIM(REGEXREPLACE(E650, ""[0-9]+[a-f]?\."", """"))"),"")</f>
        <v/>
      </c>
      <c r="J650" s="91" t="s">
        <v>4229</v>
      </c>
      <c r="K650" s="91" t="s">
        <v>4230</v>
      </c>
      <c r="L650" s="91" t="s">
        <v>4231</v>
      </c>
    </row>
    <row r="651" hidden="1">
      <c r="A651" s="67" t="s">
        <v>108</v>
      </c>
      <c r="B651" s="69" t="s">
        <v>4232</v>
      </c>
      <c r="C651" s="31"/>
      <c r="D651" s="31"/>
      <c r="E651" s="31"/>
      <c r="F651" s="89">
        <v>383.0</v>
      </c>
      <c r="G651" s="91" t="str">
        <f>IFERROR(__xludf.DUMMYFUNCTION("TRIM(REGEXREPLACE(C651, ""[0-9]+[a-f]?\."", """"))"),"")</f>
        <v/>
      </c>
      <c r="H651" s="91" t="str">
        <f>IFERROR(__xludf.DUMMYFUNCTION("TRIM(REGEXREPLACE(D651, ""[0-9]+[a-f]?\."", """"))"),"")</f>
        <v/>
      </c>
      <c r="I651" s="91" t="str">
        <f>IFERROR(__xludf.DUMMYFUNCTION("TRIM(REGEXREPLACE(E651, ""[0-9]+[a-f]?\."", """"))"),"")</f>
        <v/>
      </c>
      <c r="J651" s="91" t="s">
        <v>4233</v>
      </c>
      <c r="K651" s="91" t="s">
        <v>4234</v>
      </c>
      <c r="L651" s="91" t="s">
        <v>4235</v>
      </c>
    </row>
    <row r="652" hidden="1">
      <c r="A652" s="142"/>
      <c r="B652" s="169"/>
      <c r="C652" s="31"/>
      <c r="D652" s="31"/>
      <c r="E652" s="31"/>
      <c r="F652" s="89">
        <v>384.0</v>
      </c>
      <c r="G652" s="91" t="str">
        <f>IFERROR(__xludf.DUMMYFUNCTION("TRIM(REGEXREPLACE(C652, ""[0-9]+[a-f]?\."", """"))"),"")</f>
        <v/>
      </c>
      <c r="H652" s="91" t="str">
        <f>IFERROR(__xludf.DUMMYFUNCTION("TRIM(REGEXREPLACE(D652, ""[0-9]+[a-f]?\."", """"))"),"")</f>
        <v/>
      </c>
      <c r="I652" s="91" t="str">
        <f>IFERROR(__xludf.DUMMYFUNCTION("TRIM(REGEXREPLACE(E652, ""[0-9]+[a-f]?\."", """"))"),"")</f>
        <v/>
      </c>
      <c r="J652" s="91" t="s">
        <v>4239</v>
      </c>
      <c r="K652" s="91" t="s">
        <v>4241</v>
      </c>
      <c r="L652" s="91" t="s">
        <v>4243</v>
      </c>
    </row>
    <row r="653" hidden="1">
      <c r="A653" s="122" t="s">
        <v>150</v>
      </c>
      <c r="B653" s="123" t="s">
        <v>4244</v>
      </c>
      <c r="C653" s="31" t="s">
        <v>4245</v>
      </c>
      <c r="D653" s="31"/>
      <c r="E653" s="31"/>
      <c r="F653" s="89">
        <v>212.0</v>
      </c>
      <c r="G653" s="91" t="str">
        <f>IFERROR(__xludf.DUMMYFUNCTION("TRIM(REGEXREPLACE(C653, ""[0-9]+[a-f]?\."", """"))"),"Questions about remittances")</f>
        <v>Questions about remittances</v>
      </c>
      <c r="H653" s="91" t="str">
        <f>IFERROR(__xludf.DUMMYFUNCTION("TRIM(REGEXREPLACE(D653, ""[0-9]+[a-f]?\."", """"))"),"")</f>
        <v/>
      </c>
      <c r="I653" s="91" t="str">
        <f>IFERROR(__xludf.DUMMYFUNCTION("TRIM(REGEXREPLACE(E653, ""[0-9]+[a-f]?\."", """"))"),"")</f>
        <v/>
      </c>
      <c r="J653" s="91" t="str">
        <f t="shared" ref="J653:J654" si="482">F653 &amp; ". " &amp;G653</f>
        <v>212. Questions about remittances</v>
      </c>
      <c r="K653" s="91" t="str">
        <f t="shared" ref="K653:K654" si="483">F653 &amp; ". " &amp;H653</f>
        <v>212. </v>
      </c>
      <c r="L653" s="91" t="str">
        <f t="shared" ref="L653:L654" si="484">F653 &amp; ". " &amp;I653</f>
        <v>212. </v>
      </c>
    </row>
    <row r="654" hidden="1">
      <c r="A654" s="104" t="s">
        <v>139</v>
      </c>
      <c r="B654" s="141" t="s">
        <v>4246</v>
      </c>
      <c r="C654" s="31"/>
      <c r="D654" s="31"/>
      <c r="E654" s="31"/>
      <c r="F654" s="89">
        <v>213.0</v>
      </c>
      <c r="G654" s="91" t="str">
        <f>IFERROR(__xludf.DUMMYFUNCTION("TRIM(REGEXREPLACE(C654, ""[0-9]+[a-f]?\."", """"))"),"")</f>
        <v/>
      </c>
      <c r="H654" s="91" t="str">
        <f>IFERROR(__xludf.DUMMYFUNCTION("TRIM(REGEXREPLACE(D654, ""[0-9]+[a-f]?\."", """"))"),"")</f>
        <v/>
      </c>
      <c r="I654" s="91" t="str">
        <f>IFERROR(__xludf.DUMMYFUNCTION("TRIM(REGEXREPLACE(E654, ""[0-9]+[a-f]?\."", """"))"),"")</f>
        <v/>
      </c>
      <c r="J654" s="91" t="str">
        <f t="shared" si="482"/>
        <v>213. </v>
      </c>
      <c r="K654" s="91" t="str">
        <f t="shared" si="483"/>
        <v>213. </v>
      </c>
      <c r="L654" s="91" t="str">
        <f t="shared" si="484"/>
        <v>213. </v>
      </c>
    </row>
    <row r="655">
      <c r="A655" s="81" t="s">
        <v>4250</v>
      </c>
      <c r="B655" s="131" t="s">
        <v>4251</v>
      </c>
      <c r="C655" s="91"/>
      <c r="D655" s="142" t="s">
        <v>4252</v>
      </c>
      <c r="E655" s="142" t="s">
        <v>4253</v>
      </c>
      <c r="F655" s="89">
        <v>367.0</v>
      </c>
      <c r="G655" s="91" t="str">
        <f>IFERROR(__xludf.DUMMYFUNCTION("TRIM(REGEXREPLACE(C655, ""[0-9]+[a-f]?\."", """"))"),"")</f>
        <v/>
      </c>
      <c r="H655" s="91" t="str">
        <f>IFERROR(__xludf.DUMMYFUNCTION("TRIM(REGEXREPLACE(D655, ""[0-9]+[a-f]?\."", """"))"),"Depuis la Tabaski de l'année dernière (2024), votre menage a-t-il reçu de l'argent de ${pm_name} en dehors de votre village par les moyens suivants ?")</f>
        <v>Depuis la Tabaski de l'année dernière (2024), votre menage a-t-il reçu de l'argent de ${pm_name} en dehors de votre village par les moyens suivants ?</v>
      </c>
      <c r="I655" s="91" t="str">
        <f>IFERROR(__xludf.DUMMYFUNCTION("TRIM(REGEXREPLACE(E655, ""[0-9]+[a-f]?\."", """"))"),"Tun layya ta bara (2024), ko ƴan gidanku sun karɓi kuɗi daga ${pm_name} daga wajen ƙauyenku ta hanyoyi masu zuwa?")</f>
        <v>Tun layya ta bara (2024), ko ƴan gidanku sun karɓi kuɗi daga ${pm_name} daga wajen ƙauyenku ta hanyoyi masu zuwa?</v>
      </c>
      <c r="J655" s="91" t="str">
        <f t="shared" ref="J655:J693" si="486">F655&amp;". "&amp;G655</f>
        <v>367. </v>
      </c>
      <c r="K655" s="91" t="str">
        <f t="shared" ref="K655:L655" si="485">$F655&amp;". "&amp;H655</f>
        <v>367. Depuis la Tabaski de l'année dernière (2024), votre menage a-t-il reçu de l'argent de ${pm_name} en dehors de votre village par les moyens suivants ?</v>
      </c>
      <c r="L655" s="91" t="str">
        <f t="shared" si="485"/>
        <v>367. Tun layya ta bara (2024), ko ƴan gidanku sun karɓi kuɗi daga ${pm_name} daga wajen ƙauyenku ta hanyoyi masu zuwa?</v>
      </c>
    </row>
    <row r="656">
      <c r="A656" s="149" t="s">
        <v>237</v>
      </c>
      <c r="B656" s="131" t="s">
        <v>4258</v>
      </c>
      <c r="C656" s="147" t="s">
        <v>4259</v>
      </c>
      <c r="D656" s="147" t="s">
        <v>4260</v>
      </c>
      <c r="E656" s="147" t="s">
        <v>4261</v>
      </c>
      <c r="F656" s="89">
        <v>368.0</v>
      </c>
      <c r="G656" s="91" t="str">
        <f>IFERROR(__xludf.DUMMYFUNCTION("TRIM(REGEXREPLACE(C656, ""[0-9]+[a-f]?\."", """"))"),"How much have you received from ${pm_name} (in CFA) since tabaski last year?")</f>
        <v>How much have you received from ${pm_name} (in CFA) since tabaski last year?</v>
      </c>
      <c r="H656" s="91" t="str">
        <f>IFERROR(__xludf.DUMMYFUNCTION("TRIM(REGEXREPLACE(D656, ""[0-9]+[a-f]?\."", """"))"),"Combien avez-vous reçu de ${pm_name} (en francs CFA) depuis la Tabaski de l'année dernière?")</f>
        <v>Combien avez-vous reçu de ${pm_name} (en francs CFA) depuis la Tabaski de l'année dernière?</v>
      </c>
      <c r="I656" s="91" t="str">
        <f>IFERROR(__xludf.DUMMYFUNCTION("TRIM(REGEXREPLACE(E656, ""[0-9]+[a-f]?\."", """"))"),"Nawa kuka karɓa daga ${pm_name} (a ​​kuɗin CFA) tun tabaski bara?")</f>
        <v>Nawa kuka karɓa daga ${pm_name} (a ​​kuɗin CFA) tun tabaski bara?</v>
      </c>
      <c r="J656" s="91" t="str">
        <f t="shared" si="486"/>
        <v>368. How much have you received from ${pm_name} (in CFA) since tabaski last year?</v>
      </c>
      <c r="K656" s="91" t="str">
        <f t="shared" ref="K656:L656" si="487">$F656&amp;". "&amp;H656</f>
        <v>368. Combien avez-vous reçu de ${pm_name} (en francs CFA) depuis la Tabaski de l'année dernière?</v>
      </c>
      <c r="L656" s="91" t="str">
        <f t="shared" si="487"/>
        <v>368. Nawa kuka karɓa daga ${pm_name} (a ​​kuɗin CFA) tun tabaski bara?</v>
      </c>
    </row>
    <row r="657">
      <c r="A657" s="81" t="s">
        <v>4250</v>
      </c>
      <c r="B657" s="131" t="s">
        <v>4268</v>
      </c>
      <c r="C657" s="142" t="s">
        <v>4269</v>
      </c>
      <c r="D657" s="142" t="s">
        <v>4270</v>
      </c>
      <c r="E657" s="142" t="s">
        <v>4271</v>
      </c>
      <c r="F657" s="89">
        <v>369.0</v>
      </c>
      <c r="G657" s="91" t="str">
        <f>IFERROR(__xludf.DUMMYFUNCTION("TRIM(REGEXREPLACE(C657, ""[0-9]+[a-f]?\."", """"))"),"Since Tabaski of last year (2024), has your household received money from other members (not including ${pm_name}) from locations outside your village through the following methods?")</f>
        <v>Since Tabaski of last year (2024), has your household received money from other members (not including ${pm_name}) from locations outside your village through the following methods?</v>
      </c>
      <c r="H657" s="91" t="str">
        <f>IFERROR(__xludf.DUMMYFUNCTION("TRIM(REGEXREPLACE(D657, ""[0-9]+[a-f]?\."", """"))"),"Depuis la Tabaski de l'année dernière (2024), votre menage a-t-il reçu de l'argent d'autres personnes (hors ${pm_name}) provenant de lieux extérieurs à votre village par les moyens suivants ?")</f>
        <v>Depuis la Tabaski de l'année dernière (2024), votre menage a-t-il reçu de l'argent d'autres personnes (hors ${pm_name}) provenant de lieux extérieurs à votre village par les moyens suivants ?</v>
      </c>
      <c r="I657" s="91" t="str">
        <f>IFERROR(__xludf.DUMMYFUNCTION("TRIM(REGEXREPLACE(E657, ""[0-9]+[a-f]?\."", """"))"),"Tun daga laiya na shekarar bara (2024), ƴan gidan ku sun karɓi kuɗi daga wasu mutanin (ba tare da ${pm_name} ba) daga wajen ƙauyenku ta hanyoyi masu zuwa?")</f>
        <v>Tun daga laiya na shekarar bara (2024), ƴan gidan ku sun karɓi kuɗi daga wasu mutanin (ba tare da ${pm_name} ba) daga wajen ƙauyenku ta hanyoyi masu zuwa?</v>
      </c>
      <c r="J657" s="91" t="str">
        <f t="shared" si="486"/>
        <v>369. Since Tabaski of last year (2024), has your household received money from other members (not including ${pm_name}) from locations outside your village through the following methods?</v>
      </c>
      <c r="K657" s="91" t="str">
        <f t="shared" ref="K657:L657" si="488">$F657&amp;". "&amp;H657</f>
        <v>369. Depuis la Tabaski de l'année dernière (2024), votre menage a-t-il reçu de l'argent d'autres personnes (hors ${pm_name}) provenant de lieux extérieurs à votre village par les moyens suivants ?</v>
      </c>
      <c r="L657" s="91" t="str">
        <f t="shared" si="488"/>
        <v>369. Tun daga laiya na shekarar bara (2024), ƴan gidan ku sun karɓi kuɗi daga wasu mutanin (ba tare da ${pm_name} ba) daga wajen ƙauyenku ta hanyoyi masu zuwa?</v>
      </c>
    </row>
    <row r="658">
      <c r="A658" s="149" t="s">
        <v>237</v>
      </c>
      <c r="B658" s="131" t="s">
        <v>4272</v>
      </c>
      <c r="C658" s="147" t="s">
        <v>4273</v>
      </c>
      <c r="D658" s="147" t="s">
        <v>4274</v>
      </c>
      <c r="E658" s="147" t="s">
        <v>4275</v>
      </c>
      <c r="F658" s="89">
        <v>370.0</v>
      </c>
      <c r="G658" s="91" t="str">
        <f>IFERROR(__xludf.DUMMYFUNCTION("TRIM(REGEXREPLACE(C658, ""[0-9]+[a-f]?\."", """"))"),"How much have you received from other members of the household (in CFA)?")</f>
        <v>How much have you received from other members of the household (in CFA)?</v>
      </c>
      <c r="H658" s="91" t="str">
        <f>IFERROR(__xludf.DUMMYFUNCTION("TRIM(REGEXREPLACE(D658, ""[0-9]+[a-f]?\."", """"))"),"Combien avez-vous reçu d'autres membres du menage (en francs CFA) depuis la Tabaski de l'année dernière?")</f>
        <v>Combien avez-vous reçu d'autres membres du menage (en francs CFA) depuis la Tabaski de l'année dernière?</v>
      </c>
      <c r="I658" s="91" t="str">
        <f>IFERROR(__xludf.DUMMYFUNCTION("TRIM(REGEXREPLACE(E658, ""[0-9]+[a-f]?\."", """"))"),"Nawa kuka karɓa daga sauran membobin gidan (a cikin CFA) tun tabaski bara?")</f>
        <v>Nawa kuka karɓa daga sauran membobin gidan (a cikin CFA) tun tabaski bara?</v>
      </c>
      <c r="J658" s="91" t="str">
        <f t="shared" si="486"/>
        <v>370. How much have you received from other members of the household (in CFA)?</v>
      </c>
      <c r="K658" s="91" t="str">
        <f t="shared" ref="K658:L658" si="489">$F658&amp;". "&amp;H658</f>
        <v>370. Combien avez-vous reçu d'autres membres du menage (en francs CFA) depuis la Tabaski de l'année dernière?</v>
      </c>
      <c r="L658" s="91" t="str">
        <f t="shared" si="489"/>
        <v>370. Nawa kuka karɓa daga sauran membobin gidan (a cikin CFA) tun tabaski bara?</v>
      </c>
    </row>
    <row r="659">
      <c r="A659" s="81" t="s">
        <v>485</v>
      </c>
      <c r="B659" s="142" t="s">
        <v>4282</v>
      </c>
      <c r="C659" s="31" t="s">
        <v>4284</v>
      </c>
      <c r="D659" s="31" t="s">
        <v>4285</v>
      </c>
      <c r="E659" s="31" t="s">
        <v>4286</v>
      </c>
      <c r="F659" s="89">
        <v>371.0</v>
      </c>
      <c r="G659" s="91" t="str">
        <f>IFERROR(__xludf.DUMMYFUNCTION("TRIM(REGEXREPLACE(C659, ""[0-9]+[a-f]?\."", """"))"),"In the past six months, have you or anyone in your household received money from someone who is not a member of your household and who lives elsewhere in Niger (outside your village)?")</f>
        <v>In the past six months, have you or anyone in your household received money from someone who is not a member of your household and who lives elsewhere in Niger (outside your village)?</v>
      </c>
      <c r="H659" s="91" t="str">
        <f>IFERROR(__xludf.DUMMYFUNCTION("TRIM(REGEXREPLACE(D659, ""[0-9]+[a-f]?\."", """"))"),"Au cours des six derniers mois, avez-vous, vous ou un membre de votre menage, reçu de l'argent d'une personne extérieure à votre menage et résidant ailleurs au Niger (hors de votre village) ?")</f>
        <v>Au cours des six derniers mois, avez-vous, vous ou un membre de votre menage, reçu de l'argent d'une personne extérieure à votre menage et résidant ailleurs au Niger (hors de votre village) ?</v>
      </c>
      <c r="I659" s="91" t="str">
        <f>IFERROR(__xludf.DUMMYFUNCTION("TRIM(REGEXREPLACE(E659, ""[0-9]+[a-f]?\."", """"))"),"A cikin watanni shida da suka gabata, kai ko wani a cikin gidan ku kun karɓi kuɗi daga wanda ba ɗan gidanku ba ne kuma yana zaune a wani wuri a Nijar (a wajen ƙauyenku)?")</f>
        <v>A cikin watanni shida da suka gabata, kai ko wani a cikin gidan ku kun karɓi kuɗi daga wanda ba ɗan gidanku ba ne kuma yana zaune a wani wuri a Nijar (a wajen ƙauyenku)?</v>
      </c>
      <c r="J659" s="91" t="str">
        <f t="shared" si="486"/>
        <v>371. In the past six months, have you or anyone in your household received money from someone who is not a member of your household and who lives elsewhere in Niger (outside your village)?</v>
      </c>
      <c r="K659" s="91" t="str">
        <f t="shared" ref="K659:L659" si="490">$F659&amp;". "&amp;H659</f>
        <v>371. Au cours des six derniers mois, avez-vous, vous ou un membre de votre menage, reçu de l'argent d'une personne extérieure à votre menage et résidant ailleurs au Niger (hors de votre village) ?</v>
      </c>
      <c r="L659" s="91" t="str">
        <f t="shared" si="490"/>
        <v>371. A cikin watanni shida da suka gabata, kai ko wani a cikin gidan ku kun karɓi kuɗi daga wanda ba ɗan gidanku ba ne kuma yana zaune a wani wuri a Nijar (a wajen ƙauyenku)?</v>
      </c>
    </row>
    <row r="660">
      <c r="A660" s="146" t="s">
        <v>237</v>
      </c>
      <c r="B660" s="147" t="s">
        <v>4290</v>
      </c>
      <c r="C660" s="31" t="s">
        <v>4291</v>
      </c>
      <c r="D660" s="31" t="s">
        <v>4292</v>
      </c>
      <c r="E660" s="31" t="s">
        <v>4293</v>
      </c>
      <c r="F660" s="89">
        <v>372.0</v>
      </c>
      <c r="G660" s="91" t="str">
        <f>IFERROR(__xludf.DUMMYFUNCTION("TRIM(REGEXREPLACE(C660, ""[0-9]+[a-f]?\."", """"))"),"How much in total did members of your household receive from people elsewhere in Niger (in CFA)?")</f>
        <v>How much in total did members of your household receive from people elsewhere in Niger (in CFA)?</v>
      </c>
      <c r="H660" s="91" t="str">
        <f>IFERROR(__xludf.DUMMYFUNCTION("TRIM(REGEXREPLACE(D660, ""[0-9]+[a-f]?\."", """"))"),"Combien au total les membres de votre ménage ont-ils reçu des personnes qui sont quelques part au Niger (en USD)?")</f>
        <v>Combien au total les membres de votre ménage ont-ils reçu des personnes qui sont quelques part au Niger (en USD)?</v>
      </c>
      <c r="I660" s="91" t="str">
        <f>IFERROR(__xludf.DUMMYFUNCTION("TRIM(REGEXREPLACE(E660, ""[0-9]+[a-f]?\."", """"))"),"Nawa ne ƴan gidanku suka samu daga wasu matanen da ke wani gari a Nijar (in CFA)?")</f>
        <v>Nawa ne ƴan gidanku suka samu daga wasu matanen da ke wani gari a Nijar (in CFA)?</v>
      </c>
      <c r="J660" s="91" t="str">
        <f t="shared" si="486"/>
        <v>372. How much in total did members of your household receive from people elsewhere in Niger (in CFA)?</v>
      </c>
      <c r="K660" s="91" t="str">
        <f t="shared" ref="K660:L660" si="491">$F660&amp;". "&amp;H660</f>
        <v>372. Combien au total les membres de votre ménage ont-ils reçu des personnes qui sont quelques part au Niger (en USD)?</v>
      </c>
      <c r="L660" s="91" t="str">
        <f t="shared" si="491"/>
        <v>372. Nawa ne ƴan gidanku suka samu daga wasu matanen da ke wani gari a Nijar (in CFA)?</v>
      </c>
    </row>
    <row r="661">
      <c r="A661" s="81" t="s">
        <v>4250</v>
      </c>
      <c r="B661" s="142" t="s">
        <v>4298</v>
      </c>
      <c r="C661" s="31" t="s">
        <v>4300</v>
      </c>
      <c r="D661" s="31" t="s">
        <v>4303</v>
      </c>
      <c r="E661" s="31" t="s">
        <v>4306</v>
      </c>
      <c r="F661" s="89">
        <v>373.0</v>
      </c>
      <c r="G661" s="91" t="str">
        <f>IFERROR(__xludf.DUMMYFUNCTION("TRIM(REGEXREPLACE(C661, ""[0-9]+[a-f]?\."", """"))"),"How was this money transmitted to your household?")</f>
        <v>How was this money transmitted to your household?</v>
      </c>
      <c r="H661" s="91" t="str">
        <f>IFERROR(__xludf.DUMMYFUNCTION("TRIM(REGEXREPLACE(D661, ""[0-9]+[a-f]?\."", """"))"),"Comment cet argent a-t-il été envoyé à votre ménage ?")</f>
        <v>Comment cet argent a-t-il été envoyé à votre ménage ?</v>
      </c>
      <c r="I661" s="91" t="str">
        <f>IFERROR(__xludf.DUMMYFUNCTION("TRIM(REGEXREPLACE(E661, ""[0-9]+[a-f]?\."", """"))"),"Ta wace hanya aka aikawa gidanku wannan kuɗin ?")</f>
        <v>Ta wace hanya aka aikawa gidanku wannan kuɗin ?</v>
      </c>
      <c r="J661" s="91" t="str">
        <f t="shared" si="486"/>
        <v>373. How was this money transmitted to your household?</v>
      </c>
      <c r="K661" s="91" t="str">
        <f t="shared" ref="K661:L661" si="492">$F661&amp;". "&amp;H661</f>
        <v>373. Comment cet argent a-t-il été envoyé à votre ménage ?</v>
      </c>
      <c r="L661" s="91" t="str">
        <f t="shared" si="492"/>
        <v>373. Ta wace hanya aka aikawa gidanku wannan kuɗin ?</v>
      </c>
    </row>
    <row r="662">
      <c r="A662" s="133" t="s">
        <v>214</v>
      </c>
      <c r="B662" s="143" t="s">
        <v>4307</v>
      </c>
      <c r="C662" s="31" t="s">
        <v>4308</v>
      </c>
      <c r="D662" s="31" t="s">
        <v>4309</v>
      </c>
      <c r="E662" s="31" t="s">
        <v>4310</v>
      </c>
      <c r="F662" s="89">
        <v>374.0</v>
      </c>
      <c r="G662" s="91" t="str">
        <f>IFERROR(__xludf.DUMMYFUNCTION("TRIM(REGEXREPLACE(C662, ""[0-9]+[a-f]?\."", """"))"),"Specify other transfer method")</f>
        <v>Specify other transfer method</v>
      </c>
      <c r="H662" s="91" t="str">
        <f>IFERROR(__xludf.DUMMYFUNCTION("TRIM(REGEXREPLACE(D662, ""[0-9]+[a-f]?\."", """"))"),"Précisez la méthode du transfert")</f>
        <v>Précisez la méthode du transfert</v>
      </c>
      <c r="I662" s="91" t="str">
        <f>IFERROR(__xludf.DUMMYFUNCTION("TRIM(REGEXREPLACE(E662, ""[0-9]+[a-f]?\."", """"))"),"Wani daban a Bayyana")</f>
        <v>Wani daban a Bayyana</v>
      </c>
      <c r="J662" s="91" t="str">
        <f t="shared" si="486"/>
        <v>374. Specify other transfer method</v>
      </c>
      <c r="K662" s="91" t="str">
        <f t="shared" ref="K662:L662" si="493">$F662&amp;". "&amp;H662</f>
        <v>374. Précisez la méthode du transfert</v>
      </c>
      <c r="L662" s="91" t="str">
        <f t="shared" si="493"/>
        <v>374. Wani daban a Bayyana</v>
      </c>
    </row>
    <row r="663">
      <c r="A663" s="81" t="s">
        <v>485</v>
      </c>
      <c r="B663" s="142" t="s">
        <v>4311</v>
      </c>
      <c r="C663" s="31" t="s">
        <v>4312</v>
      </c>
      <c r="D663" s="31" t="s">
        <v>4313</v>
      </c>
      <c r="E663" s="31" t="s">
        <v>4314</v>
      </c>
      <c r="F663" s="89">
        <v>375.0</v>
      </c>
      <c r="G663" s="91" t="str">
        <f>IFERROR(__xludf.DUMMYFUNCTION("TRIM(REGEXREPLACE(C663, ""[0-9]+[a-f]?\."", """"))"),"In the past six months, have you or anyone in your household received goods (payment in kind) from someone who is not a member of your household and who lives elsewhere in Niger (outside your village)?")</f>
        <v>In the past six months, have you or anyone in your household received goods (payment in kind) from someone who is not a member of your household and who lives elsewhere in Niger (outside your village)?</v>
      </c>
      <c r="H663" s="91" t="str">
        <f>IFERROR(__xludf.DUMMYFUNCTION("TRIM(REGEXREPLACE(D663, ""[0-9]+[a-f]?\."", """"))"),"Au cours des six derniers mois, avez-vous, vous ou un membre de votre foyer, reçu des biens (paiement en nature) d'une personne extérieure à votre menage et résidant ailleurs au Niger (hors de votre village) ?")</f>
        <v>Au cours des six derniers mois, avez-vous, vous ou un membre de votre foyer, reçu des biens (paiement en nature) d'une personne extérieure à votre menage et résidant ailleurs au Niger (hors de votre village) ?</v>
      </c>
      <c r="I663" s="91" t="str">
        <f>IFERROR(__xludf.DUMMYFUNCTION("TRIM(REGEXREPLACE(E663, ""[0-9]+[a-f]?\."", """"))"),"A cikin watanni shida da suka gabata, kai ko wani a cikin gidan ku kun karɓi kaya (biya daga kaya) daga wanda ba ɗan gidanku ba ne kuma yana zaune a wani wuri a Nijar (a wajen ƙauyenku)?")</f>
        <v>A cikin watanni shida da suka gabata, kai ko wani a cikin gidan ku kun karɓi kaya (biya daga kaya) daga wanda ba ɗan gidanku ba ne kuma yana zaune a wani wuri a Nijar (a wajen ƙauyenku)?</v>
      </c>
      <c r="J663" s="91" t="str">
        <f t="shared" si="486"/>
        <v>375. In the past six months, have you or anyone in your household received goods (payment in kind) from someone who is not a member of your household and who lives elsewhere in Niger (outside your village)?</v>
      </c>
      <c r="K663" s="91" t="str">
        <f t="shared" ref="K663:L663" si="494">$F663&amp;". "&amp;H663</f>
        <v>375. Au cours des six derniers mois, avez-vous, vous ou un membre de votre foyer, reçu des biens (paiement en nature) d'une personne extérieure à votre menage et résidant ailleurs au Niger (hors de votre village) ?</v>
      </c>
      <c r="L663" s="91" t="str">
        <f t="shared" si="494"/>
        <v>375. A cikin watanni shida da suka gabata, kai ko wani a cikin gidan ku kun karɓi kaya (biya daga kaya) daga wanda ba ɗan gidanku ba ne kuma yana zaune a wani wuri a Nijar (a wajen ƙauyenku)?</v>
      </c>
    </row>
    <row r="664">
      <c r="A664" s="146" t="s">
        <v>237</v>
      </c>
      <c r="B664" s="147" t="s">
        <v>4315</v>
      </c>
      <c r="C664" s="31" t="s">
        <v>4316</v>
      </c>
      <c r="D664" s="31" t="s">
        <v>4317</v>
      </c>
      <c r="E664" s="31" t="s">
        <v>4319</v>
      </c>
      <c r="F664" s="89">
        <v>376.0</v>
      </c>
      <c r="G664" s="91" t="str">
        <f>IFERROR(__xludf.DUMMYFUNCTION("TRIM(REGEXREPLACE(C664, ""[0-9]+[a-f]?\."", """"))"),"What was the value of the goods members of your household receive from people elsewhere in Niger (in CFA)?")</f>
        <v>What was the value of the goods members of your household receive from people elsewhere in Niger (in CFA)?</v>
      </c>
      <c r="H664" s="91" t="str">
        <f>IFERROR(__xludf.DUMMYFUNCTION("TRIM(REGEXREPLACE(D664, ""[0-9]+[a-f]?\."", """"))"),"Quel était la valeur au totale des biens que les membres de votre ménage ont reçu des personnes qui sont quelques part au Niger 
 (en USD)?")</f>
        <v>Quel était la valeur au totale des biens que les membres de votre ménage ont reçu des personnes qui sont quelques part au Niger 
 (en USD)?</v>
      </c>
      <c r="I664" s="91" t="str">
        <f>IFERROR(__xludf.DUMMYFUNCTION("TRIM(REGEXREPLACE(E664, ""[0-9]+[a-f]?\."", """"))"),"Nawa kimar kayayyakin da ƴan gidanku suka karba daga wasu mutane a wasu wurare a Nijar (in CFA)?")</f>
        <v>Nawa kimar kayayyakin da ƴan gidanku suka karba daga wasu mutane a wasu wurare a Nijar (in CFA)?</v>
      </c>
      <c r="J664" s="91" t="str">
        <f t="shared" si="486"/>
        <v>376. What was the value of the goods members of your household receive from people elsewhere in Niger (in CFA)?</v>
      </c>
      <c r="K664" s="91" t="str">
        <f t="shared" ref="K664:L664" si="495">$F664&amp;". "&amp;H664</f>
        <v>376. Quel était la valeur au totale des biens que les membres de votre ménage ont reçu des personnes qui sont quelques part au Niger 
 (en USD)?</v>
      </c>
      <c r="L664" s="91" t="str">
        <f t="shared" si="495"/>
        <v>376. Nawa kimar kayayyakin da ƴan gidanku suka karba daga wasu mutane a wasu wurare a Nijar (in CFA)?</v>
      </c>
    </row>
    <row r="665">
      <c r="A665" s="81" t="s">
        <v>4323</v>
      </c>
      <c r="B665" s="142" t="s">
        <v>4324</v>
      </c>
      <c r="C665" s="31" t="s">
        <v>4325</v>
      </c>
      <c r="D665" s="31" t="s">
        <v>4326</v>
      </c>
      <c r="E665" s="31" t="s">
        <v>4327</v>
      </c>
      <c r="F665" s="89">
        <v>377.0</v>
      </c>
      <c r="G665" s="91" t="str">
        <f>IFERROR(__xludf.DUMMYFUNCTION("TRIM(REGEXREPLACE(C665, ""[0-9]+[a-f]?\."", """"))"),"How were these goods transmitted to your household?")</f>
        <v>How were these goods transmitted to your household?</v>
      </c>
      <c r="H665" s="91" t="str">
        <f>IFERROR(__xludf.DUMMYFUNCTION("TRIM(REGEXREPLACE(D665, ""[0-9]+[a-f]?\."", """"))"),"Comment ces biens ont-ils été envoyé à votre ménage ?")</f>
        <v>Comment ces biens ont-ils été envoyé à votre ménage ?</v>
      </c>
      <c r="I665" s="91" t="str">
        <f>IFERROR(__xludf.DUMMYFUNCTION("TRIM(REGEXREPLACE(E665, ""[0-9]+[a-f]?\."", """"))"),"Ta yaya aka aika waɗannan kayayyakin zuwa gidanku?")</f>
        <v>Ta yaya aka aika waɗannan kayayyakin zuwa gidanku?</v>
      </c>
      <c r="J665" s="91" t="str">
        <f t="shared" si="486"/>
        <v>377. How were these goods transmitted to your household?</v>
      </c>
      <c r="K665" s="91" t="str">
        <f t="shared" ref="K665:L665" si="496">$F665&amp;". "&amp;H665</f>
        <v>377. Comment ces biens ont-ils été envoyé à votre ménage ?</v>
      </c>
      <c r="L665" s="91" t="str">
        <f t="shared" si="496"/>
        <v>377. Ta yaya aka aika waɗannan kayayyakin zuwa gidanku?</v>
      </c>
    </row>
    <row r="666">
      <c r="A666" s="133" t="s">
        <v>214</v>
      </c>
      <c r="B666" s="143" t="s">
        <v>4331</v>
      </c>
      <c r="C666" s="31" t="s">
        <v>4332</v>
      </c>
      <c r="D666" s="31" t="s">
        <v>4333</v>
      </c>
      <c r="E666" s="31" t="s">
        <v>4334</v>
      </c>
      <c r="F666" s="89">
        <v>378.0</v>
      </c>
      <c r="G666" s="91" t="str">
        <f>IFERROR(__xludf.DUMMYFUNCTION("TRIM(REGEXREPLACE(C666, ""[0-9]+[a-f]?\."", """"))"),"Specify other transfer method")</f>
        <v>Specify other transfer method</v>
      </c>
      <c r="H666" s="91" t="str">
        <f>IFERROR(__xludf.DUMMYFUNCTION("TRIM(REGEXREPLACE(D666, ""[0-9]+[a-f]?\."", """"))"),"Précisez la méthode du transfert")</f>
        <v>Précisez la méthode du transfert</v>
      </c>
      <c r="I666" s="91" t="str">
        <f>IFERROR(__xludf.DUMMYFUNCTION("TRIM(REGEXREPLACE(E666, ""[0-9]+[a-f]?\."", """"))"),"Wani daban a Bayyana")</f>
        <v>Wani daban a Bayyana</v>
      </c>
      <c r="J666" s="91" t="str">
        <f t="shared" si="486"/>
        <v>378. Specify other transfer method</v>
      </c>
      <c r="K666" s="91" t="str">
        <f t="shared" ref="K666:L666" si="497">$F666&amp;". "&amp;H666</f>
        <v>378. Précisez la méthode du transfert</v>
      </c>
      <c r="L666" s="91" t="str">
        <f t="shared" si="497"/>
        <v>378. Wani daban a Bayyana</v>
      </c>
    </row>
    <row r="667">
      <c r="A667" s="81" t="s">
        <v>485</v>
      </c>
      <c r="B667" s="142" t="s">
        <v>4335</v>
      </c>
      <c r="C667" s="31" t="s">
        <v>4336</v>
      </c>
      <c r="D667" s="31" t="s">
        <v>4338</v>
      </c>
      <c r="E667" s="31" t="s">
        <v>4339</v>
      </c>
      <c r="F667" s="89">
        <v>379.0</v>
      </c>
      <c r="G667" s="91" t="str">
        <f>IFERROR(__xludf.DUMMYFUNCTION("TRIM(REGEXREPLACE(C667, ""[0-9]+[a-f]?\."", """"))"),"In the past six months, have you or anyone in your household received money from someone who is not a member of your household and who lives in a foreign country (outside of Niger)?")</f>
        <v>In the past six months, have you or anyone in your household received money from someone who is not a member of your household and who lives in a foreign country (outside of Niger)?</v>
      </c>
      <c r="H667" s="91" t="str">
        <f>IFERROR(__xludf.DUMMYFUNCTION("TRIM(REGEXREPLACE(D667, ""[0-9]+[a-f]?\."", """"))"),"Au cours des six derniers mois, avez-vous, ou un membre de votre menage, reçu de l'argent d'une personne extérieure à votre menage et résidant à l'étranger (hors du Niger) ?")</f>
        <v>Au cours des six derniers mois, avez-vous, ou un membre de votre menage, reçu de l'argent d'une personne extérieure à votre menage et résidant à l'étranger (hors du Niger) ?</v>
      </c>
      <c r="I667" s="91" t="str">
        <f>IFERROR(__xludf.DUMMYFUNCTION("TRIM(REGEXREPLACE(E667, ""[0-9]+[a-f]?\."", """"))"),"A cikin watanni shida da suka gabata, kai ko wani a cikin gidanku ya sami kuɗi daga wani wanda ba dan gidan ku ba kuma yana zaune a wata ƙasa (wajen Nijar)?")</f>
        <v>A cikin watanni shida da suka gabata, kai ko wani a cikin gidanku ya sami kuɗi daga wani wanda ba dan gidan ku ba kuma yana zaune a wata ƙasa (wajen Nijar)?</v>
      </c>
      <c r="J667" s="91" t="str">
        <f t="shared" si="486"/>
        <v>379. In the past six months, have you or anyone in your household received money from someone who is not a member of your household and who lives in a foreign country (outside of Niger)?</v>
      </c>
      <c r="K667" s="91" t="str">
        <f t="shared" ref="K667:L667" si="498">$F667&amp;". "&amp;H667</f>
        <v>379. Au cours des six derniers mois, avez-vous, ou un membre de votre menage, reçu de l'argent d'une personne extérieure à votre menage et résidant à l'étranger (hors du Niger) ?</v>
      </c>
      <c r="L667" s="91" t="str">
        <f t="shared" si="498"/>
        <v>379. A cikin watanni shida da suka gabata, kai ko wani a cikin gidanku ya sami kuɗi daga wani wanda ba dan gidan ku ba kuma yana zaune a wata ƙasa (wajen Nijar)?</v>
      </c>
    </row>
    <row r="668">
      <c r="A668" s="146" t="s">
        <v>237</v>
      </c>
      <c r="B668" s="147" t="s">
        <v>4342</v>
      </c>
      <c r="C668" s="31" t="s">
        <v>4343</v>
      </c>
      <c r="D668" s="31" t="s">
        <v>4344</v>
      </c>
      <c r="E668" s="31" t="s">
        <v>4346</v>
      </c>
      <c r="F668" s="89">
        <v>380.0</v>
      </c>
      <c r="G668" s="91" t="str">
        <f>IFERROR(__xludf.DUMMYFUNCTION("TRIM(REGEXREPLACE(C668, ""[0-9]+[a-f]?\."", """"))"),"How much in total did members of your household receive from people out of Niger?")</f>
        <v>How much in total did members of your household receive from people out of Niger?</v>
      </c>
      <c r="H668" s="91" t="str">
        <f>IFERROR(__xludf.DUMMYFUNCTION("TRIM(REGEXREPLACE(D668, ""[0-9]+[a-f]?\."", """"))"),"Combien au total les membres de votre ménage ont-ils reçu des personnes qui ne sont pas au Niger ?")</f>
        <v>Combien au total les membres de votre ménage ont-ils reçu des personnes qui ne sont pas au Niger ?</v>
      </c>
      <c r="I668" s="91" t="str">
        <f>IFERROR(__xludf.DUMMYFUNCTION("TRIM(REGEXREPLACE(E668, ""[0-9]+[a-f]?\."", """"))"),"Nawa ne yan gidanku ya samu daga mutanen da ke zaune a ƙasar waje ba Nijar ba?")</f>
        <v>Nawa ne yan gidanku ya samu daga mutanen da ke zaune a ƙasar waje ba Nijar ba?</v>
      </c>
      <c r="J668" s="91" t="str">
        <f t="shared" si="486"/>
        <v>380. How much in total did members of your household receive from people out of Niger?</v>
      </c>
      <c r="K668" s="91" t="str">
        <f t="shared" ref="K668:L668" si="499">$F668&amp;". "&amp;H668</f>
        <v>380. Combien au total les membres de votre ménage ont-ils reçu des personnes qui ne sont pas au Niger ?</v>
      </c>
      <c r="L668" s="91" t="str">
        <f t="shared" si="499"/>
        <v>380. Nawa ne yan gidanku ya samu daga mutanen da ke zaune a ƙasar waje ba Nijar ba?</v>
      </c>
    </row>
    <row r="669">
      <c r="A669" s="81" t="s">
        <v>4250</v>
      </c>
      <c r="B669" s="142" t="s">
        <v>4352</v>
      </c>
      <c r="C669" s="31" t="s">
        <v>4353</v>
      </c>
      <c r="D669" s="31" t="s">
        <v>4354</v>
      </c>
      <c r="E669" s="31" t="s">
        <v>4355</v>
      </c>
      <c r="F669" s="89">
        <v>381.0</v>
      </c>
      <c r="G669" s="91" t="str">
        <f>IFERROR(__xludf.DUMMYFUNCTION("TRIM(REGEXREPLACE(C669, ""[0-9]+[a-f]?\."", """"))"),"How was this money transmitted to your household?")</f>
        <v>How was this money transmitted to your household?</v>
      </c>
      <c r="H669" s="91" t="str">
        <f>IFERROR(__xludf.DUMMYFUNCTION("TRIM(REGEXREPLACE(D669, ""[0-9]+[a-f]?\."", """"))"),"Comment cet argent a-t-il été envoyé à votre ménage ?")</f>
        <v>Comment cet argent a-t-il été envoyé à votre ménage ?</v>
      </c>
      <c r="I669" s="91" t="str">
        <f>IFERROR(__xludf.DUMMYFUNCTION("TRIM(REGEXREPLACE(E669, ""[0-9]+[a-f]?\."", """"))"),"Ta wace hanya aka aikawa gidanku wannan kuɗin ?")</f>
        <v>Ta wace hanya aka aikawa gidanku wannan kuɗin ?</v>
      </c>
      <c r="J669" s="91" t="str">
        <f t="shared" si="486"/>
        <v>381. How was this money transmitted to your household?</v>
      </c>
      <c r="K669" s="91" t="str">
        <f t="shared" ref="K669:L669" si="500">$F669&amp;". "&amp;H669</f>
        <v>381. Comment cet argent a-t-il été envoyé à votre ménage ?</v>
      </c>
      <c r="L669" s="91" t="str">
        <f t="shared" si="500"/>
        <v>381. Ta wace hanya aka aikawa gidanku wannan kuɗin ?</v>
      </c>
    </row>
    <row r="670">
      <c r="A670" s="133" t="s">
        <v>214</v>
      </c>
      <c r="B670" s="143" t="s">
        <v>4359</v>
      </c>
      <c r="C670" s="31" t="s">
        <v>4360</v>
      </c>
      <c r="D670" s="31" t="s">
        <v>4361</v>
      </c>
      <c r="E670" s="31" t="s">
        <v>4362</v>
      </c>
      <c r="F670" s="89">
        <v>382.0</v>
      </c>
      <c r="G670" s="91" t="str">
        <f>IFERROR(__xludf.DUMMYFUNCTION("TRIM(REGEXREPLACE(C670, ""[0-9]+[a-f]?\."", """"))"),"Specify other transfer method")</f>
        <v>Specify other transfer method</v>
      </c>
      <c r="H670" s="91" t="str">
        <f>IFERROR(__xludf.DUMMYFUNCTION("TRIM(REGEXREPLACE(D670, ""[0-9]+[a-f]?\."", """"))"),"Précisez la méthode du transfert")</f>
        <v>Précisez la méthode du transfert</v>
      </c>
      <c r="I670" s="91" t="str">
        <f>IFERROR(__xludf.DUMMYFUNCTION("TRIM(REGEXREPLACE(E670, ""[0-9]+[a-f]?\."", """"))"),"Wani daban a Bayyana")</f>
        <v>Wani daban a Bayyana</v>
      </c>
      <c r="J670" s="91" t="str">
        <f t="shared" si="486"/>
        <v>382. Specify other transfer method</v>
      </c>
      <c r="K670" s="91" t="str">
        <f t="shared" ref="K670:L670" si="501">$F670&amp;". "&amp;H670</f>
        <v>382. Précisez la méthode du transfert</v>
      </c>
      <c r="L670" s="91" t="str">
        <f t="shared" si="501"/>
        <v>382. Wani daban a Bayyana</v>
      </c>
    </row>
    <row r="671">
      <c r="A671" s="81" t="s">
        <v>485</v>
      </c>
      <c r="B671" s="142" t="s">
        <v>4366</v>
      </c>
      <c r="C671" s="31" t="s">
        <v>4367</v>
      </c>
      <c r="D671" s="31" t="s">
        <v>4368</v>
      </c>
      <c r="E671" s="31" t="s">
        <v>4369</v>
      </c>
      <c r="F671" s="89">
        <v>383.0</v>
      </c>
      <c r="G671" s="91" t="str">
        <f>IFERROR(__xludf.DUMMYFUNCTION("TRIM(REGEXREPLACE(C671, ""[0-9]+[a-f]?\."", """"))"),"In the past six months, have you or anyone in your household received goods (payment in kind) from someone who is not a member of your household and who lives in a foreign country (outside of Niger)?")</f>
        <v>In the past six months, have you or anyone in your household received goods (payment in kind) from someone who is not a member of your household and who lives in a foreign country (outside of Niger)?</v>
      </c>
      <c r="H671" s="91" t="str">
        <f>IFERROR(__xludf.DUMMYFUNCTION("TRIM(REGEXREPLACE(D671, ""[0-9]+[a-f]?\."", """"))"),"Au cours des six derniers mois, avez-vous, vous ou un membre de votre menage, reçu des biens (paiement en nature) d'une personne extérieure à votre menage et résidant à l'étranger (hors du Niger) ?")</f>
        <v>Au cours des six derniers mois, avez-vous, vous ou un membre de votre menage, reçu des biens (paiement en nature) d'une personne extérieure à votre menage et résidant à l'étranger (hors du Niger) ?</v>
      </c>
      <c r="I671" s="91" t="str">
        <f>IFERROR(__xludf.DUMMYFUNCTION("TRIM(REGEXREPLACE(E671, ""[0-9]+[a-f]?\."", """"))"),"A cikin watanni shida da suka gabata, kai ko wani a cikin gidanku ya sami kaya (biyan daga kaya ) daga wanda ba ɗan gidanku ba ne kuma yana zaune a wata ƙasa (wajen Nijar)?")</f>
        <v>A cikin watanni shida da suka gabata, kai ko wani a cikin gidanku ya sami kaya (biyan daga kaya ) daga wanda ba ɗan gidanku ba ne kuma yana zaune a wata ƙasa (wajen Nijar)?</v>
      </c>
      <c r="J671" s="91" t="str">
        <f t="shared" si="486"/>
        <v>383. In the past six months, have you or anyone in your household received goods (payment in kind) from someone who is not a member of your household and who lives in a foreign country (outside of Niger)?</v>
      </c>
      <c r="K671" s="91" t="str">
        <f t="shared" ref="K671:L671" si="502">$F671&amp;". "&amp;H671</f>
        <v>383. Au cours des six derniers mois, avez-vous, vous ou un membre de votre menage, reçu des biens (paiement en nature) d'une personne extérieure à votre menage et résidant à l'étranger (hors du Niger) ?</v>
      </c>
      <c r="L671" s="91" t="str">
        <f t="shared" si="502"/>
        <v>383. A cikin watanni shida da suka gabata, kai ko wani a cikin gidanku ya sami kaya (biyan daga kaya ) daga wanda ba ɗan gidanku ba ne kuma yana zaune a wata ƙasa (wajen Nijar)?</v>
      </c>
    </row>
    <row r="672">
      <c r="A672" s="146" t="s">
        <v>237</v>
      </c>
      <c r="B672" s="147" t="s">
        <v>4373</v>
      </c>
      <c r="C672" s="31" t="s">
        <v>4375</v>
      </c>
      <c r="D672" s="31" t="s">
        <v>4377</v>
      </c>
      <c r="E672" s="31" t="s">
        <v>4379</v>
      </c>
      <c r="F672" s="89">
        <v>384.0</v>
      </c>
      <c r="G672" s="91" t="str">
        <f>IFERROR(__xludf.DUMMYFUNCTION("TRIM(REGEXREPLACE(C672, ""[0-9]+[a-f]?\."", """"))"),"What was the value of the goods members of your household receive from people out of Niger?")</f>
        <v>What was the value of the goods members of your household receive from people out of Niger?</v>
      </c>
      <c r="H672" s="91" t="str">
        <f>IFERROR(__xludf.DUMMYFUNCTION("TRIM(REGEXREPLACE(D672, ""[0-9]+[a-f]?\."", """"))"),"Quel était la valeur au totale des biens que les membres de votre ménage ont reçu des personnes qui ne sont pas au Niger ?")</f>
        <v>Quel était la valeur au totale des biens que les membres de votre ménage ont reçu des personnes qui ne sont pas au Niger ?</v>
      </c>
      <c r="I672" s="91" t="str">
        <f>IFERROR(__xludf.DUMMYFUNCTION("TRIM(REGEXREPLACE(E672, ""[0-9]+[a-f]?\."", """"))"),"Nawa kimar kayan da ƴan gidanku suka samo daga mutanen da ke zaune a ƙasar waje ba Nijar ba?")</f>
        <v>Nawa kimar kayan da ƴan gidanku suka samo daga mutanen da ke zaune a ƙasar waje ba Nijar ba?</v>
      </c>
      <c r="J672" s="91" t="str">
        <f t="shared" si="486"/>
        <v>384. What was the value of the goods members of your household receive from people out of Niger?</v>
      </c>
      <c r="K672" s="91" t="str">
        <f t="shared" ref="K672:L672" si="503">$F672&amp;". "&amp;H672</f>
        <v>384. Quel était la valeur au totale des biens que les membres de votre ménage ont reçu des personnes qui ne sont pas au Niger ?</v>
      </c>
      <c r="L672" s="91" t="str">
        <f t="shared" si="503"/>
        <v>384. Nawa kimar kayan da ƴan gidanku suka samo daga mutanen da ke zaune a ƙasar waje ba Nijar ba?</v>
      </c>
    </row>
    <row r="673">
      <c r="A673" s="81" t="s">
        <v>4323</v>
      </c>
      <c r="B673" s="142" t="s">
        <v>4385</v>
      </c>
      <c r="C673" s="31" t="s">
        <v>4386</v>
      </c>
      <c r="D673" s="31" t="s">
        <v>4388</v>
      </c>
      <c r="E673" s="31" t="s">
        <v>4389</v>
      </c>
      <c r="F673" s="89">
        <v>385.0</v>
      </c>
      <c r="G673" s="91" t="str">
        <f>IFERROR(__xludf.DUMMYFUNCTION("TRIM(REGEXREPLACE(C673, ""[0-9]+[a-f]?\."", """"))"),"How were these goods transmitted to your household?")</f>
        <v>How were these goods transmitted to your household?</v>
      </c>
      <c r="H673" s="91" t="str">
        <f>IFERROR(__xludf.DUMMYFUNCTION("TRIM(REGEXREPLACE(D673, ""[0-9]+[a-f]?\."", """"))"),"Comment ces biens ont-ils été envoyé à votre ménage ?")</f>
        <v>Comment ces biens ont-ils été envoyé à votre ménage ?</v>
      </c>
      <c r="I673" s="91" t="str">
        <f>IFERROR(__xludf.DUMMYFUNCTION("TRIM(REGEXREPLACE(E673, ""[0-9]+[a-f]?\."", """"))"),"Ta yaya aka aika waɗannan kayan zuwa gidanku?")</f>
        <v>Ta yaya aka aika waɗannan kayan zuwa gidanku?</v>
      </c>
      <c r="J673" s="91" t="str">
        <f t="shared" si="486"/>
        <v>385. How were these goods transmitted to your household?</v>
      </c>
      <c r="K673" s="91" t="str">
        <f t="shared" ref="K673:L673" si="504">$F673&amp;". "&amp;H673</f>
        <v>385. Comment ces biens ont-ils été envoyé à votre ménage ?</v>
      </c>
      <c r="L673" s="91" t="str">
        <f t="shared" si="504"/>
        <v>385. Ta yaya aka aika waɗannan kayan zuwa gidanku?</v>
      </c>
    </row>
    <row r="674">
      <c r="A674" s="133" t="s">
        <v>214</v>
      </c>
      <c r="B674" s="143" t="s">
        <v>4390</v>
      </c>
      <c r="C674" s="31" t="s">
        <v>4392</v>
      </c>
      <c r="D674" s="31" t="s">
        <v>4393</v>
      </c>
      <c r="E674" s="31" t="s">
        <v>4394</v>
      </c>
      <c r="F674" s="89">
        <v>386.0</v>
      </c>
      <c r="G674" s="91" t="str">
        <f>IFERROR(__xludf.DUMMYFUNCTION("TRIM(REGEXREPLACE(C674, ""[0-9]+[a-f]?\."", """"))"),"Specify other transfer method")</f>
        <v>Specify other transfer method</v>
      </c>
      <c r="H674" s="91" t="str">
        <f>IFERROR(__xludf.DUMMYFUNCTION("TRIM(REGEXREPLACE(D674, ""[0-9]+[a-f]?\."", """"))"),"Précisez la méthode du transfert")</f>
        <v>Précisez la méthode du transfert</v>
      </c>
      <c r="I674" s="91" t="str">
        <f>IFERROR(__xludf.DUMMYFUNCTION("TRIM(REGEXREPLACE(E674, ""[0-9]+[a-f]?\."", """"))"),"Wani daban a Bayyana")</f>
        <v>Wani daban a Bayyana</v>
      </c>
      <c r="J674" s="91" t="str">
        <f t="shared" si="486"/>
        <v>386. Specify other transfer method</v>
      </c>
      <c r="K674" s="91" t="str">
        <f t="shared" ref="K674:L674" si="505">$F674&amp;". "&amp;H674</f>
        <v>386. Précisez la méthode du transfert</v>
      </c>
      <c r="L674" s="91" t="str">
        <f t="shared" si="505"/>
        <v>386. Wani daban a Bayyana</v>
      </c>
    </row>
    <row r="675">
      <c r="A675" s="81" t="s">
        <v>485</v>
      </c>
      <c r="B675" s="142" t="s">
        <v>4398</v>
      </c>
      <c r="C675" s="31" t="s">
        <v>4399</v>
      </c>
      <c r="D675" s="31" t="s">
        <v>4400</v>
      </c>
      <c r="E675" s="31" t="s">
        <v>4401</v>
      </c>
      <c r="F675" s="89">
        <v>387.0</v>
      </c>
      <c r="G675" s="91" t="str">
        <f>IFERROR(__xludf.DUMMYFUNCTION("TRIM(REGEXREPLACE(C675, ""[0-9]+[a-f]?\."", """"))"),"In the past six months, have you or anyone in your household shared or sent money to someone who is not a member of your household and who lives elsewhere in Niger (outside your village)?")</f>
        <v>In the past six months, have you or anyone in your household shared or sent money to someone who is not a member of your household and who lives elsewhere in Niger (outside your village)?</v>
      </c>
      <c r="H675" s="91" t="str">
        <f>IFERROR(__xludf.DUMMYFUNCTION("TRIM(REGEXREPLACE(D675, ""[0-9]+[a-f]?\."", """"))"),"Au cours des six derniers mois, avez-vous, vous ou un membre de votre menage, partagé ou envoyé de l'argent à une personne extérieure à votre menage et résidant ailleurs à l'intérieur du Niger (hors de votre village) ?")</f>
        <v>Au cours des six derniers mois, avez-vous, vous ou un membre de votre menage, partagé ou envoyé de l'argent à une personne extérieure à votre menage et résidant ailleurs à l'intérieur du Niger (hors de votre village) ?</v>
      </c>
      <c r="I675" s="91" t="str">
        <f>IFERROR(__xludf.DUMMYFUNCTION("TRIM(REGEXREPLACE(E675, ""[0-9]+[a-f]?\."", """"))"),"A cikin watanni shida da suka gabata, kai ko wani a cikin gidanku kun aika kudi ga wanda ba an gidanku ba kuma yana zaune a wani wuri a Nijar (a wajen kauyenku)?")</f>
        <v>A cikin watanni shida da suka gabata, kai ko wani a cikin gidanku kun aika kudi ga wanda ba an gidanku ba kuma yana zaune a wani wuri a Nijar (a wajen kauyenku)?</v>
      </c>
      <c r="J675" s="91" t="str">
        <f t="shared" si="486"/>
        <v>387. In the past six months, have you or anyone in your household shared or sent money to someone who is not a member of your household and who lives elsewhere in Niger (outside your village)?</v>
      </c>
      <c r="K675" s="91" t="str">
        <f t="shared" ref="K675:L675" si="506">$F675&amp;". "&amp;H675</f>
        <v>387. Au cours des six derniers mois, avez-vous, vous ou un membre de votre menage, partagé ou envoyé de l'argent à une personne extérieure à votre menage et résidant ailleurs à l'intérieur du Niger (hors de votre village) ?</v>
      </c>
      <c r="L675" s="91" t="str">
        <f t="shared" si="506"/>
        <v>387. A cikin watanni shida da suka gabata, kai ko wani a cikin gidanku kun aika kudi ga wanda ba an gidanku ba kuma yana zaune a wani wuri a Nijar (a wajen kauyenku)?</v>
      </c>
    </row>
    <row r="676">
      <c r="A676" s="146" t="s">
        <v>237</v>
      </c>
      <c r="B676" s="147" t="s">
        <v>4405</v>
      </c>
      <c r="C676" s="31" t="s">
        <v>4406</v>
      </c>
      <c r="D676" s="31" t="s">
        <v>4407</v>
      </c>
      <c r="E676" s="31" t="s">
        <v>4408</v>
      </c>
      <c r="F676" s="89">
        <v>388.0</v>
      </c>
      <c r="G676" s="91" t="str">
        <f>IFERROR(__xludf.DUMMYFUNCTION("TRIM(REGEXREPLACE(C676, ""[0-9]+[a-f]?\."", """"))"),"How much did your household send to people elsewhere in Niger?")</f>
        <v>How much did your household send to people elsewhere in Niger?</v>
      </c>
      <c r="H676" s="91" t="str">
        <f>IFERROR(__xludf.DUMMYFUNCTION("TRIM(REGEXREPLACE(D676, ""[0-9]+[a-f]?\."", """"))"),"Combien votre ménage a-t-il envoyé à des personnes qui sont quelque part au Niger ?")</f>
        <v>Combien votre ménage a-t-il envoyé à des personnes qui sont quelque part au Niger ?</v>
      </c>
      <c r="I676" s="91" t="str">
        <f>IFERROR(__xludf.DUMMYFUNCTION("TRIM(REGEXREPLACE(E676, ""[0-9]+[a-f]?\."", """"))"),"Nawa ne gidanku ya aikawa mutanen da ke wasu wurare a Nijar?")</f>
        <v>Nawa ne gidanku ya aikawa mutanen da ke wasu wurare a Nijar?</v>
      </c>
      <c r="J676" s="91" t="str">
        <f t="shared" si="486"/>
        <v>388. How much did your household send to people elsewhere in Niger?</v>
      </c>
      <c r="K676" s="91" t="str">
        <f t="shared" ref="K676:L676" si="507">$F676&amp;". "&amp;H676</f>
        <v>388. Combien votre ménage a-t-il envoyé à des personnes qui sont quelque part au Niger ?</v>
      </c>
      <c r="L676" s="91" t="str">
        <f t="shared" si="507"/>
        <v>388. Nawa ne gidanku ya aikawa mutanen da ke wasu wurare a Nijar?</v>
      </c>
    </row>
    <row r="677">
      <c r="A677" s="81" t="s">
        <v>4250</v>
      </c>
      <c r="B677" s="142" t="s">
        <v>4412</v>
      </c>
      <c r="C677" s="31" t="s">
        <v>4413</v>
      </c>
      <c r="D677" s="31" t="s">
        <v>4414</v>
      </c>
      <c r="E677" s="31" t="s">
        <v>4415</v>
      </c>
      <c r="F677" s="89">
        <v>389.0</v>
      </c>
      <c r="G677" s="91" t="str">
        <f>IFERROR(__xludf.DUMMYFUNCTION("TRIM(REGEXREPLACE(C677, ""[0-9]+[a-f]?\."", """"))"),"How did you transmit the money to the recipient?")</f>
        <v>How did you transmit the money to the recipient?</v>
      </c>
      <c r="H677" s="91" t="str">
        <f>IFERROR(__xludf.DUMMYFUNCTION("TRIM(REGEXREPLACE(D677, ""[0-9]+[a-f]?\."", """"))"),"Comment avez-vous envoyé l'argent au destinataire ?")</f>
        <v>Comment avez-vous envoyé l'argent au destinataire ?</v>
      </c>
      <c r="I677" s="91" t="str">
        <f>IFERROR(__xludf.DUMMYFUNCTION("TRIM(REGEXREPLACE(E677, ""[0-9]+[a-f]?\."", """"))"),"Ta wace hanya kuka aika kuɗin ga mai karɓa?")</f>
        <v>Ta wace hanya kuka aika kuɗin ga mai karɓa?</v>
      </c>
      <c r="J677" s="91" t="str">
        <f t="shared" si="486"/>
        <v>389. How did you transmit the money to the recipient?</v>
      </c>
      <c r="K677" s="91" t="str">
        <f t="shared" ref="K677:L677" si="508">$F677&amp;". "&amp;H677</f>
        <v>389. Comment avez-vous envoyé l'argent au destinataire ?</v>
      </c>
      <c r="L677" s="91" t="str">
        <f t="shared" si="508"/>
        <v>389. Ta wace hanya kuka aika kuɗin ga mai karɓa?</v>
      </c>
    </row>
    <row r="678">
      <c r="A678" s="133" t="s">
        <v>214</v>
      </c>
      <c r="B678" s="143" t="s">
        <v>4416</v>
      </c>
      <c r="C678" s="31" t="s">
        <v>4417</v>
      </c>
      <c r="D678" s="31" t="s">
        <v>4418</v>
      </c>
      <c r="E678" s="31" t="s">
        <v>4419</v>
      </c>
      <c r="F678" s="89">
        <v>390.0</v>
      </c>
      <c r="G678" s="91" t="str">
        <f>IFERROR(__xludf.DUMMYFUNCTION("TRIM(REGEXREPLACE(C678, ""[0-9]+[a-f]?\."", """"))"),"Specify other transfer method")</f>
        <v>Specify other transfer method</v>
      </c>
      <c r="H678" s="91" t="str">
        <f>IFERROR(__xludf.DUMMYFUNCTION("TRIM(REGEXREPLACE(D678, ""[0-9]+[a-f]?\."", """"))"),"Précisez la méthode du transfert")</f>
        <v>Précisez la méthode du transfert</v>
      </c>
      <c r="I678" s="91" t="str">
        <f>IFERROR(__xludf.DUMMYFUNCTION("TRIM(REGEXREPLACE(E678, ""[0-9]+[a-f]?\."", """"))"),"Wani daban a Bayyana")</f>
        <v>Wani daban a Bayyana</v>
      </c>
      <c r="J678" s="91" t="str">
        <f t="shared" si="486"/>
        <v>390. Specify other transfer method</v>
      </c>
      <c r="K678" s="91" t="str">
        <f t="shared" ref="K678:L678" si="509">$F678&amp;". "&amp;H678</f>
        <v>390. Précisez la méthode du transfert</v>
      </c>
      <c r="L678" s="91" t="str">
        <f t="shared" si="509"/>
        <v>390. Wani daban a Bayyana</v>
      </c>
    </row>
    <row r="679">
      <c r="A679" s="81" t="s">
        <v>485</v>
      </c>
      <c r="B679" s="142" t="s">
        <v>4420</v>
      </c>
      <c r="C679" s="31" t="s">
        <v>4421</v>
      </c>
      <c r="D679" s="31" t="s">
        <v>4422</v>
      </c>
      <c r="E679" s="31" t="s">
        <v>4424</v>
      </c>
      <c r="F679" s="89">
        <v>391.0</v>
      </c>
      <c r="G679" s="91" t="str">
        <f>IFERROR(__xludf.DUMMYFUNCTION("TRIM(REGEXREPLACE(C679, ""[0-9]+[a-f]?\."", """"))"),"In the past six months, have you or anyone in your household shared or sent goods (payment in kind) to someone who is not a member of your household and who lives elsewhere in Niger (outside your village)?")</f>
        <v>In the past six months, have you or anyone in your household shared or sent goods (payment in kind) to someone who is not a member of your household and who lives elsewhere in Niger (outside your village)?</v>
      </c>
      <c r="H679" s="91" t="str">
        <f>IFERROR(__xludf.DUMMYFUNCTION("TRIM(REGEXREPLACE(D679, ""[0-9]+[a-f]?\."", """"))"),"Au cours des six derniers mois, avez-vous, ou un membre de votre foyer, partagé ou envoyé des biens (paiement en nature) à une personne extérieure à votre foyer et résidant ailleurs au Niger (hors de votre village) ?")</f>
        <v>Au cours des six derniers mois, avez-vous, ou un membre de votre foyer, partagé ou envoyé des biens (paiement en nature) à une personne extérieure à votre foyer et résidant ailleurs au Niger (hors de votre village) ?</v>
      </c>
      <c r="I679" s="91" t="str">
        <f>IFERROR(__xludf.DUMMYFUNCTION("TRIM(REGEXREPLACE(E679, ""[0-9]+[a-f]?\."", """"))"),"A cikin watanni shida da suka gabata, kai ko wani a cikin gidanku kun aika kaya (biya daga kaya) ga wanda ba ɗan gidanku ba kuma yana zaune a wani wuri a Nijar (wajen ƙauyenku)?")</f>
        <v>A cikin watanni shida da suka gabata, kai ko wani a cikin gidanku kun aika kaya (biya daga kaya) ga wanda ba ɗan gidanku ba kuma yana zaune a wani wuri a Nijar (wajen ƙauyenku)?</v>
      </c>
      <c r="J679" s="91" t="str">
        <f t="shared" si="486"/>
        <v>391. In the past six months, have you or anyone in your household shared or sent goods (payment in kind) to someone who is not a member of your household and who lives elsewhere in Niger (outside your village)?</v>
      </c>
      <c r="K679" s="91" t="str">
        <f t="shared" ref="K679:L679" si="510">$F679&amp;". "&amp;H679</f>
        <v>391. Au cours des six derniers mois, avez-vous, ou un membre de votre foyer, partagé ou envoyé des biens (paiement en nature) à une personne extérieure à votre foyer et résidant ailleurs au Niger (hors de votre village) ?</v>
      </c>
      <c r="L679" s="91" t="str">
        <f t="shared" si="510"/>
        <v>391. A cikin watanni shida da suka gabata, kai ko wani a cikin gidanku kun aika kaya (biya daga kaya) ga wanda ba ɗan gidanku ba kuma yana zaune a wani wuri a Nijar (wajen ƙauyenku)?</v>
      </c>
    </row>
    <row r="680">
      <c r="A680" s="146" t="s">
        <v>237</v>
      </c>
      <c r="B680" s="147" t="s">
        <v>4432</v>
      </c>
      <c r="C680" s="31" t="s">
        <v>4436</v>
      </c>
      <c r="D680" s="31" t="s">
        <v>4437</v>
      </c>
      <c r="E680" s="31" t="s">
        <v>4438</v>
      </c>
      <c r="F680" s="89">
        <v>392.0</v>
      </c>
      <c r="G680" s="91" t="str">
        <f>IFERROR(__xludf.DUMMYFUNCTION("TRIM(REGEXREPLACE(C680, ""[0-9]+[a-f]?\."", """"))"),"What was the value of the goods members of your household sent to people elsewhere in Niger?")</f>
        <v>What was the value of the goods members of your household sent to people elsewhere in Niger?</v>
      </c>
      <c r="H680" s="91" t="str">
        <f>IFERROR(__xludf.DUMMYFUNCTION("TRIM(REGEXREPLACE(D680,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680" s="91" t="str">
        <f>IFERROR(__xludf.DUMMYFUNCTION("TRIM(REGEXREPLACE(E680, ""[0-9]+[a-f]?\."", """"))"),"Nawa ne kimar kayan da ƴan gidanku suka aika wa mutane a wasu wurare a cikin Nijar?")</f>
        <v>Nawa ne kimar kayan da ƴan gidanku suka aika wa mutane a wasu wurare a cikin Nijar?</v>
      </c>
      <c r="J680" s="91" t="str">
        <f t="shared" si="486"/>
        <v>392. What was the value of the goods members of your household sent to people elsewhere in Niger?</v>
      </c>
      <c r="K680" s="91" t="str">
        <f t="shared" ref="K680:L680" si="511">$F680&amp;". "&amp;H680</f>
        <v>392. Quel était la valeur au totale des biens que les membres de votre ménage ont envoyé aux personnes qui sont quelques part au Niger ?</v>
      </c>
      <c r="L680" s="91" t="str">
        <f t="shared" si="511"/>
        <v>392. Nawa ne kimar kayan da ƴan gidanku suka aika wa mutane a wasu wurare a cikin Nijar?</v>
      </c>
    </row>
    <row r="681">
      <c r="A681" s="81" t="s">
        <v>4323</v>
      </c>
      <c r="B681" s="142" t="s">
        <v>4443</v>
      </c>
      <c r="C681" s="31" t="s">
        <v>4444</v>
      </c>
      <c r="D681" s="31" t="s">
        <v>4445</v>
      </c>
      <c r="E681" s="31" t="s">
        <v>4447</v>
      </c>
      <c r="F681" s="89">
        <v>393.0</v>
      </c>
      <c r="G681" s="91" t="str">
        <f>IFERROR(__xludf.DUMMYFUNCTION("TRIM(REGEXREPLACE(C681, ""[0-9]+[a-f]?\."", """"))"),"How were these goods transmitted to the recipient?")</f>
        <v>How were these goods transmitted to the recipient?</v>
      </c>
      <c r="H681" s="91" t="str">
        <f>IFERROR(__xludf.DUMMYFUNCTION("TRIM(REGEXREPLACE(D681, ""[0-9]+[a-f]?\."", """"))"),"Comment ces biens ont-ils été envoyé au destinataire ?")</f>
        <v>Comment ces biens ont-ils été envoyé au destinataire ?</v>
      </c>
      <c r="I681" s="91" t="str">
        <f>IFERROR(__xludf.DUMMYFUNCTION("TRIM(REGEXREPLACE(E681, ""[0-9]+[a-f]?\."", """"))"),"Ta yaya aka aika waɗannan kayayyaki zuwa ga mai karɓa?")</f>
        <v>Ta yaya aka aika waɗannan kayayyaki zuwa ga mai karɓa?</v>
      </c>
      <c r="J681" s="91" t="str">
        <f t="shared" si="486"/>
        <v>393. How were these goods transmitted to the recipient?</v>
      </c>
      <c r="K681" s="91" t="str">
        <f t="shared" ref="K681:L681" si="512">$F681&amp;". "&amp;H681</f>
        <v>393. Comment ces biens ont-ils été envoyé au destinataire ?</v>
      </c>
      <c r="L681" s="91" t="str">
        <f t="shared" si="512"/>
        <v>393. Ta yaya aka aika waɗannan kayayyaki zuwa ga mai karɓa?</v>
      </c>
    </row>
    <row r="682">
      <c r="A682" s="133" t="s">
        <v>214</v>
      </c>
      <c r="B682" s="143" t="s">
        <v>4449</v>
      </c>
      <c r="C682" s="31" t="s">
        <v>4450</v>
      </c>
      <c r="D682" s="31" t="s">
        <v>4451</v>
      </c>
      <c r="E682" s="31" t="s">
        <v>4452</v>
      </c>
      <c r="F682" s="89">
        <v>394.0</v>
      </c>
      <c r="G682" s="91" t="str">
        <f>IFERROR(__xludf.DUMMYFUNCTION("TRIM(REGEXREPLACE(C682, ""[0-9]+[a-f]?\."", """"))"),"Specify other transfer method")</f>
        <v>Specify other transfer method</v>
      </c>
      <c r="H682" s="91" t="str">
        <f>IFERROR(__xludf.DUMMYFUNCTION("TRIM(REGEXREPLACE(D682, ""[0-9]+[a-f]?\."", """"))"),"Precisez la methode du transfert")</f>
        <v>Precisez la methode du transfert</v>
      </c>
      <c r="I682" s="91" t="str">
        <f>IFERROR(__xludf.DUMMYFUNCTION("TRIM(REGEXREPLACE(E682, ""[0-9]+[a-f]?\."", """"))"),"Wani daban a Bayyana")</f>
        <v>Wani daban a Bayyana</v>
      </c>
      <c r="J682" s="91" t="str">
        <f t="shared" si="486"/>
        <v>394. Specify other transfer method</v>
      </c>
      <c r="K682" s="91" t="str">
        <f t="shared" ref="K682:L682" si="513">$F682&amp;". "&amp;H682</f>
        <v>394. Precisez la methode du transfert</v>
      </c>
      <c r="L682" s="91" t="str">
        <f t="shared" si="513"/>
        <v>394. Wani daban a Bayyana</v>
      </c>
    </row>
    <row r="683">
      <c r="A683" s="81" t="s">
        <v>485</v>
      </c>
      <c r="B683" s="142" t="s">
        <v>4457</v>
      </c>
      <c r="C683" s="31" t="s">
        <v>4458</v>
      </c>
      <c r="D683" s="31" t="s">
        <v>4459</v>
      </c>
      <c r="E683" s="31" t="s">
        <v>4460</v>
      </c>
      <c r="F683" s="89">
        <v>395.0</v>
      </c>
      <c r="G683" s="91" t="str">
        <f>IFERROR(__xludf.DUMMYFUNCTION("TRIM(REGEXREPLACE(C683, ""[0-9]+[a-f]?\."", """"))"),"In the past six months, have you or anyone in your household shared or sent money to someone who is not a member of your household and who lives in a foreign country (outside of Niger)?")</f>
        <v>In the past six months, have you or anyone in your household shared or sent money to someone who is not a member of your household and who lives in a foreign country (outside of Niger)?</v>
      </c>
      <c r="H683" s="91" t="str">
        <f>IFERROR(__xludf.DUMMYFUNCTION("TRIM(REGEXREPLACE(D683, ""[0-9]+[a-f]?\."", """"))"),"Au cours des six derniers mois, avez-vous, ou un membre de votre foyer, partagé ou envoyé de l'argent à une personne extérieure à votre foyer et résidant à l'étranger (hors du Niger) ?")</f>
        <v>Au cours des six derniers mois, avez-vous, ou un membre de votre foyer, partagé ou envoyé de l'argent à une personne extérieure à votre foyer et résidant à l'étranger (hors du Niger) ?</v>
      </c>
      <c r="I683" s="91" t="str">
        <f>IFERROR(__xludf.DUMMYFUNCTION("TRIM(REGEXREPLACE(E683, ""[0-9]+[a-f]?\."", """"))"),"A cikin watanni shida da suka gabata, kai ko wani a cikin gidanku kun raba ko aika kudi ga wanda ba dan gidanku ba kuma yana zaune a wata kasa (wajen Nijar)?")</f>
        <v>A cikin watanni shida da suka gabata, kai ko wani a cikin gidanku kun raba ko aika kudi ga wanda ba dan gidanku ba kuma yana zaune a wata kasa (wajen Nijar)?</v>
      </c>
      <c r="J683" s="91" t="str">
        <f t="shared" si="486"/>
        <v>395. In the past six months, have you or anyone in your household shared or sent money to someone who is not a member of your household and who lives in a foreign country (outside of Niger)?</v>
      </c>
      <c r="K683" s="91" t="str">
        <f t="shared" ref="K683:L683" si="514">$F683&amp;". "&amp;H683</f>
        <v>395. Au cours des six derniers mois, avez-vous, ou un membre de votre foyer, partagé ou envoyé de l'argent à une personne extérieure à votre foyer et résidant à l'étranger (hors du Niger) ?</v>
      </c>
      <c r="L683" s="91" t="str">
        <f t="shared" si="514"/>
        <v>395. A cikin watanni shida da suka gabata, kai ko wani a cikin gidanku kun raba ko aika kudi ga wanda ba dan gidanku ba kuma yana zaune a wata kasa (wajen Nijar)?</v>
      </c>
    </row>
    <row r="684">
      <c r="A684" s="146" t="s">
        <v>237</v>
      </c>
      <c r="B684" s="147" t="s">
        <v>4464</v>
      </c>
      <c r="C684" s="31" t="s">
        <v>4465</v>
      </c>
      <c r="D684" s="31" t="s">
        <v>4467</v>
      </c>
      <c r="E684" s="31" t="s">
        <v>4469</v>
      </c>
      <c r="F684" s="89">
        <v>396.0</v>
      </c>
      <c r="G684" s="91" t="str">
        <f>IFERROR(__xludf.DUMMYFUNCTION("TRIM(REGEXREPLACE(C684, ""[0-9]+[a-f]?\."", """"))"),"How much did your household send to people people out of Niger?")</f>
        <v>How much did your household send to people people out of Niger?</v>
      </c>
      <c r="H684" s="91" t="str">
        <f>IFERROR(__xludf.DUMMYFUNCTION("TRIM(REGEXREPLACE(D684, ""[0-9]+[a-f]?\."", """"))"),"Combien votre ménage a-t-il envoyé à d'autres personnes qui sont quelque part hors du Niger ?")</f>
        <v>Combien votre ménage a-t-il envoyé à d'autres personnes qui sont quelque part hors du Niger ?</v>
      </c>
      <c r="I684" s="91" t="str">
        <f>IFERROR(__xludf.DUMMYFUNCTION("TRIM(REGEXREPLACE(E684, ""[0-9]+[a-f]?\."", """"))"),"Nawa gidanku ya aikawa wasu mutane da ke wani wuri ba a Nijar ba?")</f>
        <v>Nawa gidanku ya aikawa wasu mutane da ke wani wuri ba a Nijar ba?</v>
      </c>
      <c r="J684" s="91" t="str">
        <f t="shared" si="486"/>
        <v>396. How much did your household send to people people out of Niger?</v>
      </c>
      <c r="K684" s="91" t="str">
        <f t="shared" ref="K684:L684" si="515">$F684&amp;". "&amp;H684</f>
        <v>396. Combien votre ménage a-t-il envoyé à d'autres personnes qui sont quelque part hors du Niger ?</v>
      </c>
      <c r="L684" s="91" t="str">
        <f t="shared" si="515"/>
        <v>396. Nawa gidanku ya aikawa wasu mutane da ke wani wuri ba a Nijar ba?</v>
      </c>
    </row>
    <row r="685">
      <c r="A685" s="81" t="s">
        <v>4250</v>
      </c>
      <c r="B685" s="142" t="s">
        <v>4470</v>
      </c>
      <c r="C685" s="31" t="s">
        <v>4471</v>
      </c>
      <c r="D685" s="31" t="s">
        <v>4472</v>
      </c>
      <c r="E685" s="31" t="s">
        <v>4473</v>
      </c>
      <c r="F685" s="89">
        <v>397.0</v>
      </c>
      <c r="G685" s="91" t="str">
        <f>IFERROR(__xludf.DUMMYFUNCTION("TRIM(REGEXREPLACE(C685, ""[0-9]+[a-f]?\."", """"))"),"How did you transmit the money to the recipient?")</f>
        <v>How did you transmit the money to the recipient?</v>
      </c>
      <c r="H685" s="91" t="str">
        <f>IFERROR(__xludf.DUMMYFUNCTION("TRIM(REGEXREPLACE(D685, ""[0-9]+[a-f]?\."", """"))"),"Comment avez-vous transmis l'argent au destinataire ?")</f>
        <v>Comment avez-vous transmis l'argent au destinataire ?</v>
      </c>
      <c r="I685" s="91" t="str">
        <f>IFERROR(__xludf.DUMMYFUNCTION("TRIM(REGEXREPLACE(E685, ""[0-9]+[a-f]?\."", """"))"),"Ta wace hanya kuka aika kuɗin ga mai karɓa?")</f>
        <v>Ta wace hanya kuka aika kuɗin ga mai karɓa?</v>
      </c>
      <c r="J685" s="91" t="str">
        <f t="shared" si="486"/>
        <v>397. How did you transmit the money to the recipient?</v>
      </c>
      <c r="K685" s="91" t="str">
        <f t="shared" ref="K685:L685" si="516">$F685&amp;". "&amp;H685</f>
        <v>397. Comment avez-vous transmis l'argent au destinataire ?</v>
      </c>
      <c r="L685" s="91" t="str">
        <f t="shared" si="516"/>
        <v>397. Ta wace hanya kuka aika kuɗin ga mai karɓa?</v>
      </c>
    </row>
    <row r="686">
      <c r="A686" s="133" t="s">
        <v>214</v>
      </c>
      <c r="B686" s="143" t="s">
        <v>4474</v>
      </c>
      <c r="C686" s="31" t="s">
        <v>4475</v>
      </c>
      <c r="D686" s="31" t="s">
        <v>4476</v>
      </c>
      <c r="E686" s="31" t="s">
        <v>4477</v>
      </c>
      <c r="F686" s="89">
        <v>398.0</v>
      </c>
      <c r="G686" s="91" t="str">
        <f>IFERROR(__xludf.DUMMYFUNCTION("TRIM(REGEXREPLACE(C686, ""[0-9]+[a-f]?\."", """"))"),"Specify other transfer method")</f>
        <v>Specify other transfer method</v>
      </c>
      <c r="H686" s="91" t="str">
        <f>IFERROR(__xludf.DUMMYFUNCTION("TRIM(REGEXREPLACE(D686, ""[0-9]+[a-f]?\."", """"))"),"Precisez la methode du transfert")</f>
        <v>Precisez la methode du transfert</v>
      </c>
      <c r="I686" s="91" t="str">
        <f>IFERROR(__xludf.DUMMYFUNCTION("TRIM(REGEXREPLACE(E686, ""[0-9]+[a-f]?\."", """"))"),"Wani daban a Bayyana")</f>
        <v>Wani daban a Bayyana</v>
      </c>
      <c r="J686" s="91" t="str">
        <f t="shared" si="486"/>
        <v>398. Specify other transfer method</v>
      </c>
      <c r="K686" s="91" t="str">
        <f t="shared" ref="K686:L686" si="517">$F686&amp;". "&amp;H686</f>
        <v>398. Precisez la methode du transfert</v>
      </c>
      <c r="L686" s="91" t="str">
        <f t="shared" si="517"/>
        <v>398. Wani daban a Bayyana</v>
      </c>
    </row>
    <row r="687">
      <c r="A687" s="81" t="s">
        <v>485</v>
      </c>
      <c r="B687" s="142" t="s">
        <v>4481</v>
      </c>
      <c r="C687" s="31" t="s">
        <v>4483</v>
      </c>
      <c r="D687" s="31" t="s">
        <v>4484</v>
      </c>
      <c r="E687" s="31" t="s">
        <v>4486</v>
      </c>
      <c r="F687" s="89">
        <v>399.0</v>
      </c>
      <c r="G687" s="91" t="str">
        <f>IFERROR(__xludf.DUMMYFUNCTION("TRIM(REGEXREPLACE(C687, ""[0-9]+[a-f]?\."", """"))"),"In the past six months, have you or anyone in your household shared or sent goods (payment in kind) to someone who is not a member of your household and who lives in a foreign country (outside of Niger)?")</f>
        <v>In the past six months, have you or anyone in your household shared or sent goods (payment in kind) to someone who is not a member of your household and who lives in a foreign country (outside of Niger)?</v>
      </c>
      <c r="H687" s="91" t="str">
        <f>IFERROR(__xludf.DUMMYFUNCTION("TRIM(REGEXREPLACE(D687, ""[0-9]+[a-f]?\."", """"))"),"Au cours des six derniers mois, avez-vous, ou un membre de votre foyer, partagé ou envoyé des biens (paiement en nature) à une personne extérieure à votre foyer et résidant à l'étranger (hors du Niger) ?")</f>
        <v>Au cours des six derniers mois, avez-vous, ou un membre de votre foyer, partagé ou envoyé des biens (paiement en nature) à une personne extérieure à votre foyer et résidant à l'étranger (hors du Niger) ?</v>
      </c>
      <c r="I687" s="91" t="str">
        <f>IFERROR(__xludf.DUMMYFUNCTION("TRIM(REGEXREPLACE(E687, ""[0-9]+[a-f]?\."", """"))"),"A cikin watanni shida da suka gabata, kai ko wani a cikin gidanku kun aika kaya (biya daga kaya) ga wanda ba ɗan gidanku ba kuma yana zaune a wata ƙasa (a wajen Nijar)?")</f>
        <v>A cikin watanni shida da suka gabata, kai ko wani a cikin gidanku kun aika kaya (biya daga kaya) ga wanda ba ɗan gidanku ba kuma yana zaune a wata ƙasa (a wajen Nijar)?</v>
      </c>
      <c r="J687" s="91" t="str">
        <f t="shared" si="486"/>
        <v>399. In the past six months, have you or anyone in your household shared or sent goods (payment in kind) to someone who is not a member of your household and who lives in a foreign country (outside of Niger)?</v>
      </c>
      <c r="K687" s="91" t="str">
        <f t="shared" ref="K687:L687" si="518">$F687&amp;". "&amp;H687</f>
        <v>399. Au cours des six derniers mois, avez-vous, ou un membre de votre foyer, partagé ou envoyé des biens (paiement en nature) à une personne extérieure à votre foyer et résidant à l'étranger (hors du Niger) ?</v>
      </c>
      <c r="L687" s="91" t="str">
        <f t="shared" si="518"/>
        <v>399. A cikin watanni shida da suka gabata, kai ko wani a cikin gidanku kun aika kaya (biya daga kaya) ga wanda ba ɗan gidanku ba kuma yana zaune a wata ƙasa (a wajen Nijar)?</v>
      </c>
    </row>
    <row r="688">
      <c r="A688" s="146" t="s">
        <v>237</v>
      </c>
      <c r="B688" s="147" t="s">
        <v>4488</v>
      </c>
      <c r="C688" s="31" t="s">
        <v>4489</v>
      </c>
      <c r="D688" s="31" t="s">
        <v>4490</v>
      </c>
      <c r="E688" s="31" t="s">
        <v>4491</v>
      </c>
      <c r="F688" s="89">
        <v>400.0</v>
      </c>
      <c r="G688" s="91" t="str">
        <f>IFERROR(__xludf.DUMMYFUNCTION("TRIM(REGEXREPLACE(C688, ""[0-9]+[a-f]?\."", """"))"),"What was the value of the goods members of your household sent to people out of Niger?")</f>
        <v>What was the value of the goods members of your household sent to people out of Niger?</v>
      </c>
      <c r="H688" s="91" t="str">
        <f>IFERROR(__xludf.DUMMYFUNCTION("TRIM(REGEXREPLACE(D688,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688" s="91" t="str">
        <f>IFERROR(__xludf.DUMMYFUNCTION("TRIM(REGEXREPLACE(E688, ""[0-9]+[a-f]?\."", """"))"),"Nawa ne kimar kayan da ƴan gidanku suka aikawa wasu mutane da ke wani wuri ba a Nijar ba?")</f>
        <v>Nawa ne kimar kayan da ƴan gidanku suka aikawa wasu mutane da ke wani wuri ba a Nijar ba?</v>
      </c>
      <c r="J688" s="91" t="str">
        <f t="shared" si="486"/>
        <v>400. What was the value of the goods members of your household sent to people out of Niger?</v>
      </c>
      <c r="K688" s="91" t="str">
        <f t="shared" ref="K688:L688" si="519">$F688&amp;". "&amp;H688</f>
        <v>400. Quel était le valeur au total des biens que les membres de votre ménage ont envoyé aux personnes qui sont quelques part hors du Niger ?</v>
      </c>
      <c r="L688" s="91" t="str">
        <f t="shared" si="519"/>
        <v>400. Nawa ne kimar kayan da ƴan gidanku suka aikawa wasu mutane da ke wani wuri ba a Nijar ba?</v>
      </c>
    </row>
    <row r="689">
      <c r="A689" s="81" t="s">
        <v>4323</v>
      </c>
      <c r="B689" s="142" t="s">
        <v>4501</v>
      </c>
      <c r="C689" s="31" t="s">
        <v>4502</v>
      </c>
      <c r="D689" s="31" t="s">
        <v>4503</v>
      </c>
      <c r="E689" s="31" t="s">
        <v>4504</v>
      </c>
      <c r="F689" s="89">
        <v>401.0</v>
      </c>
      <c r="G689" s="91" t="str">
        <f>IFERROR(__xludf.DUMMYFUNCTION("TRIM(REGEXREPLACE(C689, ""[0-9]+[a-f]?\."", """"))"),"How were these goods transmitted to the recipient?")</f>
        <v>How were these goods transmitted to the recipient?</v>
      </c>
      <c r="H689" s="91" t="str">
        <f>IFERROR(__xludf.DUMMYFUNCTION("TRIM(REGEXREPLACE(D689, ""[0-9]+[a-f]?\."", """"))"),"Comment ces biens ont-ils été envoyé au destinataire ?")</f>
        <v>Comment ces biens ont-ils été envoyé au destinataire ?</v>
      </c>
      <c r="I689" s="91" t="str">
        <f>IFERROR(__xludf.DUMMYFUNCTION("TRIM(REGEXREPLACE(E689, ""[0-9]+[a-f]?\."", """"))"),"Ta yaya aka aika waɗannan kayayyaki zuwa ga mai karɓa?")</f>
        <v>Ta yaya aka aika waɗannan kayayyaki zuwa ga mai karɓa?</v>
      </c>
      <c r="J689" s="91" t="str">
        <f t="shared" si="486"/>
        <v>401. How were these goods transmitted to the recipient?</v>
      </c>
      <c r="K689" s="91" t="str">
        <f t="shared" ref="K689:L689" si="520">$F689&amp;". "&amp;H689</f>
        <v>401. Comment ces biens ont-ils été envoyé au destinataire ?</v>
      </c>
      <c r="L689" s="91" t="str">
        <f t="shared" si="520"/>
        <v>401. Ta yaya aka aika waɗannan kayayyaki zuwa ga mai karɓa?</v>
      </c>
    </row>
    <row r="690">
      <c r="A690" s="133" t="s">
        <v>214</v>
      </c>
      <c r="B690" s="143" t="s">
        <v>4506</v>
      </c>
      <c r="C690" s="31" t="s">
        <v>4507</v>
      </c>
      <c r="D690" s="31" t="s">
        <v>4508</v>
      </c>
      <c r="E690" s="31" t="s">
        <v>4510</v>
      </c>
      <c r="F690" s="89">
        <v>402.0</v>
      </c>
      <c r="G690" s="91" t="str">
        <f>IFERROR(__xludf.DUMMYFUNCTION("TRIM(REGEXREPLACE(C690, ""[0-9]+[a-f]?\."", """"))"),"Specify other transfer method")</f>
        <v>Specify other transfer method</v>
      </c>
      <c r="H690" s="91" t="str">
        <f>IFERROR(__xludf.DUMMYFUNCTION("TRIM(REGEXREPLACE(D690, ""[0-9]+[a-f]?\."", """"))"),"Precisez la methode du transfert")</f>
        <v>Precisez la methode du transfert</v>
      </c>
      <c r="I690" s="91" t="str">
        <f>IFERROR(__xludf.DUMMYFUNCTION("TRIM(REGEXREPLACE(E690, ""[0-9]+[a-f]?\."", """"))"),"Wani daban a Bayyana")</f>
        <v>Wani daban a Bayyana</v>
      </c>
      <c r="J690" s="91" t="str">
        <f t="shared" si="486"/>
        <v>402. Specify other transfer method</v>
      </c>
      <c r="K690" s="91" t="str">
        <f t="shared" ref="K690:L690" si="521">$F690&amp;". "&amp;H690</f>
        <v>402. Precisez la methode du transfert</v>
      </c>
      <c r="L690" s="91" t="str">
        <f t="shared" si="521"/>
        <v>402. Wani daban a Bayyana</v>
      </c>
    </row>
    <row r="691">
      <c r="A691" s="81" t="s">
        <v>4511</v>
      </c>
      <c r="B691" s="142" t="s">
        <v>4512</v>
      </c>
      <c r="C691" s="31" t="s">
        <v>4513</v>
      </c>
      <c r="D691" s="31" t="s">
        <v>4514</v>
      </c>
      <c r="E691" s="31" t="s">
        <v>4515</v>
      </c>
      <c r="F691" s="89">
        <v>403.0</v>
      </c>
      <c r="G691" s="91" t="str">
        <f>IFERROR(__xludf.DUMMYFUNCTION("TRIM(REGEXREPLACE(C691, ""[0-9]+[a-f]?\."", """"))"),"In the past six months, have you received support from any of the following sources?")</f>
        <v>In the past six months, have you received support from any of the following sources?</v>
      </c>
      <c r="H691" s="91" t="str">
        <f>IFERROR(__xludf.DUMMYFUNCTION("TRIM(REGEXREPLACE(D691, ""[0-9]+[a-f]?\."", """"))"),"Au cours des six derniers mois, avez-vous reçu une aide de l'une des sources suivantes ?")</f>
        <v>Au cours des six derniers mois, avez-vous reçu une aide de l'une des sources suivantes ?</v>
      </c>
      <c r="I691" s="91" t="str">
        <f>IFERROR(__xludf.DUMMYFUNCTION("TRIM(REGEXREPLACE(E691, ""[0-9]+[a-f]?\."", """"))"),"A cikin watanni shida da suka gabata, kun sami tallafi daga ɗayan waɗannan kafofin?")</f>
        <v>A cikin watanni shida da suka gabata, kun sami tallafi daga ɗayan waɗannan kafofin?</v>
      </c>
      <c r="J691" s="91" t="str">
        <f t="shared" si="486"/>
        <v>403. In the past six months, have you received support from any of the following sources?</v>
      </c>
      <c r="K691" s="91" t="str">
        <f t="shared" ref="K691:L691" si="522">$F691&amp;". "&amp;H691</f>
        <v>403. Au cours des six derniers mois, avez-vous reçu une aide de l'une des sources suivantes ?</v>
      </c>
      <c r="L691" s="91" t="str">
        <f t="shared" si="522"/>
        <v>403. A cikin watanni shida da suka gabata, kun sami tallafi daga ɗayan waɗannan kafofin?</v>
      </c>
    </row>
    <row r="692">
      <c r="A692" s="230" t="s">
        <v>237</v>
      </c>
      <c r="B692" s="131" t="s">
        <v>4516</v>
      </c>
      <c r="C692" s="31" t="s">
        <v>4517</v>
      </c>
      <c r="D692" s="31" t="s">
        <v>4518</v>
      </c>
      <c r="E692" s="31" t="s">
        <v>4519</v>
      </c>
      <c r="F692" s="89">
        <v>404.0</v>
      </c>
      <c r="G692" s="91" t="str">
        <f>IFERROR(__xludf.DUMMYFUNCTION("TRIM(REGEXREPLACE(C692, ""[0-9]+[a-f]?\."", """"))"),"How much did ou receive from all the sources combined?")</f>
        <v>How much did ou receive from all the sources combined?</v>
      </c>
      <c r="H692" s="91" t="str">
        <f>IFERROR(__xludf.DUMMYFUNCTION("TRIM(REGEXREPLACE(D692, ""[0-9]+[a-f]?\."", """"))"),"Combien avez-vous reçu de toutes les sources confondues ?")</f>
        <v>Combien avez-vous reçu de toutes les sources confondues ?</v>
      </c>
      <c r="I692" s="91" t="str">
        <f>IFERROR(__xludf.DUMMYFUNCTION("TRIM(REGEXREPLACE(E692, ""[0-9]+[a-f]?\."", """"))"),"Nawa kuka samu daga duk hanyoyin shiga gaba ɗayan su?")</f>
        <v>Nawa kuka samu daga duk hanyoyin shiga gaba ɗayan su?</v>
      </c>
      <c r="J692" s="91" t="str">
        <f t="shared" si="486"/>
        <v>404. How much did ou receive from all the sources combined?</v>
      </c>
      <c r="K692" s="91" t="str">
        <f t="shared" ref="K692:L692" si="523">$F692&amp;". "&amp;H692</f>
        <v>404. Combien avez-vous reçu de toutes les sources confondues ?</v>
      </c>
      <c r="L692" s="91" t="str">
        <f t="shared" si="523"/>
        <v>404. Nawa kuka samu daga duk hanyoyin shiga gaba ɗayan su?</v>
      </c>
    </row>
    <row r="693">
      <c r="A693" s="146" t="s">
        <v>237</v>
      </c>
      <c r="B693" s="147" t="s">
        <v>4522</v>
      </c>
      <c r="C693" s="31" t="s">
        <v>4523</v>
      </c>
      <c r="D693" s="31" t="s">
        <v>4524</v>
      </c>
      <c r="E693" s="31" t="s">
        <v>4525</v>
      </c>
      <c r="F693" s="89">
        <v>405.0</v>
      </c>
      <c r="G693" s="91" t="str">
        <f>IFERROR(__xludf.DUMMYFUNCTION("TRIM(REGEXREPLACE(C693, ""[0-9]+[a-f]?\."", """"))"),"In addition to the transfers we just discussed, what is the total value of income from charity or gifts your household has received &lt;b&gt;in the past six months&lt;/b&gt; in CFA?")</f>
        <v>In addition to the transfers we just discussed, what is the total value of income from charity or gifts your household has received &lt;b&gt;in the past six months&lt;/b&gt; in CFA?</v>
      </c>
      <c r="H693" s="91" t="str">
        <f>IFERROR(__xludf.DUMMYFUNCTION("TRIM(REGEXREPLACE(D693, ""[0-9]+[a-f]?\."", """"))"),"Outre les transferts que nous venons d'évoquer, quel est le montant total des revenus provenant d'œuvres caritatives ou de dons que votre ménage a reçus &lt;b&gt;au cours des six derniers mois&lt;/b&gt; en francs CFA ?")</f>
        <v>Outre les transferts que nous venons d'évoquer, quel est le montant total des revenus provenant d'œuvres caritatives ou de dons que votre ménage a reçus &lt;b&gt;au cours des six derniers mois&lt;/b&gt; en francs CFA ?</v>
      </c>
      <c r="I693" s="91" t="str">
        <f>IFERROR(__xludf.DUMMYFUNCTION("TRIM(REGEXREPLACE(E693, ""[0-9]+[a-f]?\."", """"))"),"Bancin aiken kuɗi da muka tattauna yanzu, nawa ne jimillar kuɗin da kuka samu na taimako ko kyaututtukan &lt;b&gt;a cikin watanni shida da suka gabata a CFA?")</f>
        <v>Bancin aiken kuɗi da muka tattauna yanzu, nawa ne jimillar kuɗin da kuka samu na taimako ko kyaututtukan &lt;b&gt;a cikin watanni shida da suka gabata a CFA?</v>
      </c>
      <c r="J693" s="91" t="str">
        <f t="shared" si="486"/>
        <v>405. In addition to the transfers we just discussed, what is the total value of income from charity or gifts your household has received &lt;b&gt;in the past six months&lt;/b&gt; in CFA?</v>
      </c>
      <c r="K693" s="91" t="str">
        <f t="shared" ref="K693:L693" si="524">$F693&amp;". "&amp;H693</f>
        <v>405. Outre les transferts que nous venons d'évoquer, quel est le montant total des revenus provenant d'œuvres caritatives ou de dons que votre ménage a reçus &lt;b&gt;au cours des six derniers mois&lt;/b&gt; en francs CFA ?</v>
      </c>
      <c r="L693" s="91" t="str">
        <f t="shared" si="524"/>
        <v>405. Bancin aiken kuɗi da muka tattauna yanzu, nawa ne jimillar kuɗin da kuka samu na taimako ko kyaututtukan &lt;b&gt;a cikin watanni shida da suka gabata a CFA?</v>
      </c>
    </row>
    <row r="694" hidden="1">
      <c r="A694" s="104" t="s">
        <v>139</v>
      </c>
      <c r="B694" s="141" t="s">
        <v>4531</v>
      </c>
      <c r="C694" s="31"/>
      <c r="D694" s="31"/>
      <c r="E694" s="31"/>
      <c r="F694" s="89">
        <v>408.0</v>
      </c>
      <c r="G694" s="91" t="str">
        <f>IFERROR(__xludf.DUMMYFUNCTION("TRIM(REGEXREPLACE(C694, ""[0-9]+[a-f]?\."", """"))"),"")</f>
        <v/>
      </c>
      <c r="H694" s="91" t="str">
        <f>IFERROR(__xludf.DUMMYFUNCTION("TRIM(REGEXREPLACE(D694, ""[0-9]+[a-f]?\."", """"))"),"")</f>
        <v/>
      </c>
      <c r="I694" s="91" t="str">
        <f>IFERROR(__xludf.DUMMYFUNCTION("TRIM(REGEXREPLACE(E694, ""[0-9]+[a-f]?\."", """"))"),"")</f>
        <v/>
      </c>
    </row>
    <row r="695" hidden="1">
      <c r="A695" s="67" t="s">
        <v>108</v>
      </c>
      <c r="B695" s="69" t="s">
        <v>4534</v>
      </c>
      <c r="C695" s="31"/>
      <c r="D695" s="31"/>
      <c r="E695" s="31"/>
      <c r="F695" s="89">
        <v>407.0</v>
      </c>
      <c r="G695" s="91" t="str">
        <f>IFERROR(__xludf.DUMMYFUNCTION("TRIM(REGEXREPLACE(C695, ""[0-9]+[a-f]?\."", """"))"),"")</f>
        <v/>
      </c>
      <c r="H695" s="91" t="str">
        <f>IFERROR(__xludf.DUMMYFUNCTION("TRIM(REGEXREPLACE(D695, ""[0-9]+[a-f]?\."", """"))"),"")</f>
        <v/>
      </c>
      <c r="I695" s="91" t="str">
        <f>IFERROR(__xludf.DUMMYFUNCTION("TRIM(REGEXREPLACE(E695, ""[0-9]+[a-f]?\."", """"))"),"")</f>
        <v/>
      </c>
      <c r="J695" s="91" t="s">
        <v>4535</v>
      </c>
      <c r="K695" s="91" t="s">
        <v>4536</v>
      </c>
      <c r="L695" s="91" t="s">
        <v>4537</v>
      </c>
    </row>
    <row r="696" hidden="1">
      <c r="A696" s="122" t="s">
        <v>236</v>
      </c>
      <c r="B696" s="153" t="s">
        <v>4244</v>
      </c>
      <c r="C696" s="31" t="s">
        <v>4245</v>
      </c>
      <c r="D696" s="31"/>
      <c r="E696" s="31"/>
      <c r="F696" s="89">
        <v>236.0</v>
      </c>
      <c r="G696" s="91" t="str">
        <f>IFERROR(__xludf.DUMMYFUNCTION("TRIM(REGEXREPLACE(C696, ""[0-9]+[a-f]?\."", """"))"),"Questions about remittances")</f>
        <v>Questions about remittances</v>
      </c>
      <c r="H696" s="91" t="str">
        <f>IFERROR(__xludf.DUMMYFUNCTION("TRIM(REGEXREPLACE(D696, ""[0-9]+[a-f]?\."", """"))"),"")</f>
        <v/>
      </c>
      <c r="I696" s="91" t="str">
        <f>IFERROR(__xludf.DUMMYFUNCTION("TRIM(REGEXREPLACE(E696, ""[0-9]+[a-f]?\."", """"))"),"")</f>
        <v/>
      </c>
      <c r="J696" s="91" t="str">
        <f t="shared" ref="J696:J697" si="525">F696 &amp; ". " &amp;G696</f>
        <v>236. Questions about remittances</v>
      </c>
      <c r="K696" s="91" t="str">
        <f t="shared" ref="K696:K697" si="526">F696 &amp; ". " &amp;H696</f>
        <v>236. </v>
      </c>
      <c r="L696" s="91" t="str">
        <f t="shared" ref="L696:L697" si="527">F696 &amp; ". " &amp;I696</f>
        <v>236. </v>
      </c>
    </row>
    <row r="697" hidden="1">
      <c r="A697" s="104" t="s">
        <v>139</v>
      </c>
      <c r="B697" s="141" t="s">
        <v>4542</v>
      </c>
      <c r="C697" s="31"/>
      <c r="D697" s="31"/>
      <c r="E697" s="31"/>
      <c r="F697" s="89">
        <v>237.0</v>
      </c>
      <c r="G697" s="91" t="str">
        <f>IFERROR(__xludf.DUMMYFUNCTION("TRIM(REGEXREPLACE(C697, ""[0-9]+[a-f]?\."", """"))"),"")</f>
        <v/>
      </c>
      <c r="H697" s="91" t="str">
        <f>IFERROR(__xludf.DUMMYFUNCTION("TRIM(REGEXREPLACE(D697, ""[0-9]+[a-f]?\."", """"))"),"")</f>
        <v/>
      </c>
      <c r="I697" s="91" t="str">
        <f>IFERROR(__xludf.DUMMYFUNCTION("TRIM(REGEXREPLACE(E697, ""[0-9]+[a-f]?\."", """"))"),"")</f>
        <v/>
      </c>
      <c r="J697" s="91" t="str">
        <f t="shared" si="525"/>
        <v>237. </v>
      </c>
      <c r="K697" s="91" t="str">
        <f t="shared" si="526"/>
        <v>237. </v>
      </c>
      <c r="L697" s="91" t="str">
        <f t="shared" si="527"/>
        <v>237. </v>
      </c>
    </row>
    <row r="698" hidden="1">
      <c r="A698" s="122" t="s">
        <v>150</v>
      </c>
      <c r="B698" s="123" t="s">
        <v>4543</v>
      </c>
      <c r="C698" s="31" t="s">
        <v>4544</v>
      </c>
      <c r="D698" s="31" t="s">
        <v>4545</v>
      </c>
      <c r="E698" s="31" t="s">
        <v>4546</v>
      </c>
      <c r="F698" s="89">
        <v>400.0</v>
      </c>
      <c r="G698" s="91" t="str">
        <f>IFERROR(__xludf.DUMMYFUNCTION("TRIM(REGEXREPLACE(C698, ""[0-9]+[a-f]?\."", """"))"),"Improvements")</f>
        <v>Improvements</v>
      </c>
      <c r="H698" s="91" t="str">
        <f>IFERROR(__xludf.DUMMYFUNCTION("TRIM(REGEXREPLACE(D698, ""[0-9]+[a-f]?\."", """"))"),"Améliorations")</f>
        <v>Améliorations</v>
      </c>
      <c r="I698" s="91" t="str">
        <f>IFERROR(__xludf.DUMMYFUNCTION("TRIM(REGEXREPLACE(E698, ""[0-9]+[a-f]?\."", """"))"),"Ingantawa")</f>
        <v>Ingantawa</v>
      </c>
      <c r="J698" s="91" t="s">
        <v>4547</v>
      </c>
      <c r="K698" s="91" t="s">
        <v>4548</v>
      </c>
      <c r="L698" s="91" t="s">
        <v>4549</v>
      </c>
    </row>
    <row r="699">
      <c r="A699" s="81" t="s">
        <v>338</v>
      </c>
      <c r="B699" s="142" t="s">
        <v>4550</v>
      </c>
      <c r="C699" s="31" t="s">
        <v>4551</v>
      </c>
      <c r="D699" s="31" t="s">
        <v>4552</v>
      </c>
      <c r="E699" s="31" t="s">
        <v>4553</v>
      </c>
      <c r="F699" s="89">
        <v>406.0</v>
      </c>
      <c r="G699" s="91" t="str">
        <f>IFERROR(__xludf.DUMMYFUNCTION("TRIM(REGEXREPLACE(C699, ""[0-9]+[a-f]?\."", """"))"),"In the past six months did your household make a significant investment or improvement in the house you reside in?")</f>
        <v>In the past six months did your household make a significant investment or improvement in the house you reside in?</v>
      </c>
      <c r="H699" s="91" t="str">
        <f>IFERROR(__xludf.DUMMYFUNCTION("TRIM(REGEXREPLACE(D699, ""[0-9]+[a-f]?\."", """"))"),"Au cours des six derniers mois, votre ménage a-t-il réalisé un investissement ou une amélioration significative dans la maison que vous occupez ?")</f>
        <v>Au cours des six derniers mois, votre ménage a-t-il réalisé un investissement ou une amélioration significative dans la maison que vous occupez ?</v>
      </c>
      <c r="I699" s="91" t="str">
        <f>IFERROR(__xludf.DUMMYFUNCTION("TRIM(REGEXREPLACE(E699, ""[0-9]+[a-f]?\."", """"))"),"A cikin watanni shida da suka gabata, an yi wasu kashe kashen kuɗi don gyara gidan ku wanda kuke zaune a ciki?")</f>
        <v>A cikin watanni shida da suka gabata, an yi wasu kashe kashen kuɗi don gyara gidan ku wanda kuke zaune a ciki?</v>
      </c>
      <c r="J699" s="91" t="str">
        <f t="shared" ref="J699:J704" si="529">F699&amp;". "&amp;G699</f>
        <v>406. In the past six months did your household make a significant investment or improvement in the house you reside in?</v>
      </c>
      <c r="K699" s="91" t="str">
        <f t="shared" ref="K699:L699" si="528">$F699&amp;". "&amp;H699</f>
        <v>406. Au cours des six derniers mois, votre ménage a-t-il réalisé un investissement ou une amélioration significative dans la maison que vous occupez ?</v>
      </c>
      <c r="L699" s="91" t="str">
        <f t="shared" si="528"/>
        <v>406. A cikin watanni shida da suka gabata, an yi wasu kashe kashen kuɗi don gyara gidan ku wanda kuke zaune a ciki?</v>
      </c>
    </row>
    <row r="700">
      <c r="A700" s="81" t="s">
        <v>338</v>
      </c>
      <c r="B700" s="142" t="s">
        <v>4554</v>
      </c>
      <c r="C700" s="31" t="s">
        <v>4555</v>
      </c>
      <c r="D700" s="31" t="s">
        <v>4556</v>
      </c>
      <c r="E700" s="31" t="s">
        <v>4557</v>
      </c>
      <c r="F700" s="89">
        <v>407.0</v>
      </c>
      <c r="G700" s="91" t="str">
        <f>IFERROR(__xludf.DUMMYFUNCTION("TRIM(REGEXREPLACE(C700, ""[0-9]+[a-f]?\."", """"))"),"Build additional rooms")</f>
        <v>Build additional rooms</v>
      </c>
      <c r="H700" s="91" t="str">
        <f>IFERROR(__xludf.DUMMYFUNCTION("TRIM(REGEXREPLACE(D700, ""[0-9]+[a-f]?\."", """"))"),"Construire des chambres supplémentaires")</f>
        <v>Construire des chambres supplémentaires</v>
      </c>
      <c r="I700" s="91" t="str">
        <f>IFERROR(__xludf.DUMMYFUNCTION("TRIM(REGEXREPLACE(E700, ""[0-9]+[a-f]?\."", """"))"),"Ginin ƙarin ɗakuna")</f>
        <v>Ginin ƙarin ɗakuna</v>
      </c>
      <c r="J700" s="91" t="str">
        <f t="shared" si="529"/>
        <v>407. Build additional rooms</v>
      </c>
      <c r="K700" s="91" t="str">
        <f t="shared" ref="K700:L700" si="530">$F700&amp;". "&amp;H700</f>
        <v>407. Construire des chambres supplémentaires</v>
      </c>
      <c r="L700" s="91" t="str">
        <f t="shared" si="530"/>
        <v>407. Ginin ƙarin ɗakuna</v>
      </c>
    </row>
    <row r="701">
      <c r="A701" s="81" t="s">
        <v>338</v>
      </c>
      <c r="B701" s="142" t="s">
        <v>4560</v>
      </c>
      <c r="C701" s="31" t="s">
        <v>4561</v>
      </c>
      <c r="D701" s="31" t="s">
        <v>4562</v>
      </c>
      <c r="E701" s="31" t="s">
        <v>4563</v>
      </c>
      <c r="F701" s="89">
        <v>408.0</v>
      </c>
      <c r="G701" s="91" t="str">
        <f>IFERROR(__xludf.DUMMYFUNCTION("TRIM(REGEXREPLACE(C701, ""[0-9]+[a-f]?\."", """"))"),"Improve floors")</f>
        <v>Improve floors</v>
      </c>
      <c r="H701" s="91" t="str">
        <f>IFERROR(__xludf.DUMMYFUNCTION("TRIM(REGEXREPLACE(D701, ""[0-9]+[a-f]?\."", """"))"),"Améliorer les sols")</f>
        <v>Améliorer les sols</v>
      </c>
      <c r="I701" s="91" t="str">
        <f>IFERROR(__xludf.DUMMYFUNCTION("TRIM(REGEXREPLACE(E701, ""[0-9]+[a-f]?\."", """"))"),"Inganta filalayen gida")</f>
        <v>Inganta filalayen gida</v>
      </c>
      <c r="J701" s="91" t="str">
        <f t="shared" si="529"/>
        <v>408. Improve floors</v>
      </c>
      <c r="K701" s="91" t="str">
        <f t="shared" ref="K701:L701" si="531">$F701&amp;". "&amp;H701</f>
        <v>408. Améliorer les sols</v>
      </c>
      <c r="L701" s="91" t="str">
        <f t="shared" si="531"/>
        <v>408. Inganta filalayen gida</v>
      </c>
    </row>
    <row r="702">
      <c r="A702" s="81" t="s">
        <v>338</v>
      </c>
      <c r="B702" s="142" t="s">
        <v>4565</v>
      </c>
      <c r="C702" s="31" t="s">
        <v>4566</v>
      </c>
      <c r="D702" s="31" t="s">
        <v>4567</v>
      </c>
      <c r="E702" s="31" t="s">
        <v>4569</v>
      </c>
      <c r="F702" s="89">
        <v>409.0</v>
      </c>
      <c r="G702" s="91" t="str">
        <f>IFERROR(__xludf.DUMMYFUNCTION("TRIM(REGEXREPLACE(C702, ""[0-9]+[a-f]?\."", """"))"),"Improve walls")</f>
        <v>Improve walls</v>
      </c>
      <c r="H702" s="91" t="str">
        <f>IFERROR(__xludf.DUMMYFUNCTION("TRIM(REGEXREPLACE(D702, ""[0-9]+[a-f]?\."", """"))"),"Réfectionner les murs")</f>
        <v>Réfectionner les murs</v>
      </c>
      <c r="I702" s="91" t="str">
        <f>IFERROR(__xludf.DUMMYFUNCTION("TRIM(REGEXREPLACE(E702, ""[0-9]+[a-f]?\."", """"))"),"gyara katangun gida")</f>
        <v>gyara katangun gida</v>
      </c>
      <c r="J702" s="91" t="str">
        <f t="shared" si="529"/>
        <v>409. Improve walls</v>
      </c>
      <c r="K702" s="91" t="str">
        <f t="shared" ref="K702:L702" si="532">$F702&amp;". "&amp;H702</f>
        <v>409. Réfectionner les murs</v>
      </c>
      <c r="L702" s="91" t="str">
        <f t="shared" si="532"/>
        <v>409. gyara katangun gida</v>
      </c>
    </row>
    <row r="703">
      <c r="A703" s="81" t="s">
        <v>338</v>
      </c>
      <c r="B703" s="142" t="s">
        <v>4571</v>
      </c>
      <c r="C703" s="31" t="s">
        <v>4572</v>
      </c>
      <c r="D703" s="31" t="s">
        <v>4573</v>
      </c>
      <c r="E703" s="31" t="s">
        <v>4574</v>
      </c>
      <c r="F703" s="89">
        <v>410.0</v>
      </c>
      <c r="G703" s="91" t="str">
        <f>IFERROR(__xludf.DUMMYFUNCTION("TRIM(REGEXREPLACE(C703, ""[0-9]+[a-f]?\."", """"))"),"Improve roof")</f>
        <v>Improve roof</v>
      </c>
      <c r="H703" s="91" t="str">
        <f>IFERROR(__xludf.DUMMYFUNCTION("TRIM(REGEXREPLACE(D703, ""[0-9]+[a-f]?\."", """"))"),"Réfectionner le toit")</f>
        <v>Réfectionner le toit</v>
      </c>
      <c r="I703" s="91" t="str">
        <f>IFERROR(__xludf.DUMMYFUNCTION("TRIM(REGEXREPLACE(E703, ""[0-9]+[a-f]?\."", """"))"),"gyara rufin gida")</f>
        <v>gyara rufin gida</v>
      </c>
      <c r="J703" s="91" t="str">
        <f t="shared" si="529"/>
        <v>410. Improve roof</v>
      </c>
      <c r="K703" s="91" t="str">
        <f t="shared" ref="K703:L703" si="533">$F703&amp;". "&amp;H703</f>
        <v>410. Réfectionner le toit</v>
      </c>
      <c r="L703" s="91" t="str">
        <f t="shared" si="533"/>
        <v>410. gyara rufin gida</v>
      </c>
    </row>
    <row r="704">
      <c r="A704" s="81" t="s">
        <v>338</v>
      </c>
      <c r="B704" s="142" t="s">
        <v>4577</v>
      </c>
      <c r="C704" s="31" t="s">
        <v>4578</v>
      </c>
      <c r="D704" s="31" t="s">
        <v>4579</v>
      </c>
      <c r="E704" s="31" t="s">
        <v>4580</v>
      </c>
      <c r="F704" s="89">
        <v>411.0</v>
      </c>
      <c r="G704" s="91" t="str">
        <f>IFERROR(__xludf.DUMMYFUNCTION("TRIM(REGEXREPLACE(C704, ""[0-9]+[a-f]?\."", """"))"),"Other improvement")</f>
        <v>Other improvement</v>
      </c>
      <c r="H704" s="91" t="str">
        <f>IFERROR(__xludf.DUMMYFUNCTION("TRIM(REGEXREPLACE(D704, ""[0-9]+[a-f]?\."", """"))"),"Autre amélioration")</f>
        <v>Autre amélioration</v>
      </c>
      <c r="I704" s="91" t="str">
        <f>IFERROR(__xludf.DUMMYFUNCTION("TRIM(REGEXREPLACE(E704, ""[0-9]+[a-f]?\."", """"))"),"Wasu gyare gyare daban")</f>
        <v>Wasu gyare gyare daban</v>
      </c>
      <c r="J704" s="91" t="str">
        <f t="shared" si="529"/>
        <v>411. Other improvement</v>
      </c>
      <c r="K704" s="91" t="str">
        <f t="shared" ref="K704:L704" si="534">$F704&amp;". "&amp;H704</f>
        <v>411. Autre amélioration</v>
      </c>
      <c r="L704" s="91" t="str">
        <f t="shared" si="534"/>
        <v>411. Wasu gyare gyare daban</v>
      </c>
    </row>
    <row r="705" hidden="1">
      <c r="A705" s="122" t="s">
        <v>236</v>
      </c>
      <c r="B705" s="153" t="s">
        <v>4543</v>
      </c>
      <c r="C705" s="31" t="s">
        <v>4544</v>
      </c>
      <c r="D705" s="31" t="s">
        <v>4545</v>
      </c>
      <c r="E705" s="31" t="s">
        <v>4546</v>
      </c>
      <c r="F705" s="89">
        <v>402.0</v>
      </c>
      <c r="G705" s="91" t="str">
        <f>IFERROR(__xludf.DUMMYFUNCTION("TRIM(REGEXREPLACE(C705, ""[0-9]+[a-f]?\."", """"))"),"Improvements")</f>
        <v>Improvements</v>
      </c>
      <c r="H705" s="91" t="str">
        <f>IFERROR(__xludf.DUMMYFUNCTION("TRIM(REGEXREPLACE(D705, ""[0-9]+[a-f]?\."", """"))"),"Améliorations")</f>
        <v>Améliorations</v>
      </c>
      <c r="I705" s="91" t="str">
        <f>IFERROR(__xludf.DUMMYFUNCTION("TRIM(REGEXREPLACE(E705, ""[0-9]+[a-f]?\."", """"))"),"Ingantawa")</f>
        <v>Ingantawa</v>
      </c>
      <c r="J705" s="91" t="s">
        <v>4584</v>
      </c>
      <c r="K705" s="91" t="s">
        <v>4585</v>
      </c>
      <c r="L705" s="91" t="s">
        <v>4586</v>
      </c>
    </row>
    <row r="706">
      <c r="A706" s="133" t="s">
        <v>214</v>
      </c>
      <c r="B706" s="143" t="s">
        <v>4587</v>
      </c>
      <c r="C706" s="31" t="s">
        <v>4588</v>
      </c>
      <c r="D706" s="31" t="s">
        <v>4589</v>
      </c>
      <c r="E706" s="31" t="s">
        <v>4590</v>
      </c>
      <c r="F706" s="89">
        <v>412.0</v>
      </c>
      <c r="G706" s="91" t="str">
        <f>IFERROR(__xludf.DUMMYFUNCTION("TRIM(REGEXREPLACE(C706, ""[0-9]+[a-f]?\."", """"))"),"Specify other improvement (i.e. connect to electricity, build latrine)")</f>
        <v>Specify other improvement (i.e. connect to electricity, build latrine)</v>
      </c>
      <c r="H706" s="91" t="str">
        <f>IFERROR(__xludf.DUMMYFUNCTION("TRIM(REGEXREPLACE(D706, ""[0-9]+[a-f]?\."", """"))"),"Précisez les autres améliorations (c.-à-d. connecter de l'électricité, construire des latrines)")</f>
        <v>Précisez les autres améliorations (c.-à-d. connecter de l'électricité, construire des latrines)</v>
      </c>
      <c r="I706" s="91" t="str">
        <f>IFERROR(__xludf.DUMMYFUNCTION("TRIM(REGEXREPLACE(E706, ""[0-9]+[a-f]?\."", """"))"),"Baiyana wasu abubuwan ingantawa (kamar sa wutar lantarki, gina salga (masai ) )")</f>
        <v>Baiyana wasu abubuwan ingantawa (kamar sa wutar lantarki, gina salga (masai ) )</v>
      </c>
      <c r="J706" s="91" t="str">
        <f t="shared" ref="J706:J711" si="536">F706&amp;". "&amp;G706</f>
        <v>412. Specify other improvement (i.e. connect to electricity, build latrine)</v>
      </c>
      <c r="K706" s="91" t="str">
        <f t="shared" ref="K706:L706" si="535">$F706&amp;". "&amp;H706</f>
        <v>412. Précisez les autres améliorations (c.-à-d. connecter de l'électricité, construire des latrines)</v>
      </c>
      <c r="L706" s="91" t="str">
        <f t="shared" si="535"/>
        <v>412. Baiyana wasu abubuwan ingantawa (kamar sa wutar lantarki, gina salga (masai ) )</v>
      </c>
    </row>
    <row r="707">
      <c r="A707" s="146" t="s">
        <v>237</v>
      </c>
      <c r="B707" s="147" t="s">
        <v>4593</v>
      </c>
      <c r="C707" s="31" t="s">
        <v>4594</v>
      </c>
      <c r="D707" s="31" t="s">
        <v>4595</v>
      </c>
      <c r="E707" s="31" t="s">
        <v>4596</v>
      </c>
      <c r="F707" s="89">
        <v>413.0</v>
      </c>
      <c r="G707" s="91" t="str">
        <f>IFERROR(__xludf.DUMMYFUNCTION("TRIM(REGEXREPLACE(C707, ""[0-9]+[a-f]?\."", """"))"),"Approximately how much did all of these investments together cost in CFA?")</f>
        <v>Approximately how much did all of these investments together cost in CFA?</v>
      </c>
      <c r="H707" s="91" t="str">
        <f>IFERROR(__xludf.DUMMYFUNCTION("TRIM(REGEXREPLACE(D707, ""[0-9]+[a-f]?\."", """"))"),"Combien ont coûté approximativement tous ces investissements (en CFA) ?")</f>
        <v>Combien ont coûté approximativement tous ces investissements (en CFA) ?</v>
      </c>
      <c r="I707" s="91" t="str">
        <f>IFERROR(__xludf.DUMMYFUNCTION("TRIM(REGEXREPLACE(E707, ""[0-9]+[a-f]?\."", """"))"),"Aƙalla nawa aka kashe akan waɗannan ayyukan a sefa?")</f>
        <v>Aƙalla nawa aka kashe akan waɗannan ayyukan a sefa?</v>
      </c>
      <c r="J707" s="91" t="str">
        <f t="shared" si="536"/>
        <v>413. Approximately how much did all of these investments together cost in CFA?</v>
      </c>
      <c r="K707" s="91" t="str">
        <f t="shared" ref="K707:L707" si="537">$F707&amp;". "&amp;H707</f>
        <v>413. Combien ont coûté approximativement tous ces investissements (en CFA) ?</v>
      </c>
      <c r="L707" s="91" t="str">
        <f t="shared" si="537"/>
        <v>413. Aƙalla nawa aka kashe akan waɗannan ayyukan a sefa?</v>
      </c>
    </row>
    <row r="708">
      <c r="A708" s="81" t="s">
        <v>338</v>
      </c>
      <c r="B708" s="142" t="s">
        <v>4600</v>
      </c>
      <c r="C708" s="31" t="s">
        <v>4601</v>
      </c>
      <c r="D708" s="31" t="s">
        <v>4602</v>
      </c>
      <c r="E708" s="31" t="s">
        <v>4603</v>
      </c>
      <c r="F708" s="89">
        <v>414.0</v>
      </c>
      <c r="G708" s="91" t="str">
        <f>IFERROR(__xludf.DUMMYFUNCTION("TRIM(REGEXREPLACE(C708, ""[0-9]+[a-f]?\."", """"))"),"In the past six months did you make any investments in your non-agricultural business?")</f>
        <v>In the past six months did you make any investments in your non-agricultural business?</v>
      </c>
      <c r="H708" s="91" t="str">
        <f>IFERROR(__xludf.DUMMYFUNCTION("TRIM(REGEXREPLACE(D708, ""[0-9]+[a-f]?\."", """"))"),"Au cours des six derniers mois, avez-vous investi dans votre entreprise non agricole ?")</f>
        <v>Au cours des six derniers mois, avez-vous investi dans votre entreprise non agricole ?</v>
      </c>
      <c r="I708" s="91" t="str">
        <f>IFERROR(__xludf.DUMMYFUNCTION("TRIM(REGEXREPLACE(E708, ""[0-9]+[a-f]?\."", """"))"),"A cikin watanni shida da suka gabata kun saka wani jari a cikin kasuwancin ku wanda ba na noma ba?")</f>
        <v>A cikin watanni shida da suka gabata kun saka wani jari a cikin kasuwancin ku wanda ba na noma ba?</v>
      </c>
      <c r="J708" s="91" t="str">
        <f t="shared" si="536"/>
        <v>414. In the past six months did you make any investments in your non-agricultural business?</v>
      </c>
      <c r="K708" s="91" t="str">
        <f t="shared" ref="K708:L708" si="538">$F708&amp;". "&amp;H708</f>
        <v>414. Au cours des six derniers mois, avez-vous investi dans votre entreprise non agricole ?</v>
      </c>
      <c r="L708" s="91" t="str">
        <f t="shared" si="538"/>
        <v>414. A cikin watanni shida da suka gabata kun saka wani jari a cikin kasuwancin ku wanda ba na noma ba?</v>
      </c>
    </row>
    <row r="709">
      <c r="A709" s="133" t="s">
        <v>214</v>
      </c>
      <c r="B709" s="143" t="s">
        <v>4604</v>
      </c>
      <c r="C709" s="31" t="s">
        <v>4605</v>
      </c>
      <c r="D709" s="31" t="s">
        <v>4606</v>
      </c>
      <c r="E709" s="31" t="s">
        <v>4607</v>
      </c>
      <c r="F709" s="89">
        <v>415.0</v>
      </c>
      <c r="G709" s="91" t="str">
        <f>IFERROR(__xludf.DUMMYFUNCTION("TRIM(REGEXREPLACE(C709, ""[0-9]+[a-f]?\."", """"))"),"Specify the improvement to your business")</f>
        <v>Specify the improvement to your business</v>
      </c>
      <c r="H709" s="91" t="str">
        <f>IFERROR(__xludf.DUMMYFUNCTION("TRIM(REGEXREPLACE(D709, ""[0-9]+[a-f]?\."", """"))"),"Précisez les investissements que vous avez fait dans votre entreprise")</f>
        <v>Précisez les investissements que vous avez fait dans votre entreprise</v>
      </c>
      <c r="I709" s="91" t="str">
        <f>IFERROR(__xludf.DUMMYFUNCTION("TRIM(REGEXREPLACE(E709, ""[0-9]+[a-f]?\."", """"))"),"Ku bayyana kuɗin da kuka kashe don haɓɓaka kasuwancin ku")</f>
        <v>Ku bayyana kuɗin da kuka kashe don haɓɓaka kasuwancin ku</v>
      </c>
      <c r="J709" s="91" t="str">
        <f t="shared" si="536"/>
        <v>415. Specify the improvement to your business</v>
      </c>
      <c r="K709" s="91" t="str">
        <f t="shared" ref="K709:L709" si="539">$F709&amp;". "&amp;H709</f>
        <v>415. Précisez les investissements que vous avez fait dans votre entreprise</v>
      </c>
      <c r="L709" s="91" t="str">
        <f t="shared" si="539"/>
        <v>415. Ku bayyana kuɗin da kuka kashe don haɓɓaka kasuwancin ku</v>
      </c>
    </row>
    <row r="710">
      <c r="A710" s="81" t="s">
        <v>338</v>
      </c>
      <c r="B710" s="142" t="s">
        <v>4609</v>
      </c>
      <c r="C710" s="31" t="s">
        <v>4610</v>
      </c>
      <c r="D710" s="31" t="s">
        <v>4611</v>
      </c>
      <c r="E710" s="31" t="s">
        <v>4612</v>
      </c>
      <c r="F710" s="89">
        <v>416.0</v>
      </c>
      <c r="G710" s="91" t="str">
        <f>IFERROR(__xludf.DUMMYFUNCTION("TRIM(REGEXREPLACE(C710, ""[0-9]+[a-f]?\."", """"))"),"In the past six months did you make any investments to improve the productivity of your land?")</f>
        <v>In the past six months did you make any investments to improve the productivity of your land?</v>
      </c>
      <c r="H710" s="91" t="str">
        <f>IFERROR(__xludf.DUMMYFUNCTION("TRIM(REGEXREPLACE(D710, ""[0-9]+[a-f]?\."", """"))"),"Au cours des six derniers mois, avez-vous investi pour améliorer la productivité de vos terres ?")</f>
        <v>Au cours des six derniers mois, avez-vous investi pour améliorer la productivité de vos terres ?</v>
      </c>
      <c r="I710" s="91" t="str">
        <f>IFERROR(__xludf.DUMMYFUNCTION("TRIM(REGEXREPLACE(E710, ""[0-9]+[a-f]?\."", """"))"),"A cikin watanni shida da suka gabata kun yi wasu kashe kashen kuɗi don inganta samun amfani a gonakin ku?")</f>
        <v>A cikin watanni shida da suka gabata kun yi wasu kashe kashen kuɗi don inganta samun amfani a gonakin ku?</v>
      </c>
      <c r="J710" s="91" t="str">
        <f t="shared" si="536"/>
        <v>416. In the past six months did you make any investments to improve the productivity of your land?</v>
      </c>
      <c r="K710" s="91" t="str">
        <f t="shared" ref="K710:L710" si="540">$F710&amp;". "&amp;H710</f>
        <v>416. Au cours des six derniers mois, avez-vous investi pour améliorer la productivité de vos terres ?</v>
      </c>
      <c r="L710" s="91" t="str">
        <f t="shared" si="540"/>
        <v>416. A cikin watanni shida da suka gabata kun yi wasu kashe kashen kuɗi don inganta samun amfani a gonakin ku?</v>
      </c>
    </row>
    <row r="711">
      <c r="A711" s="133" t="s">
        <v>214</v>
      </c>
      <c r="B711" s="143" t="s">
        <v>4614</v>
      </c>
      <c r="C711" s="31" t="s">
        <v>4616</v>
      </c>
      <c r="D711" s="31" t="s">
        <v>4618</v>
      </c>
      <c r="E711" s="31" t="s">
        <v>4620</v>
      </c>
      <c r="F711" s="89">
        <v>417.0</v>
      </c>
      <c r="G711" s="91" t="str">
        <f>IFERROR(__xludf.DUMMYFUNCTION("TRIM(REGEXREPLACE(C711, ""[0-9]+[a-f]?\."", """"))"),"Specify improvement to land")</f>
        <v>Specify improvement to land</v>
      </c>
      <c r="H711" s="91" t="str">
        <f>IFERROR(__xludf.DUMMYFUNCTION("TRIM(REGEXREPLACE(D711, ""[0-9]+[a-f]?\."", """"))"),"Précisez les améliorations de votre terre que vous avez fait")</f>
        <v>Précisez les améliorations de votre terre que vous avez fait</v>
      </c>
      <c r="I711" s="91" t="str">
        <f>IFERROR(__xludf.DUMMYFUNCTION("TRIM(REGEXREPLACE(E711, ""[0-9]+[a-f]?\."", """"))"),"Ku bayyana kuɗin da kuka kashe don haɓɓaka gonarku")</f>
        <v>Ku bayyana kuɗin da kuka kashe don haɓɓaka gonarku</v>
      </c>
      <c r="J711" s="91" t="str">
        <f t="shared" si="536"/>
        <v>417. Specify improvement to land</v>
      </c>
      <c r="K711" s="91" t="str">
        <f t="shared" ref="K711:L711" si="541">$F711&amp;". "&amp;H711</f>
        <v>417. Précisez les améliorations de votre terre que vous avez fait</v>
      </c>
      <c r="L711" s="91" t="str">
        <f t="shared" si="541"/>
        <v>417. Ku bayyana kuɗin da kuka kashe don haɓɓaka gonarku</v>
      </c>
    </row>
    <row r="712" hidden="1">
      <c r="A712" s="104" t="s">
        <v>139</v>
      </c>
      <c r="B712" s="141" t="s">
        <v>4621</v>
      </c>
      <c r="C712" s="31"/>
      <c r="D712" s="31"/>
      <c r="E712" s="31"/>
      <c r="F712" s="89">
        <v>419.0</v>
      </c>
      <c r="G712" s="91" t="str">
        <f>IFERROR(__xludf.DUMMYFUNCTION("TRIM(REGEXREPLACE(C712, ""[0-9]+[a-f]?\."", """"))"),"")</f>
        <v/>
      </c>
      <c r="H712" s="91" t="str">
        <f>IFERROR(__xludf.DUMMYFUNCTION("TRIM(REGEXREPLACE(D712, ""[0-9]+[a-f]?\."", """"))"),"")</f>
        <v/>
      </c>
      <c r="I712" s="91" t="str">
        <f>IFERROR(__xludf.DUMMYFUNCTION("TRIM(REGEXREPLACE(E712, ""[0-9]+[a-f]?\."", """"))"),"")</f>
        <v/>
      </c>
      <c r="J712" s="91" t="s">
        <v>4622</v>
      </c>
      <c r="K712" s="91" t="s">
        <v>4623</v>
      </c>
      <c r="L712" s="91" t="s">
        <v>4624</v>
      </c>
    </row>
    <row r="713" hidden="1">
      <c r="A713" s="67" t="s">
        <v>108</v>
      </c>
      <c r="B713" s="69" t="s">
        <v>4625</v>
      </c>
      <c r="C713" s="31"/>
      <c r="D713" s="31"/>
      <c r="E713" s="31"/>
    </row>
    <row r="714" hidden="1">
      <c r="A714" s="104" t="s">
        <v>139</v>
      </c>
      <c r="B714" s="141" t="s">
        <v>4629</v>
      </c>
      <c r="C714" s="31"/>
      <c r="D714" s="31"/>
      <c r="E714" s="31"/>
      <c r="F714" s="89">
        <v>420.0</v>
      </c>
      <c r="G714" s="91" t="str">
        <f>IFERROR(__xludf.DUMMYFUNCTION("TRIM(REGEXREPLACE(C714, ""[0-9]+[a-f]?\."", """"))"),"")</f>
        <v/>
      </c>
      <c r="H714" s="91" t="str">
        <f>IFERROR(__xludf.DUMMYFUNCTION("TRIM(REGEXREPLACE(D714, ""[0-9]+[a-f]?\."", """"))"),"")</f>
        <v/>
      </c>
      <c r="I714" s="91" t="str">
        <f>IFERROR(__xludf.DUMMYFUNCTION("TRIM(REGEXREPLACE(E714, ""[0-9]+[a-f]?\."", """"))"),"")</f>
        <v/>
      </c>
      <c r="J714" s="91" t="s">
        <v>4630</v>
      </c>
      <c r="K714" s="91" t="s">
        <v>4631</v>
      </c>
      <c r="L714" s="91" t="s">
        <v>4632</v>
      </c>
    </row>
    <row r="715">
      <c r="A715" s="126" t="s">
        <v>42</v>
      </c>
      <c r="B715" s="127" t="s">
        <v>4633</v>
      </c>
      <c r="C715" s="31" t="s">
        <v>4634</v>
      </c>
      <c r="D715" s="31" t="s">
        <v>4635</v>
      </c>
      <c r="E715" s="31" t="s">
        <v>4637</v>
      </c>
      <c r="F715" s="89">
        <v>418.0</v>
      </c>
      <c r="G715" s="91" t="str">
        <f>IFERROR(__xludf.DUMMYFUNCTION("TRIM(REGEXREPLACE(C715, ""[0-9]+[a-f]?\."", """"))"),"Now I will ask you about different ways your household may use money that you earn.")</f>
        <v>Now I will ask you about different ways your household may use money that you earn.</v>
      </c>
      <c r="H715" s="91" t="str">
        <f>IFERROR(__xludf.DUMMYFUNCTION("TRIM(REGEXREPLACE(D715, ""[0-9]+[a-f]?\."", """"))"),"Je vais maintenant vous poser des questions sur les différentes façons dont votre ménage peut utiliser l'argent que vous gagnez.")</f>
        <v>Je vais maintenant vous poser des questions sur les différentes façons dont votre ménage peut utiliser l'argent que vous gagnez.</v>
      </c>
      <c r="I715" s="91" t="str">
        <f>IFERROR(__xludf.DUMMYFUNCTION("TRIM(REGEXREPLACE(E715, ""[0-9]+[a-f]?\."", """"))"),"Yanzu zan yi muku tambayoyi game hanyoyi daban-daban da gidanku ke iya amfani da su don kashe kuɗin da yake samu.")</f>
        <v>Yanzu zan yi muku tambayoyi game hanyoyi daban-daban da gidanku ke iya amfani da su don kashe kuɗin da yake samu.</v>
      </c>
      <c r="J715" s="91" t="str">
        <f t="shared" ref="J715:J717" si="543">F715&amp;". "&amp;G715</f>
        <v>418. Now I will ask you about different ways your household may use money that you earn.</v>
      </c>
      <c r="K715" s="91" t="str">
        <f t="shared" ref="K715:L715" si="542">$F715&amp;". "&amp;H715</f>
        <v>418. Je vais maintenant vous poser des questions sur les différentes façons dont votre ménage peut utiliser l'argent que vous gagnez.</v>
      </c>
      <c r="L715" s="91" t="str">
        <f t="shared" si="542"/>
        <v>418. Yanzu zan yi muku tambayoyi game hanyoyi daban-daban da gidanku ke iya amfani da su don kashe kuɗin da yake samu.</v>
      </c>
    </row>
    <row r="716">
      <c r="A716" s="81" t="s">
        <v>637</v>
      </c>
      <c r="B716" s="142" t="s">
        <v>4642</v>
      </c>
      <c r="C716" s="31" t="s">
        <v>4643</v>
      </c>
      <c r="D716" s="31" t="s">
        <v>4644</v>
      </c>
      <c r="E716" s="31" t="s">
        <v>4645</v>
      </c>
      <c r="F716" s="89">
        <v>419.0</v>
      </c>
      <c r="G716" s="91" t="str">
        <f>IFERROR(__xludf.DUMMYFUNCTION("TRIM(REGEXREPLACE(C716, ""[0-9]+[a-f]?\."", """"))"),"Does your household currently have any savings that you keep in any of the following ways?")</f>
        <v>Does your household currently have any savings that you keep in any of the following ways?</v>
      </c>
      <c r="H716" s="91" t="str">
        <f>IFERROR(__xludf.DUMMYFUNCTION("TRIM(REGEXREPLACE(D716, ""[0-9]+[a-f]?\."", """"))"),"Votre ménage dispose-t-il actuellement d'économies que vous conservez de l'une des manières suivantes ?")</f>
        <v>Votre ménage dispose-t-il actuellement d'économies que vous conservez de l'une des manières suivantes ?</v>
      </c>
      <c r="I716" s="91" t="str">
        <f>IFERROR(__xludf.DUMMYFUNCTION("TRIM(REGEXREPLACE(E716, ""[0-9]+[a-f]?\."", """"))"),"Ko a halin yanzu gidanku na da ajiyar kuɗi daga ɗaya a cikin wanɗannan dubaru?")</f>
        <v>Ko a halin yanzu gidanku na da ajiyar kuɗi daga ɗaya a cikin wanɗannan dubaru?</v>
      </c>
      <c r="J716" s="91" t="str">
        <f t="shared" si="543"/>
        <v>419. Does your household currently have any savings that you keep in any of the following ways?</v>
      </c>
      <c r="K716" s="91" t="str">
        <f t="shared" ref="K716:L716" si="544">$F716&amp;". "&amp;H716</f>
        <v>419. Votre ménage dispose-t-il actuellement d'économies que vous conservez de l'une des manières suivantes ?</v>
      </c>
      <c r="L716" s="91" t="str">
        <f t="shared" si="544"/>
        <v>419. Ko a halin yanzu gidanku na da ajiyar kuɗi daga ɗaya a cikin wanɗannan dubaru?</v>
      </c>
    </row>
    <row r="717">
      <c r="A717" s="133" t="s">
        <v>214</v>
      </c>
      <c r="B717" s="143" t="s">
        <v>4648</v>
      </c>
      <c r="C717" s="31" t="s">
        <v>4650</v>
      </c>
      <c r="D717" s="31" t="s">
        <v>4651</v>
      </c>
      <c r="E717" s="31" t="s">
        <v>4652</v>
      </c>
      <c r="F717" s="89">
        <v>420.0</v>
      </c>
      <c r="G717" s="91" t="str">
        <f>IFERROR(__xludf.DUMMYFUNCTION("TRIM(REGEXREPLACE(C717, ""[0-9]+[a-f]?\."", """"))"),"Specify other:")</f>
        <v>Specify other:</v>
      </c>
      <c r="H717" s="91" t="str">
        <f>IFERROR(__xludf.DUMMYFUNCTION("TRIM(REGEXREPLACE(D717, ""[0-9]+[a-f]?\."", """"))"),"Autre a préciser :")</f>
        <v>Autre a préciser :</v>
      </c>
      <c r="I717" s="91" t="str">
        <f>IFERROR(__xludf.DUMMYFUNCTION("TRIM(REGEXREPLACE(E717, ""[0-9]+[a-f]?\."", """"))"),"Baiyana wani abu daban:")</f>
        <v>Baiyana wani abu daban:</v>
      </c>
      <c r="J717" s="91" t="str">
        <f t="shared" si="543"/>
        <v>420. Specify other:</v>
      </c>
      <c r="K717" s="91" t="str">
        <f t="shared" ref="K717:L717" si="545">$F717&amp;". "&amp;H717</f>
        <v>420. Autre a préciser :</v>
      </c>
      <c r="L717" s="91" t="str">
        <f t="shared" si="545"/>
        <v>420. Baiyana wani abu daban:</v>
      </c>
    </row>
    <row r="718" hidden="1">
      <c r="A718" s="144" t="s">
        <v>648</v>
      </c>
      <c r="B718" s="145" t="s">
        <v>4655</v>
      </c>
      <c r="C718" s="31" t="s">
        <v>650</v>
      </c>
      <c r="D718" s="31" t="s">
        <v>651</v>
      </c>
      <c r="E718" s="31" t="s">
        <v>653</v>
      </c>
      <c r="F718" s="89">
        <v>412.0</v>
      </c>
      <c r="G718" s="91" t="str">
        <f>IFERROR(__xludf.DUMMYFUNCTION("TRIM(REGEXREPLACE(C718, ""[0-9]+[a-f]?\."", """"))"),"Savings Amount")</f>
        <v>Savings Amount</v>
      </c>
      <c r="H718" s="91" t="str">
        <f>IFERROR(__xludf.DUMMYFUNCTION("TRIM(REGEXREPLACE(D718, ""[0-9]+[a-f]?\."", """"))"),"Montant de l'épargne")</f>
        <v>Montant de l'épargne</v>
      </c>
      <c r="I718" s="91" t="str">
        <f>IFERROR(__xludf.DUMMYFUNCTION("TRIM(REGEXREPLACE(E718, ""[0-9]+[a-f]?\."", """"))"),"Yawan kuɗin ajiye")</f>
        <v>Yawan kuɗin ajiye</v>
      </c>
      <c r="J718" s="91" t="s">
        <v>4656</v>
      </c>
      <c r="K718" s="91" t="s">
        <v>4657</v>
      </c>
      <c r="L718" s="91" t="s">
        <v>4658</v>
      </c>
    </row>
    <row r="719" hidden="1">
      <c r="A719" s="104" t="s">
        <v>108</v>
      </c>
      <c r="B719" s="105" t="s">
        <v>4659</v>
      </c>
      <c r="C719" s="31"/>
      <c r="D719" s="31"/>
      <c r="E719" s="31"/>
      <c r="F719" s="89">
        <v>413.0</v>
      </c>
      <c r="G719" s="91" t="str">
        <f>IFERROR(__xludf.DUMMYFUNCTION("TRIM(REGEXREPLACE(C719, ""[0-9]+[a-f]?\."", """"))"),"")</f>
        <v/>
      </c>
      <c r="H719" s="91" t="str">
        <f>IFERROR(__xludf.DUMMYFUNCTION("TRIM(REGEXREPLACE(D719, ""[0-9]+[a-f]?\."", """"))"),"")</f>
        <v/>
      </c>
      <c r="I719" s="91" t="str">
        <f>IFERROR(__xludf.DUMMYFUNCTION("TRIM(REGEXREPLACE(E719, ""[0-9]+[a-f]?\."", """"))"),"")</f>
        <v/>
      </c>
      <c r="J719" s="91" t="s">
        <v>4662</v>
      </c>
      <c r="K719" s="91" t="s">
        <v>4663</v>
      </c>
      <c r="L719" s="91" t="s">
        <v>4664</v>
      </c>
    </row>
    <row r="720" hidden="1">
      <c r="A720" s="104" t="s">
        <v>108</v>
      </c>
      <c r="B720" s="105" t="s">
        <v>4665</v>
      </c>
      <c r="C720" s="31" t="s">
        <v>659</v>
      </c>
      <c r="D720" s="31" t="s">
        <v>660</v>
      </c>
      <c r="E720" s="31" t="s">
        <v>4666</v>
      </c>
      <c r="F720" s="89">
        <v>414.0</v>
      </c>
      <c r="G720" s="91" t="str">
        <f>IFERROR(__xludf.DUMMYFUNCTION("TRIM(REGEXREPLACE(C720, ""[0-9]+[a-f]?\."", """"))"),"Savings Type Name")</f>
        <v>Savings Type Name</v>
      </c>
      <c r="H720" s="91" t="str">
        <f>IFERROR(__xludf.DUMMYFUNCTION("TRIM(REGEXREPLACE(D720, ""[0-9]+[a-f]?\."", """"))"),"Nom du type d'épargne")</f>
        <v>Nom du type d'épargne</v>
      </c>
      <c r="I720" s="91" t="str">
        <f>IFERROR(__xludf.DUMMYFUNCTION("TRIM(REGEXREPLACE(E720, ""[0-9]+[a-f]?\."", """"))"),"Sunan irin tanadi")</f>
        <v>Sunan irin tanadi</v>
      </c>
      <c r="J720" s="91" t="s">
        <v>4668</v>
      </c>
      <c r="K720" s="91" t="s">
        <v>4669</v>
      </c>
      <c r="L720" s="91" t="s">
        <v>4670</v>
      </c>
    </row>
    <row r="721">
      <c r="A721" s="146" t="s">
        <v>237</v>
      </c>
      <c r="B721" s="147" t="s">
        <v>4672</v>
      </c>
      <c r="C721" s="31" t="s">
        <v>4674</v>
      </c>
      <c r="D721" s="31" t="s">
        <v>4675</v>
      </c>
      <c r="E721" s="31" t="s">
        <v>4676</v>
      </c>
      <c r="F721" s="89">
        <v>421.0</v>
      </c>
      <c r="G721" s="91" t="str">
        <f>IFERROR(__xludf.DUMMYFUNCTION("TRIM(REGEXREPLACE(C721, ""[0-9]+[a-f]?\."", """"))"),"Please share with us your best estimate of the value in CFA ${hoh_savings_name}")</f>
        <v>Please share with us your best estimate of the value in CFA ${hoh_savings_name}</v>
      </c>
      <c r="H721" s="91" t="str">
        <f>IFERROR(__xludf.DUMMYFUNCTION("TRIM(REGEXREPLACE(D721, ""[0-9]+[a-f]?\."", """"))"),"Veuillez nous dire votre meilleure estimation de la valeur en CFA ${hoh_savings_name}")</f>
        <v>Veuillez nous dire votre meilleure estimation de la valeur en CFA ${hoh_savings_name}</v>
      </c>
      <c r="I721" s="91" t="str">
        <f>IFERROR(__xludf.DUMMYFUNCTION("TRIM(REGEXREPLACE(E721, ""[0-9]+[a-f]?\."", """"))"),"Da fatan zaku baiyana mini yawan kuɗin a tsammaninku ${hoh_savings_name} a CFA")</f>
        <v>Da fatan zaku baiyana mini yawan kuɗin a tsammaninku ${hoh_savings_name} a CFA</v>
      </c>
      <c r="J721" s="91" t="str">
        <f t="shared" ref="J721:J722" si="547">F721&amp;". "&amp;G721</f>
        <v>421. Please share with us your best estimate of the value in CFA ${hoh_savings_name}</v>
      </c>
      <c r="K721" s="91" t="str">
        <f t="shared" ref="K721:L721" si="546">$F721&amp;". "&amp;H721</f>
        <v>421. Veuillez nous dire votre meilleure estimation de la valeur en CFA ${hoh_savings_name}</v>
      </c>
      <c r="L721" s="91" t="str">
        <f t="shared" si="546"/>
        <v>421. Da fatan zaku baiyana mini yawan kuɗin a tsammaninku ${hoh_savings_name} a CFA</v>
      </c>
    </row>
    <row r="722">
      <c r="A722" s="81" t="s">
        <v>338</v>
      </c>
      <c r="B722" s="142" t="s">
        <v>4679</v>
      </c>
      <c r="C722" s="31" t="s">
        <v>4680</v>
      </c>
      <c r="D722" s="31" t="s">
        <v>4681</v>
      </c>
      <c r="E722" s="31" t="s">
        <v>4682</v>
      </c>
      <c r="F722" s="89">
        <v>422.0</v>
      </c>
      <c r="G722" s="91" t="str">
        <f>IFERROR(__xludf.DUMMYFUNCTION("TRIM(REGEXREPLACE(C722, ""[0-9]+[a-f]?\."", """"))"),"Do you earn interest on this money ${hoh_savings_name}?")</f>
        <v>Do you earn interest on this money ${hoh_savings_name}?</v>
      </c>
      <c r="H722" s="91" t="str">
        <f>IFERROR(__xludf.DUMMYFUNCTION("TRIM(REGEXREPLACE(D722, ""[0-9]+[a-f]?\."", """"))"),"Gagnez-vous des intérêts sur cet argent ${hoh_savings_name} ?")</f>
        <v>Gagnez-vous des intérêts sur cet argent ${hoh_savings_name} ?</v>
      </c>
      <c r="I722" s="91" t="str">
        <f>IFERROR(__xludf.DUMMYFUNCTION("TRIM(REGEXREPLACE(E722, ""[0-9]+[a-f]?\."", """"))"),"Kuna samun kudin ruwa akan wannan kuɗin ${hoh_savings_name}?")</f>
        <v>Kuna samun kudin ruwa akan wannan kuɗin ${hoh_savings_name}?</v>
      </c>
      <c r="J722" s="91" t="str">
        <f t="shared" si="547"/>
        <v>422. Do you earn interest on this money ${hoh_savings_name}?</v>
      </c>
      <c r="K722" s="91" t="str">
        <f t="shared" ref="K722:L722" si="548">$F722&amp;". "&amp;H722</f>
        <v>422. Gagnez-vous des intérêts sur cet argent ${hoh_savings_name} ?</v>
      </c>
      <c r="L722" s="91" t="str">
        <f t="shared" si="548"/>
        <v>422. Kuna samun kudin ruwa akan wannan kuɗin ${hoh_savings_name}?</v>
      </c>
    </row>
    <row r="723" hidden="1">
      <c r="A723" s="144" t="s">
        <v>691</v>
      </c>
      <c r="B723" s="150" t="s">
        <v>4655</v>
      </c>
      <c r="C723" s="31" t="s">
        <v>650</v>
      </c>
      <c r="D723" s="31" t="s">
        <v>651</v>
      </c>
      <c r="E723" s="31" t="s">
        <v>653</v>
      </c>
      <c r="F723" s="89">
        <v>243.0</v>
      </c>
      <c r="G723" s="91" t="str">
        <f>IFERROR(__xludf.DUMMYFUNCTION("TRIM(REGEXREPLACE(C723, ""[0-9]+[a-f]?\."", """"))"),"Savings Amount")</f>
        <v>Savings Amount</v>
      </c>
      <c r="H723" s="91" t="str">
        <f>IFERROR(__xludf.DUMMYFUNCTION("TRIM(REGEXREPLACE(D723, ""[0-9]+[a-f]?\."", """"))"),"Montant de l'épargne")</f>
        <v>Montant de l'épargne</v>
      </c>
      <c r="I723" s="91" t="str">
        <f>IFERROR(__xludf.DUMMYFUNCTION("TRIM(REGEXREPLACE(E723, ""[0-9]+[a-f]?\."", """"))"),"Yawan kuɗin ajiye")</f>
        <v>Yawan kuɗin ajiye</v>
      </c>
      <c r="J723" s="91" t="str">
        <f t="shared" ref="J723:J725" si="549">F723 &amp; ". " &amp;G723</f>
        <v>243. Savings Amount</v>
      </c>
      <c r="K723" s="91" t="str">
        <f t="shared" ref="K723:K725" si="550">F723 &amp; ". " &amp;H723</f>
        <v>243. Montant de l'épargne</v>
      </c>
      <c r="L723" s="91" t="str">
        <f t="shared" ref="L723:L725" si="551">F723 &amp; ". " &amp;I723</f>
        <v>243. Yawan kuɗin ajiye</v>
      </c>
    </row>
    <row r="724" hidden="1">
      <c r="A724" s="104" t="s">
        <v>139</v>
      </c>
      <c r="B724" s="141" t="s">
        <v>4689</v>
      </c>
      <c r="C724" s="31"/>
      <c r="D724" s="31"/>
      <c r="E724" s="31"/>
      <c r="F724" s="89">
        <v>244.0</v>
      </c>
      <c r="G724" s="91" t="str">
        <f>IFERROR(__xludf.DUMMYFUNCTION("TRIM(REGEXREPLACE(C724, ""[0-9]+[a-f]?\."", """"))"),"")</f>
        <v/>
      </c>
      <c r="H724" s="91" t="str">
        <f>IFERROR(__xludf.DUMMYFUNCTION("TRIM(REGEXREPLACE(D724, ""[0-9]+[a-f]?\."", """"))"),"")</f>
        <v/>
      </c>
      <c r="I724" s="91" t="str">
        <f>IFERROR(__xludf.DUMMYFUNCTION("TRIM(REGEXREPLACE(E724, ""[0-9]+[a-f]?\."", """"))"),"")</f>
        <v/>
      </c>
      <c r="J724" s="91" t="str">
        <f t="shared" si="549"/>
        <v>244. </v>
      </c>
      <c r="K724" s="91" t="str">
        <f t="shared" si="550"/>
        <v>244. </v>
      </c>
      <c r="L724" s="91" t="str">
        <f t="shared" si="551"/>
        <v>244. </v>
      </c>
    </row>
    <row r="725" hidden="1">
      <c r="A725" s="67" t="s">
        <v>108</v>
      </c>
      <c r="B725" s="69" t="s">
        <v>4691</v>
      </c>
      <c r="C725" s="31"/>
      <c r="D725" s="31"/>
      <c r="E725" s="31"/>
      <c r="F725" s="89">
        <v>245.0</v>
      </c>
      <c r="G725" s="91" t="str">
        <f>IFERROR(__xludf.DUMMYFUNCTION("TRIM(REGEXREPLACE(C725, ""[0-9]+[a-f]?\."", """"))"),"")</f>
        <v/>
      </c>
      <c r="H725" s="91" t="str">
        <f>IFERROR(__xludf.DUMMYFUNCTION("TRIM(REGEXREPLACE(D725, ""[0-9]+[a-f]?\."", """"))"),"")</f>
        <v/>
      </c>
      <c r="I725" s="91" t="str">
        <f>IFERROR(__xludf.DUMMYFUNCTION("TRIM(REGEXREPLACE(E725, ""[0-9]+[a-f]?\."", """"))"),"")</f>
        <v/>
      </c>
      <c r="J725" s="91" t="str">
        <f t="shared" si="549"/>
        <v>245. </v>
      </c>
      <c r="K725" s="91" t="str">
        <f t="shared" si="550"/>
        <v>245. </v>
      </c>
      <c r="L725" s="91" t="str">
        <f t="shared" si="551"/>
        <v>245. </v>
      </c>
    </row>
    <row r="726" hidden="1">
      <c r="A726" s="104" t="s">
        <v>108</v>
      </c>
      <c r="B726" s="105" t="s">
        <v>4693</v>
      </c>
      <c r="C726" s="31"/>
      <c r="D726" s="31"/>
      <c r="E726" s="31"/>
      <c r="F726" s="89">
        <v>426.0</v>
      </c>
      <c r="G726" s="91" t="str">
        <f>IFERROR(__xludf.DUMMYFUNCTION("TRIM(REGEXREPLACE(C726, ""[0-9]+[a-f]?\."", """"))"),"")</f>
        <v/>
      </c>
      <c r="H726" s="91" t="str">
        <f>IFERROR(__xludf.DUMMYFUNCTION("TRIM(REGEXREPLACE(D726, ""[0-9]+[a-f]?\."", """"))"),"")</f>
        <v/>
      </c>
      <c r="I726" s="91" t="str">
        <f>IFERROR(__xludf.DUMMYFUNCTION("TRIM(REGEXREPLACE(E726, ""[0-9]+[a-f]?\."", """"))"),"")</f>
        <v/>
      </c>
      <c r="J726" s="91" t="s">
        <v>4695</v>
      </c>
      <c r="K726" s="91" t="s">
        <v>4696</v>
      </c>
      <c r="L726" s="91" t="s">
        <v>4697</v>
      </c>
    </row>
    <row r="727">
      <c r="A727" s="81" t="s">
        <v>338</v>
      </c>
      <c r="B727" s="142" t="s">
        <v>4698</v>
      </c>
      <c r="C727" s="31" t="s">
        <v>4699</v>
      </c>
      <c r="D727" s="31" t="s">
        <v>4701</v>
      </c>
      <c r="E727" s="31" t="s">
        <v>4703</v>
      </c>
      <c r="F727" s="89">
        <v>423.0</v>
      </c>
      <c r="G727" s="91" t="str">
        <f>IFERROR(__xludf.DUMMYFUNCTION("TRIM(REGEXREPLACE(C727, ""[0-9]+[a-f]?\."", """"))"),"Total savings: ${hoh_savings_total}: Does this look correct?")</f>
        <v>Total savings: ${hoh_savings_total}: Does this look correct?</v>
      </c>
      <c r="H727" s="91" t="str">
        <f>IFERROR(__xludf.DUMMYFUNCTION("TRIM(REGEXREPLACE(D727, ""[0-9]+[a-f]?\."", """"))"),"Économies totales : ${hoh_savings_total} : cela vous semble correct ?")</f>
        <v>Économies totales : ${hoh_savings_total} : cela vous semble correct ?</v>
      </c>
      <c r="I727" s="91" t="str">
        <f>IFERROR(__xludf.DUMMYFUNCTION("TRIM(REGEXREPLACE(E727, ""[0-9]+[a-f]?\."", """"))"),"Jimillar ajiya: ${hoh_savings_total}: kuna ganin ​​wannan yayi daidai?")</f>
        <v>Jimillar ajiya: ${hoh_savings_total}: kuna ganin ​​wannan yayi daidai?</v>
      </c>
      <c r="J727" s="91" t="str">
        <f>F727&amp;". "&amp;G727</f>
        <v>423. Total savings: ${hoh_savings_total}: Does this look correct?</v>
      </c>
      <c r="K727" s="91" t="str">
        <f t="shared" ref="K727:L727" si="552">$F727&amp;". "&amp;H727</f>
        <v>423. Économies totales : ${hoh_savings_total} : cela vous semble correct ?</v>
      </c>
      <c r="L727" s="91" t="str">
        <f t="shared" si="552"/>
        <v>423. Jimillar ajiya: ${hoh_savings_total}: kuna ganin ​​wannan yayi daidai?</v>
      </c>
    </row>
    <row r="728" hidden="1">
      <c r="A728" s="81"/>
      <c r="B728" s="142"/>
      <c r="C728" s="31"/>
      <c r="D728" s="31"/>
      <c r="E728" s="31"/>
    </row>
    <row r="729">
      <c r="A729" s="81" t="s">
        <v>1394</v>
      </c>
      <c r="B729" s="142" t="s">
        <v>4706</v>
      </c>
      <c r="C729" s="31" t="s">
        <v>4707</v>
      </c>
      <c r="D729" s="31" t="s">
        <v>4708</v>
      </c>
      <c r="E729" s="31" t="s">
        <v>4709</v>
      </c>
      <c r="F729" s="89">
        <v>424.0</v>
      </c>
      <c r="G729" s="91" t="str">
        <f>IFERROR(__xludf.DUMMYFUNCTION("TRIM(REGEXREPLACE(C729, ""[0-9]+[a-f]?\."", """"))"),"During ${period}, was your household negatively affected by any of the following types of events?")</f>
        <v>During ${period}, was your household negatively affected by any of the following types of events?</v>
      </c>
      <c r="H729" s="91" t="str">
        <f>IFERROR(__xludf.DUMMYFUNCTION("TRIM(REGEXREPLACE(D729, ""[0-9]+[a-f]?\."", """"))"),"Au cours de ${period_french}, votre ménage a-t-il été affecté négativement par l'un des types d'événements suivants ?")</f>
        <v>Au cours de ${period_french}, votre ménage a-t-il été affecté négativement par l'un des types d'événements suivants ?</v>
      </c>
      <c r="I729" s="91" t="str">
        <f>IFERROR(__xludf.DUMMYFUNCTION("TRIM(REGEXREPLACE(E729, ""[0-9]+[a-f]?\."", """"))"),"A lokacin ${period_hausa}, ko gidanku ya fuskanci wani daga cikin matsaloli nan masu zuwa? Zaɓi duk abin da ya dace")</f>
        <v>A lokacin ${period_hausa}, ko gidanku ya fuskanci wani daga cikin matsaloli nan masu zuwa? Zaɓi duk abin da ya dace</v>
      </c>
      <c r="J729" s="91" t="str">
        <f t="shared" ref="J729:J730" si="554">F729&amp;". "&amp;G729</f>
        <v>424. During ${period}, was your household negatively affected by any of the following types of events?</v>
      </c>
      <c r="K729" s="91" t="str">
        <f t="shared" ref="K729:L729" si="553">$F729&amp;". "&amp;H729</f>
        <v>424. Au cours de ${period_french}, votre ménage a-t-il été affecté négativement par l'un des types d'événements suivants ?</v>
      </c>
      <c r="L729" s="91" t="str">
        <f t="shared" si="553"/>
        <v>424. A lokacin ${period_hausa}, ko gidanku ya fuskanci wani daga cikin matsaloli nan masu zuwa? Zaɓi duk abin da ya dace</v>
      </c>
    </row>
    <row r="730">
      <c r="A730" s="133" t="s">
        <v>214</v>
      </c>
      <c r="B730" s="143" t="s">
        <v>4710</v>
      </c>
      <c r="C730" s="31" t="s">
        <v>4711</v>
      </c>
      <c r="D730" s="31" t="s">
        <v>4712</v>
      </c>
      <c r="E730" s="31" t="s">
        <v>4713</v>
      </c>
      <c r="F730" s="89">
        <v>425.0</v>
      </c>
      <c r="G730" s="91" t="str">
        <f>IFERROR(__xludf.DUMMYFUNCTION("TRIM(REGEXREPLACE(C730, ""[0-9]+[a-f]?\."", """"))"),"Please briefly describe the event(s) that negatveily affected your household")</f>
        <v>Please briefly describe the event(s) that negatveily affected your household</v>
      </c>
      <c r="H730" s="91" t="str">
        <f>IFERROR(__xludf.DUMMYFUNCTION("TRIM(REGEXREPLACE(D730, ""[0-9]+[a-f]?\."", """"))"),"Veuillez décrire brièvement le/les événement(s) qui ont eu des effets négatifs sur votre ménage au cours des 3 derniers mois")</f>
        <v>Veuillez décrire brièvement le/les événement(s) qui ont eu des effets négatifs sur votre ménage au cours des 3 derniers mois</v>
      </c>
      <c r="I730" s="91" t="str">
        <f>IFERROR(__xludf.DUMMYFUNCTION("TRIM(REGEXREPLACE(E730, ""[0-9]+[a-f]?\."", """"))"),"Da fatan za ku yi taƙaitaccen bayani a kan abin da ya shafi gidan ku")</f>
        <v>Da fatan za ku yi taƙaitaccen bayani a kan abin da ya shafi gidan ku</v>
      </c>
      <c r="J730" s="91" t="str">
        <f t="shared" si="554"/>
        <v>425. Please briefly describe the event(s) that negatveily affected your household</v>
      </c>
      <c r="K730" s="91" t="str">
        <f t="shared" ref="K730:L730" si="555">$F730&amp;". "&amp;H730</f>
        <v>425. Veuillez décrire brièvement le/les événement(s) qui ont eu des effets négatifs sur votre ménage au cours des 3 derniers mois</v>
      </c>
      <c r="L730" s="91" t="str">
        <f t="shared" si="555"/>
        <v>425. Da fatan za ku yi taƙaitaccen bayani a kan abin da ya shafi gidan ku</v>
      </c>
    </row>
    <row r="731" hidden="1">
      <c r="A731" s="104" t="s">
        <v>139</v>
      </c>
      <c r="B731" s="141" t="s">
        <v>4716</v>
      </c>
      <c r="C731" s="31"/>
      <c r="D731" s="31"/>
      <c r="E731" s="31"/>
      <c r="F731" s="89">
        <v>246.0</v>
      </c>
      <c r="G731" s="91" t="str">
        <f>IFERROR(__xludf.DUMMYFUNCTION("TRIM(REGEXREPLACE(C731, ""[0-9]+[a-f]?\."", """"))"),"")</f>
        <v/>
      </c>
      <c r="H731" s="91" t="str">
        <f>IFERROR(__xludf.DUMMYFUNCTION("TRIM(REGEXREPLACE(D731, ""[0-9]+[a-f]?\."", """"))"),"")</f>
        <v/>
      </c>
      <c r="I731" s="91" t="str">
        <f>IFERROR(__xludf.DUMMYFUNCTION("TRIM(REGEXREPLACE(E731, ""[0-9]+[a-f]?\."", """"))"),"")</f>
        <v/>
      </c>
      <c r="J731" s="91" t="str">
        <f>F731 &amp; ". " &amp;G731</f>
        <v>246. </v>
      </c>
      <c r="K731" s="91" t="str">
        <f>F731 &amp; ". " &amp;H731</f>
        <v>246. </v>
      </c>
      <c r="L731" s="91" t="str">
        <f>F731 &amp; ". " &amp;I731</f>
        <v>246. </v>
      </c>
    </row>
    <row r="732" hidden="1">
      <c r="A732" s="144" t="s">
        <v>648</v>
      </c>
      <c r="B732" s="145" t="s">
        <v>4717</v>
      </c>
      <c r="C732" s="31" t="s">
        <v>1418</v>
      </c>
      <c r="D732" s="31"/>
      <c r="E732" s="31"/>
    </row>
    <row r="733" hidden="1">
      <c r="A733" s="104" t="s">
        <v>108</v>
      </c>
      <c r="B733" s="105" t="s">
        <v>4718</v>
      </c>
      <c r="C733" s="31" t="s">
        <v>1432</v>
      </c>
      <c r="D733" s="31"/>
      <c r="E733" s="31"/>
    </row>
    <row r="734" hidden="1">
      <c r="A734" s="122" t="s">
        <v>150</v>
      </c>
      <c r="B734" s="123" t="s">
        <v>4719</v>
      </c>
      <c r="C734" s="31"/>
      <c r="D734" s="31"/>
      <c r="E734" s="31"/>
      <c r="F734" s="89">
        <v>421.0</v>
      </c>
      <c r="G734" s="91" t="str">
        <f>IFERROR(__xludf.DUMMYFUNCTION("TRIM(REGEXREPLACE(C734, ""[0-9]+[a-f]?\."", """"))"),"")</f>
        <v/>
      </c>
      <c r="H734" s="91" t="str">
        <f>IFERROR(__xludf.DUMMYFUNCTION("TRIM(REGEXREPLACE(D734, ""[0-9]+[a-f]?\."", """"))"),"")</f>
        <v/>
      </c>
      <c r="I734" s="91" t="str">
        <f>IFERROR(__xludf.DUMMYFUNCTION("TRIM(REGEXREPLACE(E734, ""[0-9]+[a-f]?\."", """"))"),"")</f>
        <v/>
      </c>
      <c r="J734" s="91" t="s">
        <v>4720</v>
      </c>
      <c r="K734" s="91" t="s">
        <v>4721</v>
      </c>
      <c r="L734" s="91" t="s">
        <v>4722</v>
      </c>
    </row>
    <row r="735">
      <c r="A735" s="81" t="s">
        <v>485</v>
      </c>
      <c r="B735" s="142" t="s">
        <v>4723</v>
      </c>
      <c r="C735" s="31" t="s">
        <v>4724</v>
      </c>
      <c r="D735" s="31" t="s">
        <v>4725</v>
      </c>
      <c r="E735" s="31" t="s">
        <v>4726</v>
      </c>
      <c r="F735" s="89">
        <v>426.0</v>
      </c>
      <c r="G735" s="91" t="str">
        <f>IFERROR(__xludf.DUMMYFUNCTION("TRIM(REGEXREPLACE(C735, ""[0-9]+[a-f]?\."", """"))"),"In response to ${hoh_emergency_name}, did you or your household take the following actions?")</f>
        <v>In response to ${hoh_emergency_name}, did you or your household take the following actions?</v>
      </c>
      <c r="H735" s="91" t="str">
        <f>IFERROR(__xludf.DUMMYFUNCTION("TRIM(REGEXREPLACE(D735, ""[0-9]+[a-f]?\."", """"))"),"En réponse à ${hoh_emergency_name}, avez-vous vous ou votre ménage pris les mesures suivantes ??")</f>
        <v>En réponse à ${hoh_emergency_name}, avez-vous vous ou votre ménage pris les mesures suivantes ??</v>
      </c>
      <c r="I735" s="91" t="str">
        <f>IFERROR(__xludf.DUMMYFUNCTION("TRIM(REGEXREPLACE(E735, ""[0-9]+[a-f]?\."", """"))"),"Dangance da ${hoh_emergency_name}, ku ko ƴan gindanku kun ɗauki waɗannan matakai?")</f>
        <v>Dangance da ${hoh_emergency_name}, ku ko ƴan gindanku kun ɗauki waɗannan matakai?</v>
      </c>
      <c r="J735" s="91" t="str">
        <f t="shared" ref="J735:J739" si="557">F735&amp;". "&amp;G735</f>
        <v>426. In response to ${hoh_emergency_name}, did you or your household take the following actions?</v>
      </c>
      <c r="K735" s="91" t="str">
        <f t="shared" ref="K735:L735" si="556">$F735&amp;". "&amp;H735</f>
        <v>426. En réponse à ${hoh_emergency_name}, avez-vous vous ou votre ménage pris les mesures suivantes ??</v>
      </c>
      <c r="L735" s="91" t="str">
        <f t="shared" si="556"/>
        <v>426. Dangance da ${hoh_emergency_name}, ku ko ƴan gindanku kun ɗauki waɗannan matakai?</v>
      </c>
    </row>
    <row r="736">
      <c r="A736" s="81" t="s">
        <v>485</v>
      </c>
      <c r="B736" s="142" t="s">
        <v>4729</v>
      </c>
      <c r="C736" s="31" t="s">
        <v>4730</v>
      </c>
      <c r="D736" s="31" t="s">
        <v>4731</v>
      </c>
      <c r="E736" s="31" t="s">
        <v>4732</v>
      </c>
      <c r="F736" s="89">
        <v>427.0</v>
      </c>
      <c r="G736" s="91" t="str">
        <f>IFERROR(__xludf.DUMMYFUNCTION("TRIM(REGEXREPLACE(C736, ""[0-9]+[a-f]?\."", """"))"),"Sell assets?")</f>
        <v>Sell assets?</v>
      </c>
      <c r="H736" s="91" t="str">
        <f>IFERROR(__xludf.DUMMYFUNCTION("TRIM(REGEXREPLACE(D736, ""[0-9]+[a-f]?\."", """"))"),"Vendre des actifs")</f>
        <v>Vendre des actifs</v>
      </c>
      <c r="I736" s="91" t="str">
        <f>IFERROR(__xludf.DUMMYFUNCTION("TRIM(REGEXREPLACE(E736, ""[0-9]+[a-f]?\."", """"))"),"Saida kadarori")</f>
        <v>Saida kadarori</v>
      </c>
      <c r="J736" s="91" t="str">
        <f t="shared" si="557"/>
        <v>427. Sell assets?</v>
      </c>
      <c r="K736" s="91" t="str">
        <f t="shared" ref="K736:L736" si="558">$F736&amp;". "&amp;H736</f>
        <v>427. Vendre des actifs</v>
      </c>
      <c r="L736" s="91" t="str">
        <f t="shared" si="558"/>
        <v>427. Saida kadarori</v>
      </c>
    </row>
    <row r="737">
      <c r="A737" s="81" t="s">
        <v>485</v>
      </c>
      <c r="B737" s="142" t="s">
        <v>4733</v>
      </c>
      <c r="C737" s="31" t="s">
        <v>4734</v>
      </c>
      <c r="D737" s="31" t="s">
        <v>4735</v>
      </c>
      <c r="E737" s="31" t="s">
        <v>4736</v>
      </c>
      <c r="F737" s="89">
        <v>428.0</v>
      </c>
      <c r="G737" s="91" t="str">
        <f>IFERROR(__xludf.DUMMYFUNCTION("TRIM(REGEXREPLACE(C737, ""[0-9]+[a-f]?\."", """"))"),"Borrow money?")</f>
        <v>Borrow money?</v>
      </c>
      <c r="H737" s="91" t="str">
        <f>IFERROR(__xludf.DUMMYFUNCTION("TRIM(REGEXREPLACE(D737, ""[0-9]+[a-f]?\."", """"))"),"Emprunter de l'argent")</f>
        <v>Emprunter de l'argent</v>
      </c>
      <c r="I737" s="91" t="str">
        <f>IFERROR(__xludf.DUMMYFUNCTION("TRIM(REGEXREPLACE(E737, ""[0-9]+[a-f]?\."", """"))"),"Bashin kuɗi")</f>
        <v>Bashin kuɗi</v>
      </c>
      <c r="J737" s="91" t="str">
        <f t="shared" si="557"/>
        <v>428. Borrow money?</v>
      </c>
      <c r="K737" s="91" t="str">
        <f t="shared" ref="K737:L737" si="559">$F737&amp;". "&amp;H737</f>
        <v>428. Emprunter de l'argent</v>
      </c>
      <c r="L737" s="91" t="str">
        <f t="shared" si="559"/>
        <v>428. Bashin kuɗi</v>
      </c>
    </row>
    <row r="738">
      <c r="A738" s="81" t="s">
        <v>485</v>
      </c>
      <c r="B738" s="142" t="s">
        <v>4737</v>
      </c>
      <c r="C738" s="31" t="s">
        <v>4738</v>
      </c>
      <c r="D738" s="31" t="s">
        <v>4739</v>
      </c>
      <c r="E738" s="31" t="s">
        <v>4740</v>
      </c>
      <c r="F738" s="89">
        <v>429.0</v>
      </c>
      <c r="G738" s="91" t="str">
        <f>IFERROR(__xludf.DUMMYFUNCTION("TRIM(REGEXREPLACE(C738, ""[0-9]+[a-f]?\."", """"))"),"Spend your savings?")</f>
        <v>Spend your savings?</v>
      </c>
      <c r="H738" s="91" t="str">
        <f>IFERROR(__xludf.DUMMYFUNCTION("TRIM(REGEXREPLACE(D738, ""[0-9]+[a-f]?\."", """"))"),"Utiliser votre épargne")</f>
        <v>Utiliser votre épargne</v>
      </c>
      <c r="I738" s="91" t="str">
        <f>IFERROR(__xludf.DUMMYFUNCTION("TRIM(REGEXREPLACE(E738, ""[0-9]+[a-f]?\."", """"))"),"Kashe kuɗin ajiyar ku")</f>
        <v>Kashe kuɗin ajiyar ku</v>
      </c>
      <c r="J738" s="91" t="str">
        <f t="shared" si="557"/>
        <v>429. Spend your savings?</v>
      </c>
      <c r="K738" s="91" t="str">
        <f t="shared" ref="K738:L738" si="560">$F738&amp;". "&amp;H738</f>
        <v>429. Utiliser votre épargne</v>
      </c>
      <c r="L738" s="91" t="str">
        <f t="shared" si="560"/>
        <v>429. Kashe kuɗin ajiyar ku</v>
      </c>
    </row>
    <row r="739">
      <c r="A739" s="81" t="s">
        <v>485</v>
      </c>
      <c r="B739" s="142" t="s">
        <v>4741</v>
      </c>
      <c r="C739" s="31" t="s">
        <v>4742</v>
      </c>
      <c r="D739" s="31" t="s">
        <v>4743</v>
      </c>
      <c r="E739" s="31" t="s">
        <v>4744</v>
      </c>
      <c r="F739" s="89">
        <v>430.0</v>
      </c>
      <c r="G739" s="91" t="str">
        <f>IFERROR(__xludf.DUMMYFUNCTION("TRIM(REGEXREPLACE(C739, ""[0-9]+[a-f]?\."", """"))"),"Reduce spending on food or change your food consumption?")</f>
        <v>Reduce spending on food or change your food consumption?</v>
      </c>
      <c r="H739" s="91" t="str">
        <f>IFERROR(__xludf.DUMMYFUNCTION("TRIM(REGEXREPLACE(D739, ""[0-9]+[a-f]?\."", """"))"),"Réduire les dépenses alimentaires ou changé des habitudes de consommation ?")</f>
        <v>Réduire les dépenses alimentaires ou changé des habitudes de consommation ?</v>
      </c>
      <c r="I739" s="91" t="str">
        <f>IFERROR(__xludf.DUMMYFUNCTION("TRIM(REGEXREPLACE(E739, ""[0-9]+[a-f]?\."", """"))"),"Rage kashe kuɗi akan abinci ko canza abincin?")</f>
        <v>Rage kashe kuɗi akan abinci ko canza abincin?</v>
      </c>
      <c r="J739" s="91" t="str">
        <f t="shared" si="557"/>
        <v>430. Reduce spending on food or change your food consumption?</v>
      </c>
      <c r="K739" s="91" t="str">
        <f t="shared" ref="K739:L739" si="561">$F739&amp;". "&amp;H739</f>
        <v>430. Réduire les dépenses alimentaires ou changé des habitudes de consommation ?</v>
      </c>
      <c r="L739" s="91" t="str">
        <f t="shared" si="561"/>
        <v>430. Rage kashe kuɗi akan abinci ko canza abincin?</v>
      </c>
    </row>
    <row r="740" hidden="1">
      <c r="A740" s="122" t="s">
        <v>236</v>
      </c>
      <c r="B740" s="153" t="s">
        <v>4719</v>
      </c>
      <c r="C740" s="31"/>
      <c r="D740" s="31"/>
      <c r="E740" s="31"/>
      <c r="F740" s="89">
        <v>428.0</v>
      </c>
      <c r="G740" s="91" t="str">
        <f>IFERROR(__xludf.DUMMYFUNCTION("TRIM(REGEXREPLACE(C740, ""[0-9]+[a-f]?\."", """"))"),"")</f>
        <v/>
      </c>
      <c r="H740" s="91" t="str">
        <f>IFERROR(__xludf.DUMMYFUNCTION("TRIM(REGEXREPLACE(D740, ""[0-9]+[a-f]?\."", """"))"),"")</f>
        <v/>
      </c>
      <c r="I740" s="91" t="str">
        <f>IFERROR(__xludf.DUMMYFUNCTION("TRIM(REGEXREPLACE(E740, ""[0-9]+[a-f]?\."", """"))"),"")</f>
        <v/>
      </c>
      <c r="J740" s="91" t="s">
        <v>4748</v>
      </c>
      <c r="K740" s="91" t="s">
        <v>4749</v>
      </c>
      <c r="L740" s="91" t="s">
        <v>4750</v>
      </c>
    </row>
    <row r="741" hidden="1">
      <c r="A741" s="122" t="s">
        <v>150</v>
      </c>
      <c r="B741" s="123" t="s">
        <v>4751</v>
      </c>
      <c r="C741" s="31"/>
      <c r="D741" s="31"/>
      <c r="E741" s="31"/>
      <c r="F741" s="89">
        <v>429.0</v>
      </c>
      <c r="G741" s="91" t="str">
        <f>IFERROR(__xludf.DUMMYFUNCTION("TRIM(REGEXREPLACE(C741, ""[0-9]+[a-f]?\."", """"))"),"")</f>
        <v/>
      </c>
      <c r="H741" s="91" t="str">
        <f>IFERROR(__xludf.DUMMYFUNCTION("TRIM(REGEXREPLACE(D741, ""[0-9]+[a-f]?\."", """"))"),"")</f>
        <v/>
      </c>
      <c r="I741" s="91" t="str">
        <f>IFERROR(__xludf.DUMMYFUNCTION("TRIM(REGEXREPLACE(E741, ""[0-9]+[a-f]?\."", """"))"),"")</f>
        <v/>
      </c>
      <c r="J741" s="91" t="s">
        <v>4752</v>
      </c>
      <c r="K741" s="91" t="s">
        <v>4753</v>
      </c>
      <c r="L741" s="91" t="s">
        <v>4754</v>
      </c>
    </row>
    <row r="742">
      <c r="A742" s="126" t="s">
        <v>42</v>
      </c>
      <c r="B742" s="127" t="s">
        <v>4755</v>
      </c>
      <c r="C742" s="31" t="s">
        <v>4756</v>
      </c>
      <c r="D742" s="31" t="s">
        <v>4757</v>
      </c>
      <c r="E742" s="31" t="s">
        <v>4758</v>
      </c>
      <c r="F742" s="89">
        <v>431.0</v>
      </c>
      <c r="G742" s="91" t="str">
        <f>IFERROR(__xludf.DUMMYFUNCTION("TRIM(REGEXREPLACE(C742, ""[0-9]+[a-f]?\."", """"))"),"For ${hoh_emergency_name}
 What was the value of the following in CFA?")</f>
        <v>For ${hoh_emergency_name}
 What was the value of the following in CFA?</v>
      </c>
      <c r="H742" s="91" t="str">
        <f>IFERROR(__xludf.DUMMYFUNCTION("TRIM(REGEXREPLACE(D742, ""[0-9]+[a-f]?\."", """"))"),"Par rapport à ${hoh_emergency_name}
 Quelle était la valeur des éléments suivantes en CFA?")</f>
        <v>Par rapport à ${hoh_emergency_name}
 Quelle était la valeur des éléments suivantes en CFA?</v>
      </c>
      <c r="I742" s="91" t="str">
        <f>IFERROR(__xludf.DUMMYFUNCTION("TRIM(REGEXREPLACE(E742, ""[0-9]+[a-f]?\."", """"))"),"Game da ${hoh_emergency_name}
 Nawa ne kimar waɗannan abubuwan a kuɗin CFA?")</f>
        <v>Game da ${hoh_emergency_name}
 Nawa ne kimar waɗannan abubuwan a kuɗin CFA?</v>
      </c>
      <c r="J742" s="91" t="str">
        <f t="shared" ref="J742:J745" si="563">F742&amp;". "&amp;G742</f>
        <v>431. For ${hoh_emergency_name}
 What was the value of the following in CFA?</v>
      </c>
      <c r="K742" s="91" t="str">
        <f t="shared" ref="K742:L742" si="562">$F742&amp;". "&amp;H742</f>
        <v>431. Par rapport à ${hoh_emergency_name}
 Quelle était la valeur des éléments suivantes en CFA?</v>
      </c>
      <c r="L742" s="91" t="str">
        <f t="shared" si="562"/>
        <v>431. Game da ${hoh_emergency_name}
 Nawa ne kimar waɗannan abubuwan a kuɗin CFA?</v>
      </c>
    </row>
    <row r="743">
      <c r="A743" s="146" t="s">
        <v>237</v>
      </c>
      <c r="B743" s="147" t="s">
        <v>4768</v>
      </c>
      <c r="C743" s="31" t="s">
        <v>4769</v>
      </c>
      <c r="D743" s="31" t="s">
        <v>4770</v>
      </c>
      <c r="E743" s="31" t="s">
        <v>4771</v>
      </c>
      <c r="F743" s="89">
        <v>432.0</v>
      </c>
      <c r="G743" s="91" t="str">
        <f>IFERROR(__xludf.DUMMYFUNCTION("TRIM(REGEXREPLACE(C743, ""[0-9]+[a-f]?\."", """"))"),"Assets you sold")</f>
        <v>Assets you sold</v>
      </c>
      <c r="H743" s="91" t="str">
        <f>IFERROR(__xludf.DUMMYFUNCTION("TRIM(REGEXREPLACE(D743, ""[0-9]+[a-f]?\."", """"))"),"Les actifs que vous avez vendus")</f>
        <v>Les actifs que vous avez vendus</v>
      </c>
      <c r="I743" s="91" t="str">
        <f>IFERROR(__xludf.DUMMYFUNCTION("TRIM(REGEXREPLACE(E743, ""[0-9]+[a-f]?\."", """"))"),"Kadarorin da kuka saida")</f>
        <v>Kadarorin da kuka saida</v>
      </c>
      <c r="J743" s="91" t="str">
        <f t="shared" si="563"/>
        <v>432. Assets you sold</v>
      </c>
      <c r="K743" s="91" t="str">
        <f t="shared" ref="K743:L743" si="564">$F743&amp;". "&amp;H743</f>
        <v>432. Les actifs que vous avez vendus</v>
      </c>
      <c r="L743" s="91" t="str">
        <f t="shared" si="564"/>
        <v>432. Kadarorin da kuka saida</v>
      </c>
    </row>
    <row r="744">
      <c r="A744" s="146" t="s">
        <v>237</v>
      </c>
      <c r="B744" s="147" t="s">
        <v>4772</v>
      </c>
      <c r="C744" s="31" t="s">
        <v>4773</v>
      </c>
      <c r="D744" s="31" t="s">
        <v>4774</v>
      </c>
      <c r="E744" s="31" t="s">
        <v>4775</v>
      </c>
      <c r="F744" s="89">
        <v>433.0</v>
      </c>
      <c r="G744" s="91" t="str">
        <f>IFERROR(__xludf.DUMMYFUNCTION("TRIM(REGEXREPLACE(C744, ""[0-9]+[a-f]?\."", """"))"),"Loan(s) you took")</f>
        <v>Loan(s) you took</v>
      </c>
      <c r="H744" s="91" t="str">
        <f>IFERROR(__xludf.DUMMYFUNCTION("TRIM(REGEXREPLACE(D744, ""[0-9]+[a-f]?\."", """"))"),"Les prêt(s) que vous avez contracté")</f>
        <v>Les prêt(s) que vous avez contracté</v>
      </c>
      <c r="I744" s="91" t="str">
        <f>IFERROR(__xludf.DUMMYFUNCTION("TRIM(REGEXREPLACE(E744, ""[0-9]+[a-f]?\."", """"))"),"Bashin da kuka ɗauka")</f>
        <v>Bashin da kuka ɗauka</v>
      </c>
      <c r="J744" s="91" t="str">
        <f t="shared" si="563"/>
        <v>433. Loan(s) you took</v>
      </c>
      <c r="K744" s="91" t="str">
        <f t="shared" ref="K744:L744" si="565">$F744&amp;". "&amp;H744</f>
        <v>433. Les prêt(s) que vous avez contracté</v>
      </c>
      <c r="L744" s="91" t="str">
        <f t="shared" si="565"/>
        <v>433. Bashin da kuka ɗauka</v>
      </c>
    </row>
    <row r="745">
      <c r="A745" s="146" t="s">
        <v>237</v>
      </c>
      <c r="B745" s="147" t="s">
        <v>4782</v>
      </c>
      <c r="C745" s="31" t="s">
        <v>4783</v>
      </c>
      <c r="D745" s="31" t="s">
        <v>4784</v>
      </c>
      <c r="E745" s="31" t="s">
        <v>4785</v>
      </c>
      <c r="F745" s="89">
        <v>434.0</v>
      </c>
      <c r="G745" s="91" t="str">
        <f>IFERROR(__xludf.DUMMYFUNCTION("TRIM(REGEXREPLACE(C745, ""[0-9]+[a-f]?\."", """"))"),"Savings you spent?")</f>
        <v>Savings you spent?</v>
      </c>
      <c r="H745" s="91" t="str">
        <f>IFERROR(__xludf.DUMMYFUNCTION("TRIM(REGEXREPLACE(D745, ""[0-9]+[a-f]?\."", """"))"),"L'épargne que vous avez utilisé")</f>
        <v>L'épargne que vous avez utilisé</v>
      </c>
      <c r="I745" s="91" t="str">
        <f>IFERROR(__xludf.DUMMYFUNCTION("TRIM(REGEXREPLACE(E745, ""[0-9]+[a-f]?\."", """"))"),"Ajiyar da kuka kashe")</f>
        <v>Ajiyar da kuka kashe</v>
      </c>
      <c r="J745" s="91" t="str">
        <f t="shared" si="563"/>
        <v>434. Savings you spent?</v>
      </c>
      <c r="K745" s="91" t="str">
        <f t="shared" ref="K745:L745" si="566">$F745&amp;". "&amp;H745</f>
        <v>434. L'épargne que vous avez utilisé</v>
      </c>
      <c r="L745" s="91" t="str">
        <f t="shared" si="566"/>
        <v>434. Ajiyar da kuka kashe</v>
      </c>
    </row>
    <row r="746" hidden="1">
      <c r="A746" s="122" t="s">
        <v>236</v>
      </c>
      <c r="B746" s="153" t="s">
        <v>4751</v>
      </c>
      <c r="C746" s="31"/>
      <c r="D746" s="31"/>
      <c r="E746" s="31"/>
      <c r="F746" s="89">
        <v>428.0</v>
      </c>
      <c r="G746" s="91" t="str">
        <f>IFERROR(__xludf.DUMMYFUNCTION("TRIM(REGEXREPLACE(C746, ""[0-9]+[a-f]?\."", """"))"),"")</f>
        <v/>
      </c>
      <c r="H746" s="91" t="str">
        <f>IFERROR(__xludf.DUMMYFUNCTION("TRIM(REGEXREPLACE(D746, ""[0-9]+[a-f]?\."", """"))"),"")</f>
        <v/>
      </c>
      <c r="I746" s="91" t="str">
        <f>IFERROR(__xludf.DUMMYFUNCTION("TRIM(REGEXREPLACE(E746, ""[0-9]+[a-f]?\."", """"))"),"")</f>
        <v/>
      </c>
      <c r="J746" s="91" t="s">
        <v>4791</v>
      </c>
      <c r="K746" s="91" t="s">
        <v>4792</v>
      </c>
      <c r="L746" s="91" t="s">
        <v>4793</v>
      </c>
    </row>
    <row r="747" hidden="1">
      <c r="A747" s="144" t="s">
        <v>691</v>
      </c>
      <c r="B747" s="150" t="s">
        <v>4717</v>
      </c>
      <c r="C747" s="31" t="s">
        <v>1418</v>
      </c>
      <c r="D747" s="31"/>
      <c r="E747" s="31"/>
      <c r="F747" s="89">
        <v>435.0</v>
      </c>
      <c r="G747" s="91" t="str">
        <f>IFERROR(__xludf.DUMMYFUNCTION("TRIM(REGEXREPLACE(C747, ""[0-9]+[a-f]?\."", """"))"),"Emergency response")</f>
        <v>Emergency response</v>
      </c>
      <c r="H747" s="91" t="str">
        <f>IFERROR(__xludf.DUMMYFUNCTION("TRIM(REGEXREPLACE(D747, ""[0-9]+[a-f]?\."", """"))"),"")</f>
        <v/>
      </c>
      <c r="I747" s="91" t="str">
        <f>IFERROR(__xludf.DUMMYFUNCTION("TRIM(REGEXREPLACE(E747, ""[0-9]+[a-f]?\."", """"))"),"")</f>
        <v/>
      </c>
      <c r="J747" s="91" t="s">
        <v>4794</v>
      </c>
      <c r="K747" s="91" t="s">
        <v>4795</v>
      </c>
      <c r="L747" s="91" t="s">
        <v>4796</v>
      </c>
    </row>
    <row r="748" hidden="1">
      <c r="A748" s="104" t="s">
        <v>139</v>
      </c>
      <c r="B748" s="141" t="s">
        <v>4797</v>
      </c>
      <c r="C748" s="31"/>
      <c r="D748" s="31"/>
      <c r="E748" s="31"/>
      <c r="F748" s="89">
        <v>436.0</v>
      </c>
      <c r="G748" s="91" t="str">
        <f>IFERROR(__xludf.DUMMYFUNCTION("TRIM(REGEXREPLACE(C748, ""[0-9]+[a-f]?\."", """"))"),"")</f>
        <v/>
      </c>
      <c r="H748" s="91" t="str">
        <f>IFERROR(__xludf.DUMMYFUNCTION("TRIM(REGEXREPLACE(D748, ""[0-9]+[a-f]?\."", """"))"),"")</f>
        <v/>
      </c>
      <c r="I748" s="91" t="str">
        <f>IFERROR(__xludf.DUMMYFUNCTION("TRIM(REGEXREPLACE(E748, ""[0-9]+[a-f]?\."", """"))"),"")</f>
        <v/>
      </c>
      <c r="J748" s="91" t="s">
        <v>4801</v>
      </c>
      <c r="K748" s="91" t="s">
        <v>4802</v>
      </c>
      <c r="L748" s="91" t="s">
        <v>4803</v>
      </c>
    </row>
    <row r="749" hidden="1">
      <c r="A749" s="67" t="s">
        <v>108</v>
      </c>
      <c r="B749" s="69" t="s">
        <v>4804</v>
      </c>
      <c r="C749" s="31"/>
      <c r="D749" s="31"/>
      <c r="E749" s="31"/>
      <c r="F749" s="89">
        <v>437.0</v>
      </c>
      <c r="G749" s="91" t="str">
        <f>IFERROR(__xludf.DUMMYFUNCTION("TRIM(REGEXREPLACE(C749, ""[0-9]+[a-f]?\."", """"))"),"")</f>
        <v/>
      </c>
      <c r="H749" s="91" t="str">
        <f>IFERROR(__xludf.DUMMYFUNCTION("TRIM(REGEXREPLACE(D749, ""[0-9]+[a-f]?\."", """"))"),"")</f>
        <v/>
      </c>
      <c r="I749" s="91" t="str">
        <f>IFERROR(__xludf.DUMMYFUNCTION("TRIM(REGEXREPLACE(E749, ""[0-9]+[a-f]?\."", """"))"),"")</f>
        <v/>
      </c>
      <c r="J749" s="91" t="s">
        <v>4805</v>
      </c>
      <c r="K749" s="91" t="s">
        <v>4806</v>
      </c>
      <c r="L749" s="91" t="s">
        <v>4807</v>
      </c>
    </row>
    <row r="750" hidden="1">
      <c r="A750" s="104" t="s">
        <v>139</v>
      </c>
      <c r="B750" s="141" t="s">
        <v>4808</v>
      </c>
      <c r="C750" s="31"/>
      <c r="D750" s="31"/>
      <c r="E750" s="31"/>
      <c r="F750" s="89">
        <v>438.0</v>
      </c>
      <c r="G750" s="91" t="str">
        <f>IFERROR(__xludf.DUMMYFUNCTION("TRIM(REGEXREPLACE(C750, ""[0-9]+[a-f]?\."", """"))"),"")</f>
        <v/>
      </c>
      <c r="H750" s="91" t="str">
        <f>IFERROR(__xludf.DUMMYFUNCTION("TRIM(REGEXREPLACE(D750, ""[0-9]+[a-f]?\."", """"))"),"")</f>
        <v/>
      </c>
      <c r="I750" s="91" t="str">
        <f>IFERROR(__xludf.DUMMYFUNCTION("TRIM(REGEXREPLACE(E750, ""[0-9]+[a-f]?\."", """"))"),"")</f>
        <v/>
      </c>
      <c r="J750" s="91" t="s">
        <v>4813</v>
      </c>
      <c r="K750" s="91" t="s">
        <v>4814</v>
      </c>
      <c r="L750" s="91" t="s">
        <v>4815</v>
      </c>
    </row>
    <row r="751">
      <c r="A751" s="126" t="s">
        <v>42</v>
      </c>
      <c r="B751" s="127" t="s">
        <v>4816</v>
      </c>
      <c r="C751" s="31" t="s">
        <v>4817</v>
      </c>
      <c r="D751" s="31" t="s">
        <v>4818</v>
      </c>
      <c r="E751" s="31" t="s">
        <v>4819</v>
      </c>
      <c r="F751" s="89">
        <v>435.0</v>
      </c>
      <c r="G751" s="91" t="str">
        <f>IFERROR(__xludf.DUMMYFUNCTION("TRIM(REGEXREPLACE(C751,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751" s="91" t="str">
        <f>IFERROR(__xludf.DUMMYFUNCTION("TRIM(REGEXREPLACE(D751,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751" s="91" t="str">
        <f>IFERROR(__xludf.DUMMYFUNCTION("TRIM(REGEXREPLACE(E751,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751" s="91" t="str">
        <f t="shared" ref="J751:J757" si="568">F751&amp;". "&amp;G751</f>
        <v>435. Now I would like to ask you about any money that you and your family owe to other people; money you have borrowed from people outside your household.</v>
      </c>
      <c r="K751" s="91" t="str">
        <f t="shared" ref="K751:L751" si="567">$F751&amp;". "&amp;H751</f>
        <v>435. Maintenant, je voudrais vous poser des questions sur l'argent que vous et votre ménage devez à d'autres personnes ; l'argent que vous avez emprunté à des personnes extérieures à votre ménage.</v>
      </c>
      <c r="L751" s="91" t="str">
        <f t="shared" si="567"/>
        <v>435. Yanzu ina son in tambaye ku game da duk wani kuɗin da ku da ƴan gidanku kuka ɗauko daga wajen wasu mutane; kuɗin da kuka aro daga mutane wanda ba ƴan gidanku ba.</v>
      </c>
    </row>
    <row r="752">
      <c r="A752" s="81" t="s">
        <v>485</v>
      </c>
      <c r="B752" s="142" t="s">
        <v>4823</v>
      </c>
      <c r="C752" s="31" t="s">
        <v>4824</v>
      </c>
      <c r="D752" s="31" t="s">
        <v>4825</v>
      </c>
      <c r="E752" s="31" t="s">
        <v>4826</v>
      </c>
      <c r="F752" s="89">
        <v>436.0</v>
      </c>
      <c r="G752" s="91" t="str">
        <f>IFERROR(__xludf.DUMMYFUNCTION("TRIM(REGEXREPLACE(C752, ""[0-9]+[a-f]?\."", """"))"),"In the last six months did you or a member of your household try to secure a loan from any source but were refused?")</f>
        <v>In the last six months did you or a member of your household try to secure a loan from any source but were refused?</v>
      </c>
      <c r="H752" s="91" t="str">
        <f>IFERROR(__xludf.DUMMYFUNCTION("TRIM(REGEXREPLACE(D752, ""[0-9]+[a-f]?\."", """"))"),"Au cours des six derniers mois, vous ou un membre de votre ménage avez-vous tenté d'obtenir un prêt, quelle qu'en soit la source, mais votre demande a été refusée ?")</f>
        <v>Au cours des six derniers mois, vous ou un membre de votre ménage avez-vous tenté d'obtenir un prêt, quelle qu'en soit la source, mais votre demande a été refusée ?</v>
      </c>
      <c r="I752" s="91" t="str">
        <f>IFERROR(__xludf.DUMMYFUNCTION("TRIM(REGEXREPLACE(E752, ""[0-9]+[a-f]?\."", """"))"),"A cikin watanni shida da suka gabata kai ko wani dan gidan ku kun yi ƙoƙarin samun bashi daga kowace hanya amma an ƙi a baku ?")</f>
        <v>A cikin watanni shida da suka gabata kai ko wani dan gidan ku kun yi ƙoƙarin samun bashi daga kowace hanya amma an ƙi a baku ?</v>
      </c>
      <c r="J752" s="91" t="str">
        <f t="shared" si="568"/>
        <v>436. In the last six months did you or a member of your household try to secure a loan from any source but were refused?</v>
      </c>
      <c r="K752" s="91" t="str">
        <f t="shared" ref="K752:L752" si="569">$F752&amp;". "&amp;H752</f>
        <v>436. Au cours des six derniers mois, vous ou un membre de votre ménage avez-vous tenté d'obtenir un prêt, quelle qu'en soit la source, mais votre demande a été refusée ?</v>
      </c>
      <c r="L752" s="91" t="str">
        <f t="shared" si="569"/>
        <v>436. A cikin watanni shida da suka gabata kai ko wani dan gidan ku kun yi ƙoƙarin samun bashi daga kowace hanya amma an ƙi a baku ?</v>
      </c>
    </row>
    <row r="753">
      <c r="A753" s="146" t="s">
        <v>237</v>
      </c>
      <c r="B753" s="147" t="s">
        <v>4830</v>
      </c>
      <c r="C753" s="31" t="s">
        <v>4831</v>
      </c>
      <c r="D753" s="31" t="s">
        <v>4832</v>
      </c>
      <c r="E753" s="31" t="s">
        <v>4833</v>
      </c>
      <c r="F753" s="89">
        <v>437.0</v>
      </c>
      <c r="G753" s="91" t="str">
        <f>IFERROR(__xludf.DUMMYFUNCTION("TRIM(REGEXREPLACE(C753, ""[0-9]+[a-f]?\."", """"))"),"What was the value of the loan in CFA?")</f>
        <v>What was the value of the loan in CFA?</v>
      </c>
      <c r="H753" s="91" t="str">
        <f>IFERROR(__xludf.DUMMYFUNCTION("TRIM(REGEXREPLACE(D753, ""[0-9]+[a-f]?\."", """"))"),"Quelle était la valeur du prêt en CFA?")</f>
        <v>Quelle était la valeur du prêt en CFA?</v>
      </c>
      <c r="I753" s="91" t="str">
        <f>IFERROR(__xludf.DUMMYFUNCTION("TRIM(REGEXREPLACE(E753, ""[0-9]+[a-f]?\."", """"))"),"Nawa ne yawan kuɗin bashin a sefa?")</f>
        <v>Nawa ne yawan kuɗin bashin a sefa?</v>
      </c>
      <c r="J753" s="91" t="str">
        <f t="shared" si="568"/>
        <v>437. What was the value of the loan in CFA?</v>
      </c>
      <c r="K753" s="91" t="str">
        <f t="shared" ref="K753:L753" si="570">$F753&amp;". "&amp;H753</f>
        <v>437. Quelle était la valeur du prêt en CFA?</v>
      </c>
      <c r="L753" s="91" t="str">
        <f t="shared" si="570"/>
        <v>437. Nawa ne yawan kuɗin bashin a sefa?</v>
      </c>
    </row>
    <row r="754">
      <c r="A754" s="146" t="s">
        <v>237</v>
      </c>
      <c r="B754" s="147" t="s">
        <v>4838</v>
      </c>
      <c r="C754" s="31" t="s">
        <v>4839</v>
      </c>
      <c r="D754" s="31" t="s">
        <v>4840</v>
      </c>
      <c r="E754" s="31" t="s">
        <v>4841</v>
      </c>
      <c r="F754" s="89">
        <v>438.0</v>
      </c>
      <c r="G754" s="91" t="str">
        <f>IFERROR(__xludf.DUMMYFUNCTION("TRIM(REGEXREPLACE(C754,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754" s="91" t="str">
        <f>IFERROR(__xludf.DUMMYFUNCTION("TRIM(REGEXREPLACE(D754,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754" s="91" t="str">
        <f>IFERROR(__xludf.DUMMYFUNCTION("TRIM(REGEXREPLACE(E754,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754" s="91" t="str">
        <f t="shared" si="568"/>
        <v>438. Think about all the people you or members of your household owe money, including recent loans, what is the total value your household owes (in CFA)?</v>
      </c>
      <c r="K754" s="91" t="str">
        <f t="shared" ref="K754:L754" si="571">$F754&amp;". "&amp;H754</f>
        <v>438. Pensez à toutes les personnes que vous ou les membres de votre ménage devez de l'argent, y compris les prêts récents, quelle est la valeur totale que votre ménage doit (en CFA) ?</v>
      </c>
      <c r="L754" s="91" t="str">
        <f t="shared" si="571"/>
        <v>438. Ku tuna da duk mutanen da ke bin da ƴan gidanku kuɗi, dukan basussuka sabi da tsohi, nawa jimillar kuɗin a ke bin gidanku (a kuɗin sefa CFA)?</v>
      </c>
    </row>
    <row r="755">
      <c r="A755" s="81" t="s">
        <v>485</v>
      </c>
      <c r="B755" s="142" t="s">
        <v>4842</v>
      </c>
      <c r="C755" s="31" t="s">
        <v>4843</v>
      </c>
      <c r="D755" s="31" t="s">
        <v>4844</v>
      </c>
      <c r="E755" s="31" t="s">
        <v>4845</v>
      </c>
      <c r="F755" s="89">
        <v>439.0</v>
      </c>
      <c r="G755" s="91" t="str">
        <f>IFERROR(__xludf.DUMMYFUNCTION("TRIM(REGEXREPLACE(C755, ""[0-9]+[a-f]?\."", """"))"),"Do you know if a loan was given to your household by a household that participated in the TSARI training program?")</f>
        <v>Do you know if a loan was given to your household by a household that participated in the TSARI training program?</v>
      </c>
      <c r="H755" s="91" t="str">
        <f>IFERROR(__xludf.DUMMYFUNCTION("TRIM(REGEXREPLACE(D755, ""[0-9]+[a-f]?\."", """"))"),"Savez-vous si un prêt a été accordé à votre ménage par un ménage ayant participé au programme de formation TSARI ?")</f>
        <v>Savez-vous si un prêt a été accordé à votre ménage par un ménage ayant participé au programme de formation TSARI ?</v>
      </c>
      <c r="I755" s="91" t="str">
        <f>IFERROR(__xludf.DUMMYFUNCTION("TRIM(REGEXREPLACE(E755, ""[0-9]+[a-f]?\."", """"))"),"Shin ko kun san ko gidan ku ya karɓi bashi daga wani gida da ke cikin shirin TSARI ?")</f>
        <v>Shin ko kun san ko gidan ku ya karɓi bashi daga wani gida da ke cikin shirin TSARI ?</v>
      </c>
      <c r="J755" s="91" t="str">
        <f t="shared" si="568"/>
        <v>439. Do you know if a loan was given to your household by a household that participated in the TSARI training program?</v>
      </c>
      <c r="K755" s="91" t="str">
        <f t="shared" ref="K755:L755" si="572">$F755&amp;". "&amp;H755</f>
        <v>439. Savez-vous si un prêt a été accordé à votre ménage par un ménage ayant participé au programme de formation TSARI ?</v>
      </c>
      <c r="L755" s="91" t="str">
        <f t="shared" si="572"/>
        <v>439. Shin ko kun san ko gidan ku ya karɓi bashi daga wani gida da ke cikin shirin TSARI ?</v>
      </c>
    </row>
    <row r="756">
      <c r="A756" s="81" t="s">
        <v>338</v>
      </c>
      <c r="B756" s="142" t="s">
        <v>4847</v>
      </c>
      <c r="C756" s="31" t="s">
        <v>4848</v>
      </c>
      <c r="D756" s="31" t="s">
        <v>4849</v>
      </c>
      <c r="E756" s="31" t="s">
        <v>4850</v>
      </c>
      <c r="F756" s="89">
        <v>440.0</v>
      </c>
      <c r="G756" s="91" t="str">
        <f>IFERROR(__xludf.DUMMYFUNCTION("TRIM(REGEXREPLACE(C756, ""[0-9]+[a-f]?\."", """"))"),"In the past six months, have you or anyone in your household received money or goods from someone who is not a member of your household and lives in your village in Niger?")</f>
        <v>In the past six months, have you or anyone in your household received money or goods from someone who is not a member of your household and lives in your village in Niger?</v>
      </c>
      <c r="H756" s="91" t="str">
        <f>IFERROR(__xludf.DUMMYFUNCTION("TRIM(REGEXREPLACE(D756, ""[0-9]+[a-f]?\."", """"))"),"Au cours des six derniers mois, vous ou un membre de votre ménage avez-vous reçu de l'argent ou des biens d'une personne extérieure à votre ménage et vivant dans votre village au Niger ?")</f>
        <v>Au cours des six derniers mois, vous ou un membre de votre ménage avez-vous reçu de l'argent ou des biens d'une personne extérieure à votre ménage et vivant dans votre village au Niger ?</v>
      </c>
      <c r="I756" s="91" t="str">
        <f>IFERROR(__xludf.DUMMYFUNCTION("TRIM(REGEXREPLACE(E756, ""[0-9]+[a-f]?\."", """"))"),"A cikin watanni shida da suka gabata, kai ko wani a cikin gidan ku kun karbi kudi ko kaya daga wani wanda ba ɗan gidanku ba ne kuma yana zaune a kauyenku a Nijar?")</f>
        <v>A cikin watanni shida da suka gabata, kai ko wani a cikin gidan ku kun karbi kudi ko kaya daga wani wanda ba ɗan gidanku ba ne kuma yana zaune a kauyenku a Nijar?</v>
      </c>
      <c r="J756" s="91" t="str">
        <f t="shared" si="568"/>
        <v>440. In the past six months, have you or anyone in your household received money or goods from someone who is not a member of your household and lives in your village in Niger?</v>
      </c>
      <c r="K756" s="91" t="str">
        <f t="shared" ref="K756:L756" si="573">$F756&amp;". "&amp;H756</f>
        <v>440. Au cours des six derniers mois, vous ou un membre de votre ménage avez-vous reçu de l'argent ou des biens d'une personne extérieure à votre ménage et vivant dans votre village au Niger ?</v>
      </c>
      <c r="L756" s="91" t="str">
        <f t="shared" si="573"/>
        <v>440. A cikin watanni shida da suka gabata, kai ko wani a cikin gidan ku kun karbi kudi ko kaya daga wani wanda ba ɗan gidanku ba ne kuma yana zaune a kauyenku a Nijar?</v>
      </c>
    </row>
    <row r="757">
      <c r="A757" s="81" t="s">
        <v>485</v>
      </c>
      <c r="B757" s="142" t="s">
        <v>4851</v>
      </c>
      <c r="C757" s="31" t="s">
        <v>4853</v>
      </c>
      <c r="D757" s="31" t="s">
        <v>4854</v>
      </c>
      <c r="E757" s="31" t="s">
        <v>4856</v>
      </c>
      <c r="F757" s="89">
        <v>441.0</v>
      </c>
      <c r="G757" s="91" t="str">
        <f>IFERROR(__xludf.DUMMYFUNCTION("TRIM(REGEXREPLACE(C757, ""[0-9]+[a-f]?\."", """"))"),"Do you know if the person who gave your hosuehold money was from a household that participated in the TSARI training program?")</f>
        <v>Do you know if the person who gave your hosuehold money was from a household that participated in the TSARI training program?</v>
      </c>
      <c r="H757" s="91" t="str">
        <f>IFERROR(__xludf.DUMMYFUNCTION("TRIM(REGEXREPLACE(D757, ""[0-9]+[a-f]?\."", """"))"),"Savez-vous si la personne qui a donné de l'argent à votre ménage était issue d'un ménage ayant participé au programme de formation TSARI ?")</f>
        <v>Savez-vous si la personne qui a donné de l'argent à votre ménage était issue d'un ménage ayant participé au programme de formation TSARI ?</v>
      </c>
      <c r="I757" s="91" t="str">
        <f>IFERROR(__xludf.DUMMYFUNCTION("TRIM(REGEXREPLACE(E757, ""[0-9]+[a-f]?\."", """"))"),"Shin kun san ko mutumin da ya bada kuɗin ga gidan ku ko ya fito daga gidajen da suka shiga cikin shirin horon TSARI ne?")</f>
        <v>Shin kun san ko mutumin da ya bada kuɗin ga gidan ku ko ya fito daga gidajen da suka shiga cikin shirin horon TSARI ne?</v>
      </c>
      <c r="J757" s="91" t="str">
        <f t="shared" si="568"/>
        <v>441. Do you know if the person who gave your hosuehold money was from a household that participated in the TSARI training program?</v>
      </c>
      <c r="K757" s="91" t="str">
        <f t="shared" ref="K757:L757" si="574">$F757&amp;". "&amp;H757</f>
        <v>441. Savez-vous si la personne qui a donné de l'argent à votre ménage était issue d'un ménage ayant participé au programme de formation TSARI ?</v>
      </c>
      <c r="L757" s="91" t="str">
        <f t="shared" si="574"/>
        <v>441. Shin kun san ko mutumin da ya bada kuɗin ga gidan ku ko ya fito daga gidajen da suka shiga cikin shirin horon TSARI ne?</v>
      </c>
    </row>
    <row r="758" hidden="1">
      <c r="A758" s="104" t="s">
        <v>139</v>
      </c>
      <c r="B758" s="141" t="s">
        <v>4860</v>
      </c>
      <c r="C758" s="31"/>
      <c r="D758" s="31"/>
      <c r="E758" s="31"/>
      <c r="F758" s="89">
        <v>443.0</v>
      </c>
      <c r="G758" s="91" t="str">
        <f>IFERROR(__xludf.DUMMYFUNCTION("TRIM(REGEXREPLACE(C758, ""[0-9]+[a-f]?\."", """"))"),"")</f>
        <v/>
      </c>
      <c r="H758" s="91" t="str">
        <f>IFERROR(__xludf.DUMMYFUNCTION("TRIM(REGEXREPLACE(D758, ""[0-9]+[a-f]?\."", """"))"),"")</f>
        <v/>
      </c>
      <c r="I758" s="91" t="str">
        <f>IFERROR(__xludf.DUMMYFUNCTION("TRIM(REGEXREPLACE(E758, ""[0-9]+[a-f]?\."", """"))"),"")</f>
        <v/>
      </c>
      <c r="J758" s="91" t="s">
        <v>4861</v>
      </c>
      <c r="K758" s="91" t="s">
        <v>4862</v>
      </c>
      <c r="L758" s="91" t="s">
        <v>4864</v>
      </c>
    </row>
    <row r="759" hidden="1">
      <c r="A759" s="67" t="s">
        <v>108</v>
      </c>
      <c r="B759" s="69" t="s">
        <v>4866</v>
      </c>
      <c r="C759" s="31"/>
      <c r="D759" s="31"/>
      <c r="E759" s="31"/>
      <c r="F759" s="89">
        <v>444.0</v>
      </c>
      <c r="G759" s="91" t="str">
        <f>IFERROR(__xludf.DUMMYFUNCTION("TRIM(REGEXREPLACE(C759, ""[0-9]+[a-f]?\."", """"))"),"")</f>
        <v/>
      </c>
      <c r="H759" s="91" t="str">
        <f>IFERROR(__xludf.DUMMYFUNCTION("TRIM(REGEXREPLACE(D759, ""[0-9]+[a-f]?\."", """"))"),"")</f>
        <v/>
      </c>
      <c r="I759" s="91" t="str">
        <f>IFERROR(__xludf.DUMMYFUNCTION("TRIM(REGEXREPLACE(E759, ""[0-9]+[a-f]?\."", """"))"),"")</f>
        <v/>
      </c>
    </row>
    <row r="760" hidden="1">
      <c r="A760" s="104" t="s">
        <v>139</v>
      </c>
      <c r="B760" s="141" t="s">
        <v>4868</v>
      </c>
      <c r="C760" s="31"/>
      <c r="D760" s="31"/>
      <c r="E760" s="31"/>
      <c r="F760" s="89">
        <v>445.0</v>
      </c>
      <c r="G760" s="91" t="str">
        <f>IFERROR(__xludf.DUMMYFUNCTION("TRIM(REGEXREPLACE(C760, ""[0-9]+[a-f]?\."", """"))"),"")</f>
        <v/>
      </c>
      <c r="H760" s="91" t="str">
        <f>IFERROR(__xludf.DUMMYFUNCTION("TRIM(REGEXREPLACE(D760, ""[0-9]+[a-f]?\."", """"))"),"")</f>
        <v/>
      </c>
      <c r="I760" s="91" t="str">
        <f>IFERROR(__xludf.DUMMYFUNCTION("TRIM(REGEXREPLACE(E760, ""[0-9]+[a-f]?\."", """"))"),"")</f>
        <v/>
      </c>
    </row>
    <row r="761">
      <c r="A761" s="126" t="s">
        <v>42</v>
      </c>
      <c r="B761" s="127" t="s">
        <v>4869</v>
      </c>
      <c r="C761" s="31" t="s">
        <v>4870</v>
      </c>
      <c r="D761" s="31" t="s">
        <v>4872</v>
      </c>
      <c r="E761" s="31" t="s">
        <v>4874</v>
      </c>
      <c r="F761" s="89">
        <v>442.0</v>
      </c>
      <c r="G761" s="91" t="str">
        <f>IFERROR(__xludf.DUMMYFUNCTION("TRIM(REGEXREPLACE(C761, ""[0-9]+[a-f]?\."", """"))"),"I will now ask you about meals people in your household have consumed in the past 7 days.")</f>
        <v>I will now ask you about meals people in your household have consumed in the past 7 days.</v>
      </c>
      <c r="H761" s="91" t="str">
        <f>IFERROR(__xludf.DUMMYFUNCTION("TRIM(REGEXREPLACE(D761,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761" s="91" t="str">
        <f>IFERROR(__xludf.DUMMYFUNCTION("TRIM(REGEXREPLACE(E761, ""[0-9]+[a-f]?\."", """"))"),"Yanzu zan tambaye ku bisa abincin da mutanen gidanku suka ci a cikin kwanaki 7 da suka wuce.")</f>
        <v>Yanzu zan tambaye ku bisa abincin da mutanen gidanku suka ci a cikin kwanaki 7 da suka wuce.</v>
      </c>
      <c r="J761" s="91" t="str">
        <f t="shared" ref="J761:J771" si="576">F761&amp;". "&amp;G761</f>
        <v>442. I will now ask you about meals people in your household have consumed in the past 7 days.</v>
      </c>
      <c r="K761" s="91" t="str">
        <f t="shared" ref="K761:L761" si="575">$F761&amp;". "&amp;H761</f>
        <v>442. Je vais maintenant vous poser des questions sur les repas que les membres de votre ménage ont consommé au cours des 7 derniers jours.</v>
      </c>
      <c r="L761" s="91" t="str">
        <f t="shared" si="575"/>
        <v>442. Yanzu zan tambaye ku bisa abincin da mutanen gidanku suka ci a cikin kwanaki 7 da suka wuce.</v>
      </c>
    </row>
    <row r="762">
      <c r="A762" s="81" t="s">
        <v>485</v>
      </c>
      <c r="B762" s="142" t="s">
        <v>4879</v>
      </c>
      <c r="C762" s="31" t="s">
        <v>4880</v>
      </c>
      <c r="D762" s="31" t="s">
        <v>4881</v>
      </c>
      <c r="E762" s="31" t="s">
        <v>4883</v>
      </c>
      <c r="F762" s="89">
        <v>443.0</v>
      </c>
      <c r="G762" s="91" t="str">
        <f>IFERROR(__xludf.DUMMYFUNCTION("TRIM(REGEXREPLACE(C762, ""[0-9]+[a-f]?\."", """"))"),"In the last 7 days, have adults gone a whole day without meals?")</f>
        <v>In the last 7 days, have adults gone a whole day without meals?</v>
      </c>
      <c r="H762" s="91" t="str">
        <f>IFERROR(__xludf.DUMMYFUNCTION("TRIM(REGEXREPLACE(D762, ""[0-9]+[a-f]?\."", """"))"),"Au cours des 7 derniers jours, des adultes sont-ils restés une journée entière sans manger de repas ?")</f>
        <v>Au cours des 7 derniers jours, des adultes sont-ils restés une journée entière sans manger de repas ?</v>
      </c>
      <c r="I762" s="91" t="str">
        <f>IFERROR(__xludf.DUMMYFUNCTION("TRIM(REGEXREPLACE(E762, ""[0-9]+[a-f]?\."", """"))"),"A cikin kwanaki 7 da suka wuce, ko manya gidanku sun zauna tsawon wuni guda basu ci abinci ba?")</f>
        <v>A cikin kwanaki 7 da suka wuce, ko manya gidanku sun zauna tsawon wuni guda basu ci abinci ba?</v>
      </c>
      <c r="J762" s="91" t="str">
        <f t="shared" si="576"/>
        <v>443. In the last 7 days, have adults gone a whole day without meals?</v>
      </c>
      <c r="K762" s="91" t="str">
        <f t="shared" ref="K762:L762" si="577">$F762&amp;". "&amp;H762</f>
        <v>443. Au cours des 7 derniers jours, des adultes sont-ils restés une journée entière sans manger de repas ?</v>
      </c>
      <c r="L762" s="91" t="str">
        <f t="shared" si="577"/>
        <v>443. A cikin kwanaki 7 da suka wuce, ko manya gidanku sun zauna tsawon wuni guda basu ci abinci ba?</v>
      </c>
    </row>
    <row r="763">
      <c r="A763" s="146" t="s">
        <v>237</v>
      </c>
      <c r="B763" s="147" t="s">
        <v>4886</v>
      </c>
      <c r="C763" s="31" t="s">
        <v>4887</v>
      </c>
      <c r="D763" s="31" t="s">
        <v>4888</v>
      </c>
      <c r="E763" s="31" t="s">
        <v>4889</v>
      </c>
      <c r="F763" s="89">
        <v>444.0</v>
      </c>
      <c r="G763" s="91" t="str">
        <f>IFERROR(__xludf.DUMMYFUNCTION("TRIM(REGEXREPLACE(C763, ""[0-9]+[a-f]?\."", """"))"),"How many days?")</f>
        <v>How many days?</v>
      </c>
      <c r="H763" s="91" t="str">
        <f>IFERROR(__xludf.DUMMYFUNCTION("TRIM(REGEXREPLACE(D763, ""[0-9]+[a-f]?\."", """"))"),"Pendant combien de jours?")</f>
        <v>Pendant combien de jours?</v>
      </c>
      <c r="I763" s="91" t="str">
        <f>IFERROR(__xludf.DUMMYFUNCTION("TRIM(REGEXREPLACE(E763, ""[0-9]+[a-f]?\."", """"))"),"151a Tsawon kwanaki nawa?")</f>
        <v>151a Tsawon kwanaki nawa?</v>
      </c>
      <c r="J763" s="91" t="str">
        <f t="shared" si="576"/>
        <v>444. How many days?</v>
      </c>
      <c r="K763" s="91" t="str">
        <f t="shared" ref="K763:L763" si="578">$F763&amp;". "&amp;H763</f>
        <v>444. Pendant combien de jours?</v>
      </c>
      <c r="L763" s="91" t="str">
        <f t="shared" si="578"/>
        <v>444. 151a Tsawon kwanaki nawa?</v>
      </c>
    </row>
    <row r="764">
      <c r="A764" s="81" t="s">
        <v>485</v>
      </c>
      <c r="B764" s="142" t="s">
        <v>4896</v>
      </c>
      <c r="C764" s="31" t="s">
        <v>4897</v>
      </c>
      <c r="D764" s="31" t="s">
        <v>4898</v>
      </c>
      <c r="E764" s="31" t="s">
        <v>4899</v>
      </c>
      <c r="F764" s="89">
        <v>445.0</v>
      </c>
      <c r="G764" s="91" t="str">
        <f>IFERROR(__xludf.DUMMYFUNCTION("TRIM(REGEXREPLACE(C764, ""[0-9]+[a-f]?\."", """"))"),"In the last 7 days, have adults cut the size of meals or skipped meals?")</f>
        <v>In the last 7 days, have adults cut the size of meals or skipped meals?</v>
      </c>
      <c r="H764" s="91" t="str">
        <f>IFERROR(__xludf.DUMMYFUNCTION("TRIM(REGEXREPLACE(D764, ""[0-9]+[a-f]?\."", """"))"),"Au cours des 7 derniers jours, les adultes ont-ils réduit la taille de leur repas ou les ont-ils sauté?")</f>
        <v>Au cours des 7 derniers jours, les adultes ont-ils réduit la taille de leur repas ou les ont-ils sauté?</v>
      </c>
      <c r="I764" s="91" t="str">
        <f>IFERROR(__xludf.DUMMYFUNCTION("TRIM(REGEXREPLACE(E764, ""[0-9]+[a-f]?\."", """"))"),"A cikin kwanaki 7 na ƙarshe, ko manyan gidanku sun rage yawan abincin da suka saba ci ko sun tsallake shi?")</f>
        <v>A cikin kwanaki 7 na ƙarshe, ko manyan gidanku sun rage yawan abincin da suka saba ci ko sun tsallake shi?</v>
      </c>
      <c r="J764" s="91" t="str">
        <f t="shared" si="576"/>
        <v>445. In the last 7 days, have adults cut the size of meals or skipped meals?</v>
      </c>
      <c r="K764" s="91" t="str">
        <f t="shared" ref="K764:L764" si="579">$F764&amp;". "&amp;H764</f>
        <v>445. Au cours des 7 derniers jours, les adultes ont-ils réduit la taille de leur repas ou les ont-ils sauté?</v>
      </c>
      <c r="L764" s="91" t="str">
        <f t="shared" si="579"/>
        <v>445. A cikin kwanaki 7 na ƙarshe, ko manyan gidanku sun rage yawan abincin da suka saba ci ko sun tsallake shi?</v>
      </c>
    </row>
    <row r="765">
      <c r="A765" s="146" t="s">
        <v>237</v>
      </c>
      <c r="B765" s="147" t="s">
        <v>4900</v>
      </c>
      <c r="C765" s="31" t="s">
        <v>4901</v>
      </c>
      <c r="D765" s="31" t="s">
        <v>4902</v>
      </c>
      <c r="E765" s="31" t="s">
        <v>4903</v>
      </c>
      <c r="F765" s="89">
        <v>446.0</v>
      </c>
      <c r="G765" s="91" t="str">
        <f>IFERROR(__xludf.DUMMYFUNCTION("TRIM(REGEXREPLACE(C765, ""[0-9]+[a-f]?\."", """"))"),"How many days?")</f>
        <v>How many days?</v>
      </c>
      <c r="H765" s="91" t="str">
        <f>IFERROR(__xludf.DUMMYFUNCTION("TRIM(REGEXREPLACE(D765, ""[0-9]+[a-f]?\."", """"))"),"Pendant combien de jours?")</f>
        <v>Pendant combien de jours?</v>
      </c>
      <c r="I765" s="91" t="str">
        <f>IFERROR(__xludf.DUMMYFUNCTION("TRIM(REGEXREPLACE(E765, ""[0-9]+[a-f]?\."", """"))"),"Tsawon kwanaki nawa?")</f>
        <v>Tsawon kwanaki nawa?</v>
      </c>
      <c r="J765" s="91" t="str">
        <f t="shared" si="576"/>
        <v>446. How many days?</v>
      </c>
      <c r="K765" s="91" t="str">
        <f t="shared" ref="K765:L765" si="580">$F765&amp;". "&amp;H765</f>
        <v>446. Pendant combien de jours?</v>
      </c>
      <c r="L765" s="91" t="str">
        <f t="shared" si="580"/>
        <v>446. Tsawon kwanaki nawa?</v>
      </c>
    </row>
    <row r="766">
      <c r="A766" s="146" t="s">
        <v>237</v>
      </c>
      <c r="B766" s="147" t="s">
        <v>4907</v>
      </c>
      <c r="C766" s="31" t="s">
        <v>4908</v>
      </c>
      <c r="D766" s="31" t="s">
        <v>4909</v>
      </c>
      <c r="E766" s="31" t="s">
        <v>4910</v>
      </c>
      <c r="F766" s="89">
        <v>447.0</v>
      </c>
      <c r="G766" s="91" t="str">
        <f>IFERROR(__xludf.DUMMYFUNCTION("TRIM(REGEXREPLACE(C766, ""[0-9]+[a-f]?\."", """"))"),"In the past week how many days have adults in your household consumed animal protein (including fish, meat, poultry)?")</f>
        <v>In the past week how many days have adults in your household consumed animal protein (including fish, meat, poultry)?</v>
      </c>
      <c r="H766" s="91" t="str">
        <f>IFERROR(__xludf.DUMMYFUNCTION("TRIM(REGEXREPLACE(D766,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766" s="91" t="str">
        <f>IFERROR(__xludf.DUMMYFUNCTION("TRIM(REGEXREPLACE(E766, ""[0-9]+[a-f]?\."", """"))"),"A cikin kwanaki 7 da suka wuce sau nawa manyan gidanku suka ci abinci masu gina jiki kamar su kifi ko nama ko kaji?")</f>
        <v>A cikin kwanaki 7 da suka wuce sau nawa manyan gidanku suka ci abinci masu gina jiki kamar su kifi ko nama ko kaji?</v>
      </c>
      <c r="J766" s="91" t="str">
        <f t="shared" si="576"/>
        <v>447. In the past week how many days have adults in your household consumed animal protein (including fish, meat, poultry)?</v>
      </c>
      <c r="K766" s="91" t="str">
        <f t="shared" ref="K766:L766" si="581">$F766&amp;". "&amp;H766</f>
        <v>447. Au cours des 7 derniers jours, combien de fois les adultes de votre ménage ont-ils consommé des protéines animales (y compris poisson, viande, volaille) ?</v>
      </c>
      <c r="L766" s="91" t="str">
        <f t="shared" si="581"/>
        <v>447. A cikin kwanaki 7 da suka wuce sau nawa manyan gidanku suka ci abinci masu gina jiki kamar su kifi ko nama ko kaji?</v>
      </c>
    </row>
    <row r="767">
      <c r="A767" s="81" t="s">
        <v>485</v>
      </c>
      <c r="B767" s="142" t="s">
        <v>4914</v>
      </c>
      <c r="C767" s="31" t="s">
        <v>4915</v>
      </c>
      <c r="D767" s="31" t="s">
        <v>4916</v>
      </c>
      <c r="E767" s="31" t="s">
        <v>4917</v>
      </c>
      <c r="F767" s="89">
        <v>448.0</v>
      </c>
      <c r="G767" s="91" t="str">
        <f>IFERROR(__xludf.DUMMYFUNCTION("TRIM(REGEXREPLACE(C767, ""[0-9]+[a-f]?\."", """"))"),"In the last 7 days, have children (&lt;14) gone a whole day without meals?")</f>
        <v>In the last 7 days, have children (&lt;14) gone a whole day without meals?</v>
      </c>
      <c r="H767" s="91" t="str">
        <f>IFERROR(__xludf.DUMMYFUNCTION("TRIM(REGEXREPLACE(D767, ""[0-9]+[a-f]?\."", """"))"),"Au cours des 7 derniers jours, des enfants (&lt;14) ont-ils passé une journée entière sans manger de repas ?")</f>
        <v>Au cours des 7 derniers jours, des enfants (&lt;14) ont-ils passé une journée entière sans manger de repas ?</v>
      </c>
      <c r="I767" s="91" t="str">
        <f>IFERROR(__xludf.DUMMYFUNCTION("TRIM(REGEXREPLACE(E767, ""[0-9]+[a-f]?\."", """"))"),"A cikin kwanaki 7 na ƙarshe, ko yara ƴan ƙasa da shekara goma sha huɗu sun zauna tsawon wuni guda ba su ci da abinci ba?")</f>
        <v>A cikin kwanaki 7 na ƙarshe, ko yara ƴan ƙasa da shekara goma sha huɗu sun zauna tsawon wuni guda ba su ci da abinci ba?</v>
      </c>
      <c r="J767" s="91" t="str">
        <f t="shared" si="576"/>
        <v>448. In the last 7 days, have children (&lt;14) gone a whole day without meals?</v>
      </c>
      <c r="K767" s="91" t="str">
        <f t="shared" ref="K767:L767" si="582">$F767&amp;". "&amp;H767</f>
        <v>448. Au cours des 7 derniers jours, des enfants (&lt;14) ont-ils passé une journée entière sans manger de repas ?</v>
      </c>
      <c r="L767" s="91" t="str">
        <f t="shared" si="582"/>
        <v>448. A cikin kwanaki 7 na ƙarshe, ko yara ƴan ƙasa da shekara goma sha huɗu sun zauna tsawon wuni guda ba su ci da abinci ba?</v>
      </c>
    </row>
    <row r="768">
      <c r="A768" s="146" t="s">
        <v>237</v>
      </c>
      <c r="B768" s="147" t="s">
        <v>4918</v>
      </c>
      <c r="C768" s="31" t="s">
        <v>4919</v>
      </c>
      <c r="D768" s="31" t="s">
        <v>4920</v>
      </c>
      <c r="E768" s="31" t="s">
        <v>4921</v>
      </c>
      <c r="F768" s="89">
        <v>449.0</v>
      </c>
      <c r="G768" s="91" t="str">
        <f>IFERROR(__xludf.DUMMYFUNCTION("TRIM(REGEXREPLACE(C768, ""[0-9]+[a-f]?\."", """"))"),"How many days?")</f>
        <v>How many days?</v>
      </c>
      <c r="H768" s="91" t="str">
        <f>IFERROR(__xludf.DUMMYFUNCTION("TRIM(REGEXREPLACE(D768, ""[0-9]+[a-f]?\."", """"))"),"Pendant combien de jours?")</f>
        <v>Pendant combien de jours?</v>
      </c>
      <c r="I768" s="91" t="str">
        <f>IFERROR(__xludf.DUMMYFUNCTION("TRIM(REGEXREPLACE(E768, ""[0-9]+[a-f]?\."", """"))"),"154a Tsawon kwanaki nawa?")</f>
        <v>154a Tsawon kwanaki nawa?</v>
      </c>
      <c r="J768" s="91" t="str">
        <f t="shared" si="576"/>
        <v>449. How many days?</v>
      </c>
      <c r="K768" s="91" t="str">
        <f t="shared" ref="K768:L768" si="583">$F768&amp;". "&amp;H768</f>
        <v>449. Pendant combien de jours?</v>
      </c>
      <c r="L768" s="91" t="str">
        <f t="shared" si="583"/>
        <v>449. 154a Tsawon kwanaki nawa?</v>
      </c>
    </row>
    <row r="769">
      <c r="A769" s="81" t="s">
        <v>485</v>
      </c>
      <c r="B769" s="142" t="s">
        <v>4922</v>
      </c>
      <c r="C769" s="31" t="s">
        <v>4923</v>
      </c>
      <c r="D769" s="31" t="s">
        <v>4924</v>
      </c>
      <c r="E769" s="31" t="s">
        <v>4926</v>
      </c>
      <c r="F769" s="89">
        <v>450.0</v>
      </c>
      <c r="G769" s="91" t="str">
        <f>IFERROR(__xludf.DUMMYFUNCTION("TRIM(REGEXREPLACE(C769, ""[0-9]+[a-f]?\."", """"))"),"In the last 7 days, have children (&lt;14) cut the size of meals or skipped meals?")</f>
        <v>In the last 7 days, have children (&lt;14) cut the size of meals or skipped meals?</v>
      </c>
      <c r="H769" s="91" t="str">
        <f>IFERROR(__xludf.DUMMYFUNCTION("TRIM(REGEXREPLACE(D769, ""[0-9]+[a-f]?\."", """"))"),"Au cours des 7 derniers jours, des enfants (&lt;14) ont-ils réduit la taille de leurs repas ou les ont-ils sauté?")</f>
        <v>Au cours des 7 derniers jours, des enfants (&lt;14) ont-ils réduit la taille de leurs repas ou les ont-ils sauté?</v>
      </c>
      <c r="I769" s="91" t="str">
        <f>IFERROR(__xludf.DUMMYFUNCTION("TRIM(REGEXREPLACE(E769, ""[0-9]+[a-f]?\."", """"))"),"A cikin kwanaki 7 na ƙarshe, suna da yara (&lt;14) sun rage yawan abinci ko sun rasa gaba ɗaya?")</f>
        <v>A cikin kwanaki 7 na ƙarshe, suna da yara (&lt;14) sun rage yawan abinci ko sun rasa gaba ɗaya?</v>
      </c>
      <c r="J769" s="91" t="str">
        <f t="shared" si="576"/>
        <v>450. In the last 7 days, have children (&lt;14) cut the size of meals or skipped meals?</v>
      </c>
      <c r="K769" s="91" t="str">
        <f t="shared" ref="K769:L769" si="584">$F769&amp;". "&amp;H769</f>
        <v>450. Au cours des 7 derniers jours, des enfants (&lt;14) ont-ils réduit la taille de leurs repas ou les ont-ils sauté?</v>
      </c>
      <c r="L769" s="91" t="str">
        <f t="shared" si="584"/>
        <v>450. A cikin kwanaki 7 na ƙarshe, suna da yara (&lt;14) sun rage yawan abinci ko sun rasa gaba ɗaya?</v>
      </c>
    </row>
    <row r="770">
      <c r="A770" s="146" t="s">
        <v>237</v>
      </c>
      <c r="B770" s="147" t="s">
        <v>4928</v>
      </c>
      <c r="C770" s="31" t="s">
        <v>4929</v>
      </c>
      <c r="D770" s="31" t="s">
        <v>4930</v>
      </c>
      <c r="E770" s="31" t="s">
        <v>4931</v>
      </c>
      <c r="F770" s="89">
        <v>451.0</v>
      </c>
      <c r="G770" s="91" t="str">
        <f>IFERROR(__xludf.DUMMYFUNCTION("TRIM(REGEXREPLACE(C770, ""[0-9]+[a-f]?\."", """"))"),"How many days?")</f>
        <v>How many days?</v>
      </c>
      <c r="H770" s="91" t="str">
        <f>IFERROR(__xludf.DUMMYFUNCTION("TRIM(REGEXREPLACE(D770, ""[0-9]+[a-f]?\."", """"))"),"Pendant combien de jours?")</f>
        <v>Pendant combien de jours?</v>
      </c>
      <c r="I770" s="91" t="str">
        <f>IFERROR(__xludf.DUMMYFUNCTION("TRIM(REGEXREPLACE(E770, ""[0-9]+[a-f]?\."", """"))"),"155a Tsawon kwanaki nawa?")</f>
        <v>155a Tsawon kwanaki nawa?</v>
      </c>
      <c r="J770" s="91" t="str">
        <f t="shared" si="576"/>
        <v>451. How many days?</v>
      </c>
      <c r="K770" s="91" t="str">
        <f t="shared" ref="K770:L770" si="585">$F770&amp;". "&amp;H770</f>
        <v>451. Pendant combien de jours?</v>
      </c>
      <c r="L770" s="91" t="str">
        <f t="shared" si="585"/>
        <v>451. 155a Tsawon kwanaki nawa?</v>
      </c>
    </row>
    <row r="771">
      <c r="A771" s="146" t="s">
        <v>237</v>
      </c>
      <c r="B771" s="147" t="s">
        <v>4936</v>
      </c>
      <c r="C771" s="31" t="s">
        <v>4937</v>
      </c>
      <c r="D771" s="31" t="s">
        <v>4938</v>
      </c>
      <c r="E771" s="31" t="s">
        <v>4939</v>
      </c>
      <c r="F771" s="89">
        <v>452.0</v>
      </c>
      <c r="G771" s="91" t="str">
        <f>IFERROR(__xludf.DUMMYFUNCTION("TRIM(REGEXREPLACE(C771, ""[0-9]+[a-f]?\."", """"))"),"In the past week how many days have children in your household consumed animal protein (inlcuding fish, meat, poultry)?")</f>
        <v>In the past week how many days have children in your household consumed animal protein (inlcuding fish, meat, poultry)?</v>
      </c>
      <c r="H771" s="91" t="str">
        <f>IFERROR(__xludf.DUMMYFUNCTION("TRIM(REGEXREPLACE(D771,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771" s="91" t="str">
        <f>IFERROR(__xludf.DUMMYFUNCTION("TRIM(REGEXREPLACE(E771, ""[0-9]+[a-f]?\."", """"))"),"A cikin kwanaki 7 da suka gabata sau nawa yara a cikin gidanku suka ci abinci masu gina jiki kamar su kifi, nama, kaji ?")</f>
        <v>A cikin kwanaki 7 da suka gabata sau nawa yara a cikin gidanku suka ci abinci masu gina jiki kamar su kifi, nama, kaji ?</v>
      </c>
      <c r="J771" s="91" t="str">
        <f t="shared" si="576"/>
        <v>452. In the past week how many days have children in your household consumed animal protein (inlcuding fish, meat, poultry)?</v>
      </c>
      <c r="K771" s="91" t="str">
        <f t="shared" ref="K771:L771" si="586">$F771&amp;". "&amp;H771</f>
        <v>452. Au cours des 7 derniers jours, combien de fois les enfants de votre ménage ont-ils consommé des protéines animales (y compris poisson, viande, volaille) ?</v>
      </c>
      <c r="L771" s="91" t="str">
        <f t="shared" si="586"/>
        <v>452. A cikin kwanaki 7 da suka gabata sau nawa yara a cikin gidanku suka ci abinci masu gina jiki kamar su kifi, nama, kaji ?</v>
      </c>
    </row>
    <row r="772" hidden="1">
      <c r="A772" s="104" t="s">
        <v>139</v>
      </c>
      <c r="B772" s="141" t="s">
        <v>4940</v>
      </c>
      <c r="C772" s="31"/>
      <c r="D772" s="31"/>
      <c r="E772" s="31"/>
      <c r="F772" s="89">
        <v>440.0</v>
      </c>
      <c r="G772" s="91" t="str">
        <f>IFERROR(__xludf.DUMMYFUNCTION("TRIM(REGEXREPLACE(C772, ""[0-9]+[a-f]?\."", """"))"),"")</f>
        <v/>
      </c>
      <c r="H772" s="91" t="str">
        <f>IFERROR(__xludf.DUMMYFUNCTION("TRIM(REGEXREPLACE(D772, ""[0-9]+[a-f]?\."", """"))"),"")</f>
        <v/>
      </c>
      <c r="I772" s="91" t="str">
        <f>IFERROR(__xludf.DUMMYFUNCTION("TRIM(REGEXREPLACE(E772, ""[0-9]+[a-f]?\."", """"))"),"")</f>
        <v/>
      </c>
      <c r="J772" s="91" t="s">
        <v>4942</v>
      </c>
      <c r="K772" s="91" t="s">
        <v>4943</v>
      </c>
      <c r="L772" s="91" t="s">
        <v>4945</v>
      </c>
    </row>
    <row r="773" hidden="1">
      <c r="A773" s="67" t="s">
        <v>108</v>
      </c>
      <c r="B773" s="69" t="s">
        <v>4948</v>
      </c>
      <c r="C773" s="31"/>
      <c r="D773" s="31"/>
      <c r="E773" s="31"/>
      <c r="F773" s="89">
        <v>441.0</v>
      </c>
      <c r="G773" s="91" t="str">
        <f>IFERROR(__xludf.DUMMYFUNCTION("TRIM(REGEXREPLACE(C773, ""[0-9]+[a-f]?\."", """"))"),"")</f>
        <v/>
      </c>
      <c r="H773" s="91" t="str">
        <f>IFERROR(__xludf.DUMMYFUNCTION("TRIM(REGEXREPLACE(D773, ""[0-9]+[a-f]?\."", """"))"),"")</f>
        <v/>
      </c>
      <c r="I773" s="91" t="str">
        <f>IFERROR(__xludf.DUMMYFUNCTION("TRIM(REGEXREPLACE(E773, ""[0-9]+[a-f]?\."", """"))"),"")</f>
        <v/>
      </c>
      <c r="J773" s="91" t="s">
        <v>4952</v>
      </c>
      <c r="K773" s="91" t="s">
        <v>4953</v>
      </c>
      <c r="L773" s="91" t="s">
        <v>4954</v>
      </c>
    </row>
    <row r="774" hidden="1">
      <c r="A774" s="169"/>
      <c r="B774" s="170"/>
      <c r="C774" s="31" t="s">
        <v>53</v>
      </c>
      <c r="D774" s="31" t="s">
        <v>53</v>
      </c>
      <c r="E774" s="31" t="s">
        <v>53</v>
      </c>
      <c r="F774" s="89">
        <v>454.0</v>
      </c>
      <c r="G774" s="91" t="str">
        <f>IFERROR(__xludf.DUMMYFUNCTION("TRIM(REGEXREPLACE(C774, ""[0-9]+[a-f]?\."", """"))"),"")</f>
        <v/>
      </c>
      <c r="H774" s="91" t="str">
        <f>IFERROR(__xludf.DUMMYFUNCTION("TRIM(REGEXREPLACE(D774, ""[0-9]+[a-f]?\."", """"))"),"")</f>
        <v/>
      </c>
      <c r="I774" s="91" t="str">
        <f>IFERROR(__xludf.DUMMYFUNCTION("TRIM(REGEXREPLACE(E774, ""[0-9]+[a-f]?\."", """"))"),"")</f>
        <v/>
      </c>
      <c r="J774" s="91" t="s">
        <v>4955</v>
      </c>
      <c r="K774" s="91" t="s">
        <v>4956</v>
      </c>
      <c r="L774" s="91" t="s">
        <v>4957</v>
      </c>
    </row>
    <row r="775" hidden="1">
      <c r="A775" s="122" t="s">
        <v>150</v>
      </c>
      <c r="B775" s="123" t="s">
        <v>4958</v>
      </c>
      <c r="C775" s="31"/>
      <c r="D775" s="31"/>
      <c r="E775" s="31"/>
      <c r="F775" s="89">
        <v>442.0</v>
      </c>
      <c r="G775" s="91" t="str">
        <f>IFERROR(__xludf.DUMMYFUNCTION("TRIM(REGEXREPLACE(C775, ""[0-9]+[a-f]?\."", """"))"),"")</f>
        <v/>
      </c>
      <c r="H775" s="91" t="str">
        <f>IFERROR(__xludf.DUMMYFUNCTION("TRIM(REGEXREPLACE(D775, ""[0-9]+[a-f]?\."", """"))"),"")</f>
        <v/>
      </c>
      <c r="I775" s="91" t="str">
        <f>IFERROR(__xludf.DUMMYFUNCTION("TRIM(REGEXREPLACE(E775, ""[0-9]+[a-f]?\."", """"))"),"")</f>
        <v/>
      </c>
      <c r="J775" s="91" t="s">
        <v>4962</v>
      </c>
      <c r="K775" s="91" t="s">
        <v>4963</v>
      </c>
      <c r="L775" s="91" t="s">
        <v>4964</v>
      </c>
    </row>
    <row r="776" hidden="1">
      <c r="A776" s="104" t="s">
        <v>139</v>
      </c>
      <c r="B776" s="141" t="s">
        <v>4967</v>
      </c>
      <c r="C776" s="31"/>
      <c r="D776" s="31"/>
      <c r="E776" s="31"/>
      <c r="F776" s="89">
        <v>456.0</v>
      </c>
      <c r="G776" s="91" t="str">
        <f>IFERROR(__xludf.DUMMYFUNCTION("TRIM(REGEXREPLACE(C776, ""[0-9]+[a-f]?\."", """"))"),"")</f>
        <v/>
      </c>
      <c r="H776" s="91" t="str">
        <f>IFERROR(__xludf.DUMMYFUNCTION("TRIM(REGEXREPLACE(D776, ""[0-9]+[a-f]?\."", """"))"),"")</f>
        <v/>
      </c>
      <c r="I776" s="91" t="str">
        <f>IFERROR(__xludf.DUMMYFUNCTION("TRIM(REGEXREPLACE(E776, ""[0-9]+[a-f]?\."", """"))"),"")</f>
        <v/>
      </c>
      <c r="J776" s="91" t="s">
        <v>4970</v>
      </c>
      <c r="K776" s="91" t="s">
        <v>4971</v>
      </c>
      <c r="L776" s="91" t="s">
        <v>4972</v>
      </c>
    </row>
    <row r="777">
      <c r="A777" s="81" t="s">
        <v>1272</v>
      </c>
      <c r="B777" s="142" t="s">
        <v>4973</v>
      </c>
      <c r="C777" s="31" t="s">
        <v>4974</v>
      </c>
      <c r="D777" s="31" t="s">
        <v>4975</v>
      </c>
      <c r="E777" s="31" t="s">
        <v>4976</v>
      </c>
      <c r="F777" s="89">
        <v>453.0</v>
      </c>
      <c r="G777" s="91" t="str">
        <f>IFERROR(__xludf.DUMMYFUNCTION("TRIM(REGEXREPLACE(C777, ""[0-9]+[a-f]?\."", """"))"),"Has your household spent money on the following types of expenses in the past month?")</f>
        <v>Has your household spent money on the following types of expenses in the past month?</v>
      </c>
      <c r="H777" s="91" t="str">
        <f>IFERROR(__xludf.DUMMYFUNCTION("TRIM(REGEXREPLACE(D777, ""[0-9]+[a-f]?\."", """"))"),"Votre ménage a-t-il dépensé de l'argent pour les types de dépenses suivants au cours du dernier mois ?")</f>
        <v>Votre ménage a-t-il dépensé de l'argent pour les types de dépenses suivants au cours du dernier mois ?</v>
      </c>
      <c r="I777" s="91" t="str">
        <f>IFERROR(__xludf.DUMMYFUNCTION("TRIM(REGEXREPLACE(E777, ""[0-9]+[a-f]?\."", """"))"),"Shin gidanku ya kashe kuɗi akan irin waɗannan abubuwan a cikin watan da ya gabata?")</f>
        <v>Shin gidanku ya kashe kuɗi akan irin waɗannan abubuwan a cikin watan da ya gabata?</v>
      </c>
      <c r="J777" s="91" t="str">
        <f>F777&amp;". "&amp;G777</f>
        <v>453. Has your household spent money on the following types of expenses in the past month?</v>
      </c>
      <c r="K777" s="91" t="str">
        <f t="shared" ref="K777:L777" si="587">$F777&amp;". "&amp;H777</f>
        <v>453. Votre ménage a-t-il dépensé de l'argent pour les types de dépenses suivants au cours du dernier mois ?</v>
      </c>
      <c r="L777" s="91" t="str">
        <f t="shared" si="587"/>
        <v>453. Shin gidanku ya kashe kuɗi akan irin waɗannan abubuwan a cikin watan da ya gabata?</v>
      </c>
    </row>
    <row r="778" hidden="1">
      <c r="A778" s="144" t="s">
        <v>648</v>
      </c>
      <c r="B778" s="145" t="s">
        <v>5018</v>
      </c>
      <c r="C778" s="31" t="s">
        <v>1282</v>
      </c>
      <c r="D778" s="31" t="s">
        <v>1283</v>
      </c>
      <c r="E778" s="31" t="s">
        <v>1284</v>
      </c>
      <c r="F778" s="89">
        <v>458.0</v>
      </c>
      <c r="G778" s="91" t="str">
        <f>IFERROR(__xludf.DUMMYFUNCTION("TRIM(REGEXREPLACE(C778, ""[0-9]+[a-f]?\."", """"))"),"Consumption - Monthly")</f>
        <v>Consumption - Monthly</v>
      </c>
      <c r="H778" s="91" t="str">
        <f>IFERROR(__xludf.DUMMYFUNCTION("TRIM(REGEXREPLACE(D778, ""[0-9]+[a-f]?\."", """"))"),"Consommation - Mensuelle")</f>
        <v>Consommation - Mensuelle</v>
      </c>
      <c r="I778" s="91" t="str">
        <f>IFERROR(__xludf.DUMMYFUNCTION("TRIM(REGEXREPLACE(E778, ""[0-9]+[a-f]?\."", """"))"),"Cimaka - kowane wata")</f>
        <v>Cimaka - kowane wata</v>
      </c>
      <c r="J778" s="91" t="s">
        <v>5022</v>
      </c>
      <c r="K778" s="91" t="s">
        <v>5024</v>
      </c>
      <c r="L778" s="91" t="s">
        <v>5025</v>
      </c>
    </row>
    <row r="779" hidden="1">
      <c r="A779" s="104" t="s">
        <v>108</v>
      </c>
      <c r="B779" s="105" t="s">
        <v>5026</v>
      </c>
      <c r="C779" s="31" t="s">
        <v>1286</v>
      </c>
      <c r="D779" s="31" t="s">
        <v>1287</v>
      </c>
      <c r="E779" s="31" t="s">
        <v>1288</v>
      </c>
      <c r="F779" s="89">
        <v>444.0</v>
      </c>
      <c r="G779" s="91" t="str">
        <f>IFERROR(__xludf.DUMMYFUNCTION("TRIM(REGEXREPLACE(C779, ""[0-9]+[a-f]?\."", """"))"),"item")</f>
        <v>item</v>
      </c>
      <c r="H779" s="91" t="str">
        <f>IFERROR(__xludf.DUMMYFUNCTION("TRIM(REGEXREPLACE(D779, ""[0-9]+[a-f]?\."", """"))"),"article")</f>
        <v>article</v>
      </c>
      <c r="I779" s="91" t="str">
        <f>IFERROR(__xludf.DUMMYFUNCTION("TRIM(REGEXREPLACE(E779, ""[0-9]+[a-f]?\."", """"))"),"kaya")</f>
        <v>kaya</v>
      </c>
      <c r="J779" s="91" t="s">
        <v>5027</v>
      </c>
      <c r="K779" s="91" t="s">
        <v>5028</v>
      </c>
      <c r="L779" s="91" t="s">
        <v>5029</v>
      </c>
    </row>
    <row r="780">
      <c r="A780" s="146" t="s">
        <v>237</v>
      </c>
      <c r="B780" s="147" t="s">
        <v>5030</v>
      </c>
      <c r="C780" s="31" t="s">
        <v>5032</v>
      </c>
      <c r="D780" s="31" t="s">
        <v>5033</v>
      </c>
      <c r="E780" s="31" t="s">
        <v>5034</v>
      </c>
      <c r="F780" s="89">
        <v>454.0</v>
      </c>
      <c r="G780" s="91" t="str">
        <f>IFERROR(__xludf.DUMMYFUNCTION("TRIM(REGEXREPLACE(C780, ""[0-9]+[a-f]?\."", """"))"),"How much did your household spend on ${hoh_item} in the past month (in CFA)?")</f>
        <v>How much did your household spend on ${hoh_item} in the past month (in CFA)?</v>
      </c>
      <c r="H780" s="91" t="str">
        <f>IFERROR(__xludf.DUMMYFUNCTION("TRIM(REGEXREPLACE(D780, ""[0-9]+[a-f]?\."", """"))"),"Combien votre ménage a-t-il dépensé pour ${hoh_item} au cours du dernier mois (en CFA) ?")</f>
        <v>Combien votre ménage a-t-il dépensé pour ${hoh_item} au cours du dernier mois (en CFA) ?</v>
      </c>
      <c r="I780" s="91" t="str">
        <f>IFERROR(__xludf.DUMMYFUNCTION("TRIM(REGEXREPLACE(E780, ""[0-9]+[a-f]?\."", """"))"),"Nawa ne (a CFA) gidanku ya kashe akan ${hoh_item} cikin watan da ya gabata ?")</f>
        <v>Nawa ne (a CFA) gidanku ya kashe akan ${hoh_item} cikin watan da ya gabata ?</v>
      </c>
      <c r="J780" s="91" t="str">
        <f>F780&amp;". "&amp;G780</f>
        <v>454. How much did your household spend on ${hoh_item} in the past month (in CFA)?</v>
      </c>
      <c r="K780" s="91" t="str">
        <f t="shared" ref="K780:L780" si="588">$F780&amp;". "&amp;H780</f>
        <v>454. Combien votre ménage a-t-il dépensé pour ${hoh_item} au cours du dernier mois (en CFA) ?</v>
      </c>
      <c r="L780" s="91" t="str">
        <f t="shared" si="588"/>
        <v>454. Nawa ne (a CFA) gidanku ya kashe akan ${hoh_item} cikin watan da ya gabata ?</v>
      </c>
    </row>
    <row r="781" hidden="1">
      <c r="A781" s="144" t="s">
        <v>691</v>
      </c>
      <c r="B781" s="150" t="s">
        <v>5018</v>
      </c>
      <c r="C781" s="31" t="s">
        <v>1282</v>
      </c>
      <c r="D781" s="31" t="s">
        <v>1283</v>
      </c>
      <c r="E781" s="31" t="s">
        <v>1284</v>
      </c>
      <c r="F781" s="89">
        <v>460.0</v>
      </c>
      <c r="G781" s="91" t="str">
        <f>IFERROR(__xludf.DUMMYFUNCTION("TRIM(REGEXREPLACE(C781, ""[0-9]+[a-f]?\."", """"))"),"Consumption - Monthly")</f>
        <v>Consumption - Monthly</v>
      </c>
      <c r="H781" s="91" t="str">
        <f>IFERROR(__xludf.DUMMYFUNCTION("TRIM(REGEXREPLACE(D781, ""[0-9]+[a-f]?\."", """"))"),"Consommation - Mensuelle")</f>
        <v>Consommation - Mensuelle</v>
      </c>
      <c r="I781" s="91" t="str">
        <f>IFERROR(__xludf.DUMMYFUNCTION("TRIM(REGEXREPLACE(E781, ""[0-9]+[a-f]?\."", """"))"),"Cimaka - kowane wata")</f>
        <v>Cimaka - kowane wata</v>
      </c>
    </row>
    <row r="782">
      <c r="A782" s="81" t="s">
        <v>1301</v>
      </c>
      <c r="B782" s="142" t="s">
        <v>5042</v>
      </c>
      <c r="C782" s="31" t="s">
        <v>5043</v>
      </c>
      <c r="D782" s="31" t="s">
        <v>5044</v>
      </c>
      <c r="E782" s="31" t="s">
        <v>5045</v>
      </c>
      <c r="F782" s="89">
        <v>455.0</v>
      </c>
      <c r="G782" s="91" t="str">
        <f>IFERROR(__xludf.DUMMYFUNCTION("TRIM(REGEXREPLACE(C782, ""[0-9]+[a-f]?\."", """"))"),"Has your household spent money on the following types of expenses in the past week?")</f>
        <v>Has your household spent money on the following types of expenses in the past week?</v>
      </c>
      <c r="H782" s="91" t="str">
        <f>IFERROR(__xludf.DUMMYFUNCTION("TRIM(REGEXREPLACE(D782, ""[0-9]+[a-f]?\."", """"))"),"Votre ménage a-t-il dépensé de l'argent pour les types de dépenses suivants au cours de la semaine dernière ?")</f>
        <v>Votre ménage a-t-il dépensé de l'argent pour les types de dépenses suivants au cours de la semaine dernière ?</v>
      </c>
      <c r="I782" s="91" t="str">
        <f>IFERROR(__xludf.DUMMYFUNCTION("TRIM(REGEXREPLACE(E782, ""[0-9]+[a-f]?\."", """"))"),"Ko gidanku sun kashe kuɗi akan ire iren waɗannan abubuwan a cikin satin da ya gabata?")</f>
        <v>Ko gidanku sun kashe kuɗi akan ire iren waɗannan abubuwan a cikin satin da ya gabata?</v>
      </c>
      <c r="J782" s="91" t="str">
        <f>F782&amp;". "&amp;G782</f>
        <v>455. Has your household spent money on the following types of expenses in the past week?</v>
      </c>
      <c r="K782" s="91" t="str">
        <f t="shared" ref="K782:L782" si="589">$F782&amp;". "&amp;H782</f>
        <v>455. Votre ménage a-t-il dépensé de l'argent pour les types de dépenses suivants au cours de la semaine dernière ?</v>
      </c>
      <c r="L782" s="91" t="str">
        <f t="shared" si="589"/>
        <v>455. Ko gidanku sun kashe kuɗi akan ire iren waɗannan abubuwan a cikin satin da ya gabata?</v>
      </c>
    </row>
    <row r="783" hidden="1">
      <c r="A783" s="144" t="s">
        <v>648</v>
      </c>
      <c r="B783" s="145" t="s">
        <v>5049</v>
      </c>
      <c r="C783" s="31" t="s">
        <v>1311</v>
      </c>
      <c r="D783" s="31" t="s">
        <v>1312</v>
      </c>
      <c r="E783" s="31" t="s">
        <v>1313</v>
      </c>
      <c r="F783" s="89">
        <v>446.0</v>
      </c>
      <c r="G783" s="91" t="str">
        <f>IFERROR(__xludf.DUMMYFUNCTION("TRIM(REGEXREPLACE(C783, ""[0-9]+[a-f]?\."", """"))"),"Consumption - Weekly")</f>
        <v>Consumption - Weekly</v>
      </c>
      <c r="H783" s="91" t="str">
        <f>IFERROR(__xludf.DUMMYFUNCTION("TRIM(REGEXREPLACE(D783, ""[0-9]+[a-f]?\."", """"))"),"Consommation - Hebdomadaire")</f>
        <v>Consommation - Hebdomadaire</v>
      </c>
      <c r="I783" s="91" t="str">
        <f>IFERROR(__xludf.DUMMYFUNCTION("TRIM(REGEXREPLACE(E783, ""[0-9]+[a-f]?\."", """"))"),"Cimakar - sati-sati")</f>
        <v>Cimakar - sati-sati</v>
      </c>
      <c r="J783" s="91" t="s">
        <v>5050</v>
      </c>
      <c r="K783" s="91" t="s">
        <v>5051</v>
      </c>
      <c r="L783" s="91" t="s">
        <v>5052</v>
      </c>
    </row>
    <row r="784" hidden="1">
      <c r="A784" s="104" t="s">
        <v>108</v>
      </c>
      <c r="B784" s="105" t="s">
        <v>5056</v>
      </c>
      <c r="C784" s="31" t="s">
        <v>1320</v>
      </c>
      <c r="D784" s="31" t="s">
        <v>1321</v>
      </c>
      <c r="E784" s="31" t="s">
        <v>1322</v>
      </c>
      <c r="F784" s="89">
        <v>447.0</v>
      </c>
      <c r="G784" s="91" t="str">
        <f>IFERROR(__xludf.DUMMYFUNCTION("TRIM(REGEXREPLACE(C784, ""[0-9]+[a-f]?\."", """"))"),"item weekly")</f>
        <v>item weekly</v>
      </c>
      <c r="H784" s="91" t="str">
        <f>IFERROR(__xludf.DUMMYFUNCTION("TRIM(REGEXREPLACE(D784, ""[0-9]+[a-f]?\."", """"))"),"article hebdomadaire")</f>
        <v>article hebdomadaire</v>
      </c>
      <c r="I784" s="91" t="str">
        <f>IFERROR(__xludf.DUMMYFUNCTION("TRIM(REGEXREPLACE(E784, ""[0-9]+[a-f]?\."", """"))"),"kayan sati-sati")</f>
        <v>kayan sati-sati</v>
      </c>
      <c r="J784" s="91" t="s">
        <v>5059</v>
      </c>
      <c r="K784" s="91" t="s">
        <v>5060</v>
      </c>
      <c r="L784" s="91" t="s">
        <v>5061</v>
      </c>
    </row>
    <row r="785">
      <c r="A785" s="146" t="s">
        <v>237</v>
      </c>
      <c r="B785" s="147" t="s">
        <v>5062</v>
      </c>
      <c r="C785" s="31" t="s">
        <v>5063</v>
      </c>
      <c r="D785" s="31" t="s">
        <v>5064</v>
      </c>
      <c r="E785" s="31" t="s">
        <v>5065</v>
      </c>
      <c r="F785" s="89">
        <v>456.0</v>
      </c>
      <c r="G785" s="91" t="str">
        <f>IFERROR(__xludf.DUMMYFUNCTION("TRIM(REGEXREPLACE(C785, ""[0-9]+[a-f]?\."", """"))"),"How much did your household spend on ${hoh_item_week} in the past week (in CFA)?")</f>
        <v>How much did your household spend on ${hoh_item_week} in the past week (in CFA)?</v>
      </c>
      <c r="H785" s="91" t="str">
        <f>IFERROR(__xludf.DUMMYFUNCTION("TRIM(REGEXREPLACE(D785, ""[0-9]+[a-f]?\."", """"))"),"Combien votre ménage a-t-il dépensé en ${hoh_item_week} la semaine dernière (en CFA) ?")</f>
        <v>Combien votre ménage a-t-il dépensé en ${hoh_item_week} la semaine dernière (en CFA) ?</v>
      </c>
      <c r="I785" s="91" t="str">
        <f>IFERROR(__xludf.DUMMYFUNCTION("TRIM(REGEXREPLACE(E785, ""[0-9]+[a-f]?\."", """"))"),"Nawa ne gidan ku ya kashe (a CFA) a ${hoh_item_week} satin da ya gabata ?")</f>
        <v>Nawa ne gidan ku ya kashe (a CFA) a ${hoh_item_week} satin da ya gabata ?</v>
      </c>
      <c r="J785" s="91" t="str">
        <f>F785&amp;". "&amp;G785</f>
        <v>456. How much did your household spend on ${hoh_item_week} in the past week (in CFA)?</v>
      </c>
      <c r="K785" s="91" t="str">
        <f t="shared" ref="K785:L785" si="590">$F785&amp;". "&amp;H785</f>
        <v>456. Combien votre ménage a-t-il dépensé en ${hoh_item_week} la semaine dernière (en CFA) ?</v>
      </c>
      <c r="L785" s="91" t="str">
        <f t="shared" si="590"/>
        <v>456. Nawa ne gidan ku ya kashe (a CFA) a ${hoh_item_week} satin da ya gabata ?</v>
      </c>
    </row>
    <row r="786" hidden="1">
      <c r="A786" s="144" t="s">
        <v>691</v>
      </c>
      <c r="B786" s="150" t="s">
        <v>5049</v>
      </c>
      <c r="C786" s="31" t="s">
        <v>1311</v>
      </c>
      <c r="D786" s="31" t="s">
        <v>1312</v>
      </c>
      <c r="E786" s="31" t="s">
        <v>1313</v>
      </c>
      <c r="F786" s="89">
        <v>449.0</v>
      </c>
      <c r="G786" s="91" t="str">
        <f>IFERROR(__xludf.DUMMYFUNCTION("TRIM(REGEXREPLACE(C786, ""[0-9]+[a-f]?\."", """"))"),"Consumption - Weekly")</f>
        <v>Consumption - Weekly</v>
      </c>
      <c r="H786" s="91" t="str">
        <f>IFERROR(__xludf.DUMMYFUNCTION("TRIM(REGEXREPLACE(D786, ""[0-9]+[a-f]?\."", """"))"),"Consommation - Hebdomadaire")</f>
        <v>Consommation - Hebdomadaire</v>
      </c>
      <c r="I786" s="91" t="str">
        <f>IFERROR(__xludf.DUMMYFUNCTION("TRIM(REGEXREPLACE(E786, ""[0-9]+[a-f]?\."", """"))"),"Cimakar - sati-sati")</f>
        <v>Cimakar - sati-sati</v>
      </c>
      <c r="J786" s="91" t="s">
        <v>5072</v>
      </c>
      <c r="K786" s="91" t="s">
        <v>5074</v>
      </c>
      <c r="L786" s="91" t="s">
        <v>5075</v>
      </c>
    </row>
    <row r="787" hidden="1">
      <c r="A787" s="122" t="s">
        <v>150</v>
      </c>
      <c r="B787" s="69" t="s">
        <v>5076</v>
      </c>
      <c r="C787" s="31"/>
      <c r="D787" s="31"/>
      <c r="E787" s="31"/>
      <c r="F787" s="89">
        <v>450.0</v>
      </c>
      <c r="G787" s="91" t="str">
        <f>IFERROR(__xludf.DUMMYFUNCTION("TRIM(REGEXREPLACE(C787, ""[0-9]+[a-f]?\."", """"))"),"")</f>
        <v/>
      </c>
      <c r="H787" s="91" t="str">
        <f>IFERROR(__xludf.DUMMYFUNCTION("TRIM(REGEXREPLACE(D787, ""[0-9]+[a-f]?\."", """"))"),"")</f>
        <v/>
      </c>
      <c r="I787" s="91" t="str">
        <f>IFERROR(__xludf.DUMMYFUNCTION("TRIM(REGEXREPLACE(E787, ""[0-9]+[a-f]?\."", """"))"),"")</f>
        <v/>
      </c>
      <c r="J787" s="91" t="s">
        <v>5079</v>
      </c>
      <c r="K787" s="91" t="s">
        <v>5081</v>
      </c>
      <c r="L787" s="91" t="s">
        <v>5082</v>
      </c>
    </row>
    <row r="788">
      <c r="A788" s="81" t="s">
        <v>485</v>
      </c>
      <c r="B788" s="142" t="s">
        <v>5083</v>
      </c>
      <c r="C788" s="31" t="s">
        <v>5084</v>
      </c>
      <c r="D788" s="31" t="s">
        <v>5085</v>
      </c>
      <c r="E788" s="31" t="s">
        <v>5086</v>
      </c>
      <c r="F788" s="89">
        <v>457.0</v>
      </c>
      <c r="G788" s="91" t="str">
        <f>IFERROR(__xludf.DUMMYFUNCTION("TRIM(REGEXREPLACE(C788, ""[0-9]+[a-f]?\."", """"))"),"For Tabaski, did your household purchase any of the following?")</f>
        <v>For Tabaski, did your household purchase any of the following?</v>
      </c>
      <c r="H788" s="91" t="str">
        <f>IFERROR(__xludf.DUMMYFUNCTION("TRIM(REGEXREPLACE(D788, ""[0-9]+[a-f]?\."", """"))"),"Pour le Tabaski, votre ménage a-t-il acheté l'un des produits suivants ?")</f>
        <v>Pour le Tabaski, votre ménage a-t-il acheté l'un des produits suivants ?</v>
      </c>
      <c r="I788" s="91" t="str">
        <f>IFERROR(__xludf.DUMMYFUNCTION("TRIM(REGEXREPLACE(E788, ""[0-9]+[a-f]?\."", """"))"),"Don sallar laiya, gidanku ya sayi ɗaya daga cikin waɗannan?")</f>
        <v>Don sallar laiya, gidanku ya sayi ɗaya daga cikin waɗannan?</v>
      </c>
      <c r="J788" s="91" t="str">
        <f t="shared" ref="J788:J792" si="592">F788&amp;". "&amp;G788</f>
        <v>457. For Tabaski, did your household purchase any of the following?</v>
      </c>
      <c r="K788" s="91" t="str">
        <f t="shared" ref="K788:L788" si="591">$F788&amp;". "&amp;H788</f>
        <v>457. Pour le Tabaski, votre ménage a-t-il acheté l'un des produits suivants ?</v>
      </c>
      <c r="L788" s="91" t="str">
        <f t="shared" si="591"/>
        <v>457. Don sallar laiya, gidanku ya sayi ɗaya daga cikin waɗannan?</v>
      </c>
    </row>
    <row r="789">
      <c r="A789" s="81" t="s">
        <v>485</v>
      </c>
      <c r="B789" s="142" t="s">
        <v>5091</v>
      </c>
      <c r="C789" s="31" t="s">
        <v>5092</v>
      </c>
      <c r="D789" s="31" t="s">
        <v>5093</v>
      </c>
      <c r="E789" s="31" t="s">
        <v>5094</v>
      </c>
      <c r="F789" s="89">
        <v>458.0</v>
      </c>
      <c r="G789" s="91" t="str">
        <f>IFERROR(__xludf.DUMMYFUNCTION("TRIM(REGEXREPLACE(C789, ""[0-9]+[a-f]?\."", """"))"),"Clothing")</f>
        <v>Clothing</v>
      </c>
      <c r="H789" s="91" t="str">
        <f>IFERROR(__xludf.DUMMYFUNCTION("TRIM(REGEXREPLACE(D789, ""[0-9]+[a-f]?\."", """"))"),"Vêtements")</f>
        <v>Vêtements</v>
      </c>
      <c r="I789" s="91" t="str">
        <f>IFERROR(__xludf.DUMMYFUNCTION("TRIM(REGEXREPLACE(E789, ""[0-9]+[a-f]?\."", """"))"),"Tufafi")</f>
        <v>Tufafi</v>
      </c>
      <c r="J789" s="91" t="str">
        <f t="shared" si="592"/>
        <v>458. Clothing</v>
      </c>
      <c r="K789" s="91" t="str">
        <f t="shared" ref="K789:L789" si="593">$F789&amp;". "&amp;H789</f>
        <v>458. Vêtements</v>
      </c>
      <c r="L789" s="91" t="str">
        <f t="shared" si="593"/>
        <v>458. Tufafi</v>
      </c>
    </row>
    <row r="790">
      <c r="A790" s="81" t="s">
        <v>485</v>
      </c>
      <c r="B790" s="142" t="s">
        <v>5095</v>
      </c>
      <c r="C790" s="31" t="s">
        <v>5096</v>
      </c>
      <c r="D790" s="31" t="s">
        <v>5097</v>
      </c>
      <c r="E790" s="31" t="s">
        <v>5098</v>
      </c>
      <c r="F790" s="89">
        <v>459.0</v>
      </c>
      <c r="G790" s="91" t="str">
        <f>IFERROR(__xludf.DUMMYFUNCTION("TRIM(REGEXREPLACE(C790, ""[0-9]+[a-f]?\."", """"))"),"Sheep")</f>
        <v>Sheep</v>
      </c>
      <c r="H790" s="91" t="str">
        <f>IFERROR(__xludf.DUMMYFUNCTION("TRIM(REGEXREPLACE(D790, ""[0-9]+[a-f]?\."", """"))"),"Mouton")</f>
        <v>Mouton</v>
      </c>
      <c r="I790" s="91" t="str">
        <f>IFERROR(__xludf.DUMMYFUNCTION("TRIM(REGEXREPLACE(E790, ""[0-9]+[a-f]?\."", """"))"),"Rago")</f>
        <v>Rago</v>
      </c>
      <c r="J790" s="91" t="str">
        <f t="shared" si="592"/>
        <v>459. Sheep</v>
      </c>
      <c r="K790" s="91" t="str">
        <f t="shared" ref="K790:L790" si="594">$F790&amp;". "&amp;H790</f>
        <v>459. Mouton</v>
      </c>
      <c r="L790" s="91" t="str">
        <f t="shared" si="594"/>
        <v>459. Rago</v>
      </c>
    </row>
    <row r="791">
      <c r="A791" s="81" t="s">
        <v>485</v>
      </c>
      <c r="B791" s="142" t="s">
        <v>5099</v>
      </c>
      <c r="C791" s="31" t="s">
        <v>5100</v>
      </c>
      <c r="D791" s="31" t="s">
        <v>5102</v>
      </c>
      <c r="E791" s="31" t="s">
        <v>5103</v>
      </c>
      <c r="F791" s="89">
        <v>460.0</v>
      </c>
      <c r="G791" s="91" t="str">
        <f>IFERROR(__xludf.DUMMYFUNCTION("TRIM(REGEXREPLACE(C791, ""[0-9]+[a-f]?\."", """"))"),"Goat")</f>
        <v>Goat</v>
      </c>
      <c r="H791" s="91" t="str">
        <f>IFERROR(__xludf.DUMMYFUNCTION("TRIM(REGEXREPLACE(D791, ""[0-9]+[a-f]?\."", """"))"),"Chèvre")</f>
        <v>Chèvre</v>
      </c>
      <c r="I791" s="91" t="str">
        <f>IFERROR(__xludf.DUMMYFUNCTION("TRIM(REGEXREPLACE(E791, ""[0-9]+[a-f]?\."", """"))"),"Akuya")</f>
        <v>Akuya</v>
      </c>
      <c r="J791" s="91" t="str">
        <f t="shared" si="592"/>
        <v>460. Goat</v>
      </c>
      <c r="K791" s="91" t="str">
        <f t="shared" ref="K791:L791" si="595">$F791&amp;". "&amp;H791</f>
        <v>460. Chèvre</v>
      </c>
      <c r="L791" s="91" t="str">
        <f t="shared" si="595"/>
        <v>460. Akuya</v>
      </c>
    </row>
    <row r="792">
      <c r="A792" s="81" t="s">
        <v>485</v>
      </c>
      <c r="B792" s="142" t="s">
        <v>5107</v>
      </c>
      <c r="C792" s="31" t="s">
        <v>5109</v>
      </c>
      <c r="D792" s="31" t="s">
        <v>5110</v>
      </c>
      <c r="E792" s="31" t="s">
        <v>5111</v>
      </c>
      <c r="F792" s="89">
        <v>461.0</v>
      </c>
      <c r="G792" s="91" t="str">
        <f>IFERROR(__xludf.DUMMYFUNCTION("TRIM(REGEXREPLACE(C792, ""[0-9]+[a-f]?\."", """"))"),"Poultry")</f>
        <v>Poultry</v>
      </c>
      <c r="H792" s="91" t="str">
        <f>IFERROR(__xludf.DUMMYFUNCTION("TRIM(REGEXREPLACE(D792, ""[0-9]+[a-f]?\."", """"))"),"Volaille")</f>
        <v>Volaille</v>
      </c>
      <c r="I792" s="91" t="str">
        <f>IFERROR(__xludf.DUMMYFUNCTION("TRIM(REGEXREPLACE(E792, ""[0-9]+[a-f]?\."", """"))"),"Kaji")</f>
        <v>Kaji</v>
      </c>
      <c r="J792" s="91" t="str">
        <f t="shared" si="592"/>
        <v>461. Poultry</v>
      </c>
      <c r="K792" s="91" t="str">
        <f t="shared" ref="K792:L792" si="596">$F792&amp;". "&amp;H792</f>
        <v>461. Volaille</v>
      </c>
      <c r="L792" s="91" t="str">
        <f t="shared" si="596"/>
        <v>461. Kaji</v>
      </c>
    </row>
    <row r="793" hidden="1">
      <c r="A793" s="122" t="s">
        <v>236</v>
      </c>
      <c r="B793" s="69" t="s">
        <v>5076</v>
      </c>
      <c r="C793" s="31"/>
      <c r="D793" s="31"/>
      <c r="E793" s="31"/>
      <c r="F793" s="89">
        <v>464.0</v>
      </c>
      <c r="G793" s="91" t="str">
        <f>IFERROR(__xludf.DUMMYFUNCTION("TRIM(REGEXREPLACE(C793, ""[0-9]+[a-f]?\."", """"))"),"")</f>
        <v/>
      </c>
      <c r="H793" s="91" t="str">
        <f>IFERROR(__xludf.DUMMYFUNCTION("TRIM(REGEXREPLACE(D793, ""[0-9]+[a-f]?\."", """"))"),"")</f>
        <v/>
      </c>
      <c r="I793" s="91" t="str">
        <f>IFERROR(__xludf.DUMMYFUNCTION("TRIM(REGEXREPLACE(E793, ""[0-9]+[a-f]?\."", """"))"),"")</f>
        <v/>
      </c>
      <c r="J793" s="91" t="s">
        <v>5116</v>
      </c>
      <c r="K793" s="91" t="s">
        <v>5117</v>
      </c>
      <c r="L793" s="91" t="s">
        <v>5118</v>
      </c>
    </row>
    <row r="794" hidden="1">
      <c r="A794" s="122" t="s">
        <v>236</v>
      </c>
      <c r="B794" s="153" t="s">
        <v>4958</v>
      </c>
      <c r="C794" s="31"/>
      <c r="D794" s="31"/>
      <c r="E794" s="31"/>
    </row>
    <row r="795" hidden="1">
      <c r="A795" s="104" t="s">
        <v>139</v>
      </c>
      <c r="B795" s="141" t="s">
        <v>5125</v>
      </c>
      <c r="C795" s="31"/>
      <c r="D795" s="31"/>
      <c r="E795" s="31"/>
      <c r="F795" s="89">
        <v>259.0</v>
      </c>
      <c r="G795" s="91" t="str">
        <f>IFERROR(__xludf.DUMMYFUNCTION("TRIM(REGEXREPLACE(C795, ""[0-9]+[a-f]?\."", """"))"),"")</f>
        <v/>
      </c>
      <c r="H795" s="91" t="str">
        <f>IFERROR(__xludf.DUMMYFUNCTION("TRIM(REGEXREPLACE(D795, ""[0-9]+[a-f]?\."", """"))"),"")</f>
        <v/>
      </c>
      <c r="I795" s="91" t="str">
        <f>IFERROR(__xludf.DUMMYFUNCTION("TRIM(REGEXREPLACE(E795, ""[0-9]+[a-f]?\."", """"))"),"")</f>
        <v/>
      </c>
      <c r="J795" s="91" t="str">
        <f t="shared" ref="J795:J797" si="597">F795 &amp; ". " &amp;G795</f>
        <v>259. </v>
      </c>
      <c r="K795" s="91" t="str">
        <f t="shared" ref="K795:K797" si="598">F795 &amp; ". " &amp;H795</f>
        <v>259. </v>
      </c>
      <c r="L795" s="91" t="str">
        <f t="shared" ref="L795:L797" si="599">F795 &amp; ". " &amp;I795</f>
        <v>259. </v>
      </c>
    </row>
    <row r="796" hidden="1">
      <c r="A796" s="67" t="s">
        <v>108</v>
      </c>
      <c r="B796" s="69" t="s">
        <v>5130</v>
      </c>
      <c r="C796" s="31"/>
      <c r="D796" s="31"/>
      <c r="E796" s="31"/>
      <c r="F796" s="89">
        <v>260.0</v>
      </c>
      <c r="G796" s="91" t="str">
        <f>IFERROR(__xludf.DUMMYFUNCTION("TRIM(REGEXREPLACE(C796, ""[0-9]+[a-f]?\."", """"))"),"")</f>
        <v/>
      </c>
      <c r="H796" s="91" t="str">
        <f>IFERROR(__xludf.DUMMYFUNCTION("TRIM(REGEXREPLACE(D796, ""[0-9]+[a-f]?\."", """"))"),"")</f>
        <v/>
      </c>
      <c r="I796" s="91" t="str">
        <f>IFERROR(__xludf.DUMMYFUNCTION("TRIM(REGEXREPLACE(E796, ""[0-9]+[a-f]?\."", """"))"),"")</f>
        <v/>
      </c>
      <c r="J796" s="91" t="str">
        <f t="shared" si="597"/>
        <v>260. </v>
      </c>
      <c r="K796" s="91" t="str">
        <f t="shared" si="598"/>
        <v>260. </v>
      </c>
      <c r="L796" s="91" t="str">
        <f t="shared" si="599"/>
        <v>260. </v>
      </c>
    </row>
    <row r="797" hidden="1">
      <c r="A797" s="122" t="s">
        <v>236</v>
      </c>
      <c r="B797" s="153" t="s">
        <v>3214</v>
      </c>
      <c r="C797" s="31"/>
      <c r="D797" s="31"/>
      <c r="E797" s="31"/>
      <c r="F797" s="89">
        <v>261.0</v>
      </c>
      <c r="G797" s="91" t="str">
        <f>IFERROR(__xludf.DUMMYFUNCTION("TRIM(REGEXREPLACE(C797, ""[0-9]+[a-f]?\."", """"))"),"")</f>
        <v/>
      </c>
      <c r="H797" s="91" t="str">
        <f>IFERROR(__xludf.DUMMYFUNCTION("TRIM(REGEXREPLACE(D797, ""[0-9]+[a-f]?\."", """"))"),"")</f>
        <v/>
      </c>
      <c r="I797" s="91" t="str">
        <f>IFERROR(__xludf.DUMMYFUNCTION("TRIM(REGEXREPLACE(E797, ""[0-9]+[a-f]?\."", """"))"),"")</f>
        <v/>
      </c>
      <c r="J797" s="91" t="str">
        <f t="shared" si="597"/>
        <v>261. </v>
      </c>
      <c r="K797" s="91" t="str">
        <f t="shared" si="598"/>
        <v>261. </v>
      </c>
      <c r="L797" s="91" t="str">
        <f t="shared" si="599"/>
        <v>261. </v>
      </c>
    </row>
    <row r="798" hidden="1">
      <c r="A798" s="122" t="s">
        <v>236</v>
      </c>
      <c r="B798" s="122" t="s">
        <v>2515</v>
      </c>
      <c r="C798" s="31" t="s">
        <v>2519</v>
      </c>
      <c r="D798" s="31"/>
      <c r="E798" s="31"/>
      <c r="F798" s="89">
        <v>458.0</v>
      </c>
      <c r="G798" s="91" t="str">
        <f>IFERROR(__xludf.DUMMYFUNCTION("TRIM(REGEXREPLACE(C798, ""[0-9]+[a-f]?\."", """"))"),"HoH Questionnaire")</f>
        <v>HoH Questionnaire</v>
      </c>
      <c r="H798" s="91" t="str">
        <f>IFERROR(__xludf.DUMMYFUNCTION("TRIM(REGEXREPLACE(D798, ""[0-9]+[a-f]?\."", """"))"),"")</f>
        <v/>
      </c>
      <c r="I798" s="91" t="str">
        <f>IFERROR(__xludf.DUMMYFUNCTION("TRIM(REGEXREPLACE(E798, ""[0-9]+[a-f]?\."", """"))"),"")</f>
        <v/>
      </c>
      <c r="J798" s="91" t="s">
        <v>5139</v>
      </c>
      <c r="K798" s="91" t="s">
        <v>5140</v>
      </c>
      <c r="L798" s="91" t="s">
        <v>5141</v>
      </c>
    </row>
    <row r="799" hidden="1">
      <c r="A799" s="67" t="s">
        <v>139</v>
      </c>
      <c r="B799" s="69" t="s">
        <v>5142</v>
      </c>
      <c r="C799" s="31"/>
      <c r="D799" s="31"/>
      <c r="E799" s="31"/>
      <c r="F799" s="89">
        <v>459.0</v>
      </c>
      <c r="G799" s="91" t="str">
        <f>IFERROR(__xludf.DUMMYFUNCTION("TRIM(REGEXREPLACE(C799, ""[0-9]+[a-f]?\."", """"))"),"")</f>
        <v/>
      </c>
      <c r="H799" s="91" t="str">
        <f>IFERROR(__xludf.DUMMYFUNCTION("TRIM(REGEXREPLACE(D799, ""[0-9]+[a-f]?\."", """"))"),"")</f>
        <v/>
      </c>
      <c r="I799" s="91" t="str">
        <f>IFERROR(__xludf.DUMMYFUNCTION("TRIM(REGEXREPLACE(E799, ""[0-9]+[a-f]?\."", """"))"),"")</f>
        <v/>
      </c>
      <c r="J799" s="91" t="s">
        <v>5147</v>
      </c>
      <c r="K799" s="91" t="s">
        <v>5149</v>
      </c>
      <c r="L799" s="91" t="s">
        <v>5150</v>
      </c>
    </row>
    <row r="800" hidden="1">
      <c r="A800" s="67" t="s">
        <v>108</v>
      </c>
      <c r="B800" s="69" t="s">
        <v>5152</v>
      </c>
      <c r="C800" s="31"/>
      <c r="D800" s="31"/>
      <c r="E800" s="31"/>
      <c r="F800" s="89">
        <v>460.0</v>
      </c>
      <c r="G800" s="91" t="str">
        <f>IFERROR(__xludf.DUMMYFUNCTION("TRIM(REGEXREPLACE(C800, ""[0-9]+[a-f]?\."", """"))"),"")</f>
        <v/>
      </c>
      <c r="H800" s="91" t="str">
        <f>IFERROR(__xludf.DUMMYFUNCTION("TRIM(REGEXREPLACE(D800, ""[0-9]+[a-f]?\."", """"))"),"")</f>
        <v/>
      </c>
      <c r="I800" s="91" t="str">
        <f>IFERROR(__xludf.DUMMYFUNCTION("TRIM(REGEXREPLACE(E800, ""[0-9]+[a-f]?\."", """"))"),"")</f>
        <v/>
      </c>
      <c r="J800" s="91" t="s">
        <v>5154</v>
      </c>
      <c r="K800" s="91" t="s">
        <v>5155</v>
      </c>
      <c r="L800" s="91" t="s">
        <v>5156</v>
      </c>
    </row>
    <row r="801" hidden="1">
      <c r="A801" s="65" t="s">
        <v>236</v>
      </c>
      <c r="B801" s="65" t="s">
        <v>424</v>
      </c>
      <c r="C801" s="31"/>
      <c r="D801" s="31"/>
      <c r="E801" s="31"/>
    </row>
    <row r="802" hidden="1">
      <c r="A802" s="30"/>
      <c r="B802" s="30"/>
      <c r="C802" s="31"/>
      <c r="D802" s="31"/>
      <c r="E802" s="31"/>
    </row>
    <row r="803" hidden="1">
      <c r="A803" s="76"/>
      <c r="B803" s="76"/>
      <c r="C803" s="31"/>
      <c r="D803" s="31"/>
      <c r="E803" s="31"/>
    </row>
    <row r="804" hidden="1">
      <c r="A804" s="70" t="s">
        <v>150</v>
      </c>
      <c r="B804" s="71" t="s">
        <v>5159</v>
      </c>
      <c r="C804" s="31" t="s">
        <v>5160</v>
      </c>
      <c r="D804" s="31" t="s">
        <v>5161</v>
      </c>
      <c r="E804" s="31" t="s">
        <v>5162</v>
      </c>
      <c r="F804" s="89">
        <v>262.0</v>
      </c>
      <c r="G804" s="91" t="str">
        <f>IFERROR(__xludf.DUMMYFUNCTION("TRIM(REGEXREPLACE(C804, ""[0-9]+[a-f]?\."", """"))"),"Follow Up Questions")</f>
        <v>Follow Up Questions</v>
      </c>
      <c r="H804" s="91" t="str">
        <f>IFERROR(__xludf.DUMMYFUNCTION("TRIM(REGEXREPLACE(D804, ""[0-9]+[a-f]?\."", """"))"),"Questions de suivi")</f>
        <v>Questions de suivi</v>
      </c>
      <c r="I804" s="91" t="str">
        <f>IFERROR(__xludf.DUMMYFUNCTION("TRIM(REGEXREPLACE(E804, ""[0-9]+[a-f]?\."", """"))"),"Tambayoyi na bibiya")</f>
        <v>Tambayoyi na bibiya</v>
      </c>
      <c r="J804" s="91" t="str">
        <f t="shared" ref="J804:J805" si="600">F804 &amp; ". " &amp;G804</f>
        <v>262. Follow Up Questions</v>
      </c>
      <c r="K804" s="91" t="str">
        <f t="shared" ref="K804:K805" si="601">F804 &amp; ". " &amp;H804</f>
        <v>262. Questions de suivi</v>
      </c>
      <c r="L804" s="91" t="str">
        <f t="shared" ref="L804:L805" si="602">F804 &amp; ". " &amp;I804</f>
        <v>262. Tambayoyi na bibiya</v>
      </c>
    </row>
    <row r="805" hidden="1">
      <c r="A805" s="67" t="s">
        <v>139</v>
      </c>
      <c r="B805" s="69" t="s">
        <v>5164</v>
      </c>
      <c r="C805" s="31"/>
      <c r="D805" s="31"/>
      <c r="E805" s="31"/>
      <c r="F805" s="89">
        <v>263.0</v>
      </c>
      <c r="G805" s="91" t="str">
        <f>IFERROR(__xludf.DUMMYFUNCTION("TRIM(REGEXREPLACE(C805, ""[0-9]+[a-f]?\."", """"))"),"")</f>
        <v/>
      </c>
      <c r="H805" s="91" t="str">
        <f>IFERROR(__xludf.DUMMYFUNCTION("TRIM(REGEXREPLACE(D805, ""[0-9]+[a-f]?\."", """"))"),"")</f>
        <v/>
      </c>
      <c r="I805" s="91" t="str">
        <f>IFERROR(__xludf.DUMMYFUNCTION("TRIM(REGEXREPLACE(E805, ""[0-9]+[a-f]?\."", """"))"),"")</f>
        <v/>
      </c>
      <c r="J805" s="91" t="str">
        <f t="shared" si="600"/>
        <v>263. </v>
      </c>
      <c r="K805" s="91" t="str">
        <f t="shared" si="601"/>
        <v>263. </v>
      </c>
      <c r="L805" s="91" t="str">
        <f t="shared" si="602"/>
        <v>263. </v>
      </c>
    </row>
    <row r="806">
      <c r="A806" s="154" t="s">
        <v>42</v>
      </c>
      <c r="B806" s="274" t="s">
        <v>5165</v>
      </c>
      <c r="C806" s="31" t="s">
        <v>5166</v>
      </c>
      <c r="D806" s="31" t="s">
        <v>5168</v>
      </c>
      <c r="E806" s="31" t="s">
        <v>5169</v>
      </c>
      <c r="F806" s="89">
        <v>462.0</v>
      </c>
      <c r="G806" s="91" t="str">
        <f>IFERROR(__xludf.DUMMYFUNCTION("TRIM(REGEXREPLACE(C806, ""[0-9]+[a-f]?\."", """"))"),"As I mentioned at the beginning of our interview, we would like to stay in touch with you.")</f>
        <v>As I mentioned at the beginning of our interview, we would like to stay in touch with you.</v>
      </c>
      <c r="H806" s="91" t="str">
        <f>IFERROR(__xludf.DUMMYFUNCTION("TRIM(REGEXREPLACE(D806, ""[0-9]+[a-f]?\."", """"))"),"Comme je l'ai mentionné au début de notre entretien, nous aimerions rester en contact avec vous.")</f>
        <v>Comme je l'ai mentionné au début de notre entretien, nous aimerions rester en contact avec vous.</v>
      </c>
      <c r="I806" s="91" t="str">
        <f>IFERROR(__xludf.DUMMYFUNCTION("TRIM(REGEXREPLACE(E806, ""[0-9]+[a-f]?\."", """"))"),"Kamar yadda na faɗa a farkon hirarmu, muna son mu ci gaba da tuntuɓar ku.")</f>
        <v>Kamar yadda na faɗa a farkon hirarmu, muna son mu ci gaba da tuntuɓar ku.</v>
      </c>
      <c r="J806" s="91" t="str">
        <f t="shared" ref="J806:J818" si="604">F806&amp;". "&amp;G806</f>
        <v>462. As I mentioned at the beginning of our interview, we would like to stay in touch with you.</v>
      </c>
      <c r="K806" s="91" t="str">
        <f t="shared" ref="K806:L806" si="603">$F806&amp;". "&amp;H806</f>
        <v>462. Comme je l'ai mentionné au début de notre entretien, nous aimerions rester en contact avec vous.</v>
      </c>
      <c r="L806" s="91" t="str">
        <f t="shared" si="603"/>
        <v>462. Kamar yadda na faɗa a farkon hirarmu, muna son mu ci gaba da tuntuɓar ku.</v>
      </c>
    </row>
    <row r="807">
      <c r="A807" s="162" t="s">
        <v>214</v>
      </c>
      <c r="B807" s="163" t="s">
        <v>5176</v>
      </c>
      <c r="C807" s="31" t="s">
        <v>5177</v>
      </c>
      <c r="D807" s="31" t="s">
        <v>5178</v>
      </c>
      <c r="E807" s="31" t="s">
        <v>5179</v>
      </c>
      <c r="F807" s="89">
        <v>463.0</v>
      </c>
      <c r="G807" s="91" t="str">
        <f>IFERROR(__xludf.DUMMYFUNCTION("TRIM(REGEXREPLACE(C807, ""[0-9]+[a-f]?\."", """"))"),"What is the phone number where we can reach you?")</f>
        <v>What is the phone number where we can reach you?</v>
      </c>
      <c r="H807" s="91" t="str">
        <f>IFERROR(__xludf.DUMMYFUNCTION("TRIM(REGEXREPLACE(D807, ""[0-9]+[a-f]?\."", """"))"),"Quel est le numéro de téléphone auquel nous pouvons vous joindre?")</f>
        <v>Quel est le numéro de téléphone auquel nous pouvons vous joindre?</v>
      </c>
      <c r="I807" s="91" t="str">
        <f>IFERROR(__xludf.DUMMYFUNCTION("TRIM(REGEXREPLACE(E807, ""[0-9]+[a-f]?\."", """"))"),"Wace lambar waya ce zamu iya samun ku da ita?")</f>
        <v>Wace lambar waya ce zamu iya samun ku da ita?</v>
      </c>
      <c r="J807" s="91" t="str">
        <f t="shared" si="604"/>
        <v>463. What is the phone number where we can reach you?</v>
      </c>
      <c r="K807" s="91" t="str">
        <f t="shared" ref="K807:L807" si="605">$F807&amp;". "&amp;H807</f>
        <v>463. Quel est le numéro de téléphone auquel nous pouvons vous joindre?</v>
      </c>
      <c r="L807" s="91" t="str">
        <f t="shared" si="605"/>
        <v>463. Wace lambar waya ce zamu iya samun ku da ita?</v>
      </c>
    </row>
    <row r="808">
      <c r="A808" s="84" t="s">
        <v>338</v>
      </c>
      <c r="B808" s="159" t="s">
        <v>5184</v>
      </c>
      <c r="C808" s="31" t="s">
        <v>5186</v>
      </c>
      <c r="D808" s="31" t="s">
        <v>5188</v>
      </c>
      <c r="E808" s="31" t="s">
        <v>5189</v>
      </c>
      <c r="F808" s="89">
        <v>464.0</v>
      </c>
      <c r="G808" s="91" t="str">
        <f>IFERROR(__xludf.DUMMYFUNCTION("TRIM(REGEXREPLACE(C808, ""[0-9]+[a-f]?\."", """"))"),"I am going to read back the phone number you just shared with me. Can you confirm this is your primary phone number? ${primary_phone}")</f>
        <v>I am going to read back the phone number you just shared with me. Can you confirm this is your primary phone number? ${primary_phone}</v>
      </c>
      <c r="H808" s="91" t="str">
        <f>IFERROR(__xludf.DUMMYFUNCTION("TRIM(REGEXREPLACE(D808,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808" s="91" t="str">
        <f>IFERROR(__xludf.DUMMYFUNCTION("TRIM(REGEXREPLACE(E808, ""[0-9]+[a-f]?\."", """"))"),"Zan sake karanta lambar wayar da kuka bani. Zaku iya tabbatar mini da wannan itace lambar wayarku ta farko? ${primary_phone}")</f>
        <v>Zan sake karanta lambar wayar da kuka bani. Zaku iya tabbatar mini da wannan itace lambar wayarku ta farko? ${primary_phone}</v>
      </c>
      <c r="J808" s="91" t="str">
        <f t="shared" si="604"/>
        <v>464. I am going to read back the phone number you just shared with me. Can you confirm this is your primary phone number? ${primary_phone}</v>
      </c>
      <c r="K808" s="91" t="str">
        <f t="shared" ref="K808:L808" si="606">$F808&amp;". "&amp;H808</f>
        <v>464. Je vais relire le numéro de téléphone que vous venez de me donner. Pouvez-vous confirmer qu'il s'agit de votre numéro de téléphone principal ? ${primary_phone}</v>
      </c>
      <c r="L808" s="91" t="str">
        <f t="shared" si="606"/>
        <v>464. Zan sake karanta lambar wayar da kuka bani. Zaku iya tabbatar mini da wannan itace lambar wayarku ta farko? ${primary_phone}</v>
      </c>
    </row>
    <row r="809">
      <c r="A809" s="154" t="s">
        <v>42</v>
      </c>
      <c r="B809" s="274" t="s">
        <v>5194</v>
      </c>
      <c r="C809" s="31" t="s">
        <v>5195</v>
      </c>
      <c r="D809" s="31" t="s">
        <v>5196</v>
      </c>
      <c r="E809" s="31" t="s">
        <v>5198</v>
      </c>
      <c r="F809" s="89">
        <v>465.0</v>
      </c>
      <c r="G809" s="91" t="str">
        <f>IFERROR(__xludf.DUMMYFUNCTION("TRIM(REGEXREPLACE(C809, ""[0-9]+[a-f]?\."", """"))"),"Please go back and correct the number.")</f>
        <v>Please go back and correct the number.</v>
      </c>
      <c r="H809" s="91" t="str">
        <f>IFERROR(__xludf.DUMMYFUNCTION("TRIM(REGEXREPLACE(D809, ""[0-9]+[a-f]?\."", """"))"),"Veuillez revenir en arrière pour corriger le numéro.")</f>
        <v>Veuillez revenir en arrière pour corriger le numéro.</v>
      </c>
      <c r="I809" s="91" t="str">
        <f>IFERROR(__xludf.DUMMYFUNCTION("TRIM(REGEXREPLACE(E809, ""[0-9]+[a-f]?\."", """"))"),"ko za ka koma baya ka gyara lambar.")</f>
        <v>ko za ka koma baya ka gyara lambar.</v>
      </c>
      <c r="J809" s="91" t="str">
        <f t="shared" si="604"/>
        <v>465. Please go back and correct the number.</v>
      </c>
      <c r="K809" s="91" t="str">
        <f t="shared" ref="K809:L809" si="607">$F809&amp;". "&amp;H809</f>
        <v>465. Veuillez revenir en arrière pour corriger le numéro.</v>
      </c>
      <c r="L809" s="91" t="str">
        <f t="shared" si="607"/>
        <v>465. ko za ka koma baya ka gyara lambar.</v>
      </c>
    </row>
    <row r="810">
      <c r="A810" s="84" t="s">
        <v>5202</v>
      </c>
      <c r="B810" s="159" t="s">
        <v>5203</v>
      </c>
      <c r="C810" s="31" t="s">
        <v>5204</v>
      </c>
      <c r="D810" s="31" t="s">
        <v>5205</v>
      </c>
      <c r="E810" s="31" t="s">
        <v>5206</v>
      </c>
      <c r="F810" s="89">
        <v>466.0</v>
      </c>
      <c r="G810" s="91" t="str">
        <f>IFERROR(__xludf.DUMMYFUNCTION("TRIM(REGEXREPLACE(C810, ""[0-9]+[a-f]?\."", """"))"),"I am going to call this phone number to confirm it is correct.")</f>
        <v>I am going to call this phone number to confirm it is correct.</v>
      </c>
      <c r="H810" s="91" t="str">
        <f>IFERROR(__xludf.DUMMYFUNCTION("TRIM(REGEXREPLACE(D810, ""[0-9]+[a-f]?\."", """"))"),"Je vais appeler ce numéro de téléphone pour confirmer qu'il est correct.")</f>
        <v>Je vais appeler ce numéro de téléphone pour confirmer qu'il est correct.</v>
      </c>
      <c r="I810" s="91" t="str">
        <f>IFERROR(__xludf.DUMMYFUNCTION("TRIM(REGEXREPLACE(E810, ""[0-9]+[a-f]?\."", """"))"),"Zan kirayi wannan lambar don tabbatar da cewa daidai ce.")</f>
        <v>Zan kirayi wannan lambar don tabbatar da cewa daidai ce.</v>
      </c>
      <c r="J810" s="91" t="str">
        <f t="shared" si="604"/>
        <v>466. I am going to call this phone number to confirm it is correct.</v>
      </c>
      <c r="K810" s="91" t="str">
        <f t="shared" ref="K810:L810" si="608">$F810&amp;". "&amp;H810</f>
        <v>466. Je vais appeler ce numéro de téléphone pour confirmer qu'il est correct.</v>
      </c>
      <c r="L810" s="91" t="str">
        <f t="shared" si="608"/>
        <v>466. Zan kirayi wannan lambar don tabbatar da cewa daidai ce.</v>
      </c>
    </row>
    <row r="811">
      <c r="A811" s="154" t="s">
        <v>42</v>
      </c>
      <c r="B811" s="274" t="s">
        <v>5210</v>
      </c>
      <c r="C811" s="31" t="s">
        <v>5212</v>
      </c>
      <c r="D811" s="31" t="s">
        <v>5214</v>
      </c>
      <c r="E811" s="31" t="s">
        <v>5215</v>
      </c>
      <c r="F811" s="89">
        <v>467.0</v>
      </c>
      <c r="G811" s="91" t="str">
        <f>IFERROR(__xludf.DUMMYFUNCTION("TRIM(REGEXREPLACE(C811, ""[0-9]+[a-f]?\."", """"))"),"Please go back and enter a new phone number.")</f>
        <v>Please go back and enter a new phone number.</v>
      </c>
      <c r="H811" s="91" t="str">
        <f>IFERROR(__xludf.DUMMYFUNCTION("TRIM(REGEXREPLACE(D811, ""[0-9]+[a-f]?\."", """"))"),"Veuillez revenir en arrière pour entrer un nouveau numéro de téléphone.")</f>
        <v>Veuillez revenir en arrière pour entrer un nouveau numéro de téléphone.</v>
      </c>
      <c r="I811" s="91" t="str">
        <f>IFERROR(__xludf.DUMMYFUNCTION("TRIM(REGEXREPLACE(E811, ""[0-9]+[a-f]?\."", """"))"),"Ko za ka koma baya ka shigar da sabuwar lambar waya.")</f>
        <v>Ko za ka koma baya ka shigar da sabuwar lambar waya.</v>
      </c>
      <c r="J811" s="91" t="str">
        <f t="shared" si="604"/>
        <v>467. Please go back and enter a new phone number.</v>
      </c>
      <c r="K811" s="91" t="str">
        <f t="shared" ref="K811:L811" si="609">$F811&amp;". "&amp;H811</f>
        <v>467. Veuillez revenir en arrière pour entrer un nouveau numéro de téléphone.</v>
      </c>
      <c r="L811" s="91" t="str">
        <f t="shared" si="609"/>
        <v>467. Ko za ka koma baya ka shigar da sabuwar lambar waya.</v>
      </c>
    </row>
    <row r="812">
      <c r="A812" s="84" t="s">
        <v>338</v>
      </c>
      <c r="B812" s="159" t="s">
        <v>5218</v>
      </c>
      <c r="C812" s="31" t="s">
        <v>5219</v>
      </c>
      <c r="D812" s="31" t="s">
        <v>5220</v>
      </c>
      <c r="E812" s="31" t="s">
        <v>5221</v>
      </c>
      <c r="F812" s="89">
        <v>468.0</v>
      </c>
      <c r="G812" s="91" t="str">
        <f>IFERROR(__xludf.DUMMYFUNCTION("TRIM(REGEXREPLACE(C812, ""[0-9]+[a-f]?\."", """"))"),"Do you have a Whatsapp account/ phone number you use for WhatsApp?")</f>
        <v>Do you have a Whatsapp account/ phone number you use for WhatsApp?</v>
      </c>
      <c r="H812" s="91" t="str">
        <f>IFERROR(__xludf.DUMMYFUNCTION("TRIM(REGEXREPLACE(D812, ""[0-9]+[a-f]?\."", """"))"),"Avez-vous un compte/numéro de téléphone Whatsapp que vous utilisez pour WhatsApp ?")</f>
        <v>Avez-vous un compte/numéro de téléphone Whatsapp que vous utilisez pour WhatsApp ?</v>
      </c>
      <c r="I812" s="91" t="str">
        <f>IFERROR(__xludf.DUMMYFUNCTION("TRIM(REGEXREPLACE(E812, ""[0-9]+[a-f]?\."", """"))"),"Kuna yin WhatsApp / lambar wayar da kuke amfani da ita ta WhatsApp ce?")</f>
        <v>Kuna yin WhatsApp / lambar wayar da kuke amfani da ita ta WhatsApp ce?</v>
      </c>
      <c r="J812" s="91" t="str">
        <f t="shared" si="604"/>
        <v>468. Do you have a Whatsapp account/ phone number you use for WhatsApp?</v>
      </c>
      <c r="K812" s="91" t="str">
        <f t="shared" ref="K812:L812" si="610">$F812&amp;". "&amp;H812</f>
        <v>468. Avez-vous un compte/numéro de téléphone Whatsapp que vous utilisez pour WhatsApp ?</v>
      </c>
      <c r="L812" s="91" t="str">
        <f t="shared" si="610"/>
        <v>468. Kuna yin WhatsApp / lambar wayar da kuke amfani da ita ta WhatsApp ce?</v>
      </c>
    </row>
    <row r="813">
      <c r="A813" s="84" t="s">
        <v>338</v>
      </c>
      <c r="B813" s="159" t="s">
        <v>5225</v>
      </c>
      <c r="C813" s="31" t="s">
        <v>5226</v>
      </c>
      <c r="D813" s="31" t="s">
        <v>5227</v>
      </c>
      <c r="E813" s="31" t="s">
        <v>5228</v>
      </c>
      <c r="F813" s="89">
        <v>469.0</v>
      </c>
      <c r="G813" s="91" t="str">
        <f>IFERROR(__xludf.DUMMYFUNCTION("TRIM(REGEXREPLACE(C813, ""[0-9]+[a-f]?\."", """"))"),"Is this the phone number you use for whatsapp?")</f>
        <v>Is this the phone number you use for whatsapp?</v>
      </c>
      <c r="H813" s="91" t="str">
        <f>IFERROR(__xludf.DUMMYFUNCTION("TRIM(REGEXREPLACE(D813, ""[0-9]+[a-f]?\."", """"))"),"Est-ce le numéro de téléphone que vous utilisez pour WhatsApp ?")</f>
        <v>Est-ce le numéro de téléphone que vous utilisez pour WhatsApp ?</v>
      </c>
      <c r="I813" s="91" t="str">
        <f>IFERROR(__xludf.DUMMYFUNCTION("TRIM(REGEXREPLACE(E813, ""[0-9]+[a-f]?\."", """"))"),"Wannan ita ce lambar wayar da kuke amfani da ita don yin whatsapp?")</f>
        <v>Wannan ita ce lambar wayar da kuke amfani da ita don yin whatsapp?</v>
      </c>
      <c r="J813" s="91" t="str">
        <f t="shared" si="604"/>
        <v>469. Is this the phone number you use for whatsapp?</v>
      </c>
      <c r="K813" s="91" t="str">
        <f t="shared" ref="K813:L813" si="611">$F813&amp;". "&amp;H813</f>
        <v>469. Est-ce le numéro de téléphone que vous utilisez pour WhatsApp ?</v>
      </c>
      <c r="L813" s="91" t="str">
        <f t="shared" si="611"/>
        <v>469. Wannan ita ce lambar wayar da kuke amfani da ita don yin whatsapp?</v>
      </c>
    </row>
    <row r="814">
      <c r="A814" s="162" t="s">
        <v>214</v>
      </c>
      <c r="B814" s="163" t="s">
        <v>5236</v>
      </c>
      <c r="C814" s="31" t="s">
        <v>5237</v>
      </c>
      <c r="D814" s="31" t="s">
        <v>5238</v>
      </c>
      <c r="E814" s="31" t="s">
        <v>5239</v>
      </c>
      <c r="F814" s="89">
        <v>470.0</v>
      </c>
      <c r="G814" s="91" t="str">
        <f>IFERROR(__xludf.DUMMYFUNCTION("TRIM(REGEXREPLACE(C814, ""[0-9]+[a-f]?\."", """"))"),"Please tell me the phone number you use for Whatsapp")</f>
        <v>Please tell me the phone number you use for Whatsapp</v>
      </c>
      <c r="H814" s="91" t="str">
        <f>IFERROR(__xludf.DUMMYFUNCTION("TRIM(REGEXREPLACE(D814, ""[0-9]+[a-f]?\."", """"))"),"Veuillez me dire le numéro de téléphone que vous utilisez pour Whatsapp")</f>
        <v>Veuillez me dire le numéro de téléphone que vous utilisez pour Whatsapp</v>
      </c>
      <c r="I814" s="91" t="str">
        <f>IFERROR(__xludf.DUMMYFUNCTION("TRIM(REGEXREPLACE(E814, ""[0-9]+[a-f]?\."", """"))"),"Don Allah ku gaya mini lambar wayar da kuke amfani da ita don yin Whatsapp")</f>
        <v>Don Allah ku gaya mini lambar wayar da kuke amfani da ita don yin Whatsapp</v>
      </c>
      <c r="J814" s="91" t="str">
        <f t="shared" si="604"/>
        <v>470. Please tell me the phone number you use for Whatsapp</v>
      </c>
      <c r="K814" s="91" t="str">
        <f t="shared" ref="K814:L814" si="612">$F814&amp;". "&amp;H814</f>
        <v>470. Veuillez me dire le numéro de téléphone que vous utilisez pour Whatsapp</v>
      </c>
      <c r="L814" s="91" t="str">
        <f t="shared" si="612"/>
        <v>470. Don Allah ku gaya mini lambar wayar da kuke amfani da ita don yin Whatsapp</v>
      </c>
    </row>
    <row r="815">
      <c r="A815" s="84" t="s">
        <v>338</v>
      </c>
      <c r="B815" s="159" t="s">
        <v>5240</v>
      </c>
      <c r="C815" s="31" t="s">
        <v>5241</v>
      </c>
      <c r="D815" s="31" t="s">
        <v>5243</v>
      </c>
      <c r="E815" s="31" t="s">
        <v>5245</v>
      </c>
      <c r="F815" s="89">
        <v>471.0</v>
      </c>
      <c r="G815" s="91" t="str">
        <f>IFERROR(__xludf.DUMMYFUNCTION("TRIM(REGEXREPLACE(C815,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815" s="91" t="str">
        <f>IFERROR(__xludf.DUMMYFUNCTION("TRIM(REGEXREPLACE(D815,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815" s="91" t="str">
        <f>IFERROR(__xludf.DUMMYFUNCTION("TRIM(REGEXREPLACE(E815,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815" s="91" t="str">
        <f t="shared" si="604"/>
        <v>471. I am going read back the phone number you just shared with me as your Whatsapp number. Is this the phone number you use for whatsapp? ${phone_whatsapp_number}</v>
      </c>
      <c r="K815" s="91" t="str">
        <f t="shared" ref="K815:L815" si="613">$F815&amp;". "&amp;H815</f>
        <v>471. Je vais relire le numéro de téléphone que vous nous avez donné comme votre numéro Whatsapp. Est-ce le numéro de téléphone que vous utilisez pour WhatsApp ? ${phone_whatsapp_number}</v>
      </c>
      <c r="L815" s="91" t="str">
        <f t="shared" si="613"/>
        <v>471. Zan sake karanta lambar wayar da kuka bani a zaman lambar Whatsapp dinku. Wannan shine lambar wayar da kuke amfani da ita don yin whatsapp? ${phone_whatsapp_number}</v>
      </c>
    </row>
    <row r="816">
      <c r="A816" s="154" t="s">
        <v>42</v>
      </c>
      <c r="B816" s="274" t="s">
        <v>5251</v>
      </c>
      <c r="C816" s="31" t="s">
        <v>5252</v>
      </c>
      <c r="D816" s="31" t="s">
        <v>5253</v>
      </c>
      <c r="E816" s="31" t="s">
        <v>5254</v>
      </c>
      <c r="F816" s="89">
        <v>472.0</v>
      </c>
      <c r="G816" s="91" t="str">
        <f>IFERROR(__xludf.DUMMYFUNCTION("TRIM(REGEXREPLACE(C816, ""[0-9]+[a-f]?\."", """"))"),"Please go back and correct the number.")</f>
        <v>Please go back and correct the number.</v>
      </c>
      <c r="H816" s="91" t="str">
        <f>IFERROR(__xludf.DUMMYFUNCTION("TRIM(REGEXREPLACE(D816, ""[0-9]+[a-f]?\."", """"))"),"Veuillez revenir en arrière pour corriger le numéro.")</f>
        <v>Veuillez revenir en arrière pour corriger le numéro.</v>
      </c>
      <c r="I816" s="91" t="str">
        <f>IFERROR(__xludf.DUMMYFUNCTION("TRIM(REGEXREPLACE(E816, ""[0-9]+[a-f]?\."", """"))"),"Da fatan za ka koma baya ka gyara lambar.")</f>
        <v>Da fatan za ka koma baya ka gyara lambar.</v>
      </c>
      <c r="J816" s="91" t="str">
        <f t="shared" si="604"/>
        <v>472. Please go back and correct the number.</v>
      </c>
      <c r="K816" s="91" t="str">
        <f t="shared" ref="K816:L816" si="614">$F816&amp;". "&amp;H816</f>
        <v>472. Veuillez revenir en arrière pour corriger le numéro.</v>
      </c>
      <c r="L816" s="91" t="str">
        <f t="shared" si="614"/>
        <v>472. Da fatan za ka koma baya ka gyara lambar.</v>
      </c>
    </row>
    <row r="817">
      <c r="A817" s="84" t="s">
        <v>338</v>
      </c>
      <c r="B817" s="159" t="s">
        <v>5258</v>
      </c>
      <c r="C817" s="31" t="s">
        <v>5259</v>
      </c>
      <c r="D817" s="31" t="s">
        <v>5260</v>
      </c>
      <c r="E817" s="31" t="s">
        <v>5261</v>
      </c>
      <c r="F817" s="89">
        <v>473.0</v>
      </c>
      <c r="G817" s="91" t="str">
        <f>IFERROR(__xludf.DUMMYFUNCTION("TRIM(REGEXREPLACE(C817, ""[0-9]+[a-f]?\."", """"))"),"Do you have other phone numbers that you use regularly (i.e. other phone carriers)?")</f>
        <v>Do you have other phone numbers that you use regularly (i.e. other phone carriers)?</v>
      </c>
      <c r="H817" s="91" t="str">
        <f>IFERROR(__xludf.DUMMYFUNCTION("TRIM(REGEXREPLACE(D817, ""[0-9]+[a-f]?\."", """"))"),"Avez-vous d'autres numéros de téléphone que vous utilisez régulièrement (c'est-à-dire d'autres opérateurs téléphoniques) ?")</f>
        <v>Avez-vous d'autres numéros de téléphone que vous utilisez régulièrement (c'est-à-dire d'autres opérateurs téléphoniques) ?</v>
      </c>
      <c r="I817" s="91" t="str">
        <f>IFERROR(__xludf.DUMMYFUNCTION("TRIM(REGEXREPLACE(E817, ""[0-9]+[a-f]?\."", """"))"),"Ko kuna da wasu lambobin waya waɗanda kuke amfani da su kai-akai (layin wasu gidan wayar salula)?")</f>
        <v>Ko kuna da wasu lambobin waya waɗanda kuke amfani da su kai-akai (layin wasu gidan wayar salula)?</v>
      </c>
      <c r="J817" s="91" t="str">
        <f t="shared" si="604"/>
        <v>473. Do you have other phone numbers that you use regularly (i.e. other phone carriers)?</v>
      </c>
      <c r="K817" s="91" t="str">
        <f t="shared" ref="K817:L817" si="615">$F817&amp;". "&amp;H817</f>
        <v>473. Avez-vous d'autres numéros de téléphone que vous utilisez régulièrement (c'est-à-dire d'autres opérateurs téléphoniques) ?</v>
      </c>
      <c r="L817" s="91" t="str">
        <f t="shared" si="615"/>
        <v>473. Ko kuna da wasu lambobin waya waɗanda kuke amfani da su kai-akai (layin wasu gidan wayar salula)?</v>
      </c>
    </row>
    <row r="818">
      <c r="A818" s="175" t="s">
        <v>237</v>
      </c>
      <c r="B818" s="176" t="s">
        <v>5267</v>
      </c>
      <c r="C818" s="31" t="s">
        <v>5269</v>
      </c>
      <c r="D818" s="31" t="s">
        <v>5271</v>
      </c>
      <c r="E818" s="31" t="s">
        <v>5272</v>
      </c>
      <c r="F818" s="89">
        <v>474.0</v>
      </c>
      <c r="G818" s="91" t="str">
        <f>IFERROR(__xludf.DUMMYFUNCTION("TRIM(REGEXREPLACE(C818, ""[0-9]+[a-f]?\."", """"))"),"How many other additional phone numbers?")</f>
        <v>How many other additional phone numbers?</v>
      </c>
      <c r="H818" s="91" t="str">
        <f>IFERROR(__xludf.DUMMYFUNCTION("TRIM(REGEXREPLACE(D818, ""[0-9]+[a-f]?\."", """"))"),"Y-a t-il d'autres numéros de téléphone supplémentaires ?")</f>
        <v>Y-a t-il d'autres numéros de téléphone supplémentaires ?</v>
      </c>
      <c r="I818" s="91" t="str">
        <f>IFERROR(__xludf.DUMMYFUNCTION("TRIM(REGEXREPLACE(E818, ""[0-9]+[a-f]?\."", """"))"),"220 a. Ko akwai ƙarin wasu lambobin waya?")</f>
        <v>220 a. Ko akwai ƙarin wasu lambobin waya?</v>
      </c>
      <c r="J818" s="91" t="str">
        <f t="shared" si="604"/>
        <v>474. How many other additional phone numbers?</v>
      </c>
      <c r="K818" s="91" t="str">
        <f t="shared" ref="K818:L818" si="616">$F818&amp;". "&amp;H818</f>
        <v>474. Y-a t-il d'autres numéros de téléphone supplémentaires ?</v>
      </c>
      <c r="L818" s="91" t="str">
        <f t="shared" si="616"/>
        <v>474. 220 a. Ko akwai ƙarin wasu lambobin waya?</v>
      </c>
    </row>
    <row r="819" hidden="1">
      <c r="A819" s="173" t="s">
        <v>648</v>
      </c>
      <c r="B819" s="174" t="s">
        <v>5273</v>
      </c>
      <c r="C819" s="31" t="s">
        <v>5274</v>
      </c>
      <c r="D819" s="31"/>
      <c r="E819" s="31"/>
    </row>
    <row r="820">
      <c r="A820" s="162" t="s">
        <v>214</v>
      </c>
      <c r="B820" s="163" t="s">
        <v>5275</v>
      </c>
      <c r="C820" s="31" t="s">
        <v>5276</v>
      </c>
      <c r="D820" s="31" t="s">
        <v>5277</v>
      </c>
      <c r="E820" s="31" t="s">
        <v>5278</v>
      </c>
      <c r="F820" s="89">
        <v>475.0</v>
      </c>
      <c r="G820" s="91" t="str">
        <f>IFERROR(__xludf.DUMMYFUNCTION("TRIM(REGEXREPLACE(C820, ""[0-9]+[a-f]?\."", """"))"),"What are these additional phone numbers?")</f>
        <v>What are these additional phone numbers?</v>
      </c>
      <c r="H820" s="91" t="str">
        <f>IFERROR(__xludf.DUMMYFUNCTION("TRIM(REGEXREPLACE(D820, ""[0-9]+[a-f]?\."", """"))"),"Quels sont les numéros de téléphone supplémentaires ?")</f>
        <v>Quels sont les numéros de téléphone supplémentaires ?</v>
      </c>
      <c r="I820" s="91" t="str">
        <f>IFERROR(__xludf.DUMMYFUNCTION("TRIM(REGEXREPLACE(E820, ""[0-9]+[a-f]?\."", """"))"),"Waɗannene ƙarin lambobin wayan?")</f>
        <v>Waɗannene ƙarin lambobin wayan?</v>
      </c>
      <c r="J820" s="91" t="str">
        <f>F820&amp;". "&amp;G820</f>
        <v>475. What are these additional phone numbers?</v>
      </c>
      <c r="K820" s="91" t="str">
        <f t="shared" ref="K820:L820" si="617">$F820&amp;". "&amp;H820</f>
        <v>475. Quels sont les numéros de téléphone supplémentaires ?</v>
      </c>
      <c r="L820" s="91" t="str">
        <f t="shared" si="617"/>
        <v>475. Waɗannene ƙarin lambobin wayan?</v>
      </c>
    </row>
    <row r="821" hidden="1">
      <c r="A821" s="173" t="s">
        <v>691</v>
      </c>
      <c r="B821" s="173" t="s">
        <v>5273</v>
      </c>
      <c r="C821" s="31" t="s">
        <v>5274</v>
      </c>
      <c r="D821" s="31"/>
      <c r="E821" s="31"/>
    </row>
    <row r="822">
      <c r="A822" s="84" t="s">
        <v>338</v>
      </c>
      <c r="B822" s="159" t="s">
        <v>5283</v>
      </c>
      <c r="C822" s="31" t="s">
        <v>5284</v>
      </c>
      <c r="D822" s="31" t="s">
        <v>5285</v>
      </c>
      <c r="E822" s="31" t="s">
        <v>5286</v>
      </c>
      <c r="F822" s="89">
        <v>476.0</v>
      </c>
      <c r="G822" s="91" t="str">
        <f>IFERROR(__xludf.DUMMYFUNCTION("TRIM(REGEXREPLACE(C822, ""[0-9]+[a-f]?\."", """"))"),"In case we cannot reach you, could you please provide us with the name and phone number of someone outside your household that we could call to ask for your number? 
 We would only call that person if we cannot reach you after a few attempts and this wo"&amp;"uld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822" s="91" t="str">
        <f>IFERROR(__xludf.DUMMYFUNCTION("TRIM(REGEXREPLACE(D822,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822" s="91" t="str">
        <f>IFERROR(__xludf.DUMMYFUNCTION("TRIM(REGEXREPLACE(E822,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822" s="91" t="str">
        <f>F822&amp;". "&amp;G822</f>
        <v>476.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K822" s="91" t="str">
        <f t="shared" ref="K822:L822" si="618">$F822&amp;". "&amp;H822</f>
        <v>476.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L822" s="91" t="str">
        <f t="shared" si="618"/>
        <v>476. Idan ba za mu iya samun ku ba, ko za ku iya ba mu suna da lambar wayar wani wanda ba na gidanku ba da za mu iya kira don neman lambar ku?
 Za mu kirayi mutumen ne kawai idan bamu sameku ba bayan kira biyu zuwa uku, hakan zai taimaka mana ci gaba da tuntuɓar ku.</v>
      </c>
    </row>
    <row r="823" hidden="1">
      <c r="A823" s="70" t="s">
        <v>150</v>
      </c>
      <c r="B823" s="71" t="s">
        <v>5290</v>
      </c>
      <c r="C823" s="31" t="s">
        <v>5291</v>
      </c>
      <c r="D823" s="31"/>
      <c r="E823" s="31"/>
    </row>
    <row r="824">
      <c r="A824" s="162" t="s">
        <v>214</v>
      </c>
      <c r="B824" s="163" t="s">
        <v>5294</v>
      </c>
      <c r="C824" s="31" t="s">
        <v>5296</v>
      </c>
      <c r="D824" s="31" t="s">
        <v>5297</v>
      </c>
      <c r="E824" s="31" t="s">
        <v>5299</v>
      </c>
      <c r="F824" s="89">
        <v>477.0</v>
      </c>
      <c r="G824" s="91" t="str">
        <f>IFERROR(__xludf.DUMMYFUNCTION("TRIM(REGEXREPLACE(C824, ""[0-9]+[a-f]?\."", """"))"),"What is the last name of this person")</f>
        <v>What is the last name of this person</v>
      </c>
      <c r="H824" s="91" t="str">
        <f>IFERROR(__xludf.DUMMYFUNCTION("TRIM(REGEXREPLACE(D824, ""[0-9]+[a-f]?\."", """"))"),"Quel est le nom de cette personne")</f>
        <v>Quel est le nom de cette personne</v>
      </c>
      <c r="I824" s="91" t="str">
        <f>IFERROR(__xludf.DUMMYFUNCTION("TRIM(REGEXREPLACE(E824, ""[0-9]+[a-f]?\."", """"))"),"Menene sunan uban wannan mutumen?")</f>
        <v>Menene sunan uban wannan mutumen?</v>
      </c>
      <c r="J824" s="91" t="str">
        <f t="shared" ref="J824:J825" si="620">F824&amp;". "&amp;G824</f>
        <v>477. What is the last name of this person</v>
      </c>
      <c r="K824" s="91" t="str">
        <f t="shared" ref="K824:L824" si="619">$F824&amp;". "&amp;H824</f>
        <v>477. Quel est le nom de cette personne</v>
      </c>
      <c r="L824" s="91" t="str">
        <f t="shared" si="619"/>
        <v>477. Menene sunan uban wannan mutumen?</v>
      </c>
    </row>
    <row r="825">
      <c r="A825" s="162" t="s">
        <v>214</v>
      </c>
      <c r="B825" s="163" t="s">
        <v>5301</v>
      </c>
      <c r="C825" s="31" t="s">
        <v>5302</v>
      </c>
      <c r="D825" s="31" t="s">
        <v>5303</v>
      </c>
      <c r="E825" s="31" t="s">
        <v>5305</v>
      </c>
      <c r="F825" s="89">
        <v>478.0</v>
      </c>
      <c r="G825" s="91" t="str">
        <f>IFERROR(__xludf.DUMMYFUNCTION("TRIM(REGEXREPLACE(C825, ""[0-9]+[a-f]?\."", """"))"),"What is the first name of this person")</f>
        <v>What is the first name of this person</v>
      </c>
      <c r="H825" s="91" t="str">
        <f>IFERROR(__xludf.DUMMYFUNCTION("TRIM(REGEXREPLACE(D825, ""[0-9]+[a-f]?\."", """"))"),"Quel est le prénom de cette personne")</f>
        <v>Quel est le prénom de cette personne</v>
      </c>
      <c r="I825" s="91" t="str">
        <f>IFERROR(__xludf.DUMMYFUNCTION("TRIM(REGEXREPLACE(E825, ""[0-9]+[a-f]?\."", """"))"),"Menene sunan wannan mutumen?")</f>
        <v>Menene sunan wannan mutumen?</v>
      </c>
      <c r="J825" s="91" t="str">
        <f t="shared" si="620"/>
        <v>478. What is the first name of this person</v>
      </c>
      <c r="K825" s="91" t="str">
        <f t="shared" ref="K825:L825" si="621">$F825&amp;". "&amp;H825</f>
        <v>478. Quel est le prénom de cette personne</v>
      </c>
      <c r="L825" s="91" t="str">
        <f t="shared" si="621"/>
        <v>478. Menene sunan wannan mutumen?</v>
      </c>
    </row>
    <row r="826" hidden="1">
      <c r="A826" s="70" t="s">
        <v>236</v>
      </c>
      <c r="B826" s="70" t="s">
        <v>5290</v>
      </c>
      <c r="C826" s="31" t="s">
        <v>5291</v>
      </c>
      <c r="D826" s="31"/>
      <c r="E826" s="31"/>
    </row>
    <row r="827" hidden="1">
      <c r="A827" s="108" t="s">
        <v>108</v>
      </c>
      <c r="B827" s="121" t="s">
        <v>5313</v>
      </c>
      <c r="C827" s="31"/>
      <c r="D827" s="31"/>
      <c r="E827" s="31"/>
    </row>
    <row r="828">
      <c r="A828" s="162" t="s">
        <v>214</v>
      </c>
      <c r="B828" s="163" t="s">
        <v>5314</v>
      </c>
      <c r="C828" s="31" t="s">
        <v>5315</v>
      </c>
      <c r="D828" s="31" t="s">
        <v>5316</v>
      </c>
      <c r="E828" s="31" t="s">
        <v>5317</v>
      </c>
      <c r="F828" s="89">
        <v>479.0</v>
      </c>
      <c r="G828" s="91" t="str">
        <f>IFERROR(__xludf.DUMMYFUNCTION("TRIM(REGEXREPLACE(C828, ""[0-9]+[a-f]?\."", """"))"),"What is their phone number?")</f>
        <v>What is their phone number?</v>
      </c>
      <c r="H828" s="91" t="str">
        <f>IFERROR(__xludf.DUMMYFUNCTION("TRIM(REGEXREPLACE(D828, ""[0-9]+[a-f]?\."", """"))"),"Quel est leur numéro de téléphone?")</f>
        <v>Quel est leur numéro de téléphone?</v>
      </c>
      <c r="I828" s="91" t="str">
        <f>IFERROR(__xludf.DUMMYFUNCTION("TRIM(REGEXREPLACE(E828, ""[0-9]+[a-f]?\."", """"))"),"Menene lambar wayarsu?")</f>
        <v>Menene lambar wayarsu?</v>
      </c>
      <c r="J828" s="91" t="str">
        <f t="shared" ref="J828:J834" si="623">F828&amp;". "&amp;G828</f>
        <v>479. What is their phone number?</v>
      </c>
      <c r="K828" s="91" t="str">
        <f t="shared" ref="K828:L828" si="622">$F828&amp;". "&amp;H828</f>
        <v>479. Quel est leur numéro de téléphone?</v>
      </c>
      <c r="L828" s="91" t="str">
        <f t="shared" si="622"/>
        <v>479. Menene lambar wayarsu?</v>
      </c>
    </row>
    <row r="829">
      <c r="A829" s="84" t="s">
        <v>1909</v>
      </c>
      <c r="B829" s="159" t="s">
        <v>5319</v>
      </c>
      <c r="C829" s="31" t="s">
        <v>5321</v>
      </c>
      <c r="D829" s="31" t="s">
        <v>5323</v>
      </c>
      <c r="E829" s="31" t="s">
        <v>5324</v>
      </c>
      <c r="F829" s="89">
        <v>480.0</v>
      </c>
      <c r="G829" s="91" t="str">
        <f>IFERROR(__xludf.DUMMYFUNCTION("TRIM(REGEXREPLACE(C829, ""[0-9]+[a-f]?\."", """"))"),"What is ${secondary_name1}'s relationship to you?")</f>
        <v>What is ${secondary_name1}'s relationship to you?</v>
      </c>
      <c r="H829" s="91" t="str">
        <f>IFERROR(__xludf.DUMMYFUNCTION("TRIM(REGEXREPLACE(D829, ""[0-9]+[a-f]?\."", """"))"),"Quelle est la relation entre ${secondary_name1} et vous ?")</f>
        <v>Quelle est la relation entre ${secondary_name1} et vous ?</v>
      </c>
      <c r="I829" s="91" t="str">
        <f>IFERROR(__xludf.DUMMYFUNCTION("TRIM(REGEXREPLACE(E829, ""[0-9]+[a-f]?\."", """"))"),"Menene alaƙar ku da ${secondary_name1} ?")</f>
        <v>Menene alaƙar ku da ${secondary_name1} ?</v>
      </c>
      <c r="J829" s="91" t="str">
        <f t="shared" si="623"/>
        <v>480. What is ${secondary_name1}'s relationship to you?</v>
      </c>
      <c r="K829" s="91" t="str">
        <f t="shared" ref="K829:L829" si="624">$F829&amp;". "&amp;H829</f>
        <v>480. Quelle est la relation entre ${secondary_name1} et vous ?</v>
      </c>
      <c r="L829" s="91" t="str">
        <f t="shared" si="624"/>
        <v>480. Menene alaƙar ku da ${secondary_name1} ?</v>
      </c>
    </row>
    <row r="830">
      <c r="A830" s="84" t="s">
        <v>338</v>
      </c>
      <c r="B830" s="159" t="s">
        <v>5327</v>
      </c>
      <c r="C830" s="31" t="s">
        <v>5328</v>
      </c>
      <c r="D830" s="31" t="s">
        <v>5329</v>
      </c>
      <c r="E830" s="31" t="s">
        <v>5330</v>
      </c>
      <c r="F830" s="89">
        <v>481.0</v>
      </c>
      <c r="G830" s="91" t="str">
        <f>IFERROR(__xludf.DUMMYFUNCTION("TRIM(REGEXREPLACE(C830, ""[0-9]+[a-f]?\."", """"))"),"Just to confirm, is this the number? 
 ${secondary_name1}
 ${secondary_phone1}")</f>
        <v>Just to confirm, is this the number? 
 ${secondary_name1}
 ${secondary_phone1}</v>
      </c>
      <c r="H830" s="91" t="str">
        <f>IFERROR(__xludf.DUMMYFUNCTION("TRIM(REGEXREPLACE(D830, ""[0-9]+[a-f]?\."", """"))"),"Juste pour confirmer, est-ce bien le numéro ?
 ${secondary_name1}
 ${secondary_phone1}")</f>
        <v>Juste pour confirmer, est-ce bien le numéro ?
 ${secondary_name1}
 ${secondary_phone1}</v>
      </c>
      <c r="I830" s="91" t="str">
        <f>IFERROR(__xludf.DUMMYFUNCTION("TRIM(REGEXREPLACE(E830, ""[0-9]+[a-f]?\."", """"))"),"Don tabbatarwa kawai, da wannan itace lambar?
 ${secondary_name1}
 ${secondary_phone1}")</f>
        <v>Don tabbatarwa kawai, da wannan itace lambar?
 ${secondary_name1}
 ${secondary_phone1}</v>
      </c>
      <c r="J830" s="91" t="str">
        <f t="shared" si="623"/>
        <v>481. Just to confirm, is this the number? 
 ${secondary_name1}
 ${secondary_phone1}</v>
      </c>
      <c r="K830" s="91" t="str">
        <f t="shared" ref="K830:L830" si="625">$F830&amp;". "&amp;H830</f>
        <v>481. Juste pour confirmer, est-ce bien le numéro ?
 ${secondary_name1}
 ${secondary_phone1}</v>
      </c>
      <c r="L830" s="91" t="str">
        <f t="shared" si="625"/>
        <v>481. Don tabbatarwa kawai, da wannan itace lambar?
 ${secondary_name1}
 ${secondary_phone1}</v>
      </c>
    </row>
    <row r="831">
      <c r="A831" s="154" t="s">
        <v>42</v>
      </c>
      <c r="B831" s="274" t="s">
        <v>5331</v>
      </c>
      <c r="C831" s="31" t="s">
        <v>5332</v>
      </c>
      <c r="D831" s="31" t="s">
        <v>5333</v>
      </c>
      <c r="E831" s="31" t="s">
        <v>5334</v>
      </c>
      <c r="F831" s="89">
        <v>482.0</v>
      </c>
      <c r="G831" s="91" t="str">
        <f>IFERROR(__xludf.DUMMYFUNCTION("TRIM(REGEXREPLACE(C831, ""[0-9]+[a-f]?\."", """"))"),"Please go back and correct the name and phone number.")</f>
        <v>Please go back and correct the name and phone number.</v>
      </c>
      <c r="H831" s="91" t="str">
        <f>IFERROR(__xludf.DUMMYFUNCTION("TRIM(REGEXREPLACE(D831, ""[0-9]+[a-f]?\."", """"))"),"Veuillez revenir en arrière et corriger le nom et le numéro de téléphone.")</f>
        <v>Veuillez revenir en arrière et corriger le nom et le numéro de téléphone.</v>
      </c>
      <c r="I831" s="91" t="str">
        <f>IFERROR(__xludf.DUMMYFUNCTION("TRIM(REGEXREPLACE(E831, ""[0-9]+[a-f]?\."", """"))"),"Da fatan za ka koma baya don ka gyara suna da lambar waya.")</f>
        <v>Da fatan za ka koma baya don ka gyara suna da lambar waya.</v>
      </c>
      <c r="J831" s="91" t="str">
        <f t="shared" si="623"/>
        <v>482. Please go back and correct the name and phone number.</v>
      </c>
      <c r="K831" s="91" t="str">
        <f t="shared" ref="K831:L831" si="626">$F831&amp;". "&amp;H831</f>
        <v>482. Veuillez revenir en arrière et corriger le nom et le numéro de téléphone.</v>
      </c>
      <c r="L831" s="91" t="str">
        <f t="shared" si="626"/>
        <v>482. Da fatan za ka koma baya don ka gyara suna da lambar waya.</v>
      </c>
    </row>
    <row r="832">
      <c r="A832" s="84" t="s">
        <v>5202</v>
      </c>
      <c r="B832" s="159" t="s">
        <v>5338</v>
      </c>
      <c r="C832" s="31" t="s">
        <v>5339</v>
      </c>
      <c r="D832" s="31" t="s">
        <v>5340</v>
      </c>
      <c r="E832" s="31" t="s">
        <v>5341</v>
      </c>
      <c r="F832" s="89">
        <v>483.0</v>
      </c>
      <c r="G832" s="91" t="str">
        <f>IFERROR(__xludf.DUMMYFUNCTION("TRIM(REGEXREPLACE(C832, ""[0-9]+[a-f]?\."", """"))"),"I am going to call this phone number to confirm it is correct. [Enumerator: Did the phone ring?]")</f>
        <v>I am going to call this phone number to confirm it is correct. [Enumerator: Did the phone ring?]</v>
      </c>
      <c r="H832" s="91" t="str">
        <f>IFERROR(__xludf.DUMMYFUNCTION("TRIM(REGEXREPLACE(D832, ""[0-9]+[a-f]?\."", """"))"),"Je vais appeler ce numéro de téléphone pour confirmer qu'il est correct. [Enquêteur : Le téléphone a-t-il sonné ?]")</f>
        <v>Je vais appeler ce numéro de téléphone pour confirmer qu'il est correct. [Enquêteur : Le téléphone a-t-il sonné ?]</v>
      </c>
      <c r="I832" s="91" t="str">
        <f>IFERROR(__xludf.DUMMYFUNCTION("TRIM(REGEXREPLACE(E832, ""[0-9]+[a-f]?\."", """"))"),"Zan kirayi wannan lambar wayar don tabbatar da daidai ce. [Ɗan bincike: Wayar ta yi ƙara?]")</f>
        <v>Zan kirayi wannan lambar wayar don tabbatar da daidai ce. [Ɗan bincike: Wayar ta yi ƙara?]</v>
      </c>
      <c r="J832" s="91" t="str">
        <f t="shared" si="623"/>
        <v>483. I am going to call this phone number to confirm it is correct. [Enumerator: Did the phone ring?]</v>
      </c>
      <c r="K832" s="91" t="str">
        <f t="shared" ref="K832:L832" si="627">$F832&amp;". "&amp;H832</f>
        <v>483. Je vais appeler ce numéro de téléphone pour confirmer qu'il est correct. [Enquêteur : Le téléphone a-t-il sonné ?]</v>
      </c>
      <c r="L832" s="91" t="str">
        <f t="shared" si="627"/>
        <v>483. Zan kirayi wannan lambar wayar don tabbatar da daidai ce. [Ɗan bincike: Wayar ta yi ƙara?]</v>
      </c>
    </row>
    <row r="833">
      <c r="A833" s="154" t="s">
        <v>42</v>
      </c>
      <c r="B833" s="274" t="s">
        <v>5342</v>
      </c>
      <c r="C833" s="31" t="s">
        <v>5343</v>
      </c>
      <c r="D833" s="31" t="s">
        <v>5344</v>
      </c>
      <c r="E833" s="31" t="s">
        <v>5345</v>
      </c>
      <c r="F833" s="89">
        <v>484.0</v>
      </c>
      <c r="G833" s="91" t="str">
        <f>IFERROR(__xludf.DUMMYFUNCTION("TRIM(REGEXREPLACE(C833, ""[0-9]+[a-f]?\."", """"))"),"Please go back and enter a new phone number.")</f>
        <v>Please go back and enter a new phone number.</v>
      </c>
      <c r="H833" s="91" t="str">
        <f>IFERROR(__xludf.DUMMYFUNCTION("TRIM(REGEXREPLACE(D833, ""[0-9]+[a-f]?\."", """"))"),"Veuillez ressaisir le numéro")</f>
        <v>Veuillez ressaisir le numéro</v>
      </c>
      <c r="I833" s="91" t="str">
        <f>IFERROR(__xludf.DUMMYFUNCTION("TRIM(REGEXREPLACE(E833, ""[0-9]+[a-f]?\."", """"))"),"Da fatan zaku rubuta lambar")</f>
        <v>Da fatan zaku rubuta lambar</v>
      </c>
      <c r="J833" s="91" t="str">
        <f t="shared" si="623"/>
        <v>484. Please go back and enter a new phone number.</v>
      </c>
      <c r="K833" s="91" t="str">
        <f t="shared" ref="K833:L833" si="628">$F833&amp;". "&amp;H833</f>
        <v>484. Veuillez ressaisir le numéro</v>
      </c>
      <c r="L833" s="91" t="str">
        <f t="shared" si="628"/>
        <v>484. Da fatan zaku rubuta lambar</v>
      </c>
    </row>
    <row r="834">
      <c r="A834" s="84" t="s">
        <v>338</v>
      </c>
      <c r="B834" s="159" t="s">
        <v>5347</v>
      </c>
      <c r="C834" s="31" t="s">
        <v>5349</v>
      </c>
      <c r="D834" s="31" t="s">
        <v>5351</v>
      </c>
      <c r="E834" s="31" t="s">
        <v>5352</v>
      </c>
      <c r="F834" s="89">
        <v>485.0</v>
      </c>
      <c r="G834" s="91" t="str">
        <f>IFERROR(__xludf.DUMMYFUNCTION("TRIM(REGEXREPLACE(C834,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834" s="91" t="str">
        <f>IFERROR(__xludf.DUMMYFUNCTION("TRIM(REGEXREPLACE(D834,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834" s="91" t="str">
        <f>IFERROR(__xludf.DUMMYFUNCTION("TRIM(REGEXREPLACE(E834,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834" s="91" t="str">
        <f t="shared" si="623"/>
        <v>485.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K834" s="91" t="str">
        <f t="shared" ref="K834:L834" si="629">$F834&amp;". "&amp;H834</f>
        <v>485.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L834" s="91" t="str">
        <f t="shared" si="629"/>
        <v>485.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row>
    <row r="835" hidden="1">
      <c r="A835" s="70" t="s">
        <v>150</v>
      </c>
      <c r="B835" s="71" t="s">
        <v>5354</v>
      </c>
      <c r="C835" s="31" t="s">
        <v>5355</v>
      </c>
      <c r="D835" s="31"/>
      <c r="E835" s="31"/>
    </row>
    <row r="836">
      <c r="A836" s="162" t="s">
        <v>214</v>
      </c>
      <c r="B836" s="163" t="s">
        <v>5356</v>
      </c>
      <c r="C836" s="31" t="s">
        <v>5357</v>
      </c>
      <c r="D836" s="31" t="s">
        <v>5358</v>
      </c>
      <c r="E836" s="31" t="s">
        <v>5359</v>
      </c>
      <c r="F836" s="89">
        <v>486.0</v>
      </c>
      <c r="G836" s="91" t="str">
        <f>IFERROR(__xludf.DUMMYFUNCTION("TRIM(REGEXREPLACE(C836, ""[0-9]+[a-f]?\."", """"))"),"What is the last name of this person")</f>
        <v>What is the last name of this person</v>
      </c>
      <c r="H836" s="91" t="str">
        <f>IFERROR(__xludf.DUMMYFUNCTION("TRIM(REGEXREPLACE(D836, ""[0-9]+[a-f]?\."", """"))"),"Quel est le nom de cette personne?")</f>
        <v>Quel est le nom de cette personne?</v>
      </c>
      <c r="I836" s="91" t="str">
        <f>IFERROR(__xludf.DUMMYFUNCTION("TRIM(REGEXREPLACE(E836, ""[0-9]+[a-f]?\."", """"))"),"Menene sunan uban wannan mutumen?")</f>
        <v>Menene sunan uban wannan mutumen?</v>
      </c>
      <c r="J836" s="91" t="str">
        <f t="shared" ref="J836:J837" si="631">F836&amp;". "&amp;G836</f>
        <v>486. What is the last name of this person</v>
      </c>
      <c r="K836" s="91" t="str">
        <f t="shared" ref="K836:L836" si="630">$F836&amp;". "&amp;H836</f>
        <v>486. Quel est le nom de cette personne?</v>
      </c>
      <c r="L836" s="91" t="str">
        <f t="shared" si="630"/>
        <v>486. Menene sunan uban wannan mutumen?</v>
      </c>
    </row>
    <row r="837">
      <c r="A837" s="162" t="s">
        <v>214</v>
      </c>
      <c r="B837" s="163" t="s">
        <v>5365</v>
      </c>
      <c r="C837" s="31" t="s">
        <v>5366</v>
      </c>
      <c r="D837" s="31" t="s">
        <v>5367</v>
      </c>
      <c r="E837" s="31" t="s">
        <v>5368</v>
      </c>
      <c r="F837" s="89">
        <v>487.0</v>
      </c>
      <c r="G837" s="91" t="str">
        <f>IFERROR(__xludf.DUMMYFUNCTION("TRIM(REGEXREPLACE(C837, ""[0-9]+[a-f]?\."", """"))"),"What is the first name of this person")</f>
        <v>What is the first name of this person</v>
      </c>
      <c r="H837" s="91" t="str">
        <f>IFERROR(__xludf.DUMMYFUNCTION("TRIM(REGEXREPLACE(D837, ""[0-9]+[a-f]?\."", """"))"),"Quel est le prénom de cette personne?")</f>
        <v>Quel est le prénom de cette personne?</v>
      </c>
      <c r="I837" s="91" t="str">
        <f>IFERROR(__xludf.DUMMYFUNCTION("TRIM(REGEXREPLACE(E837, ""[0-9]+[a-f]?\."", """"))"),"Menene sunan wannan mutumen?")</f>
        <v>Menene sunan wannan mutumen?</v>
      </c>
      <c r="J837" s="91" t="str">
        <f t="shared" si="631"/>
        <v>487. What is the first name of this person</v>
      </c>
      <c r="K837" s="91" t="str">
        <f t="shared" ref="K837:L837" si="632">$F837&amp;". "&amp;H837</f>
        <v>487. Quel est le prénom de cette personne?</v>
      </c>
      <c r="L837" s="91" t="str">
        <f t="shared" si="632"/>
        <v>487. Menene sunan wannan mutumen?</v>
      </c>
    </row>
    <row r="838" hidden="1">
      <c r="A838" s="70" t="s">
        <v>236</v>
      </c>
      <c r="B838" s="70" t="s">
        <v>5354</v>
      </c>
      <c r="C838" s="31" t="s">
        <v>5355</v>
      </c>
      <c r="D838" s="31"/>
      <c r="E838" s="31"/>
    </row>
    <row r="839" hidden="1">
      <c r="A839" s="108" t="s">
        <v>108</v>
      </c>
      <c r="B839" s="121" t="s">
        <v>5369</v>
      </c>
      <c r="C839" s="31"/>
      <c r="D839" s="31"/>
      <c r="E839" s="31"/>
    </row>
    <row r="840">
      <c r="A840" s="162" t="s">
        <v>214</v>
      </c>
      <c r="B840" s="163" t="s">
        <v>5370</v>
      </c>
      <c r="C840" s="31" t="s">
        <v>5371</v>
      </c>
      <c r="D840" s="31" t="s">
        <v>5372</v>
      </c>
      <c r="E840" s="31" t="s">
        <v>5373</v>
      </c>
      <c r="F840" s="89">
        <v>488.0</v>
      </c>
      <c r="G840" s="91" t="str">
        <f>IFERROR(__xludf.DUMMYFUNCTION("TRIM(REGEXREPLACE(C840, ""[0-9]+[a-f]?\."", """"))"),"What is their phone number?")</f>
        <v>What is their phone number?</v>
      </c>
      <c r="H840" s="91" t="str">
        <f>IFERROR(__xludf.DUMMYFUNCTION("TRIM(REGEXREPLACE(D840, ""[0-9]+[a-f]?\."", """"))"),"Quel est leur numéro de téléphone?")</f>
        <v>Quel est leur numéro de téléphone?</v>
      </c>
      <c r="I840" s="91" t="str">
        <f>IFERROR(__xludf.DUMMYFUNCTION("TRIM(REGEXREPLACE(E840, ""[0-9]+[a-f]?\."", """"))"),"Menene lambar wayarsu?")</f>
        <v>Menene lambar wayarsu?</v>
      </c>
      <c r="J840" s="91" t="str">
        <f t="shared" ref="J840:J845" si="634">F840&amp;". "&amp;G840</f>
        <v>488. What is their phone number?</v>
      </c>
      <c r="K840" s="91" t="str">
        <f t="shared" ref="K840:L840" si="633">$F840&amp;". "&amp;H840</f>
        <v>488. Quel est leur numéro de téléphone?</v>
      </c>
      <c r="L840" s="91" t="str">
        <f t="shared" si="633"/>
        <v>488. Menene lambar wayarsu?</v>
      </c>
    </row>
    <row r="841">
      <c r="A841" s="84" t="s">
        <v>1909</v>
      </c>
      <c r="B841" s="159" t="s">
        <v>5374</v>
      </c>
      <c r="C841" s="31" t="s">
        <v>5375</v>
      </c>
      <c r="D841" s="31" t="s">
        <v>5376</v>
      </c>
      <c r="E841" s="31" t="s">
        <v>5377</v>
      </c>
      <c r="F841" s="89">
        <v>489.0</v>
      </c>
      <c r="G841" s="91" t="str">
        <f>IFERROR(__xludf.DUMMYFUNCTION("TRIM(REGEXREPLACE(C841, ""[0-9]+[a-f]?\."", """"))"),"What is ${secondary_name2}'s relationship to you?")</f>
        <v>What is ${secondary_name2}'s relationship to you?</v>
      </c>
      <c r="H841" s="91" t="str">
        <f>IFERROR(__xludf.DUMMYFUNCTION("TRIM(REGEXREPLACE(D841, ""[0-9]+[a-f]?\."", """"))"),"Quelle est la relation entre ${secondary_name2} et vous ?")</f>
        <v>Quelle est la relation entre ${secondary_name2} et vous ?</v>
      </c>
      <c r="I841" s="91" t="str">
        <f>IFERROR(__xludf.DUMMYFUNCTION("TRIM(REGEXREPLACE(E841, ""[0-9]+[a-f]?\."", """"))"),"Menene alaƙar ku da ${secondary_name2} ?")</f>
        <v>Menene alaƙar ku da ${secondary_name2} ?</v>
      </c>
      <c r="J841" s="91" t="str">
        <f t="shared" si="634"/>
        <v>489. What is ${secondary_name2}'s relationship to you?</v>
      </c>
      <c r="K841" s="91" t="str">
        <f t="shared" ref="K841:L841" si="635">$F841&amp;". "&amp;H841</f>
        <v>489. Quelle est la relation entre ${secondary_name2} et vous ?</v>
      </c>
      <c r="L841" s="91" t="str">
        <f t="shared" si="635"/>
        <v>489. Menene alaƙar ku da ${secondary_name2} ?</v>
      </c>
    </row>
    <row r="842">
      <c r="A842" s="84" t="s">
        <v>338</v>
      </c>
      <c r="B842" s="159" t="s">
        <v>5378</v>
      </c>
      <c r="C842" s="31" t="s">
        <v>5379</v>
      </c>
      <c r="D842" s="31" t="s">
        <v>5380</v>
      </c>
      <c r="E842" s="31" t="s">
        <v>5381</v>
      </c>
      <c r="F842" s="89">
        <v>490.0</v>
      </c>
      <c r="G842" s="91" t="str">
        <f>IFERROR(__xludf.DUMMYFUNCTION("TRIM(REGEXREPLACE(C842, ""[0-9]+[a-f]?\."", """"))"),"Just to confirm, is this the number? 
 ${secondary_name2}
 ${secondary_phone2}")</f>
        <v>Just to confirm, is this the number? 
 ${secondary_name2}
 ${secondary_phone2}</v>
      </c>
      <c r="H842" s="91" t="str">
        <f>IFERROR(__xludf.DUMMYFUNCTION("TRIM(REGEXREPLACE(D842, ""[0-9]+[a-f]?\."", """"))"),"Juste pour confirmer, est-ce bien le numéro ?
 ${secondary_name2}
 ${secondary_phone2}")</f>
        <v>Juste pour confirmer, est-ce bien le numéro ?
 ${secondary_name2}
 ${secondary_phone2}</v>
      </c>
      <c r="I842" s="91" t="str">
        <f>IFERROR(__xludf.DUMMYFUNCTION("TRIM(REGEXREPLACE(E842, ""[0-9]+[a-f]?\."", """"))"),"Don tabbatar kawai, da wannan itace lambar?
 ${secondary_name2}
 ${secondary_phone2}")</f>
        <v>Don tabbatar kawai, da wannan itace lambar?
 ${secondary_name2}
 ${secondary_phone2}</v>
      </c>
      <c r="J842" s="91" t="str">
        <f t="shared" si="634"/>
        <v>490. Just to confirm, is this the number? 
 ${secondary_name2}
 ${secondary_phone2}</v>
      </c>
      <c r="K842" s="91" t="str">
        <f t="shared" ref="K842:L842" si="636">$F842&amp;". "&amp;H842</f>
        <v>490. Juste pour confirmer, est-ce bien le numéro ?
 ${secondary_name2}
 ${secondary_phone2}</v>
      </c>
      <c r="L842" s="91" t="str">
        <f t="shared" si="636"/>
        <v>490. Don tabbatar kawai, da wannan itace lambar?
 ${secondary_name2}
 ${secondary_phone2}</v>
      </c>
    </row>
    <row r="843">
      <c r="A843" s="154" t="s">
        <v>42</v>
      </c>
      <c r="B843" s="274" t="s">
        <v>5382</v>
      </c>
      <c r="C843" s="31" t="s">
        <v>5383</v>
      </c>
      <c r="D843" s="31" t="s">
        <v>5384</v>
      </c>
      <c r="E843" s="31" t="s">
        <v>5385</v>
      </c>
      <c r="F843" s="89">
        <v>491.0</v>
      </c>
      <c r="G843" s="91" t="str">
        <f>IFERROR(__xludf.DUMMYFUNCTION("TRIM(REGEXREPLACE(C843, ""[0-9]+[a-f]?\."", """"))"),"Please go back and correct the name and phone number.")</f>
        <v>Please go back and correct the name and phone number.</v>
      </c>
      <c r="H843" s="91" t="str">
        <f>IFERROR(__xludf.DUMMYFUNCTION("TRIM(REGEXREPLACE(D843, ""[0-9]+[a-f]?\."", """"))"),"Veuillez revenir en arrière et corriger le nom et le numéro de téléphone.")</f>
        <v>Veuillez revenir en arrière et corriger le nom et le numéro de téléphone.</v>
      </c>
      <c r="I843" s="91" t="str">
        <f>IFERROR(__xludf.DUMMYFUNCTION("TRIM(REGEXREPLACE(E843, ""[0-9]+[a-f]?\."", """"))"),"Da fatan za ka koma baya ka gyara suna da lambar waya.")</f>
        <v>Da fatan za ka koma baya ka gyara suna da lambar waya.</v>
      </c>
      <c r="J843" s="91" t="str">
        <f t="shared" si="634"/>
        <v>491. Please go back and correct the name and phone number.</v>
      </c>
      <c r="K843" s="91" t="str">
        <f t="shared" ref="K843:L843" si="637">$F843&amp;". "&amp;H843</f>
        <v>491. Veuillez revenir en arrière et corriger le nom et le numéro de téléphone.</v>
      </c>
      <c r="L843" s="91" t="str">
        <f t="shared" si="637"/>
        <v>491. Da fatan za ka koma baya ka gyara suna da lambar waya.</v>
      </c>
    </row>
    <row r="844">
      <c r="A844" s="84" t="s">
        <v>5202</v>
      </c>
      <c r="B844" s="159" t="s">
        <v>5386</v>
      </c>
      <c r="C844" s="31" t="s">
        <v>5387</v>
      </c>
      <c r="D844" s="31" t="s">
        <v>5388</v>
      </c>
      <c r="E844" s="31" t="s">
        <v>5389</v>
      </c>
      <c r="F844" s="89">
        <v>492.0</v>
      </c>
      <c r="G844" s="91" t="str">
        <f>IFERROR(__xludf.DUMMYFUNCTION("TRIM(REGEXREPLACE(C844, ""[0-9]+[a-f]?\."", """"))"),"I am going to call this phone number to confirm it is correct. [Enumerator: Did the phone ring?]")</f>
        <v>I am going to call this phone number to confirm it is correct. [Enumerator: Did the phone ring?]</v>
      </c>
      <c r="H844" s="91" t="str">
        <f>IFERROR(__xludf.DUMMYFUNCTION("TRIM(REGEXREPLACE(D844, ""[0-9]+[a-f]?\."", """"))"),"Je vais appeler ce numéro de téléphone pour confirmer qu'il est correct. [Enquêteur : Le téléphone a-t-il sonné ?]")</f>
        <v>Je vais appeler ce numéro de téléphone pour confirmer qu'il est correct. [Enquêteur : Le téléphone a-t-il sonné ?]</v>
      </c>
      <c r="I844" s="91" t="str">
        <f>IFERROR(__xludf.DUMMYFUNCTION("TRIM(REGEXREPLACE(E844, ""[0-9]+[a-f]?\."", """"))"),"Zan kirayi wannan lambar wayar don tabbatar da daidai ce. [Ɗan bincike: Wayar ta yi ƙara?]")</f>
        <v>Zan kirayi wannan lambar wayar don tabbatar da daidai ce. [Ɗan bincike: Wayar ta yi ƙara?]</v>
      </c>
      <c r="J844" s="91" t="str">
        <f t="shared" si="634"/>
        <v>492. I am going to call this phone number to confirm it is correct. [Enumerator: Did the phone ring?]</v>
      </c>
      <c r="K844" s="91" t="str">
        <f t="shared" ref="K844:L844" si="638">$F844&amp;". "&amp;H844</f>
        <v>492. Je vais appeler ce numéro de téléphone pour confirmer qu'il est correct. [Enquêteur : Le téléphone a-t-il sonné ?]</v>
      </c>
      <c r="L844" s="91" t="str">
        <f t="shared" si="638"/>
        <v>492. Zan kirayi wannan lambar wayar don tabbatar da daidai ce. [Ɗan bincike: Wayar ta yi ƙara?]</v>
      </c>
    </row>
    <row r="845">
      <c r="A845" s="154" t="s">
        <v>42</v>
      </c>
      <c r="B845" s="274" t="s">
        <v>5391</v>
      </c>
      <c r="C845" s="31" t="s">
        <v>5392</v>
      </c>
      <c r="D845" s="31" t="s">
        <v>5393</v>
      </c>
      <c r="E845" s="31" t="s">
        <v>5394</v>
      </c>
      <c r="F845" s="89">
        <v>493.0</v>
      </c>
      <c r="G845" s="91" t="str">
        <f>IFERROR(__xludf.DUMMYFUNCTION("TRIM(REGEXREPLACE(C845, ""[0-9]+[a-f]?\."", """"))"),"Please go back and enter a new phone number.")</f>
        <v>Please go back and enter a new phone number.</v>
      </c>
      <c r="H845" s="91" t="str">
        <f>IFERROR(__xludf.DUMMYFUNCTION("TRIM(REGEXREPLACE(D845, ""[0-9]+[a-f]?\."", """"))"),"Veuillez ressaisir le numéro")</f>
        <v>Veuillez ressaisir le numéro</v>
      </c>
      <c r="I845" s="91" t="str">
        <f>IFERROR(__xludf.DUMMYFUNCTION("TRIM(REGEXREPLACE(E845, ""[0-9]+[a-f]?\."", """"))"),"Da fatan zaku rubuta lambar")</f>
        <v>Da fatan zaku rubuta lambar</v>
      </c>
      <c r="J845" s="91" t="str">
        <f t="shared" si="634"/>
        <v>493. Please go back and enter a new phone number.</v>
      </c>
      <c r="K845" s="91" t="str">
        <f t="shared" ref="K845:L845" si="639">$F845&amp;". "&amp;H845</f>
        <v>493. Veuillez ressaisir le numéro</v>
      </c>
      <c r="L845" s="91" t="str">
        <f t="shared" si="639"/>
        <v>493. Da fatan zaku rubuta lambar</v>
      </c>
    </row>
    <row r="846" hidden="1">
      <c r="A846" s="70" t="s">
        <v>236</v>
      </c>
      <c r="B846" s="70" t="s">
        <v>5159</v>
      </c>
      <c r="C846" s="31" t="s">
        <v>5160</v>
      </c>
      <c r="D846" s="31" t="s">
        <v>5161</v>
      </c>
      <c r="E846" s="31" t="s">
        <v>5162</v>
      </c>
    </row>
    <row r="847" hidden="1">
      <c r="A847" s="76"/>
      <c r="B847" s="76"/>
      <c r="C847" s="31"/>
      <c r="D847" s="31"/>
      <c r="E847" s="31"/>
    </row>
    <row r="848" hidden="1">
      <c r="A848" s="70" t="s">
        <v>150</v>
      </c>
      <c r="B848" s="71" t="s">
        <v>5398</v>
      </c>
      <c r="C848" s="31" t="s">
        <v>5399</v>
      </c>
      <c r="D848" s="31" t="s">
        <v>5400</v>
      </c>
      <c r="E848" s="31" t="s">
        <v>5401</v>
      </c>
    </row>
    <row r="849">
      <c r="A849" s="84" t="s">
        <v>5402</v>
      </c>
      <c r="B849" s="159" t="s">
        <v>5403</v>
      </c>
      <c r="C849" s="31" t="s">
        <v>5404</v>
      </c>
      <c r="D849" s="31" t="s">
        <v>5405</v>
      </c>
      <c r="E849" s="31" t="s">
        <v>5406</v>
      </c>
      <c r="F849" s="89">
        <v>494.0</v>
      </c>
      <c r="G849" s="91" t="str">
        <f>IFERROR(__xludf.DUMMYFUNCTION("TRIM(REGEXREPLACE(C849, ""[0-9]+[a-f]?\."", """"))"),"How interested was the resppondent")</f>
        <v>How interested was the resppondent</v>
      </c>
      <c r="H849" s="91" t="str">
        <f>IFERROR(__xludf.DUMMYFUNCTION("TRIM(REGEXREPLACE(D849, ""[0-9]+[a-f]?\."", """"))"),"Dans quelle mesure le répondant était-il intéressé")</f>
        <v>Dans quelle mesure le répondant était-il intéressé</v>
      </c>
      <c r="I849" s="91" t="str">
        <f>IFERROR(__xludf.DUMMYFUNCTION("TRIM(REGEXREPLACE(E849, ""[0-9]+[a-f]?\."", """"))"),"Yaya kake ganin maida hankalin mai bada amsa yake")</f>
        <v>Yaya kake ganin maida hankalin mai bada amsa yake</v>
      </c>
      <c r="J849" s="91" t="str">
        <f t="shared" ref="J849:J853" si="641">F849&amp;". "&amp;G849</f>
        <v>494. How interested was the resppondent</v>
      </c>
      <c r="K849" s="91" t="str">
        <f t="shared" ref="K849:L849" si="640">$F849&amp;". "&amp;H849</f>
        <v>494. Dans quelle mesure le répondant était-il intéressé</v>
      </c>
      <c r="L849" s="91" t="str">
        <f t="shared" si="640"/>
        <v>494. Yaya kake ganin maida hankalin mai bada amsa yake</v>
      </c>
    </row>
    <row r="850">
      <c r="A850" s="84" t="s">
        <v>5407</v>
      </c>
      <c r="B850" s="159" t="s">
        <v>5408</v>
      </c>
      <c r="C850" s="31" t="s">
        <v>5409</v>
      </c>
      <c r="D850" s="31" t="s">
        <v>5410</v>
      </c>
      <c r="E850" s="31" t="s">
        <v>5411</v>
      </c>
      <c r="F850" s="89">
        <v>495.0</v>
      </c>
      <c r="G850" s="91" t="str">
        <f>IFERROR(__xludf.DUMMYFUNCTION("TRIM(REGEXREPLACE(C850, ""[0-9]+[a-f]?\."", """"))"),"How impatient was the respondent?")</f>
        <v>How impatient was the respondent?</v>
      </c>
      <c r="H850" s="91" t="str">
        <f>IFERROR(__xludf.DUMMYFUNCTION("TRIM(REGEXREPLACE(D850, ""[0-9]+[a-f]?\."", """"))"),"À quel point le répondant était-il impatient ?")</f>
        <v>À quel point le répondant était-il impatient ?</v>
      </c>
      <c r="I850" s="91" t="str">
        <f>IFERROR(__xludf.DUMMYFUNCTION("TRIM(REGEXREPLACE(E850, ""[0-9]+[a-f]?\."", """"))"),"Yaya kake ganin rashin haƙurin mai bada amsa?")</f>
        <v>Yaya kake ganin rashin haƙurin mai bada amsa?</v>
      </c>
      <c r="J850" s="91" t="str">
        <f t="shared" si="641"/>
        <v>495. How impatient was the respondent?</v>
      </c>
      <c r="K850" s="91" t="str">
        <f t="shared" ref="K850:L850" si="642">$F850&amp;". "&amp;H850</f>
        <v>495. À quel point le répondant était-il impatient ?</v>
      </c>
      <c r="L850" s="91" t="str">
        <f t="shared" si="642"/>
        <v>495. Yaya kake ganin rashin haƙurin mai bada amsa?</v>
      </c>
    </row>
    <row r="851">
      <c r="A851" s="84" t="s">
        <v>5415</v>
      </c>
      <c r="B851" s="159" t="s">
        <v>5416</v>
      </c>
      <c r="C851" s="31" t="s">
        <v>5417</v>
      </c>
      <c r="D851" s="31" t="s">
        <v>5418</v>
      </c>
      <c r="E851" s="31" t="s">
        <v>5419</v>
      </c>
      <c r="F851" s="89">
        <v>496.0</v>
      </c>
      <c r="G851" s="91" t="str">
        <f>IFERROR(__xludf.DUMMYFUNCTION("TRIM(REGEXREPLACE(C851, ""[0-9]+[a-f]?\."", """"))"),"How well did the respondent understand the questions?")</f>
        <v>How well did the respondent understand the questions?</v>
      </c>
      <c r="H851" s="91" t="str">
        <f>IFERROR(__xludf.DUMMYFUNCTION("TRIM(REGEXREPLACE(D851, ""[0-9]+[a-f]?\."", """"))"),"Dans quelle mesure le répondant a-t-il compris les questions ?")</f>
        <v>Dans quelle mesure le répondant a-t-il compris les questions ?</v>
      </c>
      <c r="I851" s="91" t="str">
        <f>IFERROR(__xludf.DUMMYFUNCTION("TRIM(REGEXREPLACE(E851, ""[0-9]+[a-f]?\."", """"))"),"Yaya kake ganin mai bada amsa ya fahimci tambayoyin?")</f>
        <v>Yaya kake ganin mai bada amsa ya fahimci tambayoyin?</v>
      </c>
      <c r="J851" s="91" t="str">
        <f t="shared" si="641"/>
        <v>496. How well did the respondent understand the questions?</v>
      </c>
      <c r="K851" s="91" t="str">
        <f t="shared" ref="K851:L851" si="643">$F851&amp;". "&amp;H851</f>
        <v>496. Dans quelle mesure le répondant a-t-il compris les questions ?</v>
      </c>
      <c r="L851" s="91" t="str">
        <f t="shared" si="643"/>
        <v>496. Yaya kake ganin mai bada amsa ya fahimci tambayoyin?</v>
      </c>
    </row>
    <row r="852">
      <c r="A852" s="84" t="s">
        <v>5420</v>
      </c>
      <c r="B852" s="159" t="s">
        <v>5421</v>
      </c>
      <c r="C852" s="31" t="s">
        <v>5422</v>
      </c>
      <c r="D852" s="31" t="s">
        <v>5423</v>
      </c>
      <c r="E852" s="31" t="s">
        <v>5424</v>
      </c>
      <c r="F852" s="89">
        <v>497.0</v>
      </c>
      <c r="G852" s="91" t="str">
        <f>IFERROR(__xludf.DUMMYFUNCTION("TRIM(REGEXREPLACE(C852, ""[0-9]+[a-f]?\."", """"))"),"Was the interview conducted in the presence of other people?")</f>
        <v>Was the interview conducted in the presence of other people?</v>
      </c>
      <c r="H852" s="91" t="str">
        <f>IFERROR(__xludf.DUMMYFUNCTION("TRIM(REGEXREPLACE(D852, ""[0-9]+[a-f]?\."", """"))"),"L'entretien a-t-il été réalisé en présence d'autres personnes ?")</f>
        <v>L'entretien a-t-il été réalisé en présence d'autres personnes ?</v>
      </c>
      <c r="I852" s="91" t="str">
        <f>IFERROR(__xludf.DUMMYFUNCTION("TRIM(REGEXREPLACE(E852, ""[0-9]+[a-f]?\."", """"))"),"Ko an yi hirar ne a gaban wasu mutane?")</f>
        <v>Ko an yi hirar ne a gaban wasu mutane?</v>
      </c>
      <c r="J852" s="91" t="str">
        <f t="shared" si="641"/>
        <v>497. Was the interview conducted in the presence of other people?</v>
      </c>
      <c r="K852" s="91" t="str">
        <f t="shared" ref="K852:L852" si="644">$F852&amp;". "&amp;H852</f>
        <v>497. L'entretien a-t-il été réalisé en présence d'autres personnes ?</v>
      </c>
      <c r="L852" s="91" t="str">
        <f t="shared" si="644"/>
        <v>497. Ko an yi hirar ne a gaban wasu mutane?</v>
      </c>
    </row>
    <row r="853">
      <c r="A853" s="162" t="s">
        <v>214</v>
      </c>
      <c r="B853" s="163" t="s">
        <v>5428</v>
      </c>
      <c r="C853" s="31" t="s">
        <v>5429</v>
      </c>
      <c r="D853" s="31" t="s">
        <v>5431</v>
      </c>
      <c r="E853" s="31" t="s">
        <v>5432</v>
      </c>
      <c r="F853" s="89">
        <v>498.0</v>
      </c>
      <c r="G853" s="91" t="str">
        <f>IFERROR(__xludf.DUMMYFUNCTION("TRIM(REGEXREPLACE(C853, ""[0-9]+[a-f]?\."", """"))"),"Enumerator: Record any comments on the survey")</f>
        <v>Enumerator: Record any comments on the survey</v>
      </c>
      <c r="H853" s="91" t="str">
        <f>IFERROR(__xludf.DUMMYFUNCTION("TRIM(REGEXREPLACE(D853, ""[0-9]+[a-f]?\."", """"))"),"Enquêteur : Veuillez noter vos commentaires si vous en avez")</f>
        <v>Enquêteur : Veuillez noter vos commentaires si vous en avez</v>
      </c>
      <c r="I853" s="91" t="str">
        <f>IFERROR(__xludf.DUMMYFUNCTION("TRIM(REGEXREPLACE(E853, ""[0-9]+[a-f]?\."", """"))"),"Ɗan bincike: Yi rikodin duk wani sharhi akan binciken")</f>
        <v>Ɗan bincike: Yi rikodin duk wani sharhi akan binciken</v>
      </c>
      <c r="J853" s="91" t="str">
        <f t="shared" si="641"/>
        <v>498. Enumerator: Record any comments on the survey</v>
      </c>
      <c r="K853" s="91" t="str">
        <f t="shared" ref="K853:L853" si="645">$F853&amp;". "&amp;H853</f>
        <v>498. Enquêteur : Veuillez noter vos commentaires si vous en avez</v>
      </c>
      <c r="L853" s="91" t="str">
        <f t="shared" si="645"/>
        <v>498. Ɗan bincike: Yi rikodin duk wani sharhi akan binciken</v>
      </c>
    </row>
    <row r="854" hidden="1">
      <c r="A854" s="279" t="s">
        <v>636</v>
      </c>
      <c r="B854" s="280" t="s">
        <v>5435</v>
      </c>
      <c r="C854" s="31" t="s">
        <v>5436</v>
      </c>
      <c r="D854" s="31" t="s">
        <v>5437</v>
      </c>
      <c r="E854" s="31" t="s">
        <v>5438</v>
      </c>
    </row>
    <row r="855" hidden="1">
      <c r="A855" s="67" t="s">
        <v>139</v>
      </c>
      <c r="B855" s="69" t="s">
        <v>5441</v>
      </c>
      <c r="C855" s="31"/>
      <c r="D855" s="31"/>
      <c r="E855" s="31"/>
    </row>
    <row r="856" hidden="1">
      <c r="A856" s="65" t="s">
        <v>108</v>
      </c>
      <c r="B856" s="65" t="s">
        <v>5443</v>
      </c>
      <c r="C856" s="31"/>
      <c r="D856" s="31"/>
      <c r="E856" s="31"/>
    </row>
    <row r="857" hidden="1">
      <c r="A857" s="70" t="s">
        <v>236</v>
      </c>
      <c r="B857" s="70" t="s">
        <v>5398</v>
      </c>
      <c r="C857" s="31" t="s">
        <v>5399</v>
      </c>
      <c r="D857" s="31" t="s">
        <v>5400</v>
      </c>
      <c r="E857" s="31" t="s">
        <v>5445</v>
      </c>
    </row>
    <row r="858" hidden="1">
      <c r="A858" s="76"/>
      <c r="B858" s="76"/>
      <c r="C858" s="31"/>
      <c r="D858" s="31"/>
      <c r="E858" s="31"/>
    </row>
    <row r="859" hidden="1">
      <c r="A859" s="70" t="s">
        <v>236</v>
      </c>
      <c r="B859" s="70" t="s">
        <v>418</v>
      </c>
      <c r="C859" s="31"/>
      <c r="D859" s="31"/>
      <c r="E859" s="31"/>
    </row>
    <row r="860">
      <c r="A860" s="154" t="s">
        <v>42</v>
      </c>
      <c r="B860" s="274" t="s">
        <v>5446</v>
      </c>
      <c r="C860" s="31" t="s">
        <v>5447</v>
      </c>
      <c r="D860" s="31" t="s">
        <v>5448</v>
      </c>
      <c r="E860" s="31" t="s">
        <v>5449</v>
      </c>
      <c r="F860" s="89">
        <v>499.0</v>
      </c>
      <c r="G860" s="91" t="str">
        <f>IFERROR(__xludf.DUMMYFUNCTION("TRIM(REGEXREPLACE(C860, ""[0-9]+[a-f]?\."", """"))"),"That is the end of the survey. Thank you for your time.")</f>
        <v>That is the end of the survey. Thank you for your time.</v>
      </c>
      <c r="H860" s="91" t="str">
        <f>IFERROR(__xludf.DUMMYFUNCTION("TRIM(REGEXREPLACE(D860, ""[0-9]+[a-f]?\."", """"))"),"C'est la fin de l'enquête. Merci pour votre temps.")</f>
        <v>C'est la fin de l'enquête. Merci pour votre temps.</v>
      </c>
      <c r="I860" s="91" t="str">
        <f>IFERROR(__xludf.DUMMYFUNCTION("TRIM(REGEXREPLACE(E860, ""[0-9]+[a-f]?\."", """"))"),"Karshen tambayoyin kenan. Na gode da lokacin da kuka bani.")</f>
        <v>Karshen tambayoyin kenan. Na gode da lokacin da kuka bani.</v>
      </c>
      <c r="J860" s="91" t="str">
        <f>F860&amp;". "&amp;G860</f>
        <v>499. That is the end of the survey. Thank you for your time.</v>
      </c>
      <c r="K860" s="91" t="str">
        <f t="shared" ref="K860:L860" si="646">$F860&amp;". "&amp;H860</f>
        <v>499. C'est la fin de l'enquête. Merci pour votre temps.</v>
      </c>
      <c r="L860" s="91" t="str">
        <f t="shared" si="646"/>
        <v>499. Karshen tambayoyin kenan. Na gode da lokacin da kuka bani.</v>
      </c>
    </row>
    <row r="861" hidden="1">
      <c r="A861" s="65" t="s">
        <v>236</v>
      </c>
      <c r="B861" s="65" t="s">
        <v>328</v>
      </c>
      <c r="C861" s="31"/>
      <c r="D861" s="31"/>
      <c r="E861" s="31"/>
    </row>
    <row r="862" hidden="1">
      <c r="A862" s="130"/>
      <c r="B862" s="130"/>
      <c r="C862" s="31"/>
      <c r="D862" s="31"/>
      <c r="E862" s="31"/>
    </row>
    <row r="863" hidden="1">
      <c r="A863" s="130"/>
      <c r="B863" s="130"/>
      <c r="C863" s="31"/>
      <c r="D863" s="31"/>
      <c r="E863" s="31"/>
    </row>
    <row r="864" hidden="1">
      <c r="A864" s="130"/>
      <c r="B864" s="130"/>
      <c r="C864" s="31"/>
      <c r="D864" s="31"/>
      <c r="E864" s="31"/>
    </row>
    <row r="865" hidden="1">
      <c r="A865" s="130"/>
      <c r="B865" s="130"/>
      <c r="C865" s="31"/>
      <c r="D865" s="31"/>
      <c r="E865" s="31"/>
    </row>
    <row r="866" hidden="1">
      <c r="A866" s="130"/>
      <c r="B866" s="130"/>
      <c r="C866" s="31"/>
      <c r="D866" s="31"/>
      <c r="E866" s="31"/>
    </row>
    <row r="867" hidden="1">
      <c r="A867" s="130"/>
      <c r="B867" s="130"/>
      <c r="C867" s="31"/>
      <c r="D867" s="31"/>
      <c r="E867" s="31"/>
    </row>
    <row r="868" hidden="1">
      <c r="A868" s="130"/>
      <c r="B868" s="130"/>
      <c r="C868" s="31"/>
      <c r="D868" s="31"/>
      <c r="E868" s="31"/>
    </row>
    <row r="869" hidden="1">
      <c r="A869" s="130"/>
      <c r="B869" s="130"/>
      <c r="C869" s="31"/>
      <c r="D869" s="31"/>
      <c r="E869" s="31"/>
    </row>
    <row r="870" hidden="1">
      <c r="A870" s="30"/>
      <c r="B870" s="30"/>
      <c r="C870" s="31"/>
      <c r="D870" s="31"/>
      <c r="E870" s="31"/>
    </row>
    <row r="871" hidden="1">
      <c r="A871" s="30"/>
      <c r="B871" s="30"/>
      <c r="C871" s="31"/>
      <c r="D871" s="31"/>
      <c r="E871" s="31"/>
    </row>
    <row r="872" hidden="1">
      <c r="A872" s="30"/>
      <c r="B872" s="30"/>
      <c r="C872" s="31"/>
      <c r="D872" s="31"/>
      <c r="E872" s="31"/>
    </row>
    <row r="873" hidden="1">
      <c r="A873" s="30"/>
      <c r="B873" s="30"/>
      <c r="C873" s="31"/>
      <c r="D873" s="31"/>
      <c r="E873" s="31"/>
    </row>
    <row r="874" hidden="1">
      <c r="A874" s="30"/>
      <c r="B874" s="30"/>
      <c r="C874" s="31"/>
      <c r="D874" s="31"/>
      <c r="E874" s="31"/>
    </row>
    <row r="875" hidden="1">
      <c r="A875" s="30"/>
      <c r="B875" s="30"/>
      <c r="C875" s="31"/>
      <c r="D875" s="31"/>
      <c r="E875" s="31"/>
    </row>
    <row r="876" hidden="1">
      <c r="A876" s="30"/>
      <c r="B876" s="30"/>
      <c r="C876" s="31"/>
      <c r="D876" s="31"/>
      <c r="E876" s="31"/>
    </row>
    <row r="877" hidden="1">
      <c r="A877" s="30"/>
      <c r="B877" s="30"/>
      <c r="C877" s="31"/>
      <c r="D877" s="31"/>
      <c r="E877" s="31"/>
    </row>
    <row r="878" hidden="1">
      <c r="A878" s="30"/>
      <c r="B878" s="30"/>
      <c r="C878" s="31"/>
      <c r="D878" s="31"/>
      <c r="E878" s="31"/>
    </row>
    <row r="879" hidden="1">
      <c r="A879" s="30"/>
      <c r="B879" s="30"/>
      <c r="C879" s="31"/>
      <c r="D879" s="31"/>
      <c r="E879" s="31"/>
    </row>
    <row r="880" hidden="1">
      <c r="A880" s="30"/>
      <c r="B880" s="30"/>
      <c r="C880" s="31"/>
      <c r="D880" s="31"/>
      <c r="E880" s="31"/>
    </row>
    <row r="881" hidden="1">
      <c r="A881" s="30"/>
      <c r="B881" s="30"/>
      <c r="C881" s="31"/>
      <c r="D881" s="31"/>
      <c r="E881" s="31"/>
    </row>
    <row r="882" hidden="1">
      <c r="A882" s="30"/>
      <c r="B882" s="30"/>
      <c r="C882" s="31"/>
      <c r="D882" s="31"/>
      <c r="E882" s="31"/>
    </row>
    <row r="883" hidden="1">
      <c r="A883" s="30"/>
      <c r="B883" s="30"/>
      <c r="C883" s="31"/>
      <c r="D883" s="31"/>
      <c r="E883" s="31"/>
    </row>
    <row r="884" hidden="1">
      <c r="A884" s="30"/>
      <c r="B884" s="30"/>
      <c r="C884" s="31"/>
      <c r="D884" s="31"/>
      <c r="E884" s="31"/>
    </row>
    <row r="885" hidden="1">
      <c r="A885" s="30"/>
      <c r="B885" s="30"/>
      <c r="C885" s="31"/>
      <c r="D885" s="31"/>
      <c r="E885" s="31"/>
    </row>
    <row r="886" hidden="1">
      <c r="A886" s="30"/>
      <c r="B886" s="30"/>
      <c r="C886" s="31"/>
      <c r="D886" s="31"/>
      <c r="E886" s="31"/>
    </row>
    <row r="887" hidden="1">
      <c r="A887" s="30"/>
      <c r="B887" s="30"/>
      <c r="C887" s="31"/>
      <c r="D887" s="31"/>
      <c r="E887" s="31"/>
    </row>
    <row r="888" hidden="1">
      <c r="A888" s="30"/>
      <c r="B888" s="30"/>
      <c r="C888" s="31"/>
      <c r="D888" s="31"/>
      <c r="E888" s="31"/>
    </row>
    <row r="889" hidden="1">
      <c r="A889" s="30"/>
      <c r="B889" s="30"/>
      <c r="C889" s="31"/>
      <c r="D889" s="31"/>
      <c r="E889" s="31"/>
    </row>
    <row r="890" hidden="1">
      <c r="A890" s="30"/>
      <c r="B890" s="30"/>
      <c r="C890" s="31"/>
      <c r="D890" s="31"/>
      <c r="E890" s="31"/>
    </row>
    <row r="891" hidden="1">
      <c r="A891" s="30"/>
      <c r="B891" s="30"/>
      <c r="C891" s="31"/>
      <c r="D891" s="31"/>
      <c r="E891" s="31"/>
    </row>
    <row r="892" hidden="1">
      <c r="A892" s="30"/>
      <c r="B892" s="30"/>
      <c r="C892" s="31"/>
      <c r="D892" s="31"/>
      <c r="E892" s="31"/>
    </row>
    <row r="893" hidden="1">
      <c r="A893" s="30"/>
      <c r="B893" s="30"/>
      <c r="C893" s="31"/>
      <c r="D893" s="31"/>
      <c r="E893" s="31"/>
    </row>
    <row r="894" hidden="1">
      <c r="A894" s="30"/>
      <c r="B894" s="30"/>
      <c r="C894" s="31"/>
      <c r="D894" s="31"/>
      <c r="E894" s="31"/>
    </row>
    <row r="895" hidden="1">
      <c r="A895" s="30"/>
      <c r="B895" s="30"/>
      <c r="C895" s="31"/>
      <c r="D895" s="31"/>
      <c r="E895" s="31"/>
    </row>
    <row r="896" hidden="1">
      <c r="A896" s="30"/>
      <c r="B896" s="30"/>
      <c r="C896" s="31"/>
      <c r="D896" s="31"/>
      <c r="E896" s="31"/>
    </row>
    <row r="897" hidden="1">
      <c r="A897" s="30"/>
      <c r="B897" s="30"/>
      <c r="C897" s="31"/>
      <c r="D897" s="31"/>
      <c r="E897" s="31"/>
    </row>
    <row r="898" hidden="1">
      <c r="A898" s="30"/>
      <c r="B898" s="30"/>
      <c r="C898" s="31"/>
      <c r="D898" s="31"/>
      <c r="E898" s="31"/>
    </row>
    <row r="899" hidden="1">
      <c r="A899" s="30"/>
      <c r="B899" s="30"/>
      <c r="C899" s="31"/>
      <c r="D899" s="31"/>
      <c r="E899" s="31"/>
    </row>
    <row r="900" hidden="1">
      <c r="A900" s="30"/>
      <c r="B900" s="30"/>
      <c r="C900" s="31"/>
      <c r="D900" s="31"/>
      <c r="E900" s="31"/>
    </row>
    <row r="901" hidden="1">
      <c r="A901" s="30"/>
      <c r="B901" s="30"/>
      <c r="C901" s="31"/>
      <c r="D901" s="31"/>
      <c r="E901" s="31"/>
    </row>
    <row r="902" hidden="1">
      <c r="A902" s="30"/>
      <c r="B902" s="30"/>
      <c r="C902" s="31"/>
      <c r="D902" s="31"/>
      <c r="E902" s="31"/>
    </row>
    <row r="903" hidden="1">
      <c r="A903" s="30"/>
      <c r="B903" s="30"/>
      <c r="C903" s="31"/>
      <c r="D903" s="31"/>
      <c r="E903" s="31"/>
    </row>
    <row r="904" hidden="1">
      <c r="A904" s="30"/>
      <c r="B904" s="30"/>
      <c r="C904" s="31"/>
      <c r="D904" s="31"/>
      <c r="E904" s="31"/>
    </row>
    <row r="905" hidden="1">
      <c r="A905" s="30"/>
      <c r="B905" s="30"/>
      <c r="C905" s="31"/>
      <c r="D905" s="31"/>
      <c r="E905" s="31"/>
    </row>
    <row r="906" hidden="1">
      <c r="A906" s="30"/>
      <c r="B906" s="30"/>
      <c r="C906" s="31"/>
      <c r="D906" s="31"/>
      <c r="E906" s="31"/>
    </row>
    <row r="907" hidden="1">
      <c r="A907" s="30"/>
      <c r="B907" s="30"/>
      <c r="C907" s="31"/>
      <c r="D907" s="31"/>
      <c r="E907" s="31"/>
    </row>
    <row r="908" hidden="1">
      <c r="A908" s="30"/>
      <c r="B908" s="30"/>
      <c r="C908" s="31"/>
      <c r="D908" s="31"/>
      <c r="E908" s="31"/>
    </row>
    <row r="909" hidden="1">
      <c r="A909" s="30"/>
      <c r="B909" s="30"/>
      <c r="C909" s="31"/>
      <c r="D909" s="31"/>
      <c r="E909" s="31"/>
    </row>
    <row r="910" hidden="1">
      <c r="A910" s="30"/>
      <c r="B910" s="30"/>
      <c r="C910" s="31"/>
      <c r="D910" s="31"/>
      <c r="E910" s="31"/>
    </row>
    <row r="911" hidden="1">
      <c r="A911" s="30"/>
      <c r="B911" s="30"/>
      <c r="C911" s="31"/>
      <c r="D911" s="31"/>
      <c r="E911" s="31"/>
    </row>
    <row r="912" hidden="1">
      <c r="A912" s="30"/>
      <c r="B912" s="30"/>
      <c r="C912" s="31"/>
      <c r="D912" s="31"/>
      <c r="E912" s="31"/>
    </row>
    <row r="913" hidden="1">
      <c r="A913" s="30"/>
      <c r="B913" s="30"/>
      <c r="C913" s="31"/>
      <c r="D913" s="31"/>
      <c r="E913" s="31"/>
    </row>
    <row r="914" hidden="1">
      <c r="A914" s="30"/>
      <c r="B914" s="30"/>
      <c r="C914" s="31"/>
      <c r="D914" s="31"/>
      <c r="E914" s="31"/>
    </row>
    <row r="915" hidden="1">
      <c r="A915" s="30"/>
      <c r="B915" s="30"/>
      <c r="C915" s="31"/>
      <c r="D915" s="31"/>
      <c r="E915" s="31"/>
    </row>
    <row r="916" hidden="1">
      <c r="A916" s="30"/>
      <c r="B916" s="30"/>
      <c r="C916" s="31"/>
      <c r="D916" s="31"/>
      <c r="E916" s="31"/>
    </row>
    <row r="917" hidden="1">
      <c r="A917" s="30"/>
      <c r="B917" s="30"/>
      <c r="C917" s="31"/>
      <c r="D917" s="31"/>
      <c r="E917" s="31"/>
    </row>
    <row r="918" hidden="1">
      <c r="A918" s="30"/>
      <c r="B918" s="30"/>
      <c r="C918" s="31"/>
      <c r="D918" s="31"/>
      <c r="E918" s="31"/>
    </row>
    <row r="919" hidden="1">
      <c r="A919" s="30"/>
      <c r="B919" s="30"/>
      <c r="C919" s="31"/>
      <c r="D919" s="31"/>
      <c r="E919" s="31"/>
    </row>
    <row r="920" hidden="1">
      <c r="A920" s="30"/>
      <c r="B920" s="30"/>
      <c r="C920" s="31"/>
      <c r="D920" s="31"/>
      <c r="E920" s="31"/>
    </row>
    <row r="921" hidden="1">
      <c r="A921" s="30"/>
      <c r="B921" s="30"/>
      <c r="C921" s="31"/>
      <c r="D921" s="31"/>
      <c r="E921" s="31"/>
    </row>
    <row r="922" hidden="1">
      <c r="A922" s="30"/>
      <c r="B922" s="30"/>
      <c r="C922" s="31"/>
      <c r="D922" s="31"/>
      <c r="E922" s="31"/>
    </row>
    <row r="923" hidden="1">
      <c r="A923" s="30"/>
      <c r="B923" s="30"/>
      <c r="C923" s="31"/>
      <c r="D923" s="31"/>
      <c r="E923" s="31"/>
    </row>
    <row r="924" hidden="1">
      <c r="A924" s="30"/>
      <c r="B924" s="30"/>
      <c r="C924" s="31"/>
      <c r="D924" s="31"/>
      <c r="E924" s="31"/>
    </row>
    <row r="925" hidden="1">
      <c r="A925" s="30"/>
      <c r="B925" s="30"/>
      <c r="C925" s="31"/>
      <c r="D925" s="31"/>
      <c r="E925" s="31"/>
    </row>
    <row r="926" hidden="1">
      <c r="A926" s="30"/>
      <c r="B926" s="30"/>
      <c r="C926" s="31"/>
      <c r="D926" s="31"/>
      <c r="E926" s="31"/>
    </row>
    <row r="927" hidden="1">
      <c r="A927" s="30"/>
      <c r="B927" s="30"/>
      <c r="C927" s="31"/>
      <c r="D927" s="31"/>
      <c r="E927" s="31"/>
    </row>
    <row r="928" hidden="1">
      <c r="A928" s="30"/>
      <c r="B928" s="30"/>
      <c r="C928" s="31"/>
      <c r="D928" s="31"/>
      <c r="E928" s="31"/>
    </row>
    <row r="929" hidden="1">
      <c r="A929" s="30"/>
      <c r="B929" s="30"/>
      <c r="C929" s="31"/>
      <c r="D929" s="31"/>
      <c r="E929" s="31"/>
    </row>
    <row r="930" hidden="1">
      <c r="A930" s="30"/>
      <c r="B930" s="30"/>
      <c r="C930" s="31"/>
      <c r="D930" s="31"/>
      <c r="E930" s="31"/>
    </row>
    <row r="931" hidden="1">
      <c r="A931" s="30"/>
      <c r="B931" s="30"/>
      <c r="C931" s="31"/>
      <c r="D931" s="31"/>
      <c r="E931" s="31"/>
    </row>
    <row r="932" hidden="1">
      <c r="A932" s="30"/>
      <c r="B932" s="30"/>
      <c r="C932" s="31"/>
      <c r="D932" s="31"/>
      <c r="E932" s="31"/>
    </row>
    <row r="933" hidden="1">
      <c r="A933" s="30"/>
      <c r="B933" s="30"/>
      <c r="C933" s="31"/>
      <c r="D933" s="31"/>
      <c r="E933" s="31"/>
    </row>
    <row r="934" hidden="1">
      <c r="A934" s="30"/>
      <c r="B934" s="30"/>
      <c r="C934" s="31"/>
      <c r="D934" s="31"/>
      <c r="E934" s="31"/>
    </row>
    <row r="935" hidden="1">
      <c r="A935" s="30"/>
      <c r="B935" s="30"/>
      <c r="C935" s="31"/>
      <c r="D935" s="31"/>
      <c r="E935" s="31"/>
    </row>
    <row r="936" hidden="1">
      <c r="A936" s="30"/>
      <c r="B936" s="30"/>
      <c r="C936" s="31"/>
      <c r="D936" s="31"/>
      <c r="E936" s="31"/>
    </row>
    <row r="937" hidden="1">
      <c r="A937" s="30"/>
      <c r="B937" s="30"/>
      <c r="C937" s="31"/>
      <c r="D937" s="31"/>
      <c r="E937" s="31"/>
    </row>
    <row r="938" hidden="1">
      <c r="A938" s="30"/>
      <c r="B938" s="30"/>
      <c r="C938" s="31"/>
      <c r="D938" s="31"/>
      <c r="E938" s="31"/>
    </row>
    <row r="939" hidden="1">
      <c r="A939" s="30"/>
      <c r="B939" s="30"/>
      <c r="C939" s="31"/>
      <c r="D939" s="31"/>
      <c r="E939" s="31"/>
    </row>
    <row r="940" hidden="1">
      <c r="A940" s="30"/>
      <c r="B940" s="30"/>
      <c r="C940" s="31"/>
      <c r="D940" s="31"/>
      <c r="E940" s="31"/>
    </row>
    <row r="941" hidden="1">
      <c r="A941" s="30"/>
      <c r="B941" s="30"/>
      <c r="C941" s="31"/>
      <c r="D941" s="31"/>
      <c r="E941" s="31"/>
    </row>
    <row r="942" hidden="1">
      <c r="A942" s="30"/>
      <c r="B942" s="30"/>
      <c r="C942" s="31"/>
      <c r="D942" s="31"/>
      <c r="E942" s="31"/>
    </row>
    <row r="943" hidden="1">
      <c r="A943" s="30"/>
      <c r="B943" s="30"/>
      <c r="C943" s="31"/>
      <c r="D943" s="31"/>
      <c r="E943" s="31"/>
    </row>
    <row r="944" hidden="1">
      <c r="A944" s="30"/>
      <c r="B944" s="30"/>
      <c r="C944" s="31"/>
      <c r="D944" s="31"/>
      <c r="E944" s="31"/>
    </row>
    <row r="945" hidden="1">
      <c r="A945" s="30"/>
      <c r="B945" s="30"/>
      <c r="C945" s="31"/>
      <c r="D945" s="31"/>
      <c r="E945" s="31"/>
    </row>
    <row r="946" hidden="1">
      <c r="A946" s="30"/>
      <c r="B946" s="30"/>
      <c r="C946" s="31"/>
      <c r="D946" s="31"/>
      <c r="E946" s="31"/>
    </row>
    <row r="947" hidden="1">
      <c r="A947" s="30"/>
      <c r="B947" s="30"/>
      <c r="C947" s="31"/>
      <c r="D947" s="31"/>
      <c r="E947" s="31"/>
    </row>
    <row r="948" hidden="1">
      <c r="A948" s="30"/>
      <c r="B948" s="30"/>
      <c r="C948" s="31"/>
      <c r="D948" s="31"/>
      <c r="E948" s="31"/>
    </row>
    <row r="949" hidden="1">
      <c r="A949" s="30"/>
      <c r="B949" s="30"/>
      <c r="C949" s="31"/>
      <c r="D949" s="31"/>
      <c r="E949" s="31"/>
    </row>
    <row r="950" hidden="1">
      <c r="A950" s="30"/>
      <c r="B950" s="30"/>
      <c r="C950" s="31"/>
      <c r="D950" s="31"/>
      <c r="E950" s="31"/>
    </row>
    <row r="951" hidden="1">
      <c r="A951" s="30"/>
      <c r="B951" s="30"/>
      <c r="C951" s="31"/>
      <c r="D951" s="31"/>
      <c r="E951" s="31"/>
    </row>
    <row r="952" hidden="1">
      <c r="A952" s="30"/>
      <c r="B952" s="30"/>
      <c r="C952" s="31"/>
      <c r="D952" s="31"/>
      <c r="E952" s="31"/>
    </row>
    <row r="953" hidden="1">
      <c r="A953" s="30"/>
      <c r="B953" s="30"/>
      <c r="C953" s="31"/>
      <c r="D953" s="31"/>
      <c r="E953" s="31"/>
    </row>
    <row r="954" hidden="1">
      <c r="A954" s="30"/>
      <c r="B954" s="30"/>
      <c r="C954" s="31"/>
      <c r="D954" s="31"/>
      <c r="E954" s="31"/>
    </row>
    <row r="955" hidden="1">
      <c r="A955" s="30"/>
      <c r="B955" s="30"/>
      <c r="C955" s="31"/>
      <c r="D955" s="31"/>
      <c r="E955" s="31"/>
    </row>
    <row r="956" hidden="1">
      <c r="A956" s="30"/>
      <c r="B956" s="30"/>
      <c r="C956" s="31"/>
      <c r="D956" s="31"/>
      <c r="E956" s="31"/>
    </row>
    <row r="957" hidden="1">
      <c r="A957" s="30"/>
      <c r="B957" s="30"/>
      <c r="C957" s="31"/>
      <c r="D957" s="31"/>
      <c r="E957" s="31"/>
    </row>
    <row r="958" hidden="1">
      <c r="A958" s="30"/>
      <c r="B958" s="30"/>
      <c r="C958" s="31"/>
      <c r="D958" s="31"/>
      <c r="E958" s="31"/>
    </row>
    <row r="959" hidden="1">
      <c r="A959" s="30"/>
      <c r="B959" s="30"/>
      <c r="C959" s="31"/>
      <c r="D959" s="31"/>
      <c r="E959" s="31"/>
    </row>
    <row r="960" hidden="1">
      <c r="A960" s="30"/>
      <c r="B960" s="30"/>
      <c r="C960" s="31"/>
      <c r="D960" s="31"/>
      <c r="E960" s="31"/>
    </row>
    <row r="961" hidden="1">
      <c r="A961" s="30"/>
      <c r="B961" s="30"/>
      <c r="C961" s="31"/>
      <c r="D961" s="31"/>
      <c r="E961" s="31"/>
    </row>
    <row r="962" hidden="1">
      <c r="A962" s="30"/>
      <c r="B962" s="30"/>
      <c r="C962" s="31"/>
      <c r="D962" s="31"/>
      <c r="E962" s="31"/>
    </row>
    <row r="963" hidden="1">
      <c r="A963" s="30"/>
      <c r="B963" s="30"/>
      <c r="C963" s="31"/>
      <c r="D963" s="31"/>
      <c r="E963" s="31"/>
    </row>
    <row r="964" hidden="1">
      <c r="A964" s="30"/>
      <c r="B964" s="30"/>
      <c r="C964" s="31"/>
      <c r="D964" s="31"/>
      <c r="E964" s="31"/>
    </row>
    <row r="965" hidden="1">
      <c r="A965" s="30"/>
      <c r="B965" s="30"/>
      <c r="C965" s="31"/>
      <c r="D965" s="31"/>
      <c r="E965" s="31"/>
    </row>
    <row r="966" hidden="1">
      <c r="A966" s="30"/>
      <c r="B966" s="30"/>
      <c r="C966" s="31"/>
      <c r="D966" s="31"/>
      <c r="E966" s="31"/>
    </row>
    <row r="967" hidden="1">
      <c r="A967" s="30"/>
      <c r="B967" s="30"/>
      <c r="C967" s="31"/>
      <c r="D967" s="31"/>
      <c r="E967" s="31"/>
    </row>
    <row r="968" hidden="1">
      <c r="A968" s="30"/>
      <c r="B968" s="30"/>
      <c r="C968" s="31"/>
      <c r="D968" s="31"/>
      <c r="E968" s="31"/>
    </row>
    <row r="969" hidden="1">
      <c r="A969" s="30"/>
      <c r="B969" s="30"/>
      <c r="C969" s="31"/>
      <c r="D969" s="31"/>
      <c r="E969" s="31"/>
    </row>
    <row r="970" hidden="1">
      <c r="A970" s="30"/>
      <c r="B970" s="30"/>
      <c r="C970" s="31"/>
      <c r="D970" s="31"/>
      <c r="E970" s="31"/>
    </row>
    <row r="971" hidden="1">
      <c r="A971" s="30"/>
      <c r="B971" s="30"/>
      <c r="C971" s="31"/>
      <c r="D971" s="31"/>
      <c r="E971" s="31"/>
    </row>
    <row r="972" hidden="1">
      <c r="A972" s="30"/>
      <c r="B972" s="30"/>
      <c r="C972" s="31"/>
      <c r="D972" s="31"/>
      <c r="E972" s="31"/>
    </row>
    <row r="973" hidden="1">
      <c r="A973" s="30"/>
      <c r="B973" s="30"/>
      <c r="C973" s="31"/>
      <c r="D973" s="31"/>
      <c r="E973" s="31"/>
    </row>
    <row r="974" hidden="1">
      <c r="A974" s="30"/>
      <c r="B974" s="30"/>
      <c r="C974" s="31"/>
      <c r="D974" s="31"/>
      <c r="E974" s="31"/>
    </row>
    <row r="975" hidden="1">
      <c r="A975" s="30"/>
      <c r="B975" s="30"/>
      <c r="C975" s="31"/>
      <c r="D975" s="31"/>
      <c r="E975" s="31"/>
    </row>
    <row r="976" hidden="1">
      <c r="A976" s="30"/>
      <c r="B976" s="30"/>
      <c r="C976" s="31"/>
      <c r="D976" s="31"/>
      <c r="E976" s="31"/>
    </row>
    <row r="977" hidden="1">
      <c r="A977" s="30"/>
      <c r="B977" s="30"/>
      <c r="C977" s="31"/>
      <c r="D977" s="31"/>
      <c r="E977" s="31"/>
    </row>
    <row r="978" hidden="1">
      <c r="A978" s="30"/>
      <c r="B978" s="30"/>
      <c r="C978" s="31"/>
      <c r="D978" s="31"/>
      <c r="E978" s="31"/>
    </row>
    <row r="979" hidden="1">
      <c r="A979" s="30"/>
      <c r="B979" s="30"/>
      <c r="C979" s="31"/>
      <c r="D979" s="31"/>
      <c r="E979" s="31"/>
    </row>
    <row r="980" hidden="1">
      <c r="A980" s="30"/>
      <c r="B980" s="30"/>
      <c r="C980" s="31"/>
      <c r="D980" s="31"/>
      <c r="E980" s="31"/>
    </row>
    <row r="981" hidden="1">
      <c r="A981" s="30"/>
      <c r="B981" s="30"/>
      <c r="C981" s="31"/>
      <c r="D981" s="31"/>
      <c r="E981" s="31"/>
    </row>
    <row r="982" hidden="1">
      <c r="A982" s="30"/>
      <c r="B982" s="30"/>
      <c r="C982" s="31"/>
      <c r="D982" s="31"/>
      <c r="E982" s="31"/>
    </row>
    <row r="983" hidden="1">
      <c r="A983" s="30"/>
      <c r="B983" s="30"/>
      <c r="C983" s="31"/>
      <c r="D983" s="31"/>
      <c r="E983" s="31"/>
    </row>
    <row r="984" hidden="1">
      <c r="A984" s="30"/>
      <c r="B984" s="30"/>
      <c r="C984" s="31"/>
      <c r="D984" s="31"/>
      <c r="E984" s="31"/>
    </row>
    <row r="985" hidden="1">
      <c r="A985" s="30"/>
      <c r="B985" s="30"/>
      <c r="C985" s="31"/>
      <c r="D985" s="31"/>
      <c r="E985" s="31"/>
    </row>
    <row r="986" hidden="1">
      <c r="A986" s="30"/>
      <c r="B986" s="30"/>
      <c r="C986" s="31"/>
      <c r="D986" s="31"/>
      <c r="E986" s="31"/>
    </row>
    <row r="987" hidden="1">
      <c r="A987" s="30"/>
      <c r="B987" s="30"/>
      <c r="C987" s="31"/>
      <c r="D987" s="31"/>
      <c r="E987" s="31"/>
    </row>
    <row r="988" hidden="1">
      <c r="A988" s="30"/>
      <c r="B988" s="30"/>
      <c r="C988" s="31"/>
      <c r="D988" s="31"/>
      <c r="E988" s="31"/>
    </row>
    <row r="989" hidden="1">
      <c r="A989" s="30"/>
      <c r="B989" s="30"/>
      <c r="C989" s="31"/>
      <c r="D989" s="31"/>
      <c r="E989" s="31"/>
    </row>
    <row r="990" hidden="1">
      <c r="A990" s="30"/>
      <c r="B990" s="30"/>
      <c r="C990" s="31"/>
      <c r="D990" s="31"/>
      <c r="E990" s="31"/>
    </row>
    <row r="991" hidden="1">
      <c r="A991" s="30"/>
      <c r="B991" s="30"/>
      <c r="C991" s="31"/>
      <c r="D991" s="31"/>
      <c r="E991" s="31"/>
    </row>
    <row r="992" hidden="1">
      <c r="A992" s="30"/>
      <c r="B992" s="30"/>
      <c r="C992" s="31"/>
      <c r="D992" s="31"/>
      <c r="E992" s="31"/>
    </row>
    <row r="993" hidden="1">
      <c r="A993" s="30"/>
      <c r="B993" s="30"/>
      <c r="C993" s="31"/>
      <c r="D993" s="31"/>
      <c r="E993" s="31"/>
    </row>
    <row r="994" hidden="1">
      <c r="A994" s="30"/>
      <c r="B994" s="30"/>
      <c r="C994" s="31"/>
      <c r="D994" s="31"/>
      <c r="E994" s="31"/>
    </row>
    <row r="995" hidden="1">
      <c r="A995" s="30"/>
      <c r="B995" s="30"/>
      <c r="C995" s="31"/>
      <c r="D995" s="31"/>
      <c r="E995" s="31"/>
    </row>
    <row r="996" hidden="1">
      <c r="A996" s="30"/>
      <c r="B996" s="30"/>
      <c r="C996" s="31"/>
      <c r="D996" s="31"/>
      <c r="E996" s="31"/>
    </row>
    <row r="997" hidden="1">
      <c r="A997" s="30"/>
      <c r="B997" s="30"/>
      <c r="C997" s="31"/>
      <c r="D997" s="31"/>
      <c r="E997" s="31"/>
    </row>
    <row r="998" hidden="1">
      <c r="A998" s="30"/>
      <c r="B998" s="30"/>
      <c r="C998" s="31"/>
      <c r="D998" s="31"/>
      <c r="E998" s="31"/>
    </row>
    <row r="999" hidden="1">
      <c r="A999" s="30"/>
      <c r="B999" s="30"/>
      <c r="C999" s="31"/>
      <c r="D999" s="31"/>
      <c r="E999" s="31"/>
    </row>
    <row r="1000" hidden="1">
      <c r="A1000" s="30"/>
      <c r="B1000" s="30"/>
      <c r="C1000" s="31"/>
      <c r="D1000" s="31"/>
      <c r="E1000" s="31"/>
    </row>
    <row r="1001" hidden="1">
      <c r="A1001" s="30"/>
      <c r="B1001" s="30"/>
      <c r="C1001" s="31"/>
      <c r="D1001" s="31"/>
      <c r="E1001" s="31"/>
    </row>
    <row r="1002" hidden="1">
      <c r="A1002" s="30"/>
      <c r="B1002" s="30"/>
      <c r="C1002" s="31"/>
      <c r="D1002" s="31"/>
      <c r="E1002" s="31"/>
    </row>
    <row r="1003" hidden="1">
      <c r="A1003" s="30"/>
      <c r="B1003" s="30"/>
      <c r="C1003" s="31"/>
      <c r="D1003" s="31"/>
      <c r="E1003" s="31"/>
    </row>
    <row r="1004" hidden="1">
      <c r="A1004" s="30"/>
      <c r="B1004" s="30"/>
      <c r="C1004" s="31"/>
      <c r="D1004" s="31"/>
      <c r="E1004" s="31"/>
    </row>
    <row r="1005" hidden="1">
      <c r="A1005" s="30"/>
      <c r="B1005" s="30"/>
      <c r="C1005" s="31"/>
      <c r="D1005" s="31"/>
      <c r="E1005" s="31"/>
    </row>
    <row r="1006" hidden="1">
      <c r="A1006" s="30"/>
      <c r="B1006" s="30"/>
      <c r="C1006" s="31"/>
      <c r="D1006" s="31"/>
      <c r="E1006" s="31"/>
    </row>
    <row r="1007" hidden="1">
      <c r="A1007" s="30"/>
      <c r="B1007" s="30"/>
      <c r="C1007" s="31"/>
      <c r="D1007" s="31"/>
      <c r="E1007" s="31"/>
    </row>
    <row r="1008" hidden="1">
      <c r="A1008" s="30"/>
      <c r="B1008" s="30"/>
      <c r="C1008" s="31"/>
      <c r="D1008" s="31"/>
      <c r="E1008" s="31"/>
    </row>
    <row r="1009" hidden="1">
      <c r="A1009" s="30"/>
      <c r="B1009" s="30"/>
      <c r="C1009" s="31"/>
      <c r="D1009" s="31"/>
      <c r="E1009" s="31"/>
    </row>
    <row r="1010" hidden="1">
      <c r="A1010" s="30"/>
      <c r="B1010" s="30"/>
      <c r="C1010" s="31"/>
      <c r="D1010" s="31"/>
      <c r="E1010" s="31"/>
    </row>
    <row r="1011" hidden="1">
      <c r="A1011" s="30"/>
      <c r="B1011" s="30"/>
      <c r="C1011" s="31"/>
      <c r="D1011" s="31"/>
      <c r="E1011" s="31"/>
    </row>
    <row r="1012" hidden="1">
      <c r="A1012" s="30"/>
      <c r="B1012" s="30"/>
      <c r="C1012" s="31"/>
      <c r="D1012" s="31"/>
      <c r="E1012" s="31"/>
    </row>
    <row r="1013" hidden="1">
      <c r="A1013" s="30"/>
      <c r="B1013" s="30"/>
      <c r="C1013" s="31"/>
      <c r="D1013" s="31"/>
      <c r="E1013" s="31"/>
    </row>
    <row r="1014" hidden="1">
      <c r="A1014" s="30"/>
      <c r="B1014" s="30"/>
      <c r="C1014" s="31"/>
      <c r="D1014" s="31"/>
      <c r="E1014" s="31"/>
    </row>
    <row r="1015" hidden="1">
      <c r="A1015" s="30"/>
      <c r="B1015" s="30"/>
      <c r="C1015" s="31"/>
      <c r="D1015" s="31"/>
      <c r="E1015" s="31"/>
    </row>
    <row r="1016" hidden="1">
      <c r="A1016" s="30"/>
      <c r="B1016" s="30"/>
      <c r="C1016" s="31"/>
      <c r="D1016" s="31"/>
      <c r="E1016" s="31"/>
    </row>
    <row r="1017" hidden="1">
      <c r="A1017" s="30"/>
      <c r="B1017" s="30"/>
      <c r="C1017" s="31"/>
      <c r="D1017" s="31"/>
      <c r="E1017" s="31"/>
    </row>
    <row r="1018" hidden="1">
      <c r="A1018" s="30"/>
      <c r="B1018" s="30"/>
      <c r="C1018" s="31"/>
      <c r="D1018" s="31"/>
      <c r="E1018" s="31"/>
    </row>
    <row r="1019" hidden="1">
      <c r="A1019" s="30"/>
      <c r="B1019" s="30"/>
      <c r="C1019" s="31"/>
      <c r="D1019" s="31"/>
      <c r="E1019" s="31"/>
    </row>
    <row r="1020" hidden="1">
      <c r="A1020" s="30"/>
      <c r="B1020" s="30"/>
      <c r="C1020" s="31"/>
      <c r="D1020" s="31"/>
      <c r="E1020" s="31"/>
    </row>
    <row r="1021" hidden="1">
      <c r="A1021" s="30"/>
      <c r="B1021" s="30"/>
      <c r="C1021" s="31"/>
      <c r="D1021" s="31"/>
      <c r="E1021" s="31"/>
    </row>
    <row r="1022" hidden="1">
      <c r="A1022" s="30"/>
      <c r="B1022" s="30"/>
      <c r="C1022" s="31"/>
      <c r="D1022" s="31"/>
      <c r="E1022" s="31"/>
    </row>
    <row r="1023" hidden="1">
      <c r="A1023" s="30"/>
      <c r="B1023" s="30"/>
      <c r="C1023" s="31"/>
      <c r="D1023" s="31"/>
      <c r="E1023" s="31"/>
    </row>
    <row r="1024" hidden="1">
      <c r="A1024" s="30"/>
      <c r="B1024" s="30"/>
      <c r="C1024" s="31"/>
      <c r="D1024" s="31"/>
      <c r="E1024" s="31"/>
    </row>
    <row r="1025" hidden="1">
      <c r="A1025" s="30"/>
      <c r="B1025" s="30"/>
      <c r="C1025" s="31"/>
      <c r="D1025" s="31"/>
      <c r="E1025" s="31"/>
    </row>
    <row r="1026" hidden="1">
      <c r="A1026" s="30"/>
      <c r="B1026" s="30"/>
      <c r="C1026" s="31"/>
      <c r="D1026" s="31"/>
      <c r="E1026" s="31"/>
    </row>
    <row r="1027" hidden="1">
      <c r="A1027" s="30"/>
      <c r="B1027" s="30"/>
      <c r="C1027" s="31"/>
      <c r="D1027" s="31"/>
      <c r="E1027" s="31"/>
    </row>
    <row r="1028" hidden="1">
      <c r="A1028" s="30"/>
      <c r="B1028" s="30"/>
      <c r="C1028" s="31"/>
      <c r="D1028" s="31"/>
      <c r="E1028" s="31"/>
    </row>
    <row r="1029" hidden="1">
      <c r="A1029" s="30"/>
      <c r="B1029" s="30"/>
      <c r="C1029" s="31"/>
      <c r="D1029" s="31"/>
      <c r="E1029" s="31"/>
    </row>
    <row r="1030" hidden="1">
      <c r="A1030" s="30"/>
      <c r="B1030" s="30"/>
      <c r="C1030" s="31"/>
      <c r="D1030" s="31"/>
      <c r="E1030" s="31"/>
    </row>
    <row r="1031" hidden="1">
      <c r="A1031" s="30"/>
      <c r="B1031" s="30"/>
      <c r="C1031" s="31"/>
      <c r="D1031" s="31"/>
      <c r="E1031" s="31"/>
    </row>
    <row r="1032" hidden="1">
      <c r="A1032" s="30"/>
      <c r="B1032" s="30"/>
      <c r="C1032" s="31"/>
      <c r="D1032" s="31"/>
      <c r="E1032" s="31"/>
    </row>
    <row r="1033" hidden="1">
      <c r="A1033" s="30"/>
      <c r="B1033" s="30"/>
      <c r="C1033" s="31"/>
      <c r="D1033" s="31"/>
      <c r="E1033" s="31"/>
    </row>
    <row r="1034" hidden="1">
      <c r="A1034" s="30"/>
      <c r="B1034" s="30"/>
      <c r="C1034" s="31"/>
      <c r="D1034" s="31"/>
      <c r="E1034" s="31"/>
    </row>
    <row r="1035" hidden="1">
      <c r="A1035" s="30"/>
      <c r="B1035" s="30"/>
      <c r="C1035" s="31"/>
      <c r="D1035" s="31"/>
      <c r="E1035" s="31"/>
    </row>
    <row r="1036" hidden="1">
      <c r="A1036" s="30"/>
      <c r="B1036" s="30"/>
      <c r="C1036" s="31"/>
      <c r="D1036" s="31"/>
      <c r="E1036" s="31"/>
    </row>
    <row r="1037" hidden="1">
      <c r="A1037" s="30"/>
      <c r="B1037" s="30"/>
      <c r="C1037" s="31"/>
      <c r="D1037" s="31"/>
      <c r="E1037" s="31"/>
    </row>
    <row r="1038" hidden="1">
      <c r="A1038" s="30"/>
      <c r="B1038" s="30"/>
      <c r="C1038" s="31"/>
      <c r="D1038" s="31"/>
      <c r="E1038" s="31"/>
    </row>
    <row r="1039" hidden="1">
      <c r="A1039" s="30"/>
      <c r="B1039" s="30"/>
      <c r="C1039" s="31"/>
      <c r="D1039" s="31"/>
      <c r="E1039" s="31"/>
    </row>
    <row r="1040" hidden="1">
      <c r="A1040" s="30"/>
      <c r="B1040" s="30"/>
      <c r="C1040" s="31"/>
      <c r="D1040" s="31"/>
      <c r="E1040" s="31"/>
    </row>
    <row r="1041" hidden="1">
      <c r="A1041" s="30"/>
      <c r="B1041" s="30"/>
      <c r="C1041" s="31"/>
      <c r="D1041" s="31"/>
      <c r="E1041" s="31"/>
    </row>
    <row r="1042" hidden="1">
      <c r="A1042" s="30"/>
      <c r="B1042" s="30"/>
      <c r="C1042" s="31"/>
      <c r="D1042" s="31"/>
      <c r="E1042" s="31"/>
    </row>
    <row r="1043" hidden="1">
      <c r="A1043" s="30"/>
      <c r="B1043" s="30"/>
      <c r="C1043" s="31"/>
      <c r="D1043" s="31"/>
      <c r="E1043" s="31"/>
    </row>
    <row r="1044" hidden="1">
      <c r="A1044" s="30"/>
      <c r="B1044" s="30"/>
      <c r="C1044" s="31"/>
      <c r="D1044" s="31"/>
      <c r="E1044" s="31"/>
    </row>
    <row r="1045" hidden="1">
      <c r="A1045" s="30"/>
      <c r="B1045" s="30"/>
      <c r="C1045" s="31"/>
      <c r="D1045" s="31"/>
      <c r="E1045" s="31"/>
    </row>
    <row r="1046" hidden="1">
      <c r="A1046" s="30"/>
      <c r="B1046" s="30"/>
      <c r="C1046" s="31"/>
      <c r="D1046" s="31"/>
      <c r="E1046" s="31"/>
    </row>
    <row r="1047" hidden="1">
      <c r="A1047" s="30"/>
      <c r="B1047" s="30"/>
      <c r="C1047" s="31"/>
      <c r="D1047" s="31"/>
      <c r="E1047" s="31"/>
    </row>
    <row r="1048" hidden="1">
      <c r="A1048" s="30"/>
      <c r="B1048" s="30"/>
      <c r="C1048" s="31"/>
      <c r="D1048" s="31"/>
      <c r="E1048" s="31"/>
    </row>
    <row r="1049" hidden="1">
      <c r="A1049" s="30"/>
      <c r="B1049" s="30"/>
      <c r="C1049" s="31"/>
      <c r="D1049" s="31"/>
      <c r="E1049" s="31"/>
    </row>
    <row r="1050" hidden="1">
      <c r="A1050" s="30"/>
      <c r="B1050" s="30"/>
      <c r="C1050" s="31"/>
      <c r="D1050" s="31"/>
      <c r="E1050" s="31"/>
    </row>
    <row r="1051" hidden="1">
      <c r="A1051" s="30"/>
      <c r="B1051" s="30"/>
      <c r="C1051" s="31"/>
      <c r="D1051" s="31"/>
      <c r="E1051" s="31"/>
    </row>
    <row r="1052" hidden="1">
      <c r="A1052" s="30"/>
      <c r="B1052" s="30"/>
      <c r="C1052" s="31"/>
      <c r="D1052" s="31"/>
      <c r="E1052" s="31"/>
    </row>
    <row r="1053" hidden="1">
      <c r="A1053" s="30"/>
      <c r="B1053" s="30"/>
      <c r="C1053" s="31"/>
      <c r="D1053" s="31"/>
      <c r="E1053" s="31"/>
    </row>
    <row r="1054" hidden="1">
      <c r="A1054" s="30"/>
      <c r="B1054" s="30"/>
      <c r="C1054" s="31"/>
      <c r="D1054" s="31"/>
      <c r="E1054" s="31"/>
    </row>
    <row r="1055" hidden="1">
      <c r="A1055" s="30"/>
      <c r="B1055" s="30"/>
      <c r="C1055" s="31"/>
      <c r="D1055" s="31"/>
      <c r="E1055" s="31"/>
    </row>
    <row r="1056" hidden="1">
      <c r="A1056" s="30"/>
      <c r="B1056" s="30"/>
      <c r="C1056" s="31"/>
      <c r="D1056" s="31"/>
      <c r="E1056" s="31"/>
    </row>
    <row r="1057" hidden="1">
      <c r="A1057" s="30"/>
      <c r="B1057" s="30"/>
      <c r="C1057" s="31"/>
      <c r="D1057" s="31"/>
      <c r="E1057" s="31"/>
    </row>
    <row r="1058" hidden="1">
      <c r="A1058" s="30"/>
      <c r="B1058" s="30"/>
      <c r="C1058" s="31"/>
      <c r="D1058" s="31"/>
      <c r="E1058" s="31"/>
    </row>
    <row r="1059" hidden="1">
      <c r="A1059" s="30"/>
      <c r="B1059" s="30"/>
      <c r="C1059" s="31"/>
      <c r="D1059" s="31"/>
      <c r="E1059" s="31"/>
    </row>
    <row r="1060" hidden="1">
      <c r="A1060" s="30"/>
      <c r="B1060" s="30"/>
      <c r="C1060" s="31"/>
      <c r="D1060" s="31"/>
      <c r="E1060" s="31"/>
    </row>
    <row r="1061" hidden="1">
      <c r="A1061" s="30"/>
      <c r="B1061" s="30"/>
      <c r="C1061" s="31"/>
      <c r="D1061" s="31"/>
      <c r="E1061" s="31"/>
    </row>
    <row r="1062" hidden="1">
      <c r="A1062" s="30"/>
      <c r="B1062" s="30"/>
      <c r="C1062" s="31"/>
      <c r="D1062" s="31"/>
      <c r="E1062" s="31"/>
    </row>
    <row r="1063" hidden="1">
      <c r="A1063" s="30"/>
      <c r="B1063" s="30"/>
      <c r="C1063" s="31"/>
      <c r="D1063" s="31"/>
      <c r="E1063" s="31"/>
    </row>
    <row r="1064" hidden="1">
      <c r="A1064" s="30"/>
      <c r="B1064" s="30"/>
      <c r="C1064" s="31"/>
      <c r="D1064" s="31"/>
      <c r="E1064" s="31"/>
    </row>
    <row r="1065" hidden="1">
      <c r="A1065" s="30"/>
      <c r="B1065" s="30"/>
      <c r="C1065" s="31"/>
      <c r="D1065" s="31"/>
      <c r="E1065" s="31"/>
    </row>
    <row r="1066" hidden="1">
      <c r="A1066" s="30"/>
      <c r="B1066" s="30"/>
      <c r="C1066" s="31"/>
      <c r="D1066" s="31"/>
      <c r="E1066" s="31"/>
    </row>
    <row r="1067" hidden="1">
      <c r="A1067" s="30"/>
      <c r="B1067" s="30"/>
      <c r="C1067" s="31"/>
      <c r="D1067" s="31"/>
      <c r="E1067" s="31"/>
    </row>
    <row r="1068" hidden="1">
      <c r="A1068" s="30"/>
      <c r="B1068" s="30"/>
      <c r="C1068" s="31"/>
      <c r="D1068" s="31"/>
      <c r="E1068" s="31"/>
    </row>
    <row r="1069" hidden="1">
      <c r="A1069" s="30"/>
      <c r="B1069" s="30"/>
      <c r="C1069" s="31"/>
      <c r="D1069" s="31"/>
      <c r="E1069" s="31"/>
    </row>
    <row r="1070" hidden="1">
      <c r="A1070" s="30"/>
      <c r="B1070" s="30"/>
      <c r="C1070" s="31"/>
      <c r="D1070" s="31"/>
      <c r="E1070" s="31"/>
    </row>
    <row r="1071" hidden="1">
      <c r="A1071" s="30"/>
      <c r="B1071" s="30"/>
      <c r="C1071" s="31"/>
      <c r="D1071" s="31"/>
      <c r="E1071" s="31"/>
    </row>
    <row r="1072" hidden="1">
      <c r="A1072" s="30"/>
      <c r="B1072" s="30"/>
      <c r="C1072" s="31"/>
      <c r="D1072" s="31"/>
      <c r="E1072" s="31"/>
    </row>
    <row r="1073" hidden="1">
      <c r="A1073" s="30"/>
      <c r="B1073" s="30"/>
      <c r="C1073" s="31"/>
      <c r="D1073" s="31"/>
      <c r="E1073" s="31"/>
    </row>
    <row r="1074" hidden="1">
      <c r="A1074" s="30"/>
      <c r="B1074" s="30"/>
      <c r="C1074" s="31"/>
      <c r="D1074" s="31"/>
      <c r="E1074" s="31"/>
    </row>
    <row r="1075" hidden="1">
      <c r="A1075" s="30"/>
      <c r="B1075" s="30"/>
      <c r="C1075" s="31"/>
      <c r="D1075" s="31"/>
      <c r="E1075" s="31"/>
    </row>
    <row r="1076" hidden="1">
      <c r="A1076" s="30"/>
      <c r="B1076" s="30"/>
      <c r="C1076" s="31"/>
      <c r="D1076" s="31"/>
      <c r="E1076" s="31"/>
    </row>
    <row r="1077" hidden="1">
      <c r="A1077" s="30"/>
      <c r="B1077" s="30"/>
      <c r="C1077" s="31"/>
      <c r="D1077" s="31"/>
      <c r="E1077" s="31"/>
    </row>
    <row r="1078" hidden="1">
      <c r="A1078" s="30"/>
      <c r="B1078" s="30"/>
      <c r="C1078" s="31"/>
      <c r="D1078" s="31"/>
      <c r="E1078" s="31"/>
    </row>
    <row r="1079" hidden="1">
      <c r="A1079" s="30"/>
      <c r="B1079" s="30"/>
      <c r="C1079" s="31"/>
      <c r="D1079" s="31"/>
      <c r="E1079" s="31"/>
    </row>
    <row r="1080" hidden="1">
      <c r="A1080" s="30"/>
      <c r="B1080" s="30"/>
      <c r="C1080" s="31"/>
      <c r="D1080" s="31"/>
      <c r="E1080" s="31"/>
    </row>
    <row r="1081" hidden="1">
      <c r="A1081" s="30"/>
      <c r="B1081" s="30"/>
      <c r="C1081" s="31"/>
      <c r="D1081" s="31"/>
      <c r="E1081" s="31"/>
    </row>
    <row r="1082" hidden="1">
      <c r="A1082" s="30"/>
      <c r="B1082" s="30"/>
      <c r="C1082" s="31"/>
      <c r="D1082" s="31"/>
      <c r="E1082" s="31"/>
    </row>
    <row r="1083" hidden="1">
      <c r="A1083" s="30"/>
      <c r="B1083" s="30"/>
      <c r="C1083" s="31"/>
      <c r="D1083" s="31"/>
      <c r="E1083" s="31"/>
    </row>
    <row r="1084" hidden="1">
      <c r="A1084" s="30"/>
      <c r="B1084" s="30"/>
      <c r="C1084" s="31"/>
      <c r="D1084" s="31"/>
      <c r="E1084" s="31"/>
    </row>
    <row r="1085" hidden="1">
      <c r="A1085" s="30"/>
      <c r="B1085" s="30"/>
      <c r="C1085" s="31"/>
      <c r="D1085" s="31"/>
      <c r="E1085" s="31"/>
    </row>
    <row r="1086" hidden="1">
      <c r="A1086" s="30"/>
      <c r="B1086" s="30"/>
      <c r="C1086" s="31"/>
      <c r="D1086" s="31"/>
      <c r="E1086" s="31"/>
    </row>
    <row r="1087" hidden="1">
      <c r="A1087" s="30"/>
      <c r="B1087" s="30"/>
      <c r="C1087" s="31"/>
      <c r="D1087" s="31"/>
      <c r="E1087" s="31"/>
    </row>
    <row r="1088" hidden="1">
      <c r="A1088" s="30"/>
      <c r="B1088" s="30"/>
      <c r="C1088" s="31"/>
      <c r="D1088" s="31"/>
      <c r="E1088" s="31"/>
    </row>
    <row r="1089" hidden="1">
      <c r="A1089" s="30"/>
      <c r="B1089" s="30"/>
      <c r="C1089" s="31"/>
      <c r="D1089" s="31"/>
      <c r="E1089" s="31"/>
    </row>
    <row r="1090" hidden="1">
      <c r="A1090" s="30"/>
      <c r="B1090" s="30"/>
      <c r="C1090" s="31"/>
      <c r="D1090" s="31"/>
      <c r="E1090" s="31"/>
    </row>
    <row r="1091" hidden="1">
      <c r="A1091" s="30"/>
      <c r="B1091" s="30"/>
      <c r="C1091" s="31"/>
      <c r="D1091" s="31"/>
      <c r="E1091" s="31"/>
    </row>
    <row r="1092" hidden="1">
      <c r="A1092" s="30"/>
      <c r="B1092" s="30"/>
      <c r="C1092" s="31"/>
      <c r="D1092" s="31"/>
      <c r="E1092" s="31"/>
    </row>
    <row r="1093" hidden="1">
      <c r="A1093" s="30"/>
      <c r="B1093" s="30"/>
      <c r="C1093" s="31"/>
      <c r="D1093" s="31"/>
      <c r="E1093" s="31"/>
    </row>
    <row r="1094" hidden="1">
      <c r="A1094" s="30"/>
      <c r="B1094" s="30"/>
      <c r="C1094" s="31"/>
      <c r="D1094" s="31"/>
      <c r="E1094" s="31"/>
    </row>
    <row r="1095" hidden="1">
      <c r="A1095" s="30"/>
      <c r="B1095" s="30"/>
      <c r="C1095" s="31"/>
      <c r="D1095" s="31"/>
      <c r="E1095" s="31"/>
    </row>
    <row r="1096" hidden="1">
      <c r="A1096" s="30"/>
      <c r="B1096" s="30"/>
      <c r="C1096" s="31"/>
      <c r="D1096" s="31"/>
      <c r="E1096" s="31"/>
    </row>
    <row r="1097" hidden="1">
      <c r="A1097" s="30"/>
      <c r="B1097" s="30"/>
      <c r="C1097" s="31"/>
      <c r="D1097" s="31"/>
      <c r="E1097" s="31"/>
    </row>
    <row r="1098" hidden="1">
      <c r="A1098" s="30"/>
      <c r="B1098" s="30"/>
      <c r="C1098" s="31"/>
      <c r="D1098" s="31"/>
      <c r="E1098" s="31"/>
    </row>
    <row r="1099" hidden="1">
      <c r="A1099" s="30"/>
      <c r="B1099" s="30"/>
      <c r="C1099" s="31"/>
      <c r="D1099" s="31"/>
      <c r="E1099" s="31"/>
    </row>
    <row r="1100" hidden="1">
      <c r="A1100" s="30"/>
      <c r="B1100" s="30"/>
      <c r="C1100" s="31"/>
      <c r="D1100" s="31"/>
      <c r="E1100" s="31"/>
    </row>
    <row r="1101" hidden="1">
      <c r="A1101" s="30"/>
      <c r="B1101" s="30"/>
      <c r="C1101" s="31"/>
      <c r="D1101" s="31"/>
      <c r="E1101" s="31"/>
    </row>
    <row r="1102" hidden="1">
      <c r="A1102" s="30"/>
      <c r="B1102" s="30"/>
      <c r="C1102" s="31"/>
      <c r="D1102" s="31"/>
      <c r="E1102" s="31"/>
    </row>
    <row r="1103" hidden="1">
      <c r="A1103" s="30"/>
      <c r="B1103" s="30"/>
      <c r="C1103" s="31"/>
      <c r="D1103" s="31"/>
      <c r="E1103" s="31"/>
    </row>
    <row r="1104" hidden="1">
      <c r="A1104" s="30"/>
      <c r="B1104" s="30"/>
      <c r="C1104" s="31"/>
      <c r="D1104" s="31"/>
      <c r="E1104" s="31"/>
    </row>
    <row r="1105" hidden="1">
      <c r="A1105" s="30"/>
      <c r="B1105" s="30"/>
      <c r="C1105" s="31"/>
      <c r="D1105" s="31"/>
      <c r="E1105" s="31"/>
    </row>
    <row r="1106" hidden="1">
      <c r="A1106" s="30"/>
      <c r="B1106" s="30"/>
      <c r="C1106" s="31"/>
      <c r="D1106" s="31"/>
      <c r="E1106" s="31"/>
    </row>
    <row r="1107" hidden="1">
      <c r="A1107" s="30"/>
      <c r="B1107" s="30"/>
      <c r="C1107" s="31"/>
      <c r="D1107" s="31"/>
      <c r="E1107" s="31"/>
    </row>
    <row r="1108" hidden="1">
      <c r="A1108" s="30"/>
      <c r="B1108" s="30"/>
      <c r="C1108" s="31"/>
      <c r="D1108" s="31"/>
      <c r="E1108" s="31"/>
    </row>
    <row r="1109" hidden="1">
      <c r="A1109" s="30"/>
      <c r="B1109" s="30"/>
      <c r="C1109" s="31"/>
      <c r="D1109" s="31"/>
      <c r="E1109" s="31"/>
    </row>
    <row r="1110" hidden="1">
      <c r="A1110" s="30"/>
      <c r="B1110" s="30"/>
      <c r="C1110" s="31"/>
      <c r="D1110" s="31"/>
      <c r="E1110" s="31"/>
    </row>
    <row r="1111" hidden="1">
      <c r="A1111" s="30"/>
      <c r="B1111" s="30"/>
      <c r="C1111" s="31"/>
      <c r="D1111" s="31"/>
      <c r="E1111" s="31"/>
    </row>
    <row r="1112" hidden="1">
      <c r="A1112" s="30"/>
      <c r="B1112" s="30"/>
      <c r="C1112" s="31"/>
      <c r="D1112" s="31"/>
      <c r="E1112" s="31"/>
    </row>
    <row r="1113" hidden="1">
      <c r="A1113" s="30"/>
      <c r="B1113" s="30"/>
      <c r="C1113" s="31"/>
      <c r="D1113" s="31"/>
      <c r="E1113" s="31"/>
    </row>
    <row r="1114" hidden="1">
      <c r="A1114" s="30"/>
      <c r="B1114" s="30"/>
      <c r="C1114" s="31"/>
      <c r="D1114" s="31"/>
      <c r="E1114" s="31"/>
    </row>
    <row r="1115" hidden="1">
      <c r="A1115" s="30"/>
      <c r="B1115" s="30"/>
      <c r="C1115" s="31"/>
      <c r="D1115" s="31"/>
      <c r="E1115" s="31"/>
    </row>
    <row r="1116" hidden="1">
      <c r="A1116" s="30"/>
      <c r="B1116" s="30"/>
      <c r="C1116" s="31"/>
      <c r="D1116" s="31"/>
      <c r="E1116" s="31"/>
    </row>
    <row r="1117" hidden="1">
      <c r="A1117" s="30"/>
      <c r="B1117" s="30"/>
      <c r="C1117" s="31"/>
      <c r="D1117" s="31"/>
      <c r="E1117" s="31"/>
    </row>
    <row r="1118" hidden="1">
      <c r="A1118" s="30"/>
      <c r="B1118" s="30"/>
      <c r="C1118" s="31"/>
      <c r="D1118" s="31"/>
      <c r="E1118" s="31"/>
    </row>
    <row r="1119" hidden="1">
      <c r="A1119" s="30"/>
      <c r="B1119" s="30"/>
      <c r="C1119" s="31"/>
      <c r="D1119" s="31"/>
      <c r="E1119" s="31"/>
    </row>
    <row r="1120" hidden="1">
      <c r="A1120" s="30"/>
      <c r="B1120" s="30"/>
      <c r="C1120" s="31"/>
      <c r="D1120" s="31"/>
      <c r="E1120" s="31"/>
    </row>
    <row r="1121" hidden="1">
      <c r="A1121" s="30"/>
      <c r="B1121" s="30"/>
      <c r="C1121" s="31"/>
      <c r="D1121" s="31"/>
      <c r="E1121" s="31"/>
    </row>
    <row r="1122" hidden="1">
      <c r="A1122" s="30"/>
      <c r="B1122" s="30"/>
      <c r="C1122" s="31"/>
      <c r="D1122" s="31"/>
      <c r="E1122" s="31"/>
    </row>
    <row r="1123" hidden="1">
      <c r="A1123" s="30"/>
      <c r="B1123" s="30"/>
      <c r="C1123" s="31"/>
      <c r="D1123" s="31"/>
      <c r="E1123" s="31"/>
    </row>
    <row r="1124" hidden="1">
      <c r="A1124" s="30"/>
      <c r="B1124" s="30"/>
      <c r="C1124" s="31"/>
      <c r="D1124" s="31"/>
      <c r="E1124" s="31"/>
    </row>
    <row r="1125" hidden="1">
      <c r="A1125" s="30"/>
      <c r="B1125" s="30"/>
      <c r="C1125" s="31"/>
      <c r="D1125" s="31"/>
      <c r="E1125" s="31"/>
    </row>
    <row r="1126" hidden="1">
      <c r="A1126" s="30"/>
      <c r="B1126" s="30"/>
      <c r="C1126" s="31"/>
      <c r="D1126" s="31"/>
      <c r="E1126" s="31"/>
    </row>
    <row r="1127" hidden="1">
      <c r="A1127" s="30"/>
      <c r="B1127" s="30"/>
      <c r="C1127" s="31"/>
      <c r="D1127" s="31"/>
      <c r="E1127" s="31"/>
    </row>
    <row r="1128" hidden="1">
      <c r="A1128" s="30"/>
      <c r="B1128" s="30"/>
      <c r="C1128" s="31"/>
      <c r="D1128" s="31"/>
      <c r="E1128" s="31"/>
    </row>
    <row r="1129" hidden="1">
      <c r="A1129" s="30"/>
      <c r="B1129" s="30"/>
      <c r="C1129" s="31"/>
      <c r="D1129" s="31"/>
      <c r="E1129" s="31"/>
    </row>
    <row r="1130" hidden="1">
      <c r="A1130" s="30"/>
      <c r="B1130" s="30"/>
      <c r="C1130" s="31"/>
      <c r="D1130" s="31"/>
      <c r="E1130" s="31"/>
    </row>
    <row r="1131" hidden="1">
      <c r="A1131" s="30"/>
      <c r="B1131" s="30"/>
      <c r="C1131" s="31"/>
      <c r="D1131" s="31"/>
      <c r="E1131" s="31"/>
    </row>
    <row r="1132" hidden="1">
      <c r="A1132" s="30"/>
      <c r="B1132" s="30"/>
      <c r="C1132" s="31"/>
      <c r="D1132" s="31"/>
      <c r="E1132" s="31"/>
    </row>
    <row r="1133" hidden="1">
      <c r="A1133" s="30"/>
      <c r="B1133" s="30"/>
      <c r="C1133" s="31"/>
      <c r="D1133" s="31"/>
      <c r="E1133" s="31"/>
    </row>
    <row r="1134" hidden="1">
      <c r="A1134" s="30"/>
      <c r="B1134" s="30"/>
      <c r="C1134" s="31"/>
      <c r="D1134" s="31"/>
      <c r="E1134" s="31"/>
    </row>
    <row r="1135" hidden="1">
      <c r="A1135" s="30"/>
      <c r="B1135" s="30"/>
      <c r="C1135" s="31"/>
      <c r="D1135" s="31"/>
      <c r="E1135" s="31"/>
    </row>
    <row r="1136" hidden="1">
      <c r="A1136" s="30"/>
      <c r="B1136" s="30"/>
      <c r="C1136" s="31"/>
      <c r="D1136" s="31"/>
      <c r="E1136" s="31"/>
    </row>
    <row r="1137" hidden="1">
      <c r="A1137" s="30"/>
      <c r="B1137" s="30"/>
      <c r="C1137" s="31"/>
      <c r="D1137" s="31"/>
      <c r="E1137" s="31"/>
    </row>
    <row r="1138" hidden="1">
      <c r="A1138" s="30"/>
      <c r="B1138" s="30"/>
      <c r="C1138" s="31"/>
      <c r="D1138" s="31"/>
      <c r="E1138" s="31"/>
    </row>
    <row r="1139" hidden="1">
      <c r="A1139" s="30"/>
      <c r="B1139" s="30"/>
      <c r="C1139" s="31"/>
      <c r="D1139" s="31"/>
      <c r="E1139" s="31"/>
    </row>
    <row r="1140" hidden="1">
      <c r="A1140" s="30"/>
      <c r="B1140" s="30"/>
      <c r="C1140" s="31"/>
      <c r="D1140" s="31"/>
      <c r="E1140" s="31"/>
    </row>
    <row r="1141" hidden="1">
      <c r="A1141" s="30"/>
      <c r="B1141" s="30"/>
      <c r="C1141" s="31"/>
      <c r="D1141" s="31"/>
      <c r="E1141" s="31"/>
    </row>
    <row r="1142" hidden="1">
      <c r="A1142" s="30"/>
      <c r="B1142" s="30"/>
      <c r="C1142" s="31"/>
      <c r="D1142" s="31"/>
      <c r="E1142" s="31"/>
    </row>
    <row r="1143" hidden="1">
      <c r="A1143" s="30"/>
      <c r="B1143" s="30"/>
      <c r="C1143" s="31"/>
      <c r="D1143" s="31"/>
      <c r="E1143" s="31"/>
    </row>
    <row r="1144" hidden="1">
      <c r="A1144" s="30"/>
      <c r="B1144" s="30"/>
      <c r="C1144" s="31"/>
      <c r="D1144" s="31"/>
      <c r="E1144" s="31"/>
    </row>
    <row r="1145" hidden="1">
      <c r="A1145" s="30"/>
      <c r="B1145" s="30"/>
      <c r="C1145" s="31"/>
      <c r="D1145" s="31"/>
      <c r="E1145" s="31"/>
    </row>
    <row r="1146" hidden="1">
      <c r="A1146" s="30"/>
      <c r="B1146" s="30"/>
      <c r="C1146" s="31"/>
      <c r="D1146" s="31"/>
      <c r="E1146" s="31"/>
    </row>
    <row r="1147" hidden="1">
      <c r="A1147" s="30"/>
      <c r="B1147" s="30"/>
      <c r="C1147" s="31"/>
      <c r="D1147" s="31"/>
      <c r="E1147" s="31"/>
    </row>
    <row r="1148" hidden="1">
      <c r="A1148" s="30"/>
      <c r="B1148" s="30"/>
      <c r="C1148" s="31"/>
      <c r="D1148" s="31"/>
      <c r="E1148" s="31"/>
    </row>
    <row r="1149" hidden="1">
      <c r="A1149" s="30"/>
      <c r="B1149" s="30"/>
      <c r="C1149" s="31"/>
      <c r="D1149" s="31"/>
      <c r="E1149" s="31"/>
    </row>
    <row r="1150" hidden="1">
      <c r="A1150" s="30"/>
      <c r="B1150" s="30"/>
      <c r="C1150" s="31"/>
      <c r="D1150" s="31"/>
      <c r="E1150" s="31"/>
    </row>
    <row r="1151" hidden="1">
      <c r="A1151" s="30"/>
      <c r="B1151" s="30"/>
      <c r="C1151" s="31"/>
      <c r="D1151" s="31"/>
      <c r="E1151" s="31"/>
    </row>
    <row r="1152" hidden="1">
      <c r="A1152" s="30"/>
      <c r="B1152" s="30"/>
      <c r="C1152" s="31"/>
      <c r="D1152" s="31"/>
      <c r="E1152" s="31"/>
    </row>
    <row r="1153" hidden="1">
      <c r="A1153" s="30"/>
      <c r="B1153" s="30"/>
      <c r="C1153" s="31"/>
      <c r="D1153" s="31"/>
      <c r="E1153" s="31"/>
    </row>
    <row r="1154" hidden="1">
      <c r="A1154" s="30"/>
      <c r="B1154" s="30"/>
      <c r="C1154" s="31"/>
      <c r="D1154" s="31"/>
      <c r="E1154" s="31"/>
    </row>
    <row r="1155" hidden="1">
      <c r="A1155" s="30"/>
      <c r="B1155" s="30"/>
      <c r="C1155" s="31"/>
      <c r="D1155" s="31"/>
      <c r="E1155" s="31"/>
    </row>
    <row r="1156" hidden="1">
      <c r="A1156" s="30"/>
      <c r="B1156" s="30"/>
      <c r="C1156" s="31"/>
      <c r="D1156" s="31"/>
      <c r="E1156" s="31"/>
    </row>
    <row r="1157" hidden="1">
      <c r="A1157" s="30"/>
      <c r="B1157" s="30"/>
      <c r="C1157" s="31"/>
      <c r="D1157" s="31"/>
      <c r="E1157" s="31"/>
    </row>
    <row r="1158" hidden="1">
      <c r="A1158" s="30"/>
      <c r="B1158" s="30"/>
      <c r="C1158" s="31"/>
      <c r="D1158" s="31"/>
      <c r="E1158" s="31"/>
    </row>
    <row r="1159" hidden="1">
      <c r="A1159" s="30"/>
      <c r="B1159" s="30"/>
      <c r="C1159" s="31"/>
      <c r="D1159" s="31"/>
      <c r="E1159" s="31"/>
    </row>
    <row r="1160" hidden="1">
      <c r="A1160" s="30"/>
      <c r="B1160" s="30"/>
      <c r="C1160" s="31"/>
      <c r="D1160" s="31"/>
      <c r="E1160" s="31"/>
    </row>
    <row r="1161" hidden="1">
      <c r="A1161" s="30"/>
      <c r="B1161" s="30"/>
      <c r="C1161" s="31"/>
      <c r="D1161" s="31"/>
      <c r="E1161" s="31"/>
    </row>
    <row r="1162" hidden="1">
      <c r="A1162" s="30"/>
      <c r="B1162" s="30"/>
      <c r="C1162" s="31"/>
      <c r="D1162" s="31"/>
      <c r="E1162" s="31"/>
    </row>
    <row r="1163" hidden="1">
      <c r="A1163" s="30"/>
      <c r="B1163" s="30"/>
      <c r="C1163" s="31"/>
      <c r="D1163" s="31"/>
      <c r="E1163" s="31"/>
    </row>
    <row r="1164" hidden="1">
      <c r="A1164" s="30"/>
      <c r="B1164" s="30"/>
      <c r="C1164" s="31"/>
      <c r="D1164" s="31"/>
      <c r="E1164" s="31"/>
    </row>
    <row r="1165" hidden="1">
      <c r="A1165" s="30"/>
      <c r="B1165" s="30"/>
      <c r="C1165" s="31"/>
      <c r="D1165" s="31"/>
      <c r="E1165" s="31"/>
    </row>
    <row r="1166" hidden="1">
      <c r="A1166" s="30"/>
      <c r="B1166" s="30"/>
      <c r="C1166" s="31"/>
      <c r="D1166" s="31"/>
      <c r="E1166" s="31"/>
    </row>
    <row r="1167" hidden="1">
      <c r="A1167" s="30"/>
      <c r="B1167" s="30"/>
      <c r="C1167" s="31"/>
      <c r="D1167" s="31"/>
      <c r="E1167" s="31"/>
    </row>
    <row r="1168" hidden="1">
      <c r="A1168" s="30"/>
      <c r="B1168" s="30"/>
      <c r="C1168" s="31"/>
      <c r="D1168" s="31"/>
      <c r="E1168" s="31"/>
    </row>
    <row r="1169" hidden="1">
      <c r="A1169" s="30"/>
      <c r="B1169" s="30"/>
      <c r="C1169" s="31"/>
      <c r="D1169" s="31"/>
      <c r="E1169" s="31"/>
    </row>
    <row r="1170" hidden="1">
      <c r="A1170" s="30"/>
      <c r="B1170" s="30"/>
      <c r="C1170" s="31"/>
      <c r="D1170" s="31"/>
      <c r="E1170" s="31"/>
    </row>
    <row r="1171" hidden="1">
      <c r="A1171" s="30"/>
      <c r="B1171" s="30"/>
      <c r="C1171" s="31"/>
      <c r="D1171" s="31"/>
      <c r="E1171" s="31"/>
    </row>
    <row r="1172" hidden="1">
      <c r="A1172" s="30"/>
      <c r="B1172" s="30"/>
      <c r="C1172" s="31"/>
      <c r="D1172" s="31"/>
      <c r="E1172" s="31"/>
    </row>
    <row r="1173" hidden="1">
      <c r="A1173" s="30"/>
      <c r="B1173" s="30"/>
      <c r="C1173" s="31"/>
      <c r="D1173" s="31"/>
      <c r="E1173" s="31"/>
    </row>
    <row r="1174" hidden="1">
      <c r="A1174" s="30"/>
      <c r="B1174" s="30"/>
      <c r="C1174" s="31"/>
      <c r="D1174" s="31"/>
      <c r="E1174" s="31"/>
    </row>
    <row r="1175" hidden="1">
      <c r="A1175" s="30"/>
      <c r="B1175" s="30"/>
      <c r="C1175" s="31"/>
      <c r="D1175" s="31"/>
      <c r="E1175" s="31"/>
    </row>
    <row r="1176" hidden="1">
      <c r="A1176" s="30"/>
      <c r="B1176" s="30"/>
      <c r="C1176" s="31"/>
      <c r="D1176" s="31"/>
      <c r="E1176" s="31"/>
    </row>
    <row r="1177" hidden="1">
      <c r="A1177" s="30"/>
      <c r="B1177" s="30"/>
      <c r="C1177" s="31"/>
      <c r="D1177" s="31"/>
      <c r="E1177" s="31"/>
    </row>
    <row r="1178" hidden="1">
      <c r="A1178" s="30"/>
      <c r="B1178" s="30"/>
      <c r="C1178" s="31"/>
      <c r="D1178" s="31"/>
      <c r="E1178" s="31"/>
    </row>
    <row r="1179" hidden="1">
      <c r="A1179" s="30"/>
      <c r="B1179" s="30"/>
      <c r="C1179" s="31"/>
      <c r="D1179" s="31"/>
      <c r="E1179" s="31"/>
    </row>
    <row r="1180" hidden="1">
      <c r="A1180" s="30"/>
      <c r="B1180" s="30"/>
      <c r="C1180" s="31"/>
      <c r="D1180" s="31"/>
      <c r="E1180" s="31"/>
    </row>
    <row r="1181" hidden="1">
      <c r="A1181" s="30"/>
      <c r="B1181" s="30"/>
      <c r="C1181" s="31"/>
      <c r="D1181" s="31"/>
      <c r="E1181" s="31"/>
    </row>
    <row r="1182" hidden="1">
      <c r="A1182" s="30"/>
      <c r="B1182" s="30"/>
      <c r="C1182" s="31"/>
      <c r="D1182" s="31"/>
      <c r="E1182" s="31"/>
    </row>
    <row r="1183" hidden="1">
      <c r="A1183" s="30"/>
      <c r="B1183" s="30"/>
      <c r="C1183" s="31"/>
      <c r="D1183" s="31"/>
      <c r="E1183" s="31"/>
    </row>
    <row r="1184" hidden="1">
      <c r="A1184" s="30"/>
      <c r="B1184" s="30"/>
      <c r="C1184" s="31"/>
      <c r="D1184" s="31"/>
      <c r="E1184" s="31"/>
    </row>
    <row r="1185" hidden="1">
      <c r="A1185" s="30"/>
      <c r="B1185" s="30"/>
      <c r="C1185" s="31"/>
      <c r="D1185" s="31"/>
      <c r="E1185" s="31"/>
    </row>
    <row r="1186" hidden="1">
      <c r="A1186" s="30"/>
      <c r="B1186" s="30"/>
      <c r="C1186" s="31"/>
      <c r="D1186" s="31"/>
      <c r="E1186" s="31"/>
    </row>
    <row r="1187" hidden="1">
      <c r="A1187" s="30"/>
      <c r="B1187" s="30"/>
      <c r="C1187" s="31"/>
      <c r="D1187" s="31"/>
      <c r="E1187" s="31"/>
    </row>
    <row r="1188" hidden="1">
      <c r="A1188" s="30"/>
      <c r="B1188" s="30"/>
      <c r="C1188" s="31"/>
      <c r="D1188" s="31"/>
      <c r="E1188" s="31"/>
    </row>
    <row r="1189" hidden="1">
      <c r="A1189" s="30"/>
      <c r="B1189" s="30"/>
      <c r="C1189" s="31"/>
      <c r="D1189" s="31"/>
      <c r="E1189" s="31"/>
    </row>
    <row r="1190" hidden="1">
      <c r="A1190" s="30"/>
      <c r="B1190" s="30"/>
      <c r="C1190" s="31"/>
      <c r="D1190" s="31"/>
      <c r="E1190" s="31"/>
    </row>
    <row r="1191" hidden="1">
      <c r="A1191" s="30"/>
      <c r="B1191" s="30"/>
      <c r="C1191" s="31"/>
      <c r="D1191" s="31"/>
      <c r="E1191" s="31"/>
    </row>
    <row r="1192" hidden="1">
      <c r="A1192" s="30"/>
      <c r="B1192" s="30"/>
      <c r="C1192" s="31"/>
      <c r="D1192" s="31"/>
      <c r="E1192" s="31"/>
    </row>
    <row r="1193" hidden="1">
      <c r="A1193" s="30"/>
      <c r="B1193" s="30"/>
      <c r="C1193" s="31"/>
      <c r="D1193" s="31"/>
      <c r="E1193" s="31"/>
    </row>
    <row r="1194" hidden="1">
      <c r="A1194" s="30"/>
      <c r="B1194" s="30"/>
      <c r="C1194" s="31"/>
      <c r="D1194" s="31"/>
      <c r="E1194" s="31"/>
    </row>
    <row r="1195" hidden="1">
      <c r="A1195" s="30"/>
      <c r="B1195" s="30"/>
      <c r="C1195" s="31"/>
      <c r="D1195" s="31"/>
      <c r="E1195" s="31"/>
    </row>
    <row r="1196" hidden="1">
      <c r="A1196" s="30"/>
      <c r="B1196" s="30"/>
      <c r="C1196" s="31"/>
      <c r="D1196" s="31"/>
      <c r="E1196" s="31"/>
    </row>
    <row r="1197" hidden="1">
      <c r="A1197" s="30"/>
      <c r="B1197" s="30"/>
      <c r="C1197" s="31"/>
      <c r="D1197" s="31"/>
      <c r="E1197" s="31"/>
    </row>
    <row r="1198" hidden="1">
      <c r="A1198" s="30"/>
      <c r="B1198" s="30"/>
      <c r="C1198" s="31"/>
      <c r="D1198" s="31"/>
      <c r="E1198" s="31"/>
    </row>
    <row r="1199" hidden="1">
      <c r="A1199" s="30"/>
      <c r="B1199" s="30"/>
      <c r="C1199" s="31"/>
      <c r="D1199" s="31"/>
      <c r="E1199" s="31"/>
    </row>
    <row r="1200" hidden="1">
      <c r="A1200" s="30"/>
      <c r="B1200" s="30"/>
      <c r="C1200" s="31"/>
      <c r="D1200" s="31"/>
      <c r="E1200" s="31"/>
    </row>
    <row r="1201" hidden="1">
      <c r="A1201" s="30"/>
      <c r="B1201" s="30"/>
      <c r="C1201" s="31"/>
      <c r="D1201" s="31"/>
      <c r="E1201" s="31"/>
    </row>
    <row r="1202" hidden="1">
      <c r="A1202" s="30"/>
      <c r="B1202" s="30"/>
      <c r="C1202" s="31"/>
      <c r="D1202" s="31"/>
      <c r="E1202" s="31"/>
    </row>
    <row r="1203" hidden="1">
      <c r="A1203" s="30"/>
      <c r="B1203" s="30"/>
      <c r="C1203" s="31"/>
      <c r="D1203" s="31"/>
      <c r="E1203" s="31"/>
    </row>
    <row r="1204" hidden="1">
      <c r="A1204" s="30"/>
      <c r="B1204" s="30"/>
      <c r="C1204" s="31"/>
      <c r="D1204" s="31"/>
      <c r="E1204" s="31"/>
    </row>
    <row r="1205" hidden="1">
      <c r="A1205" s="30"/>
      <c r="B1205" s="30"/>
      <c r="C1205" s="31"/>
      <c r="D1205" s="31"/>
      <c r="E1205" s="31"/>
    </row>
    <row r="1206" hidden="1">
      <c r="A1206" s="30"/>
      <c r="B1206" s="30"/>
      <c r="C1206" s="31"/>
      <c r="D1206" s="31"/>
      <c r="E1206" s="31"/>
    </row>
    <row r="1207" hidden="1">
      <c r="A1207" s="30"/>
      <c r="B1207" s="30"/>
      <c r="C1207" s="31"/>
      <c r="D1207" s="31"/>
      <c r="E1207" s="31"/>
    </row>
    <row r="1208" hidden="1">
      <c r="A1208" s="30"/>
      <c r="B1208" s="30"/>
      <c r="C1208" s="31"/>
      <c r="D1208" s="31"/>
      <c r="E1208" s="31"/>
    </row>
    <row r="1209" hidden="1">
      <c r="A1209" s="30"/>
      <c r="B1209" s="30"/>
      <c r="C1209" s="31"/>
      <c r="D1209" s="31"/>
      <c r="E1209" s="31"/>
    </row>
    <row r="1210" hidden="1">
      <c r="A1210" s="30"/>
      <c r="B1210" s="30"/>
      <c r="C1210" s="31"/>
      <c r="D1210" s="31"/>
      <c r="E1210" s="31"/>
    </row>
    <row r="1211" hidden="1">
      <c r="A1211" s="30"/>
      <c r="B1211" s="30"/>
      <c r="C1211" s="31"/>
      <c r="D1211" s="31"/>
      <c r="E1211" s="31"/>
    </row>
    <row r="1212" hidden="1">
      <c r="A1212" s="30"/>
      <c r="B1212" s="30"/>
      <c r="C1212" s="31"/>
      <c r="D1212" s="31"/>
      <c r="E1212" s="31"/>
    </row>
    <row r="1213" hidden="1">
      <c r="A1213" s="30"/>
      <c r="B1213" s="30"/>
      <c r="C1213" s="31"/>
      <c r="D1213" s="31"/>
      <c r="E1213" s="31"/>
    </row>
    <row r="1214" hidden="1">
      <c r="A1214" s="30"/>
      <c r="B1214" s="30"/>
      <c r="C1214" s="31"/>
      <c r="D1214" s="31"/>
      <c r="E1214" s="31"/>
    </row>
    <row r="1215" hidden="1">
      <c r="A1215" s="30"/>
      <c r="B1215" s="30"/>
      <c r="C1215" s="31"/>
      <c r="D1215" s="31"/>
      <c r="E1215" s="31"/>
    </row>
    <row r="1216" hidden="1">
      <c r="A1216" s="30"/>
      <c r="B1216" s="30"/>
      <c r="C1216" s="31"/>
      <c r="D1216" s="31"/>
      <c r="E1216" s="31"/>
    </row>
    <row r="1217" hidden="1">
      <c r="A1217" s="30"/>
      <c r="B1217" s="30"/>
      <c r="C1217" s="31"/>
      <c r="D1217" s="31"/>
      <c r="E1217" s="31"/>
    </row>
    <row r="1218" hidden="1">
      <c r="A1218" s="30"/>
      <c r="B1218" s="30"/>
      <c r="C1218" s="31"/>
      <c r="D1218" s="31"/>
      <c r="E1218" s="31"/>
    </row>
    <row r="1219" hidden="1">
      <c r="A1219" s="30"/>
      <c r="B1219" s="30"/>
      <c r="C1219" s="31"/>
      <c r="D1219" s="31"/>
      <c r="E1219" s="31"/>
    </row>
    <row r="1220" hidden="1">
      <c r="A1220" s="30"/>
      <c r="B1220" s="30"/>
      <c r="C1220" s="31"/>
      <c r="D1220" s="31"/>
      <c r="E1220" s="31"/>
    </row>
    <row r="1221" hidden="1">
      <c r="A1221" s="30"/>
      <c r="B1221" s="30"/>
      <c r="C1221" s="31"/>
      <c r="D1221" s="31"/>
      <c r="E1221" s="31"/>
    </row>
    <row r="1222" hidden="1">
      <c r="A1222" s="30"/>
      <c r="B1222" s="30"/>
      <c r="C1222" s="31"/>
      <c r="D1222" s="31"/>
      <c r="E1222" s="31"/>
    </row>
    <row r="1223" hidden="1">
      <c r="A1223" s="30"/>
      <c r="B1223" s="30"/>
      <c r="C1223" s="31"/>
      <c r="D1223" s="31"/>
      <c r="E1223" s="31"/>
    </row>
    <row r="1224" hidden="1">
      <c r="A1224" s="30"/>
      <c r="B1224" s="30"/>
      <c r="C1224" s="31"/>
      <c r="D1224" s="31"/>
      <c r="E1224" s="31"/>
    </row>
    <row r="1225" hidden="1">
      <c r="A1225" s="30"/>
      <c r="B1225" s="30"/>
      <c r="C1225" s="31"/>
      <c r="D1225" s="31"/>
      <c r="E1225" s="31"/>
    </row>
    <row r="1226" hidden="1">
      <c r="A1226" s="30"/>
      <c r="B1226" s="30"/>
      <c r="C1226" s="31"/>
      <c r="D1226" s="31"/>
      <c r="E1226" s="31"/>
    </row>
    <row r="1227" hidden="1">
      <c r="A1227" s="30"/>
      <c r="B1227" s="30"/>
      <c r="C1227" s="31"/>
      <c r="D1227" s="31"/>
      <c r="E1227" s="31"/>
    </row>
    <row r="1228" hidden="1">
      <c r="A1228" s="30"/>
      <c r="B1228" s="30"/>
      <c r="C1228" s="31"/>
      <c r="D1228" s="31"/>
      <c r="E1228" s="31"/>
    </row>
    <row r="1229" hidden="1">
      <c r="A1229" s="30"/>
      <c r="B1229" s="30"/>
      <c r="C1229" s="31"/>
      <c r="D1229" s="31"/>
      <c r="E1229" s="31"/>
    </row>
    <row r="1230" hidden="1">
      <c r="A1230" s="30"/>
      <c r="B1230" s="30"/>
      <c r="C1230" s="31"/>
      <c r="D1230" s="31"/>
      <c r="E1230" s="31"/>
    </row>
    <row r="1231" hidden="1">
      <c r="A1231" s="30"/>
      <c r="B1231" s="30"/>
      <c r="C1231" s="31"/>
      <c r="D1231" s="31"/>
      <c r="E1231" s="31"/>
    </row>
    <row r="1232" hidden="1">
      <c r="A1232" s="30"/>
      <c r="B1232" s="30"/>
      <c r="C1232" s="31"/>
      <c r="D1232" s="31"/>
      <c r="E1232" s="31"/>
    </row>
    <row r="1233" hidden="1">
      <c r="A1233" s="30"/>
      <c r="B1233" s="30"/>
      <c r="C1233" s="31"/>
      <c r="D1233" s="31"/>
      <c r="E1233" s="31"/>
    </row>
    <row r="1234" hidden="1">
      <c r="A1234" s="30"/>
      <c r="B1234" s="30"/>
      <c r="C1234" s="31"/>
      <c r="D1234" s="31"/>
      <c r="E1234" s="31"/>
    </row>
    <row r="1235" hidden="1">
      <c r="A1235" s="30"/>
      <c r="B1235" s="30"/>
      <c r="C1235" s="31"/>
      <c r="D1235" s="31"/>
      <c r="E1235" s="31"/>
    </row>
    <row r="1236" hidden="1">
      <c r="A1236" s="30"/>
      <c r="B1236" s="30"/>
      <c r="C1236" s="31"/>
      <c r="D1236" s="31"/>
      <c r="E1236" s="31"/>
    </row>
    <row r="1237" hidden="1">
      <c r="A1237" s="30"/>
      <c r="B1237" s="30"/>
      <c r="C1237" s="31"/>
      <c r="D1237" s="31"/>
      <c r="E1237" s="31"/>
    </row>
    <row r="1238" hidden="1">
      <c r="A1238" s="30"/>
      <c r="B1238" s="30"/>
      <c r="C1238" s="31"/>
      <c r="D1238" s="31"/>
      <c r="E1238" s="31"/>
    </row>
    <row r="1239" hidden="1">
      <c r="A1239" s="30"/>
      <c r="B1239" s="30"/>
      <c r="C1239" s="31"/>
      <c r="D1239" s="31"/>
      <c r="E1239" s="31"/>
    </row>
    <row r="1240" hidden="1">
      <c r="A1240" s="30"/>
      <c r="B1240" s="30"/>
      <c r="C1240" s="31"/>
      <c r="D1240" s="31"/>
      <c r="E1240" s="31"/>
    </row>
    <row r="1241" hidden="1">
      <c r="A1241" s="30"/>
      <c r="B1241" s="30"/>
      <c r="C1241" s="31"/>
      <c r="D1241" s="31"/>
      <c r="E1241" s="31"/>
    </row>
    <row r="1242" hidden="1">
      <c r="A1242" s="30"/>
      <c r="B1242" s="30"/>
      <c r="C1242" s="31"/>
      <c r="D1242" s="31"/>
      <c r="E1242" s="31"/>
    </row>
    <row r="1243" hidden="1">
      <c r="A1243" s="30"/>
      <c r="B1243" s="30"/>
      <c r="C1243" s="31"/>
      <c r="D1243" s="31"/>
      <c r="E1243" s="31"/>
    </row>
    <row r="1244" hidden="1">
      <c r="A1244" s="30"/>
      <c r="B1244" s="30"/>
      <c r="C1244" s="31"/>
      <c r="D1244" s="31"/>
      <c r="E1244" s="31"/>
    </row>
    <row r="1245" hidden="1">
      <c r="A1245" s="30"/>
      <c r="B1245" s="30"/>
      <c r="C1245" s="31"/>
      <c r="D1245" s="31"/>
      <c r="E1245" s="31"/>
    </row>
    <row r="1246" hidden="1">
      <c r="A1246" s="30"/>
      <c r="B1246" s="30"/>
      <c r="C1246" s="31"/>
      <c r="D1246" s="31"/>
      <c r="E1246" s="31"/>
    </row>
    <row r="1247" hidden="1">
      <c r="A1247" s="30"/>
      <c r="B1247" s="30"/>
      <c r="C1247" s="31"/>
      <c r="D1247" s="31"/>
      <c r="E1247" s="31"/>
    </row>
    <row r="1248" hidden="1">
      <c r="A1248" s="30"/>
      <c r="B1248" s="30"/>
      <c r="C1248" s="31"/>
      <c r="D1248" s="31"/>
      <c r="E1248" s="31"/>
    </row>
    <row r="1249" hidden="1">
      <c r="A1249" s="30"/>
      <c r="B1249" s="30"/>
      <c r="C1249" s="31"/>
      <c r="D1249" s="31"/>
      <c r="E1249" s="31"/>
    </row>
    <row r="1250" hidden="1">
      <c r="A1250" s="30"/>
      <c r="B1250" s="30"/>
      <c r="C1250" s="31"/>
      <c r="D1250" s="31"/>
      <c r="E1250" s="31"/>
    </row>
    <row r="1251" hidden="1">
      <c r="A1251" s="30"/>
      <c r="B1251" s="30"/>
      <c r="C1251" s="31"/>
      <c r="D1251" s="31"/>
      <c r="E1251" s="31"/>
    </row>
    <row r="1252" hidden="1">
      <c r="A1252" s="30"/>
      <c r="B1252" s="30"/>
      <c r="C1252" s="31"/>
      <c r="D1252" s="31"/>
      <c r="E1252" s="31"/>
    </row>
    <row r="1253" hidden="1">
      <c r="A1253" s="30"/>
      <c r="B1253" s="30"/>
      <c r="C1253" s="31"/>
      <c r="D1253" s="31"/>
      <c r="E1253" s="31"/>
    </row>
    <row r="1254" hidden="1">
      <c r="A1254" s="30"/>
      <c r="B1254" s="30"/>
      <c r="C1254" s="31"/>
      <c r="D1254" s="31"/>
      <c r="E1254" s="31"/>
    </row>
    <row r="1255" hidden="1">
      <c r="A1255" s="30"/>
      <c r="B1255" s="30"/>
      <c r="C1255" s="31"/>
      <c r="D1255" s="31"/>
      <c r="E1255" s="31"/>
    </row>
    <row r="1256" hidden="1">
      <c r="A1256" s="30"/>
      <c r="B1256" s="30"/>
      <c r="C1256" s="31"/>
      <c r="D1256" s="31"/>
      <c r="E1256" s="31"/>
    </row>
    <row r="1257" hidden="1">
      <c r="A1257" s="30"/>
      <c r="B1257" s="30"/>
      <c r="C1257" s="31"/>
      <c r="D1257" s="31"/>
      <c r="E1257" s="31"/>
    </row>
    <row r="1258" hidden="1">
      <c r="A1258" s="30"/>
      <c r="B1258" s="30"/>
      <c r="C1258" s="31"/>
      <c r="D1258" s="31"/>
      <c r="E1258" s="31"/>
    </row>
    <row r="1259" hidden="1">
      <c r="A1259" s="30"/>
      <c r="B1259" s="30"/>
      <c r="C1259" s="31"/>
      <c r="D1259" s="31"/>
      <c r="E1259" s="31"/>
    </row>
    <row r="1260" hidden="1">
      <c r="A1260" s="30"/>
      <c r="B1260" s="30"/>
      <c r="C1260" s="31"/>
      <c r="D1260" s="31"/>
      <c r="E1260" s="31"/>
    </row>
    <row r="1261" hidden="1">
      <c r="A1261" s="30"/>
      <c r="B1261" s="30"/>
      <c r="C1261" s="31"/>
      <c r="D1261" s="31"/>
      <c r="E1261" s="31"/>
    </row>
    <row r="1262" hidden="1">
      <c r="A1262" s="30"/>
      <c r="B1262" s="30"/>
      <c r="C1262" s="31"/>
      <c r="D1262" s="31"/>
      <c r="E1262" s="31"/>
    </row>
    <row r="1263" hidden="1">
      <c r="A1263" s="30"/>
      <c r="B1263" s="30"/>
      <c r="C1263" s="31"/>
      <c r="D1263" s="31"/>
      <c r="E1263" s="31"/>
    </row>
    <row r="1264" hidden="1">
      <c r="A1264" s="30"/>
      <c r="B1264" s="30"/>
      <c r="C1264" s="31"/>
      <c r="D1264" s="31"/>
      <c r="E1264" s="31"/>
    </row>
    <row r="1265" hidden="1">
      <c r="A1265" s="30"/>
      <c r="B1265" s="30"/>
      <c r="C1265" s="31"/>
      <c r="D1265" s="31"/>
      <c r="E1265" s="31"/>
    </row>
    <row r="1266" hidden="1">
      <c r="A1266" s="30"/>
      <c r="B1266" s="30"/>
      <c r="C1266" s="31"/>
      <c r="D1266" s="31"/>
      <c r="E1266" s="31"/>
    </row>
    <row r="1267" hidden="1">
      <c r="A1267" s="30"/>
      <c r="B1267" s="30"/>
      <c r="C1267" s="31"/>
      <c r="D1267" s="31"/>
      <c r="E1267" s="31"/>
    </row>
    <row r="1268" hidden="1">
      <c r="A1268" s="30"/>
      <c r="B1268" s="30"/>
      <c r="C1268" s="31"/>
      <c r="D1268" s="31"/>
      <c r="E1268" s="31"/>
    </row>
    <row r="1269" hidden="1">
      <c r="A1269" s="30"/>
      <c r="B1269" s="30"/>
      <c r="C1269" s="31"/>
      <c r="D1269" s="31"/>
      <c r="E1269" s="31"/>
    </row>
    <row r="1270" hidden="1">
      <c r="A1270" s="30"/>
      <c r="B1270" s="30"/>
      <c r="C1270" s="31"/>
      <c r="D1270" s="31"/>
      <c r="E1270" s="31"/>
    </row>
    <row r="1271" hidden="1">
      <c r="A1271" s="30"/>
      <c r="B1271" s="30"/>
      <c r="C1271" s="31"/>
      <c r="D1271" s="31"/>
      <c r="E1271" s="31"/>
    </row>
    <row r="1272" hidden="1">
      <c r="A1272" s="30"/>
      <c r="B1272" s="30"/>
      <c r="C1272" s="31"/>
      <c r="D1272" s="31"/>
      <c r="E1272" s="31"/>
    </row>
    <row r="1273" hidden="1">
      <c r="A1273" s="30"/>
      <c r="B1273" s="30"/>
      <c r="C1273" s="31"/>
      <c r="D1273" s="31"/>
      <c r="E1273" s="31"/>
    </row>
    <row r="1274" hidden="1">
      <c r="A1274" s="30"/>
      <c r="B1274" s="30"/>
      <c r="C1274" s="31"/>
      <c r="D1274" s="31"/>
      <c r="E1274" s="31"/>
    </row>
    <row r="1275" hidden="1">
      <c r="A1275" s="30"/>
      <c r="B1275" s="30"/>
      <c r="C1275" s="31"/>
      <c r="D1275" s="31"/>
      <c r="E1275" s="31"/>
    </row>
    <row r="1276" hidden="1">
      <c r="A1276" s="30"/>
      <c r="B1276" s="30"/>
      <c r="C1276" s="31"/>
      <c r="D1276" s="31"/>
      <c r="E1276" s="31"/>
    </row>
    <row r="1277" hidden="1">
      <c r="A1277" s="30"/>
      <c r="B1277" s="30"/>
      <c r="C1277" s="31"/>
      <c r="D1277" s="31"/>
      <c r="E1277" s="31"/>
    </row>
    <row r="1278" hidden="1">
      <c r="A1278" s="30"/>
      <c r="B1278" s="30"/>
      <c r="C1278" s="31"/>
      <c r="D1278" s="31"/>
      <c r="E1278" s="31"/>
    </row>
    <row r="1279" hidden="1">
      <c r="A1279" s="30"/>
      <c r="B1279" s="30"/>
      <c r="C1279" s="31"/>
      <c r="D1279" s="31"/>
      <c r="E1279" s="31"/>
    </row>
    <row r="1280" hidden="1">
      <c r="A1280" s="30"/>
      <c r="B1280" s="30"/>
      <c r="C1280" s="31"/>
      <c r="D1280" s="31"/>
      <c r="E1280" s="31"/>
    </row>
    <row r="1281" hidden="1">
      <c r="A1281" s="30"/>
      <c r="B1281" s="30"/>
      <c r="C1281" s="31"/>
      <c r="D1281" s="31"/>
      <c r="E1281" s="31"/>
    </row>
    <row r="1282" hidden="1">
      <c r="A1282" s="30"/>
      <c r="B1282" s="30"/>
      <c r="C1282" s="31"/>
      <c r="D1282" s="31"/>
      <c r="E1282" s="31"/>
    </row>
    <row r="1283" hidden="1">
      <c r="A1283" s="30"/>
      <c r="B1283" s="30"/>
      <c r="C1283" s="31"/>
      <c r="D1283" s="31"/>
      <c r="E1283" s="31"/>
    </row>
    <row r="1284" hidden="1">
      <c r="A1284" s="30"/>
      <c r="B1284" s="30"/>
      <c r="C1284" s="31"/>
      <c r="D1284" s="31"/>
      <c r="E1284" s="31"/>
    </row>
    <row r="1285" hidden="1">
      <c r="A1285" s="30"/>
      <c r="B1285" s="30"/>
      <c r="C1285" s="31"/>
      <c r="D1285" s="31"/>
      <c r="E1285" s="31"/>
    </row>
    <row r="1286" hidden="1">
      <c r="A1286" s="30"/>
      <c r="B1286" s="30"/>
      <c r="C1286" s="31"/>
      <c r="D1286" s="31"/>
      <c r="E1286" s="31"/>
    </row>
    <row r="1287" hidden="1">
      <c r="A1287" s="30"/>
      <c r="B1287" s="30"/>
      <c r="C1287" s="31"/>
      <c r="D1287" s="31"/>
      <c r="E1287" s="31"/>
    </row>
    <row r="1288" hidden="1">
      <c r="A1288" s="30"/>
      <c r="B1288" s="30"/>
      <c r="C1288" s="31"/>
      <c r="D1288" s="31"/>
      <c r="E1288" s="31"/>
    </row>
    <row r="1289" hidden="1">
      <c r="A1289" s="30"/>
      <c r="B1289" s="30"/>
      <c r="C1289" s="31"/>
      <c r="D1289" s="31"/>
      <c r="E1289" s="31"/>
    </row>
    <row r="1290" hidden="1">
      <c r="A1290" s="30"/>
      <c r="B1290" s="30"/>
      <c r="C1290" s="31"/>
      <c r="D1290" s="31"/>
      <c r="E1290" s="31"/>
    </row>
    <row r="1291" hidden="1">
      <c r="A1291" s="30"/>
      <c r="B1291" s="30"/>
      <c r="C1291" s="31"/>
      <c r="D1291" s="31"/>
      <c r="E1291" s="31"/>
    </row>
    <row r="1292" hidden="1">
      <c r="A1292" s="30"/>
      <c r="B1292" s="30"/>
      <c r="C1292" s="31"/>
      <c r="D1292" s="31"/>
      <c r="E1292" s="31"/>
    </row>
    <row r="1293" hidden="1">
      <c r="A1293" s="30"/>
      <c r="B1293" s="30"/>
      <c r="C1293" s="31"/>
      <c r="D1293" s="31"/>
      <c r="E1293" s="31"/>
    </row>
    <row r="1294" hidden="1">
      <c r="A1294" s="30"/>
      <c r="B1294" s="30"/>
      <c r="C1294" s="31"/>
      <c r="D1294" s="31"/>
      <c r="E1294" s="31"/>
    </row>
    <row r="1295" hidden="1">
      <c r="A1295" s="30"/>
      <c r="B1295" s="30"/>
      <c r="C1295" s="31"/>
      <c r="D1295" s="31"/>
      <c r="E1295" s="31"/>
    </row>
    <row r="1296" hidden="1">
      <c r="A1296" s="30"/>
      <c r="B1296" s="30"/>
      <c r="C1296" s="31"/>
      <c r="D1296" s="31"/>
      <c r="E1296" s="31"/>
    </row>
    <row r="1297" hidden="1">
      <c r="A1297" s="30"/>
      <c r="B1297" s="30"/>
      <c r="C1297" s="31"/>
      <c r="D1297" s="31"/>
      <c r="E1297" s="31"/>
    </row>
    <row r="1298" hidden="1">
      <c r="A1298" s="30"/>
      <c r="B1298" s="30"/>
      <c r="C1298" s="31"/>
      <c r="D1298" s="31"/>
      <c r="E1298" s="31"/>
    </row>
    <row r="1299" hidden="1">
      <c r="A1299" s="30"/>
      <c r="B1299" s="30"/>
      <c r="C1299" s="31"/>
      <c r="D1299" s="31"/>
      <c r="E1299" s="31"/>
    </row>
    <row r="1300" hidden="1">
      <c r="A1300" s="30"/>
      <c r="B1300" s="30"/>
      <c r="C1300" s="31"/>
      <c r="D1300" s="31"/>
      <c r="E1300" s="31"/>
    </row>
    <row r="1301" hidden="1">
      <c r="A1301" s="30"/>
      <c r="B1301" s="30"/>
      <c r="C1301" s="31"/>
      <c r="D1301" s="31"/>
      <c r="E1301" s="31"/>
    </row>
    <row r="1302" hidden="1">
      <c r="A1302" s="30"/>
      <c r="B1302" s="30"/>
      <c r="C1302" s="31"/>
      <c r="D1302" s="31"/>
      <c r="E1302" s="31"/>
    </row>
    <row r="1303" hidden="1">
      <c r="A1303" s="30"/>
      <c r="B1303" s="30"/>
      <c r="C1303" s="31"/>
      <c r="D1303" s="31"/>
      <c r="E1303" s="31"/>
    </row>
    <row r="1304" hidden="1">
      <c r="A1304" s="30"/>
      <c r="B1304" s="30"/>
      <c r="C1304" s="31"/>
      <c r="D1304" s="31"/>
      <c r="E1304" s="31"/>
    </row>
    <row r="1305" hidden="1">
      <c r="A1305" s="30"/>
      <c r="B1305" s="30"/>
      <c r="C1305" s="31"/>
      <c r="D1305" s="31"/>
      <c r="E1305" s="31"/>
    </row>
    <row r="1306" hidden="1">
      <c r="A1306" s="30"/>
      <c r="B1306" s="30"/>
      <c r="C1306" s="31"/>
      <c r="D1306" s="31"/>
      <c r="E1306" s="31"/>
    </row>
    <row r="1307" hidden="1">
      <c r="A1307" s="30"/>
      <c r="B1307" s="30"/>
      <c r="C1307" s="31"/>
      <c r="D1307" s="31"/>
      <c r="E1307" s="31"/>
    </row>
    <row r="1308" hidden="1">
      <c r="A1308" s="30"/>
      <c r="B1308" s="30"/>
      <c r="C1308" s="31"/>
      <c r="D1308" s="31"/>
      <c r="E1308" s="31"/>
    </row>
    <row r="1309" hidden="1">
      <c r="A1309" s="30"/>
      <c r="B1309" s="30"/>
      <c r="C1309" s="31"/>
      <c r="D1309" s="31"/>
      <c r="E1309" s="31"/>
    </row>
    <row r="1310" hidden="1">
      <c r="A1310" s="30"/>
      <c r="B1310" s="30"/>
      <c r="C1310" s="31"/>
      <c r="D1310" s="31"/>
      <c r="E1310" s="31"/>
    </row>
    <row r="1311" hidden="1">
      <c r="A1311" s="30"/>
      <c r="B1311" s="30"/>
      <c r="C1311" s="31"/>
      <c r="D1311" s="31"/>
      <c r="E1311" s="31"/>
    </row>
    <row r="1312" hidden="1">
      <c r="A1312" s="30"/>
      <c r="B1312" s="30"/>
      <c r="C1312" s="31"/>
      <c r="D1312" s="31"/>
      <c r="E1312" s="31"/>
    </row>
    <row r="1313" hidden="1">
      <c r="A1313" s="30"/>
      <c r="B1313" s="30"/>
      <c r="C1313" s="31"/>
      <c r="D1313" s="31"/>
      <c r="E1313" s="31"/>
    </row>
    <row r="1314" hidden="1">
      <c r="A1314" s="30"/>
      <c r="B1314" s="30"/>
      <c r="C1314" s="31"/>
      <c r="D1314" s="31"/>
      <c r="E1314" s="31"/>
    </row>
    <row r="1315" hidden="1">
      <c r="A1315" s="30"/>
      <c r="B1315" s="30"/>
      <c r="C1315" s="31"/>
      <c r="D1315" s="31"/>
      <c r="E1315" s="31"/>
    </row>
    <row r="1316" hidden="1">
      <c r="A1316" s="30"/>
      <c r="B1316" s="30"/>
      <c r="C1316" s="31"/>
      <c r="D1316" s="31"/>
      <c r="E1316" s="31"/>
    </row>
    <row r="1317" hidden="1">
      <c r="A1317" s="30"/>
      <c r="B1317" s="30"/>
      <c r="C1317" s="31"/>
      <c r="D1317" s="31"/>
      <c r="E1317" s="31"/>
    </row>
    <row r="1318" hidden="1">
      <c r="A1318" s="30"/>
      <c r="B1318" s="30"/>
      <c r="C1318" s="31"/>
      <c r="D1318" s="31"/>
      <c r="E1318" s="31"/>
    </row>
    <row r="1319" hidden="1">
      <c r="A1319" s="30"/>
      <c r="B1319" s="30"/>
      <c r="C1319" s="31"/>
      <c r="D1319" s="31"/>
      <c r="E1319" s="31"/>
    </row>
    <row r="1320" hidden="1">
      <c r="A1320" s="30"/>
      <c r="B1320" s="30"/>
      <c r="C1320" s="31"/>
      <c r="D1320" s="31"/>
      <c r="E1320" s="31"/>
    </row>
    <row r="1321" hidden="1">
      <c r="A1321" s="30"/>
      <c r="B1321" s="30"/>
      <c r="C1321" s="31"/>
      <c r="D1321" s="31"/>
      <c r="E1321" s="31"/>
    </row>
    <row r="1322" hidden="1">
      <c r="A1322" s="30"/>
      <c r="B1322" s="30"/>
      <c r="C1322" s="31"/>
      <c r="D1322" s="31"/>
      <c r="E1322" s="31"/>
    </row>
    <row r="1323" hidden="1">
      <c r="A1323" s="30"/>
      <c r="B1323" s="30"/>
      <c r="C1323" s="31"/>
      <c r="D1323" s="31"/>
      <c r="E1323" s="31"/>
    </row>
    <row r="1324" hidden="1">
      <c r="A1324" s="30"/>
      <c r="B1324" s="30"/>
      <c r="C1324" s="31"/>
      <c r="D1324" s="31"/>
      <c r="E1324" s="31"/>
    </row>
    <row r="1325" hidden="1">
      <c r="A1325" s="30"/>
      <c r="B1325" s="30"/>
      <c r="C1325" s="31"/>
      <c r="D1325" s="31"/>
      <c r="E1325" s="31"/>
    </row>
    <row r="1326" hidden="1">
      <c r="A1326" s="30"/>
      <c r="B1326" s="30"/>
      <c r="C1326" s="31"/>
      <c r="D1326" s="31"/>
      <c r="E1326" s="31"/>
    </row>
    <row r="1327" hidden="1">
      <c r="A1327" s="30"/>
      <c r="B1327" s="30"/>
      <c r="C1327" s="31"/>
      <c r="D1327" s="31"/>
      <c r="E1327" s="31"/>
    </row>
    <row r="1328" hidden="1">
      <c r="A1328" s="30"/>
      <c r="B1328" s="30"/>
      <c r="C1328" s="31"/>
      <c r="D1328" s="31"/>
      <c r="E1328" s="31"/>
    </row>
    <row r="1329" hidden="1">
      <c r="A1329" s="30"/>
      <c r="B1329" s="30"/>
      <c r="C1329" s="31"/>
      <c r="D1329" s="31"/>
      <c r="E1329" s="31"/>
    </row>
    <row r="1330" hidden="1">
      <c r="A1330" s="30"/>
      <c r="B1330" s="30"/>
      <c r="C1330" s="31"/>
      <c r="D1330" s="31"/>
      <c r="E1330" s="31"/>
    </row>
    <row r="1331" hidden="1">
      <c r="A1331" s="30"/>
      <c r="B1331" s="30"/>
      <c r="C1331" s="31"/>
      <c r="D1331" s="31"/>
      <c r="E1331" s="31"/>
    </row>
    <row r="1332" hidden="1">
      <c r="A1332" s="30"/>
      <c r="B1332" s="30"/>
      <c r="C1332" s="31"/>
      <c r="D1332" s="31"/>
      <c r="E1332" s="31"/>
    </row>
    <row r="1333" hidden="1">
      <c r="A1333" s="30"/>
      <c r="B1333" s="30"/>
      <c r="C1333" s="31"/>
      <c r="D1333" s="31"/>
      <c r="E1333" s="31"/>
    </row>
    <row r="1334" hidden="1">
      <c r="A1334" s="30"/>
      <c r="B1334" s="30"/>
      <c r="C1334" s="31"/>
      <c r="D1334" s="31"/>
      <c r="E1334" s="31"/>
    </row>
    <row r="1335" hidden="1">
      <c r="A1335" s="30"/>
      <c r="B1335" s="30"/>
      <c r="C1335" s="31"/>
      <c r="D1335" s="31"/>
      <c r="E1335" s="31"/>
    </row>
    <row r="1336" hidden="1">
      <c r="A1336" s="30"/>
      <c r="B1336" s="30"/>
      <c r="C1336" s="31"/>
      <c r="D1336" s="31"/>
      <c r="E1336" s="31"/>
    </row>
    <row r="1337" hidden="1">
      <c r="A1337" s="30"/>
      <c r="B1337" s="30"/>
      <c r="C1337" s="31"/>
      <c r="D1337" s="31"/>
      <c r="E1337" s="31"/>
    </row>
    <row r="1338" hidden="1">
      <c r="A1338" s="30"/>
      <c r="B1338" s="30"/>
      <c r="C1338" s="31"/>
      <c r="D1338" s="31"/>
      <c r="E1338" s="31"/>
    </row>
    <row r="1339" hidden="1">
      <c r="A1339" s="30"/>
      <c r="B1339" s="30"/>
      <c r="C1339" s="31"/>
      <c r="D1339" s="31"/>
      <c r="E1339" s="31"/>
    </row>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row r="1880" hidden="1"/>
    <row r="1881" hidden="1"/>
    <row r="1882" hidden="1"/>
    <row r="1883" hidden="1"/>
    <row r="1884" hidden="1"/>
    <row r="1885" hidden="1"/>
    <row r="1886" hidden="1"/>
    <row r="1887" hidden="1"/>
    <row r="1888" hidden="1"/>
    <row r="1889" hidden="1"/>
    <row r="1890" hidden="1"/>
    <row r="1891" hidden="1"/>
    <row r="1892" hidden="1"/>
    <row r="1893" hidden="1"/>
    <row r="1894" hidden="1"/>
    <row r="1895" hidden="1"/>
    <row r="1896" hidden="1"/>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row r="1948" hidden="1"/>
    <row r="1949" hidden="1"/>
    <row r="1950" hidden="1"/>
    <row r="1951" hidden="1"/>
    <row r="1952" hidden="1"/>
    <row r="1953" hidden="1"/>
    <row r="1954" hidden="1"/>
    <row r="1955" hidden="1"/>
    <row r="1956" hidden="1"/>
    <row r="1957" hidden="1"/>
    <row r="1958" hidden="1"/>
    <row r="1959" hidden="1"/>
    <row r="1960" hidden="1"/>
    <row r="1961" hidden="1"/>
    <row r="1962" hidden="1"/>
    <row r="1963" hidden="1"/>
    <row r="1964" hidden="1"/>
    <row r="1965" hidden="1"/>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row r="1996" hidden="1"/>
    <row r="1997" hidden="1"/>
    <row r="1998" hidden="1"/>
    <row r="1999" hidden="1"/>
    <row r="2000" hidden="1"/>
    <row r="2001" hidden="1">
      <c r="A2001" s="126"/>
      <c r="B2001" s="127"/>
      <c r="C2001" s="31"/>
      <c r="D2001" s="31"/>
      <c r="E2001" s="31"/>
      <c r="F2001" s="89">
        <v>500.0</v>
      </c>
      <c r="G2001" s="91" t="str">
        <f>IFERROR(__xludf.DUMMYFUNCTION("TRIM(REGEXREPLACE(C2001, ""[0-9]+[a-f]?\."", """"))"),"")</f>
        <v/>
      </c>
      <c r="H2001" s="91" t="str">
        <f>IFERROR(__xludf.DUMMYFUNCTION("TRIM(REGEXREPLACE(D2001, ""[0-9]+[a-f]?\."", """"))"),"")</f>
        <v/>
      </c>
      <c r="I2001" s="91" t="str">
        <f>IFERROR(__xludf.DUMMYFUNCTION("TRIM(REGEXREPLACE(E2001, ""[0-9]+[a-f]?\."", """"))"),"")</f>
        <v/>
      </c>
      <c r="J2001" s="91" t="str">
        <f t="shared" ref="J2001:J2007" si="647">F2001 &amp; ". " &amp;G2001</f>
        <v>500. </v>
      </c>
      <c r="K2001" s="91" t="str">
        <f t="shared" ref="K2001:K2007" si="648">F2001 &amp; ". " &amp;H2001</f>
        <v>500. </v>
      </c>
      <c r="L2001" s="91" t="str">
        <f t="shared" ref="L2001:L2007" si="649">F2001 &amp; ". " &amp;I2001</f>
        <v>500. </v>
      </c>
    </row>
    <row r="2002" hidden="1">
      <c r="A2002" s="252"/>
      <c r="B2002" s="253"/>
      <c r="C2002" s="31"/>
      <c r="D2002" s="31"/>
      <c r="E2002" s="31"/>
      <c r="F2002" s="89">
        <v>501.0</v>
      </c>
      <c r="G2002" s="91" t="str">
        <f>IFERROR(__xludf.DUMMYFUNCTION("TRIM(REGEXREPLACE(C2002, ""[0-9]+[a-f]?\."", """"))"),"")</f>
        <v/>
      </c>
      <c r="H2002" s="91" t="str">
        <f>IFERROR(__xludf.DUMMYFUNCTION("TRIM(REGEXREPLACE(D2002, ""[0-9]+[a-f]?\."", """"))"),"")</f>
        <v/>
      </c>
      <c r="I2002" s="91" t="str">
        <f>IFERROR(__xludf.DUMMYFUNCTION("TRIM(REGEXREPLACE(E2002, ""[0-9]+[a-f]?\."", """"))"),"")</f>
        <v/>
      </c>
      <c r="J2002" s="91" t="str">
        <f t="shared" si="647"/>
        <v>501. </v>
      </c>
      <c r="K2002" s="91" t="str">
        <f t="shared" si="648"/>
        <v>501. </v>
      </c>
      <c r="L2002" s="91" t="str">
        <f t="shared" si="649"/>
        <v>501. </v>
      </c>
    </row>
    <row r="2003" hidden="1">
      <c r="A2003" s="252"/>
      <c r="B2003" s="253"/>
      <c r="C2003" s="31"/>
      <c r="D2003" s="31"/>
      <c r="E2003" s="31"/>
      <c r="F2003" s="89">
        <v>502.0</v>
      </c>
      <c r="G2003" s="91" t="str">
        <f>IFERROR(__xludf.DUMMYFUNCTION("TRIM(REGEXREPLACE(C2003, ""[0-9]+[a-f]?\."", """"))"),"")</f>
        <v/>
      </c>
      <c r="H2003" s="91" t="str">
        <f>IFERROR(__xludf.DUMMYFUNCTION("TRIM(REGEXREPLACE(D2003, ""[0-9]+[a-f]?\."", """"))"),"")</f>
        <v/>
      </c>
      <c r="I2003" s="91" t="str">
        <f>IFERROR(__xludf.DUMMYFUNCTION("TRIM(REGEXREPLACE(E2003, ""[0-9]+[a-f]?\."", """"))"),"")</f>
        <v/>
      </c>
      <c r="J2003" s="91" t="str">
        <f t="shared" si="647"/>
        <v>502. </v>
      </c>
      <c r="K2003" s="91" t="str">
        <f t="shared" si="648"/>
        <v>502. </v>
      </c>
      <c r="L2003" s="91" t="str">
        <f t="shared" si="649"/>
        <v>502. </v>
      </c>
    </row>
    <row r="2004" hidden="1">
      <c r="A2004" s="252"/>
      <c r="B2004" s="253"/>
      <c r="C2004" s="31"/>
      <c r="D2004" s="31"/>
      <c r="E2004" s="31"/>
      <c r="F2004" s="89">
        <v>503.0</v>
      </c>
      <c r="G2004" s="91" t="str">
        <f>IFERROR(__xludf.DUMMYFUNCTION("TRIM(REGEXREPLACE(C2004, ""[0-9]+[a-f]?\."", """"))"),"")</f>
        <v/>
      </c>
      <c r="H2004" s="91" t="str">
        <f>IFERROR(__xludf.DUMMYFUNCTION("TRIM(REGEXREPLACE(D2004, ""[0-9]+[a-f]?\."", """"))"),"")</f>
        <v/>
      </c>
      <c r="I2004" s="91" t="str">
        <f>IFERROR(__xludf.DUMMYFUNCTION("TRIM(REGEXREPLACE(E2004, ""[0-9]+[a-f]?\."", """"))"),"")</f>
        <v/>
      </c>
      <c r="J2004" s="91" t="str">
        <f t="shared" si="647"/>
        <v>503. </v>
      </c>
      <c r="K2004" s="91" t="str">
        <f t="shared" si="648"/>
        <v>503. </v>
      </c>
      <c r="L2004" s="91" t="str">
        <f t="shared" si="649"/>
        <v>503. </v>
      </c>
    </row>
    <row r="2005" hidden="1">
      <c r="A2005" s="252"/>
      <c r="B2005" s="253"/>
      <c r="C2005" s="31"/>
      <c r="D2005" s="31"/>
      <c r="E2005" s="31"/>
      <c r="F2005" s="89">
        <v>504.0</v>
      </c>
      <c r="G2005" s="91" t="str">
        <f>IFERROR(__xludf.DUMMYFUNCTION("TRIM(REGEXREPLACE(C2005, ""[0-9]+[a-f]?\."", """"))"),"")</f>
        <v/>
      </c>
      <c r="H2005" s="91" t="str">
        <f>IFERROR(__xludf.DUMMYFUNCTION("TRIM(REGEXREPLACE(D2005, ""[0-9]+[a-f]?\."", """"))"),"")</f>
        <v/>
      </c>
      <c r="I2005" s="91" t="str">
        <f>IFERROR(__xludf.DUMMYFUNCTION("TRIM(REGEXREPLACE(E2005, ""[0-9]+[a-f]?\."", """"))"),"")</f>
        <v/>
      </c>
      <c r="J2005" s="91" t="str">
        <f t="shared" si="647"/>
        <v>504. </v>
      </c>
      <c r="K2005" s="91" t="str">
        <f t="shared" si="648"/>
        <v>504. </v>
      </c>
      <c r="L2005" s="91" t="str">
        <f t="shared" si="649"/>
        <v>504. </v>
      </c>
    </row>
    <row r="2006" hidden="1">
      <c r="A2006" s="252"/>
      <c r="B2006" s="253"/>
      <c r="C2006" s="31"/>
      <c r="D2006" s="31"/>
      <c r="E2006" s="31"/>
      <c r="F2006" s="89">
        <v>505.0</v>
      </c>
      <c r="G2006" s="91" t="str">
        <f>IFERROR(__xludf.DUMMYFUNCTION("TRIM(REGEXREPLACE(C2006, ""[0-9]+[a-f]?\."", """"))"),"")</f>
        <v/>
      </c>
      <c r="H2006" s="91" t="str">
        <f>IFERROR(__xludf.DUMMYFUNCTION("TRIM(REGEXREPLACE(D2006, ""[0-9]+[a-f]?\."", """"))"),"")</f>
        <v/>
      </c>
      <c r="I2006" s="91" t="str">
        <f>IFERROR(__xludf.DUMMYFUNCTION("TRIM(REGEXREPLACE(E2006, ""[0-9]+[a-f]?\."", """"))"),"")</f>
        <v/>
      </c>
      <c r="J2006" s="91" t="str">
        <f t="shared" si="647"/>
        <v>505. </v>
      </c>
      <c r="K2006" s="91" t="str">
        <f t="shared" si="648"/>
        <v>505. </v>
      </c>
      <c r="L2006" s="91" t="str">
        <f t="shared" si="649"/>
        <v>505. </v>
      </c>
    </row>
    <row r="2007" hidden="1">
      <c r="A2007" s="146"/>
      <c r="B2007" s="147"/>
      <c r="C2007" s="31"/>
      <c r="D2007" s="31"/>
      <c r="E2007" s="31"/>
      <c r="F2007" s="89">
        <v>506.0</v>
      </c>
      <c r="G2007" s="91" t="str">
        <f>IFERROR(__xludf.DUMMYFUNCTION("TRIM(REGEXREPLACE(C2007, ""[0-9]+[a-f]?\."", """"))"),"")</f>
        <v/>
      </c>
      <c r="H2007" s="91" t="str">
        <f>IFERROR(__xludf.DUMMYFUNCTION("TRIM(REGEXREPLACE(D2007, ""[0-9]+[a-f]?\."", """"))"),"")</f>
        <v/>
      </c>
      <c r="I2007" s="91" t="str">
        <f>IFERROR(__xludf.DUMMYFUNCTION("TRIM(REGEXREPLACE(E2007, ""[0-9]+[a-f]?\."", """"))"),"")</f>
        <v/>
      </c>
      <c r="J2007" s="91" t="str">
        <f t="shared" si="647"/>
        <v>506. </v>
      </c>
      <c r="K2007" s="91" t="str">
        <f t="shared" si="648"/>
        <v>506. </v>
      </c>
      <c r="L2007" s="91" t="str">
        <f t="shared" si="649"/>
        <v>506. </v>
      </c>
    </row>
    <row r="2008" hidden="1">
      <c r="A2008" s="104" t="s">
        <v>139</v>
      </c>
      <c r="B2008" s="141" t="s">
        <v>3356</v>
      </c>
      <c r="C2008" s="264"/>
      <c r="D2008" s="264"/>
      <c r="E2008" s="264"/>
    </row>
    <row r="2009" hidden="1">
      <c r="A2009" s="67" t="s">
        <v>108</v>
      </c>
      <c r="B2009" s="69" t="s">
        <v>3360</v>
      </c>
      <c r="C2009" s="123"/>
      <c r="D2009" s="153"/>
      <c r="E2009" s="153"/>
    </row>
    <row r="2010" hidden="1">
      <c r="A2010" s="126"/>
      <c r="B2010" s="127"/>
      <c r="C2010" s="31"/>
      <c r="D2010" s="31"/>
      <c r="E2010" s="31"/>
      <c r="F2010" s="89">
        <v>507.0</v>
      </c>
      <c r="G2010" s="91" t="str">
        <f>IFERROR(__xludf.DUMMYFUNCTION("TRIM(REGEXREPLACE(C2010, ""[0-9]+[a-f]?\."", """"))"),"")</f>
        <v/>
      </c>
      <c r="H2010" s="91" t="str">
        <f>IFERROR(__xludf.DUMMYFUNCTION("TRIM(REGEXREPLACE(D2010, ""[0-9]+[a-f]?\."", """"))"),"")</f>
        <v/>
      </c>
      <c r="I2010" s="91" t="str">
        <f>IFERROR(__xludf.DUMMYFUNCTION("TRIM(REGEXREPLACE(E2010, ""[0-9]+[a-f]?\."", """"))"),"")</f>
        <v/>
      </c>
      <c r="J2010" s="91" t="str">
        <f t="shared" ref="J2010:J2012" si="650">F2010 &amp; ". " &amp;G2010</f>
        <v>507. </v>
      </c>
      <c r="K2010" s="91" t="str">
        <f t="shared" ref="K2010:K2012" si="651">F2010 &amp; ". " &amp;H2010</f>
        <v>507. </v>
      </c>
      <c r="L2010" s="91" t="str">
        <f t="shared" ref="L2010:L2012" si="652">F2010 &amp; ". " &amp;I2010</f>
        <v>507. </v>
      </c>
    </row>
    <row r="2011" hidden="1">
      <c r="A2011" s="81"/>
      <c r="B2011" s="142"/>
      <c r="C2011" s="31"/>
      <c r="D2011" s="31"/>
      <c r="E2011" s="31"/>
      <c r="F2011" s="89">
        <v>508.0</v>
      </c>
      <c r="G2011" s="91" t="str">
        <f>IFERROR(__xludf.DUMMYFUNCTION("TRIM(REGEXREPLACE(C2011, ""[0-9]+[a-f]?\."", """"))"),"")</f>
        <v/>
      </c>
      <c r="H2011" s="91" t="str">
        <f>IFERROR(__xludf.DUMMYFUNCTION("TRIM(REGEXREPLACE(D2011, ""[0-9]+[a-f]?\."", """"))"),"")</f>
        <v/>
      </c>
      <c r="I2011" s="91" t="str">
        <f>IFERROR(__xludf.DUMMYFUNCTION("TRIM(REGEXREPLACE(E2011, ""[0-9]+[a-f]?\."", """"))"),"")</f>
        <v/>
      </c>
      <c r="J2011" s="91" t="str">
        <f t="shared" si="650"/>
        <v>508. </v>
      </c>
      <c r="K2011" s="91" t="str">
        <f t="shared" si="651"/>
        <v>508. </v>
      </c>
      <c r="L2011" s="91" t="str">
        <f t="shared" si="652"/>
        <v>508. </v>
      </c>
    </row>
    <row r="2012" hidden="1">
      <c r="A2012" s="133"/>
      <c r="B2012" s="143"/>
      <c r="C2012" s="31"/>
      <c r="D2012" s="31"/>
      <c r="E2012" s="31"/>
      <c r="F2012" s="89">
        <v>509.0</v>
      </c>
      <c r="G2012" s="91" t="str">
        <f>IFERROR(__xludf.DUMMYFUNCTION("TRIM(REGEXREPLACE(C2012, ""[0-9]+[a-f]?\."", """"))"),"")</f>
        <v/>
      </c>
      <c r="H2012" s="91" t="str">
        <f>IFERROR(__xludf.DUMMYFUNCTION("TRIM(REGEXREPLACE(D2012, ""[0-9]+[a-f]?\."", """"))"),"")</f>
        <v/>
      </c>
      <c r="I2012" s="91" t="str">
        <f>IFERROR(__xludf.DUMMYFUNCTION("TRIM(REGEXREPLACE(E2012, ""[0-9]+[a-f]?\."", """"))"),"")</f>
        <v/>
      </c>
      <c r="J2012" s="91" t="str">
        <f t="shared" si="650"/>
        <v>509. </v>
      </c>
      <c r="K2012" s="91" t="str">
        <f t="shared" si="651"/>
        <v>509. </v>
      </c>
      <c r="L2012" s="91" t="str">
        <f t="shared" si="652"/>
        <v>509. </v>
      </c>
    </row>
    <row r="2013" hidden="1">
      <c r="A2013" s="104" t="s">
        <v>139</v>
      </c>
      <c r="B2013" s="141" t="s">
        <v>3389</v>
      </c>
      <c r="C2013" s="264"/>
      <c r="D2013" s="264"/>
      <c r="E2013" s="264"/>
    </row>
    <row r="2014" hidden="1">
      <c r="A2014" s="144" t="s">
        <v>648</v>
      </c>
      <c r="B2014" s="145" t="s">
        <v>3393</v>
      </c>
      <c r="C2014" s="145" t="s">
        <v>3394</v>
      </c>
      <c r="D2014" s="150" t="s">
        <v>3395</v>
      </c>
      <c r="E2014" s="150" t="s">
        <v>3396</v>
      </c>
    </row>
    <row r="2015" hidden="1">
      <c r="A2015" s="104" t="s">
        <v>108</v>
      </c>
      <c r="B2015" s="105" t="s">
        <v>3399</v>
      </c>
      <c r="C2015" s="264" t="s">
        <v>3400</v>
      </c>
      <c r="D2015" s="264" t="s">
        <v>3401</v>
      </c>
      <c r="E2015" s="264" t="s">
        <v>3402</v>
      </c>
    </row>
    <row r="2016" hidden="1">
      <c r="A2016" s="122" t="s">
        <v>150</v>
      </c>
      <c r="B2016" s="123" t="s">
        <v>3406</v>
      </c>
      <c r="C2016" s="123"/>
      <c r="D2016" s="153"/>
      <c r="E2016" s="153"/>
    </row>
    <row r="2017" hidden="1">
      <c r="A2017" s="252"/>
      <c r="B2017" s="253"/>
      <c r="C2017" s="31"/>
      <c r="D2017" s="31"/>
      <c r="E2017" s="31"/>
      <c r="F2017" s="89">
        <v>510.0</v>
      </c>
      <c r="G2017" s="91" t="str">
        <f>IFERROR(__xludf.DUMMYFUNCTION("TRIM(REGEXREPLACE(C2017, ""[0-9]+[a-f]?\."", """"))"),"")</f>
        <v/>
      </c>
      <c r="H2017" s="91" t="str">
        <f>IFERROR(__xludf.DUMMYFUNCTION("TRIM(REGEXREPLACE(D2017, ""[0-9]+[a-f]?\."", """"))"),"")</f>
        <v/>
      </c>
      <c r="I2017" s="91" t="str">
        <f>IFERROR(__xludf.DUMMYFUNCTION("TRIM(REGEXREPLACE(E2017, ""[0-9]+[a-f]?\."", """"))"),"")</f>
        <v/>
      </c>
      <c r="J2017" s="91" t="str">
        <f t="shared" ref="J2017:J2018" si="653">F2017 &amp; ". " &amp;G2017</f>
        <v>510. </v>
      </c>
      <c r="K2017" s="91" t="str">
        <f t="shared" ref="K2017:K2018" si="654">F2017 &amp; ". " &amp;H2017</f>
        <v>510. </v>
      </c>
      <c r="L2017" s="91" t="str">
        <f t="shared" ref="L2017:L2018" si="655">F2017 &amp; ". " &amp;I2017</f>
        <v>510. </v>
      </c>
    </row>
    <row r="2018" hidden="1">
      <c r="A2018" s="81"/>
      <c r="B2018" s="142"/>
      <c r="C2018" s="31"/>
      <c r="D2018" s="31"/>
      <c r="E2018" s="31"/>
      <c r="F2018" s="89">
        <v>511.0</v>
      </c>
      <c r="G2018" s="91" t="str">
        <f>IFERROR(__xludf.DUMMYFUNCTION("TRIM(REGEXREPLACE(C2018, ""[0-9]+[a-f]?\."", """"))"),"")</f>
        <v/>
      </c>
      <c r="H2018" s="91" t="str">
        <f>IFERROR(__xludf.DUMMYFUNCTION("TRIM(REGEXREPLACE(D2018, ""[0-9]+[a-f]?\."", """"))"),"")</f>
        <v/>
      </c>
      <c r="I2018" s="91" t="str">
        <f>IFERROR(__xludf.DUMMYFUNCTION("TRIM(REGEXREPLACE(E2018, ""[0-9]+[a-f]?\."", """"))"),"")</f>
        <v/>
      </c>
      <c r="J2018" s="91" t="str">
        <f t="shared" si="653"/>
        <v>511. </v>
      </c>
      <c r="K2018" s="91" t="str">
        <f t="shared" si="654"/>
        <v>511. </v>
      </c>
      <c r="L2018" s="91" t="str">
        <f t="shared" si="655"/>
        <v>511. </v>
      </c>
    </row>
    <row r="2019" hidden="1">
      <c r="A2019" s="122" t="s">
        <v>236</v>
      </c>
      <c r="B2019" s="153" t="s">
        <v>3406</v>
      </c>
      <c r="C2019" s="153"/>
      <c r="D2019" s="153"/>
      <c r="E2019" s="153"/>
    </row>
    <row r="2020" hidden="1">
      <c r="A2020" s="133"/>
      <c r="B2020" s="143"/>
      <c r="C2020" s="31"/>
      <c r="D2020" s="31"/>
      <c r="E2020" s="31"/>
      <c r="F2020" s="89">
        <v>512.0</v>
      </c>
      <c r="G2020" s="91" t="str">
        <f>IFERROR(__xludf.DUMMYFUNCTION("TRIM(REGEXREPLACE(C2020, ""[0-9]+[a-f]?\."", """"))"),"")</f>
        <v/>
      </c>
      <c r="H2020" s="91" t="str">
        <f>IFERROR(__xludf.DUMMYFUNCTION("TRIM(REGEXREPLACE(D2020, ""[0-9]+[a-f]?\."", """"))"),"")</f>
        <v/>
      </c>
      <c r="I2020" s="91" t="str">
        <f>IFERROR(__xludf.DUMMYFUNCTION("TRIM(REGEXREPLACE(E2020, ""[0-9]+[a-f]?\."", """"))"),"")</f>
        <v/>
      </c>
      <c r="J2020" s="91" t="str">
        <f>F2020 &amp; ". " &amp;G2020</f>
        <v>512. </v>
      </c>
      <c r="K2020" s="91" t="str">
        <f>F2020 &amp; ". " &amp;H2020</f>
        <v>512. </v>
      </c>
      <c r="L2020" s="91" t="str">
        <f>F2020 &amp; ". " &amp;I2020</f>
        <v>512. </v>
      </c>
    </row>
    <row r="2021" hidden="1">
      <c r="A2021" s="104" t="s">
        <v>108</v>
      </c>
      <c r="B2021" s="105" t="s">
        <v>3436</v>
      </c>
      <c r="C2021" s="264" t="s">
        <v>3437</v>
      </c>
      <c r="D2021" s="264"/>
      <c r="E2021" s="264"/>
    </row>
    <row r="2022" hidden="1">
      <c r="A2022" s="252"/>
      <c r="B2022" s="253"/>
      <c r="C2022" s="31"/>
      <c r="D2022" s="31"/>
      <c r="E2022" s="31"/>
      <c r="F2022" s="89">
        <v>513.0</v>
      </c>
      <c r="G2022" s="91" t="str">
        <f>IFERROR(__xludf.DUMMYFUNCTION("TRIM(REGEXREPLACE(C2022, ""[0-9]+[a-f]?\."", """"))"),"")</f>
        <v/>
      </c>
      <c r="H2022" s="91" t="str">
        <f>IFERROR(__xludf.DUMMYFUNCTION("TRIM(REGEXREPLACE(D2022, ""[0-9]+[a-f]?\."", """"))"),"")</f>
        <v/>
      </c>
      <c r="I2022" s="91" t="str">
        <f>IFERROR(__xludf.DUMMYFUNCTION("TRIM(REGEXREPLACE(E2022, ""[0-9]+[a-f]?\."", """"))"),"")</f>
        <v/>
      </c>
      <c r="J2022" s="91" t="str">
        <f t="shared" ref="J2022:J2025" si="656">F2022 &amp; ". " &amp;G2022</f>
        <v>513. </v>
      </c>
      <c r="K2022" s="91" t="str">
        <f t="shared" ref="K2022:K2025" si="657">F2022 &amp; ". " &amp;H2022</f>
        <v>513. </v>
      </c>
      <c r="L2022" s="91" t="str">
        <f t="shared" ref="L2022:L2025" si="658">F2022 &amp; ". " &amp;I2022</f>
        <v>513. </v>
      </c>
    </row>
    <row r="2023" hidden="1">
      <c r="A2023" s="146"/>
      <c r="B2023" s="147"/>
      <c r="C2023" s="31"/>
      <c r="D2023" s="31"/>
      <c r="E2023" s="31"/>
      <c r="F2023" s="89">
        <v>514.0</v>
      </c>
      <c r="G2023" s="91" t="str">
        <f>IFERROR(__xludf.DUMMYFUNCTION("TRIM(REGEXREPLACE(C2023, ""[0-9]+[a-f]?\."", """"))"),"")</f>
        <v/>
      </c>
      <c r="H2023" s="91" t="str">
        <f>IFERROR(__xludf.DUMMYFUNCTION("TRIM(REGEXREPLACE(D2023, ""[0-9]+[a-f]?\."", """"))"),"")</f>
        <v/>
      </c>
      <c r="I2023" s="91" t="str">
        <f>IFERROR(__xludf.DUMMYFUNCTION("TRIM(REGEXREPLACE(E2023, ""[0-9]+[a-f]?\."", """"))"),"")</f>
        <v/>
      </c>
      <c r="J2023" s="91" t="str">
        <f t="shared" si="656"/>
        <v>514. </v>
      </c>
      <c r="K2023" s="91" t="str">
        <f t="shared" si="657"/>
        <v>514. </v>
      </c>
      <c r="L2023" s="91" t="str">
        <f t="shared" si="658"/>
        <v>514. </v>
      </c>
    </row>
    <row r="2024" hidden="1">
      <c r="A2024" s="252"/>
      <c r="B2024" s="253"/>
      <c r="C2024" s="31"/>
      <c r="D2024" s="31"/>
      <c r="E2024" s="31"/>
      <c r="F2024" s="89">
        <v>515.0</v>
      </c>
      <c r="G2024" s="91" t="str">
        <f>IFERROR(__xludf.DUMMYFUNCTION("TRIM(REGEXREPLACE(C2024, ""[0-9]+[a-f]?\."", """"))"),"")</f>
        <v/>
      </c>
      <c r="H2024" s="91" t="str">
        <f>IFERROR(__xludf.DUMMYFUNCTION("TRIM(REGEXREPLACE(D2024, ""[0-9]+[a-f]?\."", """"))"),"")</f>
        <v/>
      </c>
      <c r="I2024" s="91" t="str">
        <f>IFERROR(__xludf.DUMMYFUNCTION("TRIM(REGEXREPLACE(E2024, ""[0-9]+[a-f]?\."", """"))"),"")</f>
        <v/>
      </c>
      <c r="J2024" s="91" t="str">
        <f t="shared" si="656"/>
        <v>515. </v>
      </c>
      <c r="K2024" s="91" t="str">
        <f t="shared" si="657"/>
        <v>515. </v>
      </c>
      <c r="L2024" s="91" t="str">
        <f t="shared" si="658"/>
        <v>515. </v>
      </c>
    </row>
    <row r="2025" hidden="1">
      <c r="A2025" s="146"/>
      <c r="B2025" s="147"/>
      <c r="C2025" s="258"/>
      <c r="D2025" s="285"/>
      <c r="E2025" s="285"/>
      <c r="F2025" s="89">
        <v>516.0</v>
      </c>
      <c r="G2025" s="91" t="str">
        <f>IFERROR(__xludf.DUMMYFUNCTION("TRIM(REGEXREPLACE(C2025, ""[0-9]+[a-f]?\."", """"))"),"")</f>
        <v/>
      </c>
      <c r="H2025" s="91" t="str">
        <f>IFERROR(__xludf.DUMMYFUNCTION("TRIM(REGEXREPLACE(D2025, ""[0-9]+[a-f]?\."", """"))"),"")</f>
        <v/>
      </c>
      <c r="I2025" s="91" t="str">
        <f>IFERROR(__xludf.DUMMYFUNCTION("TRIM(REGEXREPLACE(E2025, ""[0-9]+[a-f]?\."", """"))"),"")</f>
        <v/>
      </c>
      <c r="J2025" s="91" t="str">
        <f t="shared" si="656"/>
        <v>516. </v>
      </c>
      <c r="K2025" s="91" t="str">
        <f t="shared" si="657"/>
        <v>516. </v>
      </c>
      <c r="L2025" s="91" t="str">
        <f t="shared" si="658"/>
        <v>516. </v>
      </c>
    </row>
    <row r="2026" hidden="1">
      <c r="A2026" s="254" t="s">
        <v>108</v>
      </c>
      <c r="B2026" s="253" t="s">
        <v>3469</v>
      </c>
      <c r="C2026" s="264"/>
      <c r="D2026" s="264"/>
      <c r="E2026" s="264"/>
    </row>
    <row r="2027" hidden="1">
      <c r="A2027" s="254"/>
      <c r="B2027" s="255"/>
      <c r="C2027" s="31"/>
      <c r="D2027" s="31"/>
      <c r="E2027" s="31"/>
      <c r="F2027" s="89">
        <v>517.0</v>
      </c>
      <c r="G2027" s="91" t="str">
        <f>IFERROR(__xludf.DUMMYFUNCTION("TRIM(REGEXREPLACE(C2027, ""[0-9]+[a-f]?\."", """"))"),"")</f>
        <v/>
      </c>
      <c r="H2027" s="91" t="str">
        <f>IFERROR(__xludf.DUMMYFUNCTION("TRIM(REGEXREPLACE(D2027, ""[0-9]+[a-f]?\."", """"))"),"")</f>
        <v/>
      </c>
      <c r="I2027" s="91" t="str">
        <f>IFERROR(__xludf.DUMMYFUNCTION("TRIM(REGEXREPLACE(E2027, ""[0-9]+[a-f]?\."", """"))"),"")</f>
        <v/>
      </c>
      <c r="J2027" s="91" t="str">
        <f t="shared" ref="J2027:J2028" si="659">F2027 &amp; ". " &amp;G2027</f>
        <v>517. </v>
      </c>
      <c r="K2027" s="91" t="str">
        <f t="shared" ref="K2027:K2028" si="660">F2027 &amp; ". " &amp;H2027</f>
        <v>517. </v>
      </c>
      <c r="L2027" s="91" t="str">
        <f t="shared" ref="L2027:L2028" si="661">F2027 &amp; ". " &amp;I2027</f>
        <v>517. </v>
      </c>
    </row>
    <row r="2028" hidden="1">
      <c r="A2028" s="254"/>
      <c r="B2028" s="255"/>
      <c r="C2028" s="31"/>
      <c r="D2028" s="31"/>
      <c r="E2028" s="31"/>
      <c r="F2028" s="89">
        <v>518.0</v>
      </c>
      <c r="G2028" s="91" t="str">
        <f>IFERROR(__xludf.DUMMYFUNCTION("TRIM(REGEXREPLACE(C2028, ""[0-9]+[a-f]?\."", """"))"),"")</f>
        <v/>
      </c>
      <c r="H2028" s="91" t="str">
        <f>IFERROR(__xludf.DUMMYFUNCTION("TRIM(REGEXREPLACE(D2028, ""[0-9]+[a-f]?\."", """"))"),"")</f>
        <v/>
      </c>
      <c r="I2028" s="91" t="str">
        <f>IFERROR(__xludf.DUMMYFUNCTION("TRIM(REGEXREPLACE(E2028, ""[0-9]+[a-f]?\."", """"))"),"")</f>
        <v/>
      </c>
      <c r="J2028" s="91" t="str">
        <f t="shared" si="659"/>
        <v>518. </v>
      </c>
      <c r="K2028" s="91" t="str">
        <f t="shared" si="660"/>
        <v>518. </v>
      </c>
      <c r="L2028" s="91" t="str">
        <f t="shared" si="661"/>
        <v>518. </v>
      </c>
    </row>
    <row r="2029" hidden="1">
      <c r="A2029" s="104" t="s">
        <v>108</v>
      </c>
      <c r="B2029" s="105" t="s">
        <v>3493</v>
      </c>
      <c r="C2029" s="264"/>
      <c r="D2029" s="264"/>
      <c r="E2029" s="264"/>
    </row>
    <row r="2030" hidden="1">
      <c r="A2030" s="144" t="s">
        <v>691</v>
      </c>
      <c r="B2030" s="150" t="s">
        <v>3393</v>
      </c>
      <c r="C2030" s="150" t="s">
        <v>3498</v>
      </c>
      <c r="D2030" s="150" t="s">
        <v>3500</v>
      </c>
      <c r="E2030" s="150" t="s">
        <v>3502</v>
      </c>
    </row>
    <row r="2031" hidden="1">
      <c r="A2031" s="286"/>
      <c r="B2031" s="286"/>
      <c r="C2031" s="286"/>
      <c r="D2031" s="286"/>
      <c r="E2031" s="286"/>
    </row>
    <row r="2032" hidden="1">
      <c r="A2032" s="122" t="s">
        <v>150</v>
      </c>
      <c r="B2032" s="242" t="s">
        <v>3506</v>
      </c>
      <c r="C2032" s="123" t="s">
        <v>3507</v>
      </c>
      <c r="D2032" s="153" t="s">
        <v>3508</v>
      </c>
      <c r="E2032" s="153" t="s">
        <v>3509</v>
      </c>
    </row>
    <row r="2033" hidden="1">
      <c r="A2033" s="126"/>
      <c r="B2033" s="243"/>
      <c r="C2033" s="31"/>
      <c r="D2033" s="31"/>
      <c r="E2033" s="31"/>
      <c r="F2033" s="89">
        <v>519.0</v>
      </c>
      <c r="G2033" s="91" t="str">
        <f>IFERROR(__xludf.DUMMYFUNCTION("TRIM(REGEXREPLACE(C2033, ""[0-9]+[a-f]?\."", """"))"),"")</f>
        <v/>
      </c>
      <c r="H2033" s="91" t="str">
        <f>IFERROR(__xludf.DUMMYFUNCTION("TRIM(REGEXREPLACE(D2033, ""[0-9]+[a-f]?\."", """"))"),"")</f>
        <v/>
      </c>
      <c r="I2033" s="91" t="str">
        <f>IFERROR(__xludf.DUMMYFUNCTION("TRIM(REGEXREPLACE(E2033, ""[0-9]+[a-f]?\."", """"))"),"")</f>
        <v/>
      </c>
      <c r="J2033" s="91" t="str">
        <f t="shared" ref="J2033:J2037" si="662">F2033 &amp; ". " &amp;G2033</f>
        <v>519. </v>
      </c>
      <c r="K2033" s="91" t="str">
        <f t="shared" ref="K2033:K2037" si="663">F2033 &amp; ". " &amp;H2033</f>
        <v>519. </v>
      </c>
      <c r="L2033" s="91" t="str">
        <f t="shared" ref="L2033:L2037" si="664">F2033 &amp; ". " &amp;I2033</f>
        <v>519. </v>
      </c>
    </row>
    <row r="2034" hidden="1">
      <c r="A2034" s="146"/>
      <c r="B2034" s="257"/>
      <c r="C2034" s="31"/>
      <c r="D2034" s="31"/>
      <c r="E2034" s="31"/>
      <c r="F2034" s="89">
        <v>520.0</v>
      </c>
      <c r="G2034" s="91" t="str">
        <f>IFERROR(__xludf.DUMMYFUNCTION("TRIM(REGEXREPLACE(C2034, ""[0-9]+[a-f]?\."", """"))"),"")</f>
        <v/>
      </c>
      <c r="H2034" s="91" t="str">
        <f>IFERROR(__xludf.DUMMYFUNCTION("TRIM(REGEXREPLACE(D2034, ""[0-9]+[a-f]?\."", """"))"),"")</f>
        <v/>
      </c>
      <c r="I2034" s="91" t="str">
        <f>IFERROR(__xludf.DUMMYFUNCTION("TRIM(REGEXREPLACE(E2034, ""[0-9]+[a-f]?\."", """"))"),"")</f>
        <v/>
      </c>
      <c r="J2034" s="91" t="str">
        <f t="shared" si="662"/>
        <v>520. </v>
      </c>
      <c r="K2034" s="91" t="str">
        <f t="shared" si="663"/>
        <v>520. </v>
      </c>
      <c r="L2034" s="91" t="str">
        <f t="shared" si="664"/>
        <v>520. </v>
      </c>
    </row>
    <row r="2035" hidden="1">
      <c r="A2035" s="146"/>
      <c r="B2035" s="257"/>
      <c r="C2035" s="31"/>
      <c r="D2035" s="31"/>
      <c r="E2035" s="31"/>
      <c r="F2035" s="89">
        <v>521.0</v>
      </c>
      <c r="G2035" s="91" t="str">
        <f>IFERROR(__xludf.DUMMYFUNCTION("TRIM(REGEXREPLACE(C2035, ""[0-9]+[a-f]?\."", """"))"),"")</f>
        <v/>
      </c>
      <c r="H2035" s="91" t="str">
        <f>IFERROR(__xludf.DUMMYFUNCTION("TRIM(REGEXREPLACE(D2035, ""[0-9]+[a-f]?\."", """"))"),"")</f>
        <v/>
      </c>
      <c r="I2035" s="91" t="str">
        <f>IFERROR(__xludf.DUMMYFUNCTION("TRIM(REGEXREPLACE(E2035, ""[0-9]+[a-f]?\."", """"))"),"")</f>
        <v/>
      </c>
      <c r="J2035" s="91" t="str">
        <f t="shared" si="662"/>
        <v>521. </v>
      </c>
      <c r="K2035" s="91" t="str">
        <f t="shared" si="663"/>
        <v>521. </v>
      </c>
      <c r="L2035" s="91" t="str">
        <f t="shared" si="664"/>
        <v>521. </v>
      </c>
    </row>
    <row r="2036" hidden="1">
      <c r="A2036" s="146"/>
      <c r="B2036" s="257"/>
      <c r="C2036" s="31"/>
      <c r="D2036" s="31"/>
      <c r="E2036" s="31"/>
      <c r="F2036" s="89">
        <v>522.0</v>
      </c>
      <c r="G2036" s="91" t="str">
        <f>IFERROR(__xludf.DUMMYFUNCTION("TRIM(REGEXREPLACE(C2036, ""[0-9]+[a-f]?\."", """"))"),"")</f>
        <v/>
      </c>
      <c r="H2036" s="91" t="str">
        <f>IFERROR(__xludf.DUMMYFUNCTION("TRIM(REGEXREPLACE(D2036, ""[0-9]+[a-f]?\."", """"))"),"")</f>
        <v/>
      </c>
      <c r="I2036" s="91" t="str">
        <f>IFERROR(__xludf.DUMMYFUNCTION("TRIM(REGEXREPLACE(E2036, ""[0-9]+[a-f]?\."", """"))"),"")</f>
        <v/>
      </c>
      <c r="J2036" s="91" t="str">
        <f t="shared" si="662"/>
        <v>522. </v>
      </c>
      <c r="K2036" s="91" t="str">
        <f t="shared" si="663"/>
        <v>522. </v>
      </c>
      <c r="L2036" s="91" t="str">
        <f t="shared" si="664"/>
        <v>522. </v>
      </c>
    </row>
    <row r="2037" hidden="1">
      <c r="A2037" s="146"/>
      <c r="B2037" s="257"/>
      <c r="C2037" s="31"/>
      <c r="D2037" s="31"/>
      <c r="E2037" s="31"/>
      <c r="F2037" s="89">
        <v>523.0</v>
      </c>
      <c r="G2037" s="91" t="str">
        <f>IFERROR(__xludf.DUMMYFUNCTION("TRIM(REGEXREPLACE(C2037, ""[0-9]+[a-f]?\."", """"))"),"")</f>
        <v/>
      </c>
      <c r="H2037" s="91" t="str">
        <f>IFERROR(__xludf.DUMMYFUNCTION("TRIM(REGEXREPLACE(D2037, ""[0-9]+[a-f]?\."", """"))"),"")</f>
        <v/>
      </c>
      <c r="I2037" s="91" t="str">
        <f>IFERROR(__xludf.DUMMYFUNCTION("TRIM(REGEXREPLACE(E2037, ""[0-9]+[a-f]?\."", """"))"),"")</f>
        <v/>
      </c>
      <c r="J2037" s="91" t="str">
        <f t="shared" si="662"/>
        <v>523. </v>
      </c>
      <c r="K2037" s="91" t="str">
        <f t="shared" si="663"/>
        <v>523. </v>
      </c>
      <c r="L2037" s="91" t="str">
        <f t="shared" si="664"/>
        <v>523. </v>
      </c>
    </row>
    <row r="2038" hidden="1">
      <c r="A2038" s="122" t="s">
        <v>236</v>
      </c>
      <c r="B2038" s="122" t="s">
        <v>3506</v>
      </c>
      <c r="C2038" s="153" t="s">
        <v>3507</v>
      </c>
      <c r="D2038" s="153" t="s">
        <v>3539</v>
      </c>
      <c r="E2038" s="153" t="s">
        <v>3540</v>
      </c>
    </row>
    <row r="2039" hidden="1">
      <c r="A2039" s="104" t="s">
        <v>139</v>
      </c>
      <c r="B2039" s="141" t="s">
        <v>3541</v>
      </c>
      <c r="C2039" s="264"/>
      <c r="D2039" s="264"/>
      <c r="E2039" s="264"/>
    </row>
    <row r="2040" hidden="1">
      <c r="A2040" s="67" t="s">
        <v>108</v>
      </c>
      <c r="B2040" s="69" t="s">
        <v>3545</v>
      </c>
      <c r="C2040" s="123"/>
      <c r="D2040" s="153"/>
      <c r="E2040" s="153"/>
    </row>
    <row r="2041" hidden="1">
      <c r="A2041" s="169"/>
      <c r="B2041" s="169"/>
      <c r="C2041" s="170"/>
      <c r="D2041" s="76"/>
      <c r="E2041" s="76"/>
    </row>
    <row r="2042" hidden="1">
      <c r="A2042" s="104" t="s">
        <v>139</v>
      </c>
      <c r="B2042" s="141" t="s">
        <v>3556</v>
      </c>
      <c r="C2042" s="264"/>
      <c r="D2042" s="264"/>
      <c r="E2042" s="264"/>
    </row>
    <row r="2043" hidden="1">
      <c r="A2043" s="126"/>
      <c r="B2043" s="243"/>
      <c r="C2043" s="31"/>
      <c r="D2043" s="31"/>
      <c r="E2043" s="31"/>
      <c r="F2043" s="89">
        <v>524.0</v>
      </c>
      <c r="G2043" s="91" t="str">
        <f>IFERROR(__xludf.DUMMYFUNCTION("TRIM(REGEXREPLACE(C2043, ""[0-9]+[a-f]?\."", """"))"),"")</f>
        <v/>
      </c>
      <c r="H2043" s="91" t="str">
        <f>IFERROR(__xludf.DUMMYFUNCTION("TRIM(REGEXREPLACE(D2043, ""[0-9]+[a-f]?\."", """"))"),"")</f>
        <v/>
      </c>
      <c r="I2043" s="91" t="str">
        <f>IFERROR(__xludf.DUMMYFUNCTION("TRIM(REGEXREPLACE(E2043, ""[0-9]+[a-f]?\."", """"))"),"")</f>
        <v/>
      </c>
      <c r="J2043" s="91" t="str">
        <f t="shared" ref="J2043:J2045" si="665">F2043 &amp; ". " &amp;G2043</f>
        <v>524. </v>
      </c>
      <c r="K2043" s="91" t="str">
        <f t="shared" ref="K2043:K2045" si="666">F2043 &amp; ". " &amp;H2043</f>
        <v>524. </v>
      </c>
      <c r="L2043" s="91" t="str">
        <f t="shared" ref="L2043:L2045" si="667">F2043 &amp; ". " &amp;I2043</f>
        <v>524. </v>
      </c>
    </row>
    <row r="2044" hidden="1">
      <c r="A2044" s="146"/>
      <c r="B2044" s="257"/>
      <c r="C2044" s="31"/>
      <c r="D2044" s="31"/>
      <c r="E2044" s="31"/>
      <c r="F2044" s="89">
        <v>525.0</v>
      </c>
      <c r="G2044" s="91" t="str">
        <f>IFERROR(__xludf.DUMMYFUNCTION("TRIM(REGEXREPLACE(C2044, ""[0-9]+[a-f]?\."", """"))"),"")</f>
        <v/>
      </c>
      <c r="H2044" s="91" t="str">
        <f>IFERROR(__xludf.DUMMYFUNCTION("TRIM(REGEXREPLACE(D2044, ""[0-9]+[a-f]?\."", """"))"),"")</f>
        <v/>
      </c>
      <c r="I2044" s="91" t="str">
        <f>IFERROR(__xludf.DUMMYFUNCTION("TRIM(REGEXREPLACE(E2044, ""[0-9]+[a-f]?\."", """"))"),"")</f>
        <v/>
      </c>
      <c r="J2044" s="91" t="str">
        <f t="shared" si="665"/>
        <v>525. </v>
      </c>
      <c r="K2044" s="91" t="str">
        <f t="shared" si="666"/>
        <v>525. </v>
      </c>
      <c r="L2044" s="91" t="str">
        <f t="shared" si="667"/>
        <v>525. </v>
      </c>
    </row>
    <row r="2045" hidden="1">
      <c r="A2045" s="146"/>
      <c r="B2045" s="257"/>
      <c r="C2045" s="31"/>
      <c r="D2045" s="31"/>
      <c r="E2045" s="31"/>
      <c r="F2045" s="89">
        <v>526.0</v>
      </c>
      <c r="G2045" s="91" t="str">
        <f>IFERROR(__xludf.DUMMYFUNCTION("TRIM(REGEXREPLACE(C2045, ""[0-9]+[a-f]?\."", """"))"),"")</f>
        <v/>
      </c>
      <c r="H2045" s="91" t="str">
        <f>IFERROR(__xludf.DUMMYFUNCTION("TRIM(REGEXREPLACE(D2045, ""[0-9]+[a-f]?\."", """"))"),"")</f>
        <v/>
      </c>
      <c r="I2045" s="91" t="str">
        <f>IFERROR(__xludf.DUMMYFUNCTION("TRIM(REGEXREPLACE(E2045, ""[0-9]+[a-f]?\."", """"))"),"")</f>
        <v/>
      </c>
      <c r="J2045" s="91" t="str">
        <f t="shared" si="665"/>
        <v>526. </v>
      </c>
      <c r="K2045" s="91" t="str">
        <f t="shared" si="666"/>
        <v>526. </v>
      </c>
      <c r="L2045" s="91" t="str">
        <f t="shared" si="667"/>
        <v>526. </v>
      </c>
    </row>
    <row r="2046" hidden="1">
      <c r="A2046" s="286"/>
      <c r="B2046" s="286"/>
      <c r="C2046" s="286"/>
      <c r="D2046" s="286"/>
      <c r="E2046" s="286"/>
    </row>
    <row r="2047" hidden="1">
      <c r="A2047" s="144" t="s">
        <v>648</v>
      </c>
      <c r="B2047" s="145" t="s">
        <v>3588</v>
      </c>
      <c r="C2047" s="145" t="s">
        <v>3589</v>
      </c>
      <c r="D2047" s="150" t="s">
        <v>3590</v>
      </c>
      <c r="E2047" s="150" t="s">
        <v>3591</v>
      </c>
    </row>
    <row r="2048" hidden="1">
      <c r="A2048" s="104" t="s">
        <v>108</v>
      </c>
      <c r="B2048" s="105" t="s">
        <v>3595</v>
      </c>
      <c r="C2048" s="264"/>
      <c r="D2048" s="264"/>
      <c r="E2048" s="264"/>
    </row>
    <row r="2049" hidden="1">
      <c r="A2049" s="104" t="s">
        <v>108</v>
      </c>
      <c r="B2049" s="105" t="s">
        <v>3602</v>
      </c>
      <c r="C2049" s="264" t="s">
        <v>3603</v>
      </c>
      <c r="D2049" s="264" t="s">
        <v>3604</v>
      </c>
      <c r="E2049" s="264" t="s">
        <v>3605</v>
      </c>
    </row>
    <row r="2050" hidden="1">
      <c r="A2050" s="146"/>
      <c r="B2050" s="147"/>
      <c r="C2050" s="31"/>
      <c r="D2050" s="31"/>
      <c r="E2050" s="31"/>
      <c r="F2050" s="89">
        <v>527.0</v>
      </c>
      <c r="G2050" s="91" t="str">
        <f>IFERROR(__xludf.DUMMYFUNCTION("TRIM(REGEXREPLACE(C2050, ""[0-9]+[a-f]?\."", """"))"),"")</f>
        <v/>
      </c>
      <c r="H2050" s="91" t="str">
        <f>IFERROR(__xludf.DUMMYFUNCTION("TRIM(REGEXREPLACE(D2050, ""[0-9]+[a-f]?\."", """"))"),"")</f>
        <v/>
      </c>
      <c r="I2050" s="91" t="str">
        <f>IFERROR(__xludf.DUMMYFUNCTION("TRIM(REGEXREPLACE(E2050, ""[0-9]+[a-f]?\."", """"))"),"")</f>
        <v/>
      </c>
      <c r="J2050" s="91" t="str">
        <f>F2050 &amp; ". " &amp;G2050</f>
        <v>527. </v>
      </c>
      <c r="K2050" s="91" t="str">
        <f>F2050 &amp; ". " &amp;H2050</f>
        <v>527. </v>
      </c>
      <c r="L2050" s="91" t="str">
        <f>F2050 &amp; ". " &amp;I2050</f>
        <v>527. </v>
      </c>
    </row>
    <row r="2051" hidden="1">
      <c r="A2051" s="144" t="s">
        <v>691</v>
      </c>
      <c r="B2051" s="150" t="s">
        <v>3588</v>
      </c>
      <c r="C2051" s="150" t="s">
        <v>3589</v>
      </c>
      <c r="D2051" s="150" t="s">
        <v>3590</v>
      </c>
      <c r="E2051" s="150" t="s">
        <v>3591</v>
      </c>
    </row>
    <row r="2052" hidden="1">
      <c r="A2052" s="149"/>
      <c r="B2052" s="131"/>
      <c r="C2052" s="31"/>
      <c r="D2052" s="31"/>
      <c r="E2052" s="31"/>
      <c r="F2052" s="89">
        <v>528.0</v>
      </c>
      <c r="G2052" s="91" t="str">
        <f>IFERROR(__xludf.DUMMYFUNCTION("TRIM(REGEXREPLACE(C2052, ""[0-9]+[a-f]?\."", """"))"),"")</f>
        <v/>
      </c>
      <c r="H2052" s="91" t="str">
        <f>IFERROR(__xludf.DUMMYFUNCTION("TRIM(REGEXREPLACE(D2052, ""[0-9]+[a-f]?\."", """"))"),"")</f>
        <v/>
      </c>
      <c r="I2052" s="91" t="str">
        <f>IFERROR(__xludf.DUMMYFUNCTION("TRIM(REGEXREPLACE(E2052, ""[0-9]+[a-f]?\."", """"))"),"")</f>
        <v/>
      </c>
      <c r="J2052" s="91" t="str">
        <f t="shared" ref="J2052:J2056" si="668">F2052 &amp; ". " &amp;G2052</f>
        <v>528. </v>
      </c>
      <c r="K2052" s="91" t="str">
        <f t="shared" ref="K2052:K2056" si="669">F2052 &amp; ". " &amp;H2052</f>
        <v>528. </v>
      </c>
      <c r="L2052" s="91" t="str">
        <f t="shared" ref="L2052:L2056" si="670">F2052 &amp; ". " &amp;I2052</f>
        <v>528. </v>
      </c>
    </row>
    <row r="2053" hidden="1">
      <c r="A2053" s="81"/>
      <c r="B2053" s="142"/>
      <c r="C2053" s="31"/>
      <c r="D2053" s="31"/>
      <c r="E2053" s="31"/>
      <c r="F2053" s="89">
        <v>529.0</v>
      </c>
      <c r="G2053" s="91" t="str">
        <f>IFERROR(__xludf.DUMMYFUNCTION("TRIM(REGEXREPLACE(C2053, ""[0-9]+[a-f]?\."", """"))"),"")</f>
        <v/>
      </c>
      <c r="H2053" s="91" t="str">
        <f>IFERROR(__xludf.DUMMYFUNCTION("TRIM(REGEXREPLACE(D2053, ""[0-9]+[a-f]?\."", """"))"),"")</f>
        <v/>
      </c>
      <c r="I2053" s="91" t="str">
        <f>IFERROR(__xludf.DUMMYFUNCTION("TRIM(REGEXREPLACE(E2053, ""[0-9]+[a-f]?\."", """"))"),"")</f>
        <v/>
      </c>
      <c r="J2053" s="91" t="str">
        <f t="shared" si="668"/>
        <v>529. </v>
      </c>
      <c r="K2053" s="91" t="str">
        <f t="shared" si="669"/>
        <v>529. </v>
      </c>
      <c r="L2053" s="91" t="str">
        <f t="shared" si="670"/>
        <v>529. </v>
      </c>
    </row>
    <row r="2054" hidden="1">
      <c r="A2054" s="146"/>
      <c r="B2054" s="147"/>
      <c r="C2054" s="31"/>
      <c r="D2054" s="31"/>
      <c r="E2054" s="31"/>
      <c r="F2054" s="89">
        <v>530.0</v>
      </c>
      <c r="G2054" s="91" t="str">
        <f>IFERROR(__xludf.DUMMYFUNCTION("TRIM(REGEXREPLACE(C2054, ""[0-9]+[a-f]?\."", """"))"),"")</f>
        <v/>
      </c>
      <c r="H2054" s="91" t="str">
        <f>IFERROR(__xludf.DUMMYFUNCTION("TRIM(REGEXREPLACE(D2054, ""[0-9]+[a-f]?\."", """"))"),"")</f>
        <v/>
      </c>
      <c r="I2054" s="91" t="str">
        <f>IFERROR(__xludf.DUMMYFUNCTION("TRIM(REGEXREPLACE(E2054, ""[0-9]+[a-f]?\."", """"))"),"")</f>
        <v/>
      </c>
      <c r="J2054" s="91" t="str">
        <f t="shared" si="668"/>
        <v>530. </v>
      </c>
      <c r="K2054" s="91" t="str">
        <f t="shared" si="669"/>
        <v>530. </v>
      </c>
      <c r="L2054" s="91" t="str">
        <f t="shared" si="670"/>
        <v>530. </v>
      </c>
    </row>
    <row r="2055" hidden="1">
      <c r="A2055" s="146"/>
      <c r="B2055" s="147"/>
      <c r="C2055" s="31"/>
      <c r="D2055" s="31"/>
      <c r="E2055" s="31"/>
      <c r="F2055" s="89">
        <v>531.0</v>
      </c>
      <c r="G2055" s="91" t="str">
        <f>IFERROR(__xludf.DUMMYFUNCTION("TRIM(REGEXREPLACE(C2055, ""[0-9]+[a-f]?\."", """"))"),"")</f>
        <v/>
      </c>
      <c r="H2055" s="91" t="str">
        <f>IFERROR(__xludf.DUMMYFUNCTION("TRIM(REGEXREPLACE(D2055, ""[0-9]+[a-f]?\."", """"))"),"")</f>
        <v/>
      </c>
      <c r="I2055" s="91" t="str">
        <f>IFERROR(__xludf.DUMMYFUNCTION("TRIM(REGEXREPLACE(E2055, ""[0-9]+[a-f]?\."", """"))"),"")</f>
        <v/>
      </c>
      <c r="J2055" s="91" t="str">
        <f t="shared" si="668"/>
        <v>531. </v>
      </c>
      <c r="K2055" s="91" t="str">
        <f t="shared" si="669"/>
        <v>531. </v>
      </c>
      <c r="L2055" s="91" t="str">
        <f t="shared" si="670"/>
        <v>531. </v>
      </c>
    </row>
    <row r="2056" hidden="1">
      <c r="A2056" s="146"/>
      <c r="B2056" s="147"/>
      <c r="C2056" s="31"/>
      <c r="D2056" s="31"/>
      <c r="E2056" s="31"/>
      <c r="F2056" s="89">
        <v>532.0</v>
      </c>
      <c r="G2056" s="91" t="str">
        <f>IFERROR(__xludf.DUMMYFUNCTION("TRIM(REGEXREPLACE(C2056, ""[0-9]+[a-f]?\."", """"))"),"")</f>
        <v/>
      </c>
      <c r="H2056" s="91" t="str">
        <f>IFERROR(__xludf.DUMMYFUNCTION("TRIM(REGEXREPLACE(D2056, ""[0-9]+[a-f]?\."", """"))"),"")</f>
        <v/>
      </c>
      <c r="I2056" s="91" t="str">
        <f>IFERROR(__xludf.DUMMYFUNCTION("TRIM(REGEXREPLACE(E2056, ""[0-9]+[a-f]?\."", """"))"),"")</f>
        <v/>
      </c>
      <c r="J2056" s="91" t="str">
        <f t="shared" si="668"/>
        <v>532. </v>
      </c>
      <c r="K2056" s="91" t="str">
        <f t="shared" si="669"/>
        <v>532. </v>
      </c>
      <c r="L2056" s="91" t="str">
        <f t="shared" si="670"/>
        <v>532. </v>
      </c>
    </row>
    <row r="2057" hidden="1">
      <c r="A2057" s="104" t="s">
        <v>108</v>
      </c>
      <c r="B2057" s="105" t="s">
        <v>3664</v>
      </c>
      <c r="C2057" s="264" t="s">
        <v>3665</v>
      </c>
      <c r="D2057" s="264" t="s">
        <v>3667</v>
      </c>
      <c r="E2057" s="264" t="s">
        <v>3669</v>
      </c>
    </row>
    <row r="2058" hidden="1">
      <c r="A2058" s="81"/>
      <c r="B2058" s="142"/>
      <c r="C2058" s="31"/>
      <c r="D2058" s="31"/>
      <c r="E2058" s="31"/>
      <c r="F2058" s="89">
        <v>533.0</v>
      </c>
      <c r="G2058" s="91" t="str">
        <f>IFERROR(__xludf.DUMMYFUNCTION("TRIM(REGEXREPLACE(C2058, ""[0-9]+[a-f]?\."", """"))"),"")</f>
        <v/>
      </c>
      <c r="H2058" s="91" t="str">
        <f>IFERROR(__xludf.DUMMYFUNCTION("TRIM(REGEXREPLACE(D2058, ""[0-9]+[a-f]?\."", """"))"),"")</f>
        <v/>
      </c>
      <c r="I2058" s="91" t="str">
        <f>IFERROR(__xludf.DUMMYFUNCTION("TRIM(REGEXREPLACE(E2058, ""[0-9]+[a-f]?\."", """"))"),"")</f>
        <v/>
      </c>
      <c r="J2058" s="91" t="str">
        <f t="shared" ref="J2058:J2060" si="671">F2058 &amp; ". " &amp;G2058</f>
        <v>533. </v>
      </c>
      <c r="K2058" s="91" t="str">
        <f t="shared" ref="K2058:K2060" si="672">F2058 &amp; ". " &amp;H2058</f>
        <v>533. </v>
      </c>
      <c r="L2058" s="91" t="str">
        <f t="shared" ref="L2058:L2060" si="673">F2058 &amp; ". " &amp;I2058</f>
        <v>533. </v>
      </c>
    </row>
    <row r="2059" hidden="1">
      <c r="A2059" s="126"/>
      <c r="B2059" s="127"/>
      <c r="C2059" s="31"/>
      <c r="D2059" s="31"/>
      <c r="E2059" s="31"/>
      <c r="F2059" s="89">
        <v>534.0</v>
      </c>
      <c r="G2059" s="91" t="str">
        <f>IFERROR(__xludf.DUMMYFUNCTION("TRIM(REGEXREPLACE(C2059, ""[0-9]+[a-f]?\."", """"))"),"")</f>
        <v/>
      </c>
      <c r="H2059" s="91" t="str">
        <f>IFERROR(__xludf.DUMMYFUNCTION("TRIM(REGEXREPLACE(D2059, ""[0-9]+[a-f]?\."", """"))"),"")</f>
        <v/>
      </c>
      <c r="I2059" s="91" t="str">
        <f>IFERROR(__xludf.DUMMYFUNCTION("TRIM(REGEXREPLACE(E2059, ""[0-9]+[a-f]?\."", """"))"),"")</f>
        <v/>
      </c>
      <c r="J2059" s="91" t="str">
        <f t="shared" si="671"/>
        <v>534. </v>
      </c>
      <c r="K2059" s="91" t="str">
        <f t="shared" si="672"/>
        <v>534. </v>
      </c>
      <c r="L2059" s="91" t="str">
        <f t="shared" si="673"/>
        <v>534. </v>
      </c>
    </row>
    <row r="2060" hidden="1">
      <c r="A2060" s="81"/>
      <c r="B2060" s="142"/>
      <c r="C2060" s="31"/>
      <c r="D2060" s="31"/>
      <c r="E2060" s="31"/>
      <c r="F2060" s="89">
        <v>535.0</v>
      </c>
      <c r="G2060" s="91" t="str">
        <f>IFERROR(__xludf.DUMMYFUNCTION("TRIM(REGEXREPLACE(C2060, ""[0-9]+[a-f]?\."", """"))"),"")</f>
        <v/>
      </c>
      <c r="H2060" s="91" t="str">
        <f>IFERROR(__xludf.DUMMYFUNCTION("TRIM(REGEXREPLACE(D2060, ""[0-9]+[a-f]?\."", """"))"),"")</f>
        <v/>
      </c>
      <c r="I2060" s="91" t="str">
        <f>IFERROR(__xludf.DUMMYFUNCTION("TRIM(REGEXREPLACE(E2060, ""[0-9]+[a-f]?\."", """"))"),"")</f>
        <v/>
      </c>
      <c r="J2060" s="91" t="str">
        <f t="shared" si="671"/>
        <v>535. </v>
      </c>
      <c r="K2060" s="91" t="str">
        <f t="shared" si="672"/>
        <v>535. </v>
      </c>
      <c r="L2060" s="91" t="str">
        <f t="shared" si="673"/>
        <v>535. </v>
      </c>
    </row>
    <row r="2061" hidden="1">
      <c r="A2061" s="104" t="s">
        <v>139</v>
      </c>
      <c r="B2061" s="141" t="s">
        <v>3699</v>
      </c>
      <c r="C2061" s="264"/>
      <c r="D2061" s="264"/>
      <c r="E2061" s="264"/>
    </row>
    <row r="2062" hidden="1">
      <c r="A2062" s="67" t="s">
        <v>108</v>
      </c>
      <c r="B2062" s="69" t="s">
        <v>3703</v>
      </c>
      <c r="C2062" s="123"/>
      <c r="D2062" s="153"/>
      <c r="E2062" s="153"/>
    </row>
    <row r="2063" hidden="1">
      <c r="A2063" s="104" t="s">
        <v>139</v>
      </c>
      <c r="B2063" s="141" t="s">
        <v>3710</v>
      </c>
      <c r="C2063" s="264"/>
      <c r="D2063" s="264"/>
      <c r="E2063" s="264"/>
    </row>
    <row r="2064" hidden="1">
      <c r="A2064" s="144" t="s">
        <v>648</v>
      </c>
      <c r="B2064" s="145" t="s">
        <v>3714</v>
      </c>
      <c r="C2064" s="145" t="s">
        <v>3715</v>
      </c>
      <c r="D2064" s="150" t="s">
        <v>3716</v>
      </c>
      <c r="E2064" s="150" t="s">
        <v>3717</v>
      </c>
    </row>
    <row r="2065" hidden="1">
      <c r="A2065" s="104" t="s">
        <v>108</v>
      </c>
      <c r="B2065" s="105" t="s">
        <v>3723</v>
      </c>
      <c r="C2065" s="264"/>
      <c r="D2065" s="264"/>
      <c r="E2065" s="264"/>
    </row>
    <row r="2066" hidden="1">
      <c r="A2066" s="104" t="s">
        <v>108</v>
      </c>
      <c r="B2066" s="105" t="s">
        <v>3724</v>
      </c>
      <c r="C2066" s="264"/>
      <c r="D2066" s="264"/>
      <c r="E2066" s="264"/>
    </row>
    <row r="2067" hidden="1">
      <c r="A2067" s="146"/>
      <c r="B2067" s="147"/>
      <c r="C2067" s="31"/>
      <c r="D2067" s="31"/>
      <c r="E2067" s="31"/>
      <c r="F2067" s="89">
        <v>536.0</v>
      </c>
      <c r="G2067" s="91" t="str">
        <f>IFERROR(__xludf.DUMMYFUNCTION("TRIM(REGEXREPLACE(C2067, ""[0-9]+[a-f]?\."", """"))"),"")</f>
        <v/>
      </c>
      <c r="H2067" s="91" t="str">
        <f>IFERROR(__xludf.DUMMYFUNCTION("TRIM(REGEXREPLACE(D2067, ""[0-9]+[a-f]?\."", """"))"),"")</f>
        <v/>
      </c>
      <c r="I2067" s="91" t="str">
        <f>IFERROR(__xludf.DUMMYFUNCTION("TRIM(REGEXREPLACE(E2067, ""[0-9]+[a-f]?\."", """"))"),"")</f>
        <v/>
      </c>
      <c r="J2067" s="91" t="str">
        <f t="shared" ref="J2067:J2068" si="674">F2067 &amp; ". " &amp;G2067</f>
        <v>536. </v>
      </c>
      <c r="K2067" s="91" t="str">
        <f t="shared" ref="K2067:K2068" si="675">F2067 &amp; ". " &amp;H2067</f>
        <v>536. </v>
      </c>
      <c r="L2067" s="91" t="str">
        <f t="shared" ref="L2067:L2068" si="676">F2067 &amp; ". " &amp;I2067</f>
        <v>536. </v>
      </c>
    </row>
    <row r="2068" hidden="1">
      <c r="A2068" s="146"/>
      <c r="B2068" s="147"/>
      <c r="C2068" s="31"/>
      <c r="D2068" s="31"/>
      <c r="E2068" s="31"/>
      <c r="F2068" s="89">
        <v>537.0</v>
      </c>
      <c r="G2068" s="91" t="str">
        <f>IFERROR(__xludf.DUMMYFUNCTION("TRIM(REGEXREPLACE(C2068, ""[0-9]+[a-f]?\."", """"))"),"")</f>
        <v/>
      </c>
      <c r="H2068" s="91" t="str">
        <f>IFERROR(__xludf.DUMMYFUNCTION("TRIM(REGEXREPLACE(D2068, ""[0-9]+[a-f]?\."", """"))"),"")</f>
        <v/>
      </c>
      <c r="I2068" s="91" t="str">
        <f>IFERROR(__xludf.DUMMYFUNCTION("TRIM(REGEXREPLACE(E2068, ""[0-9]+[a-f]?\."", """"))"),"")</f>
        <v/>
      </c>
      <c r="J2068" s="91" t="str">
        <f t="shared" si="674"/>
        <v>537. </v>
      </c>
      <c r="K2068" s="91" t="str">
        <f t="shared" si="675"/>
        <v>537. </v>
      </c>
      <c r="L2068" s="91" t="str">
        <f t="shared" si="676"/>
        <v>537. </v>
      </c>
    </row>
    <row r="2069" hidden="1">
      <c r="A2069" s="104" t="s">
        <v>108</v>
      </c>
      <c r="B2069" s="105" t="s">
        <v>3746</v>
      </c>
      <c r="C2069" s="264" t="s">
        <v>3747</v>
      </c>
      <c r="D2069" s="264" t="s">
        <v>3748</v>
      </c>
      <c r="E2069" s="264" t="s">
        <v>3749</v>
      </c>
    </row>
    <row r="2070" hidden="1">
      <c r="A2070" s="144" t="s">
        <v>691</v>
      </c>
      <c r="B2070" s="150" t="s">
        <v>3714</v>
      </c>
      <c r="C2070" s="150"/>
      <c r="D2070" s="150"/>
      <c r="E2070" s="150"/>
    </row>
    <row r="2071" hidden="1">
      <c r="A2071" s="104" t="s">
        <v>139</v>
      </c>
      <c r="B2071" s="141" t="s">
        <v>3760</v>
      </c>
      <c r="C2071" s="264"/>
      <c r="D2071" s="264"/>
      <c r="E2071" s="264"/>
    </row>
    <row r="2072" hidden="1">
      <c r="A2072" s="67" t="s">
        <v>108</v>
      </c>
      <c r="B2072" s="69" t="s">
        <v>3766</v>
      </c>
      <c r="C2072" s="123"/>
      <c r="D2072" s="153"/>
      <c r="E2072" s="153"/>
    </row>
    <row r="2073" hidden="1">
      <c r="A2073" s="81"/>
      <c r="B2073" s="142"/>
      <c r="C2073" s="31"/>
      <c r="D2073" s="31"/>
      <c r="E2073" s="31"/>
      <c r="F2073" s="89">
        <v>538.0</v>
      </c>
      <c r="G2073" s="91" t="str">
        <f>IFERROR(__xludf.DUMMYFUNCTION("TRIM(REGEXREPLACE(C2073, ""[0-9]+[a-f]?\."", """"))"),"")</f>
        <v/>
      </c>
      <c r="H2073" s="91" t="str">
        <f>IFERROR(__xludf.DUMMYFUNCTION("TRIM(REGEXREPLACE(D2073, ""[0-9]+[a-f]?\."", """"))"),"")</f>
        <v/>
      </c>
      <c r="I2073" s="91" t="str">
        <f>IFERROR(__xludf.DUMMYFUNCTION("TRIM(REGEXREPLACE(E2073, ""[0-9]+[a-f]?\."", """"))"),"")</f>
        <v/>
      </c>
      <c r="J2073" s="91" t="str">
        <f t="shared" ref="J2073:J2075" si="677">F2073 &amp; ". " &amp;G2073</f>
        <v>538. </v>
      </c>
      <c r="K2073" s="91" t="str">
        <f t="shared" ref="K2073:K2075" si="678">F2073 &amp; ". " &amp;H2073</f>
        <v>538. </v>
      </c>
      <c r="L2073" s="91" t="str">
        <f t="shared" ref="L2073:L2075" si="679">F2073 &amp; ". " &amp;I2073</f>
        <v>538. </v>
      </c>
    </row>
    <row r="2074" hidden="1">
      <c r="A2074" s="133"/>
      <c r="B2074" s="143"/>
      <c r="C2074" s="31"/>
      <c r="D2074" s="31"/>
      <c r="E2074" s="31"/>
      <c r="F2074" s="89">
        <v>539.0</v>
      </c>
      <c r="G2074" s="91" t="str">
        <f>IFERROR(__xludf.DUMMYFUNCTION("TRIM(REGEXREPLACE(C2074, ""[0-9]+[a-f]?\."", """"))"),"")</f>
        <v/>
      </c>
      <c r="H2074" s="91" t="str">
        <f>IFERROR(__xludf.DUMMYFUNCTION("TRIM(REGEXREPLACE(D2074, ""[0-9]+[a-f]?\."", """"))"),"")</f>
        <v/>
      </c>
      <c r="I2074" s="91" t="str">
        <f>IFERROR(__xludf.DUMMYFUNCTION("TRIM(REGEXREPLACE(E2074, ""[0-9]+[a-f]?\."", """"))"),"")</f>
        <v/>
      </c>
      <c r="J2074" s="91" t="str">
        <f t="shared" si="677"/>
        <v>539. </v>
      </c>
      <c r="K2074" s="91" t="str">
        <f t="shared" si="678"/>
        <v>539. </v>
      </c>
      <c r="L2074" s="91" t="str">
        <f t="shared" si="679"/>
        <v>539. </v>
      </c>
    </row>
    <row r="2075" hidden="1">
      <c r="A2075" s="146"/>
      <c r="B2075" s="147"/>
      <c r="C2075" s="31"/>
      <c r="D2075" s="31"/>
      <c r="E2075" s="31"/>
      <c r="F2075" s="89">
        <v>540.0</v>
      </c>
      <c r="G2075" s="91" t="str">
        <f>IFERROR(__xludf.DUMMYFUNCTION("TRIM(REGEXREPLACE(C2075, ""[0-9]+[a-f]?\."", """"))"),"")</f>
        <v/>
      </c>
      <c r="H2075" s="91" t="str">
        <f>IFERROR(__xludf.DUMMYFUNCTION("TRIM(REGEXREPLACE(D2075, ""[0-9]+[a-f]?\."", """"))"),"")</f>
        <v/>
      </c>
      <c r="I2075" s="91" t="str">
        <f>IFERROR(__xludf.DUMMYFUNCTION("TRIM(REGEXREPLACE(E2075, ""[0-9]+[a-f]?\."", """"))"),"")</f>
        <v/>
      </c>
      <c r="J2075" s="91" t="str">
        <f t="shared" si="677"/>
        <v>540. </v>
      </c>
      <c r="K2075" s="91" t="str">
        <f t="shared" si="678"/>
        <v>540. </v>
      </c>
      <c r="L2075" s="91" t="str">
        <f t="shared" si="679"/>
        <v>540. </v>
      </c>
    </row>
    <row r="2076" hidden="1">
      <c r="A2076" s="104" t="s">
        <v>108</v>
      </c>
      <c r="B2076" s="105" t="s">
        <v>3790</v>
      </c>
      <c r="C2076" s="264" t="s">
        <v>3791</v>
      </c>
      <c r="D2076" s="264"/>
      <c r="E2076" s="264"/>
    </row>
    <row r="2077" hidden="1">
      <c r="A2077" s="104" t="s">
        <v>108</v>
      </c>
      <c r="B2077" s="105" t="s">
        <v>3797</v>
      </c>
      <c r="C2077" s="264" t="s">
        <v>3798</v>
      </c>
      <c r="D2077" s="264"/>
      <c r="E2077" s="264"/>
    </row>
    <row r="2078" hidden="1">
      <c r="A2078" s="104" t="s">
        <v>108</v>
      </c>
      <c r="B2078" s="105" t="s">
        <v>3802</v>
      </c>
      <c r="C2078" s="264" t="s">
        <v>3803</v>
      </c>
      <c r="D2078" s="264"/>
      <c r="E2078" s="264"/>
    </row>
    <row r="2079" hidden="1">
      <c r="A2079" s="104" t="s">
        <v>108</v>
      </c>
      <c r="B2079" s="105" t="s">
        <v>3810</v>
      </c>
      <c r="C2079" s="264" t="s">
        <v>3811</v>
      </c>
      <c r="D2079" s="264"/>
      <c r="E2079" s="264"/>
    </row>
    <row r="2080" hidden="1">
      <c r="A2080" s="104" t="s">
        <v>108</v>
      </c>
      <c r="B2080" s="105" t="s">
        <v>3815</v>
      </c>
      <c r="C2080" s="264" t="s">
        <v>3816</v>
      </c>
      <c r="D2080" s="264"/>
      <c r="E2080" s="264"/>
    </row>
    <row r="2081" hidden="1">
      <c r="A2081" s="104" t="s">
        <v>108</v>
      </c>
      <c r="B2081" s="105" t="s">
        <v>3824</v>
      </c>
      <c r="C2081" s="264" t="s">
        <v>3825</v>
      </c>
      <c r="D2081" s="264"/>
      <c r="E2081" s="264"/>
    </row>
    <row r="2082" hidden="1">
      <c r="A2082" s="104" t="s">
        <v>108</v>
      </c>
      <c r="B2082" s="105" t="s">
        <v>3829</v>
      </c>
      <c r="C2082" s="264" t="s">
        <v>3831</v>
      </c>
      <c r="D2082" s="264"/>
      <c r="E2082" s="264"/>
    </row>
    <row r="2083" hidden="1">
      <c r="A2083" s="104" t="s">
        <v>108</v>
      </c>
      <c r="B2083" s="105" t="s">
        <v>3837</v>
      </c>
      <c r="C2083" s="264" t="s">
        <v>3838</v>
      </c>
      <c r="D2083" s="264"/>
      <c r="E2083" s="264"/>
    </row>
    <row r="2084" hidden="1">
      <c r="A2084" s="104" t="s">
        <v>108</v>
      </c>
      <c r="B2084" s="105" t="s">
        <v>3839</v>
      </c>
      <c r="C2084" s="264"/>
      <c r="D2084" s="264"/>
      <c r="E2084" s="264"/>
    </row>
    <row r="2085" hidden="1">
      <c r="A2085" s="81"/>
      <c r="B2085" s="142"/>
      <c r="C2085" s="31"/>
      <c r="D2085" s="31"/>
      <c r="E2085" s="31"/>
      <c r="F2085" s="89">
        <v>541.0</v>
      </c>
      <c r="G2085" s="91" t="str">
        <f>IFERROR(__xludf.DUMMYFUNCTION("TRIM(REGEXREPLACE(C2085, ""[0-9]+[a-f]?\."", """"))"),"")</f>
        <v/>
      </c>
      <c r="H2085" s="91" t="str">
        <f>IFERROR(__xludf.DUMMYFUNCTION("TRIM(REGEXREPLACE(D2085, ""[0-9]+[a-f]?\."", """"))"),"")</f>
        <v/>
      </c>
      <c r="I2085" s="91" t="str">
        <f>IFERROR(__xludf.DUMMYFUNCTION("TRIM(REGEXREPLACE(E2085, ""[0-9]+[a-f]?\."", """"))"),"")</f>
        <v/>
      </c>
      <c r="J2085" s="91" t="str">
        <f t="shared" ref="J2085:J2086" si="680">F2085 &amp; ". " &amp;G2085</f>
        <v>541. </v>
      </c>
      <c r="K2085" s="91" t="str">
        <f t="shared" ref="K2085:K2086" si="681">F2085 &amp; ". " &amp;H2085</f>
        <v>541. </v>
      </c>
      <c r="L2085" s="91" t="str">
        <f t="shared" ref="L2085:L2086" si="682">F2085 &amp; ". " &amp;I2085</f>
        <v>541. </v>
      </c>
    </row>
    <row r="2086" hidden="1">
      <c r="A2086" s="126"/>
      <c r="B2086" s="243"/>
      <c r="C2086" s="31"/>
      <c r="D2086" s="31"/>
      <c r="E2086" s="31"/>
      <c r="F2086" s="89">
        <v>542.0</v>
      </c>
      <c r="G2086" s="91" t="str">
        <f>IFERROR(__xludf.DUMMYFUNCTION("TRIM(REGEXREPLACE(C2086, ""[0-9]+[a-f]?\."", """"))"),"")</f>
        <v/>
      </c>
      <c r="H2086" s="91" t="str">
        <f>IFERROR(__xludf.DUMMYFUNCTION("TRIM(REGEXREPLACE(D2086, ""[0-9]+[a-f]?\."", """"))"),"")</f>
        <v/>
      </c>
      <c r="I2086" s="91" t="str">
        <f>IFERROR(__xludf.DUMMYFUNCTION("TRIM(REGEXREPLACE(E2086, ""[0-9]+[a-f]?\."", """"))"),"")</f>
        <v/>
      </c>
      <c r="J2086" s="91" t="str">
        <f t="shared" si="680"/>
        <v>542. </v>
      </c>
      <c r="K2086" s="91" t="str">
        <f t="shared" si="681"/>
        <v>542. </v>
      </c>
      <c r="L2086" s="91" t="str">
        <f t="shared" si="682"/>
        <v>542. </v>
      </c>
    </row>
    <row r="2087" hidden="1">
      <c r="A2087" s="104" t="s">
        <v>139</v>
      </c>
      <c r="B2087" s="141" t="s">
        <v>3856</v>
      </c>
      <c r="C2087" s="264"/>
      <c r="D2087" s="264"/>
      <c r="E2087" s="264"/>
    </row>
    <row r="2088" hidden="1">
      <c r="A2088" s="144" t="s">
        <v>648</v>
      </c>
      <c r="B2088" s="145" t="s">
        <v>3864</v>
      </c>
      <c r="C2088" s="145" t="s">
        <v>3867</v>
      </c>
      <c r="D2088" s="150" t="s">
        <v>3868</v>
      </c>
      <c r="E2088" s="150" t="s">
        <v>3869</v>
      </c>
    </row>
    <row r="2089" hidden="1">
      <c r="A2089" s="104" t="s">
        <v>108</v>
      </c>
      <c r="B2089" s="105" t="s">
        <v>3876</v>
      </c>
      <c r="C2089" s="264"/>
      <c r="D2089" s="264"/>
      <c r="E2089" s="264"/>
    </row>
    <row r="2090" hidden="1">
      <c r="A2090" s="146"/>
      <c r="B2090" s="147"/>
      <c r="C2090" s="31"/>
      <c r="D2090" s="31"/>
      <c r="E2090" s="31"/>
      <c r="F2090" s="89">
        <v>543.0</v>
      </c>
      <c r="G2090" s="91" t="str">
        <f>IFERROR(__xludf.DUMMYFUNCTION("TRIM(REGEXREPLACE(C2090, ""[0-9]+[a-f]?\."", """"))"),"")</f>
        <v/>
      </c>
      <c r="H2090" s="91" t="str">
        <f>IFERROR(__xludf.DUMMYFUNCTION("TRIM(REGEXREPLACE(D2090, ""[0-9]+[a-f]?\."", """"))"),"")</f>
        <v/>
      </c>
      <c r="I2090" s="91" t="str">
        <f>IFERROR(__xludf.DUMMYFUNCTION("TRIM(REGEXREPLACE(E2090, ""[0-9]+[a-f]?\."", """"))"),"")</f>
        <v/>
      </c>
      <c r="J2090" s="91" t="str">
        <f t="shared" ref="J2090:J2095" si="683">F2090 &amp; ". " &amp;G2090</f>
        <v>543. </v>
      </c>
      <c r="K2090" s="91" t="str">
        <f t="shared" ref="K2090:K2095" si="684">F2090 &amp; ". " &amp;H2090</f>
        <v>543. </v>
      </c>
      <c r="L2090" s="91" t="str">
        <f t="shared" ref="L2090:L2095" si="685">F2090 &amp; ". " &amp;I2090</f>
        <v>543. </v>
      </c>
    </row>
    <row r="2091" hidden="1">
      <c r="A2091" s="146"/>
      <c r="B2091" s="258"/>
      <c r="C2091" s="31"/>
      <c r="D2091" s="31"/>
      <c r="E2091" s="31"/>
      <c r="F2091" s="89">
        <v>544.0</v>
      </c>
      <c r="G2091" s="91" t="str">
        <f>IFERROR(__xludf.DUMMYFUNCTION("TRIM(REGEXREPLACE(C2091, ""[0-9]+[a-f]?\."", """"))"),"")</f>
        <v/>
      </c>
      <c r="H2091" s="91" t="str">
        <f>IFERROR(__xludf.DUMMYFUNCTION("TRIM(REGEXREPLACE(D2091, ""[0-9]+[a-f]?\."", """"))"),"")</f>
        <v/>
      </c>
      <c r="I2091" s="91" t="str">
        <f>IFERROR(__xludf.DUMMYFUNCTION("TRIM(REGEXREPLACE(E2091, ""[0-9]+[a-f]?\."", """"))"),"")</f>
        <v/>
      </c>
      <c r="J2091" s="91" t="str">
        <f t="shared" si="683"/>
        <v>544. </v>
      </c>
      <c r="K2091" s="91" t="str">
        <f t="shared" si="684"/>
        <v>544. </v>
      </c>
      <c r="L2091" s="91" t="str">
        <f t="shared" si="685"/>
        <v>544. </v>
      </c>
    </row>
    <row r="2092" hidden="1">
      <c r="A2092" s="146"/>
      <c r="B2092" s="147"/>
      <c r="C2092" s="31"/>
      <c r="D2092" s="31"/>
      <c r="E2092" s="31"/>
      <c r="F2092" s="89">
        <v>545.0</v>
      </c>
      <c r="G2092" s="91" t="str">
        <f>IFERROR(__xludf.DUMMYFUNCTION("TRIM(REGEXREPLACE(C2092, ""[0-9]+[a-f]?\."", """"))"),"")</f>
        <v/>
      </c>
      <c r="H2092" s="91" t="str">
        <f>IFERROR(__xludf.DUMMYFUNCTION("TRIM(REGEXREPLACE(D2092, ""[0-9]+[a-f]?\."", """"))"),"")</f>
        <v/>
      </c>
      <c r="I2092" s="91" t="str">
        <f>IFERROR(__xludf.DUMMYFUNCTION("TRIM(REGEXREPLACE(E2092, ""[0-9]+[a-f]?\."", """"))"),"")</f>
        <v/>
      </c>
      <c r="J2092" s="91" t="str">
        <f t="shared" si="683"/>
        <v>545. </v>
      </c>
      <c r="K2092" s="91" t="str">
        <f t="shared" si="684"/>
        <v>545. </v>
      </c>
      <c r="L2092" s="91" t="str">
        <f t="shared" si="685"/>
        <v>545. </v>
      </c>
    </row>
    <row r="2093" hidden="1">
      <c r="A2093" s="146"/>
      <c r="B2093" s="258"/>
      <c r="C2093" s="31"/>
      <c r="D2093" s="31"/>
      <c r="E2093" s="31"/>
      <c r="F2093" s="89">
        <v>546.0</v>
      </c>
      <c r="G2093" s="91" t="str">
        <f>IFERROR(__xludf.DUMMYFUNCTION("TRIM(REGEXREPLACE(C2093, ""[0-9]+[a-f]?\."", """"))"),"")</f>
        <v/>
      </c>
      <c r="H2093" s="91" t="str">
        <f>IFERROR(__xludf.DUMMYFUNCTION("TRIM(REGEXREPLACE(D2093, ""[0-9]+[a-f]?\."", """"))"),"")</f>
        <v/>
      </c>
      <c r="I2093" s="91" t="str">
        <f>IFERROR(__xludf.DUMMYFUNCTION("TRIM(REGEXREPLACE(E2093, ""[0-9]+[a-f]?\."", """"))"),"")</f>
        <v/>
      </c>
      <c r="J2093" s="91" t="str">
        <f t="shared" si="683"/>
        <v>546. </v>
      </c>
      <c r="K2093" s="91" t="str">
        <f t="shared" si="684"/>
        <v>546. </v>
      </c>
      <c r="L2093" s="91" t="str">
        <f t="shared" si="685"/>
        <v>546. </v>
      </c>
    </row>
    <row r="2094" hidden="1">
      <c r="A2094" s="146"/>
      <c r="B2094" s="147"/>
      <c r="C2094" s="31"/>
      <c r="D2094" s="31"/>
      <c r="E2094" s="31"/>
      <c r="F2094" s="89">
        <v>547.0</v>
      </c>
      <c r="G2094" s="91" t="str">
        <f>IFERROR(__xludf.DUMMYFUNCTION("TRIM(REGEXREPLACE(C2094, ""[0-9]+[a-f]?\."", """"))"),"")</f>
        <v/>
      </c>
      <c r="H2094" s="91" t="str">
        <f>IFERROR(__xludf.DUMMYFUNCTION("TRIM(REGEXREPLACE(D2094, ""[0-9]+[a-f]?\."", """"))"),"")</f>
        <v/>
      </c>
      <c r="I2094" s="91" t="str">
        <f>IFERROR(__xludf.DUMMYFUNCTION("TRIM(REGEXREPLACE(E2094, ""[0-9]+[a-f]?\."", """"))"),"")</f>
        <v/>
      </c>
      <c r="J2094" s="91" t="str">
        <f t="shared" si="683"/>
        <v>547. </v>
      </c>
      <c r="K2094" s="91" t="str">
        <f t="shared" si="684"/>
        <v>547. </v>
      </c>
      <c r="L2094" s="91" t="str">
        <f t="shared" si="685"/>
        <v>547. </v>
      </c>
    </row>
    <row r="2095" hidden="1">
      <c r="A2095" s="146"/>
      <c r="B2095" s="258"/>
      <c r="C2095" s="31"/>
      <c r="D2095" s="150"/>
      <c r="E2095" s="150"/>
      <c r="F2095" s="89">
        <v>548.0</v>
      </c>
      <c r="G2095" s="91" t="str">
        <f>IFERROR(__xludf.DUMMYFUNCTION("TRIM(REGEXREPLACE(C2095, ""[0-9]+[a-f]?\."", """"))"),"")</f>
        <v/>
      </c>
      <c r="H2095" s="91" t="str">
        <f>IFERROR(__xludf.DUMMYFUNCTION("TRIM(REGEXREPLACE(D2095, ""[0-9]+[a-f]?\."", """"))"),"")</f>
        <v/>
      </c>
      <c r="I2095" s="91" t="str">
        <f>IFERROR(__xludf.DUMMYFUNCTION("TRIM(REGEXREPLACE(E2095, ""[0-9]+[a-f]?\."", """"))"),"")</f>
        <v/>
      </c>
      <c r="J2095" s="91" t="str">
        <f t="shared" si="683"/>
        <v>548. </v>
      </c>
      <c r="K2095" s="91" t="str">
        <f t="shared" si="684"/>
        <v>548. </v>
      </c>
      <c r="L2095" s="91" t="str">
        <f t="shared" si="685"/>
        <v>548. </v>
      </c>
    </row>
    <row r="2096" hidden="1">
      <c r="A2096" s="144" t="s">
        <v>691</v>
      </c>
      <c r="B2096" s="150" t="s">
        <v>3864</v>
      </c>
      <c r="C2096" s="150" t="s">
        <v>3867</v>
      </c>
      <c r="D2096" s="150" t="s">
        <v>3868</v>
      </c>
      <c r="E2096" s="150" t="s">
        <v>3869</v>
      </c>
    </row>
    <row r="2097" hidden="1">
      <c r="A2097" s="286"/>
      <c r="B2097" s="286"/>
      <c r="C2097" s="286"/>
      <c r="D2097" s="286"/>
      <c r="E2097" s="286"/>
    </row>
    <row r="2098" hidden="1">
      <c r="A2098" s="286"/>
      <c r="B2098" s="286"/>
      <c r="C2098" s="286"/>
      <c r="D2098" s="286"/>
      <c r="E2098" s="286"/>
    </row>
    <row r="2099" hidden="1">
      <c r="A2099" s="146"/>
      <c r="B2099" s="147"/>
      <c r="C2099" s="31"/>
      <c r="D2099" s="31"/>
      <c r="E2099" s="31"/>
      <c r="F2099" s="89">
        <v>549.0</v>
      </c>
      <c r="G2099" s="91" t="str">
        <f>IFERROR(__xludf.DUMMYFUNCTION("TRIM(REGEXREPLACE(C2099, ""[0-9]+[a-f]?\."", """"))"),"")</f>
        <v/>
      </c>
      <c r="H2099" s="91" t="str">
        <f>IFERROR(__xludf.DUMMYFUNCTION("TRIM(REGEXREPLACE(D2099, ""[0-9]+[a-f]?\."", """"))"),"")</f>
        <v/>
      </c>
      <c r="I2099" s="91" t="str">
        <f>IFERROR(__xludf.DUMMYFUNCTION("TRIM(REGEXREPLACE(E2099, ""[0-9]+[a-f]?\."", """"))"),"")</f>
        <v/>
      </c>
      <c r="J2099" s="91" t="str">
        <f t="shared" ref="J2099:J2104" si="686">F2099 &amp; ". " &amp;G2099</f>
        <v>549. </v>
      </c>
      <c r="K2099" s="91" t="str">
        <f t="shared" ref="K2099:K2104" si="687">F2099 &amp; ". " &amp;H2099</f>
        <v>549. </v>
      </c>
      <c r="L2099" s="91" t="str">
        <f t="shared" ref="L2099:L2104" si="688">F2099 &amp; ". " &amp;I2099</f>
        <v>549. </v>
      </c>
    </row>
    <row r="2100" hidden="1">
      <c r="A2100" s="126"/>
      <c r="B2100" s="127"/>
      <c r="C2100" s="31"/>
      <c r="D2100" s="31"/>
      <c r="E2100" s="31"/>
      <c r="F2100" s="89">
        <v>550.0</v>
      </c>
      <c r="G2100" s="91" t="str">
        <f>IFERROR(__xludf.DUMMYFUNCTION("TRIM(REGEXREPLACE(C2100, ""[0-9]+[a-f]?\."", """"))"),"")</f>
        <v/>
      </c>
      <c r="H2100" s="91" t="str">
        <f>IFERROR(__xludf.DUMMYFUNCTION("TRIM(REGEXREPLACE(D2100, ""[0-9]+[a-f]?\."", """"))"),"")</f>
        <v/>
      </c>
      <c r="I2100" s="91" t="str">
        <f>IFERROR(__xludf.DUMMYFUNCTION("TRIM(REGEXREPLACE(E2100, ""[0-9]+[a-f]?\."", """"))"),"")</f>
        <v/>
      </c>
      <c r="J2100" s="91" t="str">
        <f t="shared" si="686"/>
        <v>550. </v>
      </c>
      <c r="K2100" s="91" t="str">
        <f t="shared" si="687"/>
        <v>550. </v>
      </c>
      <c r="L2100" s="91" t="str">
        <f t="shared" si="688"/>
        <v>550. </v>
      </c>
    </row>
    <row r="2101" hidden="1">
      <c r="A2101" s="146"/>
      <c r="B2101" s="147"/>
      <c r="C2101" s="31"/>
      <c r="D2101" s="31"/>
      <c r="E2101" s="31"/>
      <c r="F2101" s="89">
        <v>551.0</v>
      </c>
      <c r="G2101" s="91" t="str">
        <f>IFERROR(__xludf.DUMMYFUNCTION("TRIM(REGEXREPLACE(C2101, ""[0-9]+[a-f]?\."", """"))"),"")</f>
        <v/>
      </c>
      <c r="H2101" s="91" t="str">
        <f>IFERROR(__xludf.DUMMYFUNCTION("TRIM(REGEXREPLACE(D2101, ""[0-9]+[a-f]?\."", """"))"),"")</f>
        <v/>
      </c>
      <c r="I2101" s="91" t="str">
        <f>IFERROR(__xludf.DUMMYFUNCTION("TRIM(REGEXREPLACE(E2101, ""[0-9]+[a-f]?\."", """"))"),"")</f>
        <v/>
      </c>
      <c r="J2101" s="91" t="str">
        <f t="shared" si="686"/>
        <v>551. </v>
      </c>
      <c r="K2101" s="91" t="str">
        <f t="shared" si="687"/>
        <v>551. </v>
      </c>
      <c r="L2101" s="91" t="str">
        <f t="shared" si="688"/>
        <v>551. </v>
      </c>
    </row>
    <row r="2102" hidden="1">
      <c r="A2102" s="81"/>
      <c r="B2102" s="142"/>
      <c r="C2102" s="31"/>
      <c r="D2102" s="31"/>
      <c r="E2102" s="31"/>
      <c r="F2102" s="89">
        <v>552.0</v>
      </c>
      <c r="G2102" s="91" t="str">
        <f>IFERROR(__xludf.DUMMYFUNCTION("TRIM(REGEXREPLACE(C2102, ""[0-9]+[a-f]?\."", """"))"),"")</f>
        <v/>
      </c>
      <c r="H2102" s="91" t="str">
        <f>IFERROR(__xludf.DUMMYFUNCTION("TRIM(REGEXREPLACE(D2102, ""[0-9]+[a-f]?\."", """"))"),"")</f>
        <v/>
      </c>
      <c r="I2102" s="91" t="str">
        <f>IFERROR(__xludf.DUMMYFUNCTION("TRIM(REGEXREPLACE(E2102, ""[0-9]+[a-f]?\."", """"))"),"")</f>
        <v/>
      </c>
      <c r="J2102" s="91" t="str">
        <f t="shared" si="686"/>
        <v>552. </v>
      </c>
      <c r="K2102" s="91" t="str">
        <f t="shared" si="687"/>
        <v>552. </v>
      </c>
      <c r="L2102" s="91" t="str">
        <f t="shared" si="688"/>
        <v>552. </v>
      </c>
    </row>
    <row r="2103" hidden="1">
      <c r="A2103" s="146"/>
      <c r="B2103" s="147"/>
      <c r="C2103" s="31"/>
      <c r="D2103" s="31"/>
      <c r="E2103" s="31"/>
      <c r="F2103" s="89">
        <v>553.0</v>
      </c>
      <c r="G2103" s="91" t="str">
        <f>IFERROR(__xludf.DUMMYFUNCTION("TRIM(REGEXREPLACE(C2103, ""[0-9]+[a-f]?\."", """"))"),"")</f>
        <v/>
      </c>
      <c r="H2103" s="91" t="str">
        <f>IFERROR(__xludf.DUMMYFUNCTION("TRIM(REGEXREPLACE(D2103, ""[0-9]+[a-f]?\."", """"))"),"")</f>
        <v/>
      </c>
      <c r="I2103" s="91" t="str">
        <f>IFERROR(__xludf.DUMMYFUNCTION("TRIM(REGEXREPLACE(E2103, ""[0-9]+[a-f]?\."", """"))"),"")</f>
        <v/>
      </c>
      <c r="J2103" s="91" t="str">
        <f t="shared" si="686"/>
        <v>553. </v>
      </c>
      <c r="K2103" s="91" t="str">
        <f t="shared" si="687"/>
        <v>553. </v>
      </c>
      <c r="L2103" s="91" t="str">
        <f t="shared" si="688"/>
        <v>553. </v>
      </c>
    </row>
    <row r="2104" hidden="1">
      <c r="A2104" s="146"/>
      <c r="B2104" s="147"/>
      <c r="C2104" s="31"/>
      <c r="D2104" s="31"/>
      <c r="E2104" s="31"/>
      <c r="F2104" s="89">
        <v>554.0</v>
      </c>
      <c r="G2104" s="91" t="str">
        <f>IFERROR(__xludf.DUMMYFUNCTION("TRIM(REGEXREPLACE(C2104, ""[0-9]+[a-f]?\."", """"))"),"")</f>
        <v/>
      </c>
      <c r="H2104" s="91" t="str">
        <f>IFERROR(__xludf.DUMMYFUNCTION("TRIM(REGEXREPLACE(D2104, ""[0-9]+[a-f]?\."", """"))"),"")</f>
        <v/>
      </c>
      <c r="I2104" s="91" t="str">
        <f>IFERROR(__xludf.DUMMYFUNCTION("TRIM(REGEXREPLACE(E2104, ""[0-9]+[a-f]?\."", """"))"),"")</f>
        <v/>
      </c>
      <c r="J2104" s="91" t="str">
        <f t="shared" si="686"/>
        <v>554. </v>
      </c>
      <c r="K2104" s="91" t="str">
        <f t="shared" si="687"/>
        <v>554. </v>
      </c>
      <c r="L2104" s="91" t="str">
        <f t="shared" si="688"/>
        <v>554. </v>
      </c>
    </row>
    <row r="2105" hidden="1">
      <c r="A2105" s="104" t="s">
        <v>108</v>
      </c>
      <c r="B2105" s="105" t="s">
        <v>3951</v>
      </c>
      <c r="C2105" s="264"/>
      <c r="D2105" s="264"/>
      <c r="E2105" s="264"/>
    </row>
    <row r="2106" hidden="1">
      <c r="A2106" s="81"/>
      <c r="B2106" s="142"/>
      <c r="C2106" s="31"/>
      <c r="D2106" s="31"/>
      <c r="E2106" s="31"/>
      <c r="F2106" s="89">
        <v>555.0</v>
      </c>
      <c r="G2106" s="91" t="str">
        <f>IFERROR(__xludf.DUMMYFUNCTION("TRIM(REGEXREPLACE(C2106, ""[0-9]+[a-f]?\."", """"))"),"")</f>
        <v/>
      </c>
      <c r="H2106" s="91" t="str">
        <f>IFERROR(__xludf.DUMMYFUNCTION("TRIM(REGEXREPLACE(D2106, ""[0-9]+[a-f]?\."", """"))"),"")</f>
        <v/>
      </c>
      <c r="I2106" s="91" t="str">
        <f>IFERROR(__xludf.DUMMYFUNCTION("TRIM(REGEXREPLACE(E2106, ""[0-9]+[a-f]?\."", """"))"),"")</f>
        <v/>
      </c>
      <c r="J2106" s="91" t="str">
        <f t="shared" ref="J2106:J2113" si="689">F2106 &amp; ". " &amp;G2106</f>
        <v>555. </v>
      </c>
      <c r="K2106" s="91" t="str">
        <f t="shared" ref="K2106:K2113" si="690">F2106 &amp; ". " &amp;H2106</f>
        <v>555. </v>
      </c>
      <c r="L2106" s="91" t="str">
        <f t="shared" ref="L2106:L2113" si="691">F2106 &amp; ". " &amp;I2106</f>
        <v>555. </v>
      </c>
    </row>
    <row r="2107" hidden="1">
      <c r="A2107" s="81"/>
      <c r="B2107" s="142"/>
      <c r="C2107" s="31"/>
      <c r="D2107" s="31"/>
      <c r="E2107" s="31"/>
      <c r="F2107" s="89">
        <v>556.0</v>
      </c>
      <c r="G2107" s="91" t="str">
        <f>IFERROR(__xludf.DUMMYFUNCTION("TRIM(REGEXREPLACE(C2107, ""[0-9]+[a-f]?\."", """"))"),"")</f>
        <v/>
      </c>
      <c r="H2107" s="91" t="str">
        <f>IFERROR(__xludf.DUMMYFUNCTION("TRIM(REGEXREPLACE(D2107, ""[0-9]+[a-f]?\."", """"))"),"")</f>
        <v/>
      </c>
      <c r="I2107" s="91" t="str">
        <f>IFERROR(__xludf.DUMMYFUNCTION("TRIM(REGEXREPLACE(E2107, ""[0-9]+[a-f]?\."", """"))"),"")</f>
        <v/>
      </c>
      <c r="J2107" s="91" t="str">
        <f t="shared" si="689"/>
        <v>556. </v>
      </c>
      <c r="K2107" s="91" t="str">
        <f t="shared" si="690"/>
        <v>556. </v>
      </c>
      <c r="L2107" s="91" t="str">
        <f t="shared" si="691"/>
        <v>556. </v>
      </c>
    </row>
    <row r="2108" hidden="1">
      <c r="A2108" s="146"/>
      <c r="B2108" s="147"/>
      <c r="C2108" s="31"/>
      <c r="D2108" s="31"/>
      <c r="E2108" s="31"/>
      <c r="F2108" s="89">
        <v>557.0</v>
      </c>
      <c r="G2108" s="91" t="str">
        <f>IFERROR(__xludf.DUMMYFUNCTION("TRIM(REGEXREPLACE(C2108, ""[0-9]+[a-f]?\."", """"))"),"")</f>
        <v/>
      </c>
      <c r="H2108" s="91" t="str">
        <f>IFERROR(__xludf.DUMMYFUNCTION("TRIM(REGEXREPLACE(D2108, ""[0-9]+[a-f]?\."", """"))"),"")</f>
        <v/>
      </c>
      <c r="I2108" s="91" t="str">
        <f>IFERROR(__xludf.DUMMYFUNCTION("TRIM(REGEXREPLACE(E2108, ""[0-9]+[a-f]?\."", """"))"),"")</f>
        <v/>
      </c>
      <c r="J2108" s="91" t="str">
        <f t="shared" si="689"/>
        <v>557. </v>
      </c>
      <c r="K2108" s="91" t="str">
        <f t="shared" si="690"/>
        <v>557. </v>
      </c>
      <c r="L2108" s="91" t="str">
        <f t="shared" si="691"/>
        <v>557. </v>
      </c>
    </row>
    <row r="2109" hidden="1">
      <c r="A2109" s="146"/>
      <c r="B2109" s="147"/>
      <c r="C2109" s="31"/>
      <c r="D2109" s="31"/>
      <c r="E2109" s="31"/>
      <c r="F2109" s="89">
        <v>558.0</v>
      </c>
      <c r="G2109" s="91" t="str">
        <f>IFERROR(__xludf.DUMMYFUNCTION("TRIM(REGEXREPLACE(C2109, ""[0-9]+[a-f]?\."", """"))"),"")</f>
        <v/>
      </c>
      <c r="H2109" s="91" t="str">
        <f>IFERROR(__xludf.DUMMYFUNCTION("TRIM(REGEXREPLACE(D2109, ""[0-9]+[a-f]?\."", """"))"),"")</f>
        <v/>
      </c>
      <c r="I2109" s="91" t="str">
        <f>IFERROR(__xludf.DUMMYFUNCTION("TRIM(REGEXREPLACE(E2109, ""[0-9]+[a-f]?\."", """"))"),"")</f>
        <v/>
      </c>
      <c r="J2109" s="91" t="str">
        <f t="shared" si="689"/>
        <v>558. </v>
      </c>
      <c r="K2109" s="91" t="str">
        <f t="shared" si="690"/>
        <v>558. </v>
      </c>
      <c r="L2109" s="91" t="str">
        <f t="shared" si="691"/>
        <v>558. </v>
      </c>
    </row>
    <row r="2110" hidden="1">
      <c r="A2110" s="126"/>
      <c r="B2110" s="127"/>
      <c r="C2110" s="31"/>
      <c r="D2110" s="31"/>
      <c r="E2110" s="31"/>
      <c r="F2110" s="89">
        <v>559.0</v>
      </c>
      <c r="G2110" s="91" t="str">
        <f>IFERROR(__xludf.DUMMYFUNCTION("TRIM(REGEXREPLACE(C2110, ""[0-9]+[a-f]?\."", """"))"),"")</f>
        <v/>
      </c>
      <c r="H2110" s="91" t="str">
        <f>IFERROR(__xludf.DUMMYFUNCTION("TRIM(REGEXREPLACE(D2110, ""[0-9]+[a-f]?\."", """"))"),"")</f>
        <v/>
      </c>
      <c r="I2110" s="91" t="str">
        <f>IFERROR(__xludf.DUMMYFUNCTION("TRIM(REGEXREPLACE(E2110, ""[0-9]+[a-f]?\."", """"))"),"")</f>
        <v/>
      </c>
      <c r="J2110" s="91" t="str">
        <f t="shared" si="689"/>
        <v>559. </v>
      </c>
      <c r="K2110" s="91" t="str">
        <f t="shared" si="690"/>
        <v>559. </v>
      </c>
      <c r="L2110" s="91" t="str">
        <f t="shared" si="691"/>
        <v>559. </v>
      </c>
    </row>
    <row r="2111" hidden="1">
      <c r="A2111" s="81"/>
      <c r="B2111" s="142"/>
      <c r="C2111" s="31"/>
      <c r="D2111" s="31"/>
      <c r="E2111" s="31"/>
      <c r="F2111" s="89">
        <v>560.0</v>
      </c>
      <c r="G2111" s="91" t="str">
        <f>IFERROR(__xludf.DUMMYFUNCTION("TRIM(REGEXREPLACE(C2111, ""[0-9]+[a-f]?\."", """"))"),"")</f>
        <v/>
      </c>
      <c r="H2111" s="91" t="str">
        <f>IFERROR(__xludf.DUMMYFUNCTION("TRIM(REGEXREPLACE(D2111, ""[0-9]+[a-f]?\."", """"))"),"")</f>
        <v/>
      </c>
      <c r="I2111" s="91" t="str">
        <f>IFERROR(__xludf.DUMMYFUNCTION("TRIM(REGEXREPLACE(E2111, ""[0-9]+[a-f]?\."", """"))"),"")</f>
        <v/>
      </c>
      <c r="J2111" s="91" t="str">
        <f t="shared" si="689"/>
        <v>560. </v>
      </c>
      <c r="K2111" s="91" t="str">
        <f t="shared" si="690"/>
        <v>560. </v>
      </c>
      <c r="L2111" s="91" t="str">
        <f t="shared" si="691"/>
        <v>560. </v>
      </c>
    </row>
    <row r="2112" hidden="1">
      <c r="A2112" s="146"/>
      <c r="B2112" s="147"/>
      <c r="C2112" s="31"/>
      <c r="D2112" s="31"/>
      <c r="E2112" s="31"/>
      <c r="F2112" s="89">
        <v>561.0</v>
      </c>
      <c r="G2112" s="91" t="str">
        <f>IFERROR(__xludf.DUMMYFUNCTION("TRIM(REGEXREPLACE(C2112, ""[0-9]+[a-f]?\."", """"))"),"")</f>
        <v/>
      </c>
      <c r="H2112" s="91" t="str">
        <f>IFERROR(__xludf.DUMMYFUNCTION("TRIM(REGEXREPLACE(D2112, ""[0-9]+[a-f]?\."", """"))"),"")</f>
        <v/>
      </c>
      <c r="I2112" s="91" t="str">
        <f>IFERROR(__xludf.DUMMYFUNCTION("TRIM(REGEXREPLACE(E2112, ""[0-9]+[a-f]?\."", """"))"),"")</f>
        <v/>
      </c>
      <c r="J2112" s="91" t="str">
        <f t="shared" si="689"/>
        <v>561. </v>
      </c>
      <c r="K2112" s="91" t="str">
        <f t="shared" si="690"/>
        <v>561. </v>
      </c>
      <c r="L2112" s="91" t="str">
        <f t="shared" si="691"/>
        <v>561. </v>
      </c>
    </row>
    <row r="2113" hidden="1">
      <c r="A2113" s="146"/>
      <c r="B2113" s="147"/>
      <c r="C2113" s="31"/>
      <c r="D2113" s="31"/>
      <c r="E2113" s="31"/>
      <c r="F2113" s="89">
        <v>562.0</v>
      </c>
      <c r="G2113" s="91" t="str">
        <f>IFERROR(__xludf.DUMMYFUNCTION("TRIM(REGEXREPLACE(C2113, ""[0-9]+[a-f]?\."", """"))"),"")</f>
        <v/>
      </c>
      <c r="H2113" s="91" t="str">
        <f>IFERROR(__xludf.DUMMYFUNCTION("TRIM(REGEXREPLACE(D2113, ""[0-9]+[a-f]?\."", """"))"),"")</f>
        <v/>
      </c>
      <c r="I2113" s="91" t="str">
        <f>IFERROR(__xludf.DUMMYFUNCTION("TRIM(REGEXREPLACE(E2113, ""[0-9]+[a-f]?\."", """"))"),"")</f>
        <v/>
      </c>
      <c r="J2113" s="91" t="str">
        <f t="shared" si="689"/>
        <v>562. </v>
      </c>
      <c r="K2113" s="91" t="str">
        <f t="shared" si="690"/>
        <v>562. </v>
      </c>
      <c r="L2113" s="91" t="str">
        <f t="shared" si="691"/>
        <v>562. </v>
      </c>
    </row>
    <row r="2114" hidden="1">
      <c r="A2114" s="104" t="s">
        <v>139</v>
      </c>
      <c r="B2114" s="141" t="s">
        <v>3991</v>
      </c>
      <c r="C2114" s="264"/>
      <c r="D2114" s="264"/>
      <c r="E2114" s="264"/>
    </row>
    <row r="2115" hidden="1">
      <c r="A2115" s="67" t="s">
        <v>108</v>
      </c>
      <c r="B2115" s="69" t="s">
        <v>3995</v>
      </c>
      <c r="C2115" s="123"/>
      <c r="D2115" s="153"/>
      <c r="E2115" s="153"/>
    </row>
    <row r="2116" hidden="1">
      <c r="A2116" s="169"/>
      <c r="B2116" s="169"/>
      <c r="C2116" s="170"/>
      <c r="D2116" s="76"/>
      <c r="E2116" s="76"/>
    </row>
    <row r="2117" hidden="1">
      <c r="A2117" s="104" t="s">
        <v>139</v>
      </c>
      <c r="B2117" s="141" t="s">
        <v>4003</v>
      </c>
      <c r="C2117" s="264"/>
      <c r="D2117" s="264"/>
      <c r="E2117" s="264"/>
    </row>
    <row r="2118" hidden="1">
      <c r="A2118" s="81"/>
      <c r="B2118" s="142"/>
      <c r="C2118" s="31"/>
      <c r="D2118" s="31"/>
      <c r="E2118" s="31"/>
      <c r="F2118" s="89">
        <v>563.0</v>
      </c>
      <c r="G2118" s="91" t="str">
        <f>IFERROR(__xludf.DUMMYFUNCTION("TRIM(REGEXREPLACE(C2118, ""[0-9]+[a-f]?\."", """"))"),"")</f>
        <v/>
      </c>
      <c r="H2118" s="91" t="str">
        <f>IFERROR(__xludf.DUMMYFUNCTION("TRIM(REGEXREPLACE(D2118, ""[0-9]+[a-f]?\."", """"))"),"")</f>
        <v/>
      </c>
      <c r="I2118" s="91" t="str">
        <f>IFERROR(__xludf.DUMMYFUNCTION("TRIM(REGEXREPLACE(E2118, ""[0-9]+[a-f]?\."", """"))"),"")</f>
        <v/>
      </c>
      <c r="J2118" s="91" t="str">
        <f t="shared" ref="J2118:J2120" si="692">F2118 &amp; ". " &amp;G2118</f>
        <v>563. </v>
      </c>
      <c r="K2118" s="91" t="str">
        <f t="shared" ref="K2118:K2120" si="693">F2118 &amp; ". " &amp;H2118</f>
        <v>563. </v>
      </c>
      <c r="L2118" s="91" t="str">
        <f t="shared" ref="L2118:L2120" si="694">F2118 &amp; ". " &amp;I2118</f>
        <v>563. </v>
      </c>
    </row>
    <row r="2119" hidden="1">
      <c r="A2119" s="81"/>
      <c r="B2119" s="142"/>
      <c r="C2119" s="31"/>
      <c r="D2119" s="31"/>
      <c r="E2119" s="31"/>
      <c r="F2119" s="89">
        <v>564.0</v>
      </c>
      <c r="G2119" s="91" t="str">
        <f>IFERROR(__xludf.DUMMYFUNCTION("TRIM(REGEXREPLACE(C2119, ""[0-9]+[a-f]?\."", """"))"),"")</f>
        <v/>
      </c>
      <c r="H2119" s="91" t="str">
        <f>IFERROR(__xludf.DUMMYFUNCTION("TRIM(REGEXREPLACE(D2119, ""[0-9]+[a-f]?\."", """"))"),"")</f>
        <v/>
      </c>
      <c r="I2119" s="91" t="str">
        <f>IFERROR(__xludf.DUMMYFUNCTION("TRIM(REGEXREPLACE(E2119, ""[0-9]+[a-f]?\."", """"))"),"")</f>
        <v/>
      </c>
      <c r="J2119" s="91" t="str">
        <f t="shared" si="692"/>
        <v>564. </v>
      </c>
      <c r="K2119" s="91" t="str">
        <f t="shared" si="693"/>
        <v>564. </v>
      </c>
      <c r="L2119" s="91" t="str">
        <f t="shared" si="694"/>
        <v>564. </v>
      </c>
    </row>
    <row r="2120" hidden="1">
      <c r="A2120" s="133"/>
      <c r="B2120" s="143"/>
      <c r="C2120" s="31"/>
      <c r="D2120" s="31"/>
      <c r="E2120" s="31"/>
      <c r="F2120" s="89">
        <v>565.0</v>
      </c>
      <c r="G2120" s="91" t="str">
        <f>IFERROR(__xludf.DUMMYFUNCTION("TRIM(REGEXREPLACE(C2120, ""[0-9]+[a-f]?\."", """"))"),"")</f>
        <v/>
      </c>
      <c r="H2120" s="91" t="str">
        <f>IFERROR(__xludf.DUMMYFUNCTION("TRIM(REGEXREPLACE(D2120, ""[0-9]+[a-f]?\."", """"))"),"")</f>
        <v/>
      </c>
      <c r="I2120" s="91" t="str">
        <f>IFERROR(__xludf.DUMMYFUNCTION("TRIM(REGEXREPLACE(E2120, ""[0-9]+[a-f]?\."", """"))"),"")</f>
        <v/>
      </c>
      <c r="J2120" s="91" t="str">
        <f t="shared" si="692"/>
        <v>565. </v>
      </c>
      <c r="K2120" s="91" t="str">
        <f t="shared" si="693"/>
        <v>565. </v>
      </c>
      <c r="L2120" s="91" t="str">
        <f t="shared" si="694"/>
        <v>565. </v>
      </c>
    </row>
    <row r="2121" hidden="1">
      <c r="A2121" s="104" t="s">
        <v>108</v>
      </c>
      <c r="B2121" s="105" t="s">
        <v>4029</v>
      </c>
      <c r="C2121" s="264"/>
      <c r="D2121" s="264"/>
      <c r="E2121" s="264"/>
    </row>
    <row r="2122" hidden="1">
      <c r="A2122" s="81"/>
      <c r="B2122" s="142"/>
      <c r="C2122" s="31"/>
      <c r="D2122" s="31"/>
      <c r="E2122" s="31"/>
      <c r="F2122" s="89">
        <v>566.0</v>
      </c>
      <c r="G2122" s="91" t="str">
        <f>IFERROR(__xludf.DUMMYFUNCTION("TRIM(REGEXREPLACE(C2122, ""[0-9]+[a-f]?\."", """"))"),"")</f>
        <v/>
      </c>
      <c r="H2122" s="91" t="str">
        <f>IFERROR(__xludf.DUMMYFUNCTION("TRIM(REGEXREPLACE(D2122, ""[0-9]+[a-f]?\."", """"))"),"")</f>
        <v/>
      </c>
      <c r="I2122" s="91" t="str">
        <f>IFERROR(__xludf.DUMMYFUNCTION("TRIM(REGEXREPLACE(E2122, ""[0-9]+[a-f]?\."", """"))"),"")</f>
        <v/>
      </c>
      <c r="J2122" s="91" t="str">
        <f t="shared" ref="J2122:J2124" si="695">F2122 &amp; ". " &amp;G2122</f>
        <v>566. </v>
      </c>
      <c r="K2122" s="91" t="str">
        <f t="shared" ref="K2122:K2124" si="696">F2122 &amp; ". " &amp;H2122</f>
        <v>566. </v>
      </c>
      <c r="L2122" s="91" t="str">
        <f t="shared" ref="L2122:L2124" si="697">F2122 &amp; ". " &amp;I2122</f>
        <v>566. </v>
      </c>
    </row>
    <row r="2123" hidden="1">
      <c r="A2123" s="146"/>
      <c r="B2123" s="147"/>
      <c r="C2123" s="31"/>
      <c r="D2123" s="31"/>
      <c r="E2123" s="31"/>
      <c r="F2123" s="89">
        <v>567.0</v>
      </c>
      <c r="G2123" s="91" t="str">
        <f>IFERROR(__xludf.DUMMYFUNCTION("TRIM(REGEXREPLACE(C2123, ""[0-9]+[a-f]?\."", """"))"),"")</f>
        <v/>
      </c>
      <c r="H2123" s="91" t="str">
        <f>IFERROR(__xludf.DUMMYFUNCTION("TRIM(REGEXREPLACE(D2123, ""[0-9]+[a-f]?\."", """"))"),"")</f>
        <v/>
      </c>
      <c r="I2123" s="91" t="str">
        <f>IFERROR(__xludf.DUMMYFUNCTION("TRIM(REGEXREPLACE(E2123, ""[0-9]+[a-f]?\."", """"))"),"")</f>
        <v/>
      </c>
      <c r="J2123" s="91" t="str">
        <f t="shared" si="695"/>
        <v>567. </v>
      </c>
      <c r="K2123" s="91" t="str">
        <f t="shared" si="696"/>
        <v>567. </v>
      </c>
      <c r="L2123" s="91" t="str">
        <f t="shared" si="697"/>
        <v>567. </v>
      </c>
    </row>
    <row r="2124" hidden="1">
      <c r="A2124" s="146"/>
      <c r="B2124" s="147"/>
      <c r="C2124" s="31"/>
      <c r="D2124" s="31"/>
      <c r="E2124" s="31"/>
      <c r="F2124" s="89">
        <v>568.0</v>
      </c>
      <c r="G2124" s="91" t="str">
        <f>IFERROR(__xludf.DUMMYFUNCTION("TRIM(REGEXREPLACE(C2124, ""[0-9]+[a-f]?\."", """"))"),"")</f>
        <v/>
      </c>
      <c r="H2124" s="91" t="str">
        <f>IFERROR(__xludf.DUMMYFUNCTION("TRIM(REGEXREPLACE(D2124, ""[0-9]+[a-f]?\."", """"))"),"")</f>
        <v/>
      </c>
      <c r="I2124" s="91" t="str">
        <f>IFERROR(__xludf.DUMMYFUNCTION("TRIM(REGEXREPLACE(E2124, ""[0-9]+[a-f]?\."", """"))"),"")</f>
        <v/>
      </c>
      <c r="J2124" s="91" t="str">
        <f t="shared" si="695"/>
        <v>568. </v>
      </c>
      <c r="K2124" s="91" t="str">
        <f t="shared" si="696"/>
        <v>568. </v>
      </c>
      <c r="L2124" s="91" t="str">
        <f t="shared" si="697"/>
        <v>568. </v>
      </c>
    </row>
    <row r="2125" hidden="1">
      <c r="A2125" s="286"/>
      <c r="B2125" s="286"/>
      <c r="C2125" s="286"/>
      <c r="D2125" s="286"/>
      <c r="E2125" s="286"/>
    </row>
    <row r="2126" hidden="1">
      <c r="A2126" s="144" t="s">
        <v>648</v>
      </c>
      <c r="B2126" s="145" t="s">
        <v>4054</v>
      </c>
      <c r="C2126" s="145" t="s">
        <v>4056</v>
      </c>
      <c r="D2126" s="150"/>
      <c r="E2126" s="150"/>
    </row>
    <row r="2127" hidden="1">
      <c r="A2127" s="104" t="s">
        <v>108</v>
      </c>
      <c r="B2127" s="105" t="s">
        <v>4068</v>
      </c>
      <c r="C2127" s="264"/>
      <c r="D2127" s="264"/>
      <c r="E2127" s="264"/>
    </row>
    <row r="2128" hidden="1">
      <c r="A2128" s="104" t="s">
        <v>108</v>
      </c>
      <c r="B2128" s="105" t="s">
        <v>4075</v>
      </c>
      <c r="C2128" s="264"/>
      <c r="D2128" s="264"/>
      <c r="E2128" s="264"/>
    </row>
    <row r="2129" hidden="1">
      <c r="A2129" s="104" t="s">
        <v>108</v>
      </c>
      <c r="B2129" s="105" t="s">
        <v>4082</v>
      </c>
      <c r="C2129" s="264"/>
      <c r="D2129" s="264"/>
      <c r="E2129" s="264"/>
    </row>
    <row r="2130" hidden="1">
      <c r="A2130" s="146"/>
      <c r="B2130" s="147"/>
      <c r="C2130" s="31"/>
      <c r="D2130" s="31"/>
      <c r="E2130" s="31"/>
      <c r="F2130" s="89">
        <v>569.0</v>
      </c>
      <c r="G2130" s="91" t="str">
        <f>IFERROR(__xludf.DUMMYFUNCTION("TRIM(REGEXREPLACE(C2130, ""[0-9]+[a-f]?\."", """"))"),"")</f>
        <v/>
      </c>
      <c r="H2130" s="91" t="str">
        <f>IFERROR(__xludf.DUMMYFUNCTION("TRIM(REGEXREPLACE(D2130, ""[0-9]+[a-f]?\."", """"))"),"")</f>
        <v/>
      </c>
      <c r="I2130" s="91" t="str">
        <f>IFERROR(__xludf.DUMMYFUNCTION("TRIM(REGEXREPLACE(E2130, ""[0-9]+[a-f]?\."", """"))"),"")</f>
        <v/>
      </c>
      <c r="J2130" s="91" t="str">
        <f>F2130 &amp; ". " &amp;G2130</f>
        <v>569. </v>
      </c>
      <c r="K2130" s="91" t="str">
        <f>F2130 &amp; ". " &amp;H2130</f>
        <v>569. </v>
      </c>
      <c r="L2130" s="91" t="str">
        <f>F2130 &amp; ". " &amp;I2130</f>
        <v>569. </v>
      </c>
    </row>
    <row r="2131" hidden="1">
      <c r="A2131" s="144" t="s">
        <v>691</v>
      </c>
      <c r="B2131" s="150" t="s">
        <v>4054</v>
      </c>
      <c r="C2131" s="150" t="s">
        <v>4056</v>
      </c>
      <c r="D2131" s="150"/>
      <c r="E2131" s="150"/>
    </row>
    <row r="2132" hidden="1">
      <c r="A2132" s="104" t="s">
        <v>139</v>
      </c>
      <c r="B2132" s="141" t="s">
        <v>4097</v>
      </c>
      <c r="C2132" s="264"/>
      <c r="D2132" s="264"/>
      <c r="E2132" s="264"/>
    </row>
    <row r="2133" hidden="1">
      <c r="A2133" s="67" t="s">
        <v>108</v>
      </c>
      <c r="B2133" s="69" t="s">
        <v>4104</v>
      </c>
      <c r="C2133" s="123"/>
      <c r="D2133" s="153"/>
      <c r="E2133" s="153"/>
    </row>
    <row r="2134" hidden="1">
      <c r="A2134" s="146"/>
      <c r="B2134" s="147"/>
      <c r="C2134" s="31"/>
      <c r="D2134" s="31"/>
      <c r="E2134" s="31"/>
      <c r="F2134" s="89">
        <v>570.0</v>
      </c>
      <c r="G2134" s="91" t="str">
        <f>IFERROR(__xludf.DUMMYFUNCTION("TRIM(REGEXREPLACE(C2134, ""[0-9]+[a-f]?\."", """"))"),"")</f>
        <v/>
      </c>
      <c r="H2134" s="91" t="str">
        <f>IFERROR(__xludf.DUMMYFUNCTION("TRIM(REGEXREPLACE(D2134, ""[0-9]+[a-f]?\."", """"))"),"")</f>
        <v/>
      </c>
      <c r="I2134" s="91" t="str">
        <f>IFERROR(__xludf.DUMMYFUNCTION("TRIM(REGEXREPLACE(E2134, ""[0-9]+[a-f]?\."", """"))"),"")</f>
        <v/>
      </c>
      <c r="J2134" s="91" t="str">
        <f t="shared" ref="J2134:J2135" si="698">F2134 &amp; ". " &amp;G2134</f>
        <v>570. </v>
      </c>
      <c r="K2134" s="91" t="str">
        <f t="shared" ref="K2134:K2135" si="699">F2134 &amp; ". " &amp;H2134</f>
        <v>570. </v>
      </c>
      <c r="L2134" s="91" t="str">
        <f t="shared" ref="L2134:L2135" si="700">F2134 &amp; ". " &amp;I2134</f>
        <v>570. </v>
      </c>
    </row>
    <row r="2135" hidden="1">
      <c r="A2135" s="146"/>
      <c r="B2135" s="147"/>
      <c r="C2135" s="31"/>
      <c r="D2135" s="31"/>
      <c r="E2135" s="31"/>
      <c r="F2135" s="89">
        <v>571.0</v>
      </c>
      <c r="G2135" s="91" t="str">
        <f>IFERROR(__xludf.DUMMYFUNCTION("TRIM(REGEXREPLACE(C2135, ""[0-9]+[a-f]?\."", """"))"),"")</f>
        <v/>
      </c>
      <c r="H2135" s="91" t="str">
        <f>IFERROR(__xludf.DUMMYFUNCTION("TRIM(REGEXREPLACE(D2135, ""[0-9]+[a-f]?\."", """"))"),"")</f>
        <v/>
      </c>
      <c r="I2135" s="91" t="str">
        <f>IFERROR(__xludf.DUMMYFUNCTION("TRIM(REGEXREPLACE(E2135, ""[0-9]+[a-f]?\."", """"))"),"")</f>
        <v/>
      </c>
      <c r="J2135" s="91" t="str">
        <f t="shared" si="698"/>
        <v>571. </v>
      </c>
      <c r="K2135" s="91" t="str">
        <f t="shared" si="699"/>
        <v>571. </v>
      </c>
      <c r="L2135" s="91" t="str">
        <f t="shared" si="700"/>
        <v>571. </v>
      </c>
    </row>
    <row r="2136" hidden="1">
      <c r="A2136" s="104" t="s">
        <v>108</v>
      </c>
      <c r="B2136" s="105" t="s">
        <v>4119</v>
      </c>
      <c r="C2136" s="264"/>
      <c r="D2136" s="264"/>
      <c r="E2136" s="264"/>
    </row>
    <row r="2137" hidden="1">
      <c r="A2137" s="81"/>
      <c r="B2137" s="142"/>
      <c r="C2137" s="31"/>
      <c r="D2137" s="31"/>
      <c r="E2137" s="31"/>
      <c r="F2137" s="89">
        <v>572.0</v>
      </c>
      <c r="G2137" s="91" t="str">
        <f>IFERROR(__xludf.DUMMYFUNCTION("TRIM(REGEXREPLACE(C2137, ""[0-9]+[a-f]?\."", """"))"),"")</f>
        <v/>
      </c>
      <c r="H2137" s="91" t="str">
        <f>IFERROR(__xludf.DUMMYFUNCTION("TRIM(REGEXREPLACE(D2137, ""[0-9]+[a-f]?\."", """"))"),"")</f>
        <v/>
      </c>
      <c r="I2137" s="91" t="str">
        <f>IFERROR(__xludf.DUMMYFUNCTION("TRIM(REGEXREPLACE(E2137, ""[0-9]+[a-f]?\."", """"))"),"")</f>
        <v/>
      </c>
      <c r="J2137" s="91" t="str">
        <f t="shared" ref="J2137:J2138" si="701">F2137 &amp; ". " &amp;G2137</f>
        <v>572. </v>
      </c>
      <c r="K2137" s="91" t="str">
        <f t="shared" ref="K2137:K2138" si="702">F2137 &amp; ". " &amp;H2137</f>
        <v>572. </v>
      </c>
      <c r="L2137" s="91" t="str">
        <f t="shared" ref="L2137:L2138" si="703">F2137 &amp; ". " &amp;I2137</f>
        <v>572. </v>
      </c>
    </row>
    <row r="2138" hidden="1">
      <c r="A2138" s="126"/>
      <c r="B2138" s="127"/>
      <c r="C2138" s="31"/>
      <c r="D2138" s="31"/>
      <c r="E2138" s="31"/>
      <c r="F2138" s="89">
        <v>573.0</v>
      </c>
      <c r="G2138" s="91" t="str">
        <f>IFERROR(__xludf.DUMMYFUNCTION("TRIM(REGEXREPLACE(C2138, ""[0-9]+[a-f]?\."", """"))"),"")</f>
        <v/>
      </c>
      <c r="H2138" s="91" t="str">
        <f>IFERROR(__xludf.DUMMYFUNCTION("TRIM(REGEXREPLACE(D2138, ""[0-9]+[a-f]?\."", """"))"),"")</f>
        <v/>
      </c>
      <c r="I2138" s="91" t="str">
        <f>IFERROR(__xludf.DUMMYFUNCTION("TRIM(REGEXREPLACE(E2138, ""[0-9]+[a-f]?\."", """"))"),"")</f>
        <v/>
      </c>
      <c r="J2138" s="91" t="str">
        <f t="shared" si="701"/>
        <v>573. </v>
      </c>
      <c r="K2138" s="91" t="str">
        <f t="shared" si="702"/>
        <v>573. </v>
      </c>
      <c r="L2138" s="91" t="str">
        <f t="shared" si="703"/>
        <v>573. </v>
      </c>
    </row>
    <row r="2139" hidden="1">
      <c r="A2139" s="104" t="s">
        <v>139</v>
      </c>
      <c r="B2139" s="141" t="s">
        <v>4140</v>
      </c>
      <c r="C2139" s="264"/>
      <c r="D2139" s="264"/>
      <c r="E2139" s="264"/>
    </row>
    <row r="2140" hidden="1">
      <c r="A2140" s="144" t="s">
        <v>648</v>
      </c>
      <c r="B2140" s="145" t="s">
        <v>4145</v>
      </c>
      <c r="C2140" s="145" t="s">
        <v>4147</v>
      </c>
      <c r="D2140" s="150" t="s">
        <v>4148</v>
      </c>
      <c r="E2140" s="150" t="s">
        <v>4150</v>
      </c>
    </row>
    <row r="2141" hidden="1">
      <c r="A2141" s="104" t="s">
        <v>108</v>
      </c>
      <c r="B2141" s="105" t="s">
        <v>4156</v>
      </c>
      <c r="C2141" s="264"/>
      <c r="D2141" s="264"/>
      <c r="E2141" s="264"/>
    </row>
    <row r="2142" hidden="1">
      <c r="A2142" s="104" t="s">
        <v>108</v>
      </c>
      <c r="B2142" s="105" t="s">
        <v>4161</v>
      </c>
      <c r="C2142" s="264"/>
      <c r="D2142" s="264"/>
      <c r="E2142" s="264"/>
    </row>
    <row r="2143" hidden="1">
      <c r="A2143" s="81"/>
      <c r="B2143" s="142"/>
      <c r="C2143" s="31"/>
      <c r="D2143" s="31"/>
      <c r="E2143" s="31"/>
      <c r="F2143" s="89">
        <v>574.0</v>
      </c>
      <c r="G2143" s="91" t="str">
        <f>IFERROR(__xludf.DUMMYFUNCTION("TRIM(REGEXREPLACE(C2143, ""[0-9]+[a-f]?\."", """"))"),"")</f>
        <v/>
      </c>
      <c r="H2143" s="91" t="str">
        <f>IFERROR(__xludf.DUMMYFUNCTION("TRIM(REGEXREPLACE(D2143, ""[0-9]+[a-f]?\."", """"))"),"")</f>
        <v/>
      </c>
      <c r="I2143" s="91" t="str">
        <f>IFERROR(__xludf.DUMMYFUNCTION("TRIM(REGEXREPLACE(E2143, ""[0-9]+[a-f]?\."", """"))"),"")</f>
        <v/>
      </c>
      <c r="J2143" s="91" t="str">
        <f t="shared" ref="J2143:J2145" si="704">F2143 &amp; ". " &amp;G2143</f>
        <v>574. </v>
      </c>
      <c r="K2143" s="91" t="str">
        <f t="shared" ref="K2143:K2145" si="705">F2143 &amp; ". " &amp;H2143</f>
        <v>574. </v>
      </c>
      <c r="L2143" s="91" t="str">
        <f t="shared" ref="L2143:L2145" si="706">F2143 &amp; ". " &amp;I2143</f>
        <v>574. </v>
      </c>
    </row>
    <row r="2144" hidden="1">
      <c r="A2144" s="81"/>
      <c r="B2144" s="142"/>
      <c r="C2144" s="31"/>
      <c r="D2144" s="31"/>
      <c r="E2144" s="31"/>
      <c r="F2144" s="89">
        <v>575.0</v>
      </c>
      <c r="G2144" s="91" t="str">
        <f>IFERROR(__xludf.DUMMYFUNCTION("TRIM(REGEXREPLACE(C2144, ""[0-9]+[a-f]?\."", """"))"),"")</f>
        <v/>
      </c>
      <c r="H2144" s="91" t="str">
        <f>IFERROR(__xludf.DUMMYFUNCTION("TRIM(REGEXREPLACE(D2144, ""[0-9]+[a-f]?\."", """"))"),"")</f>
        <v/>
      </c>
      <c r="I2144" s="91" t="str">
        <f>IFERROR(__xludf.DUMMYFUNCTION("TRIM(REGEXREPLACE(E2144, ""[0-9]+[a-f]?\."", """"))"),"")</f>
        <v/>
      </c>
      <c r="J2144" s="91" t="str">
        <f t="shared" si="704"/>
        <v>575. </v>
      </c>
      <c r="K2144" s="91" t="str">
        <f t="shared" si="705"/>
        <v>575. </v>
      </c>
      <c r="L2144" s="91" t="str">
        <f t="shared" si="706"/>
        <v>575. </v>
      </c>
    </row>
    <row r="2145" hidden="1">
      <c r="A2145" s="133"/>
      <c r="B2145" s="143"/>
      <c r="C2145" s="31"/>
      <c r="D2145" s="31"/>
      <c r="E2145" s="31"/>
      <c r="F2145" s="89">
        <v>576.0</v>
      </c>
      <c r="G2145" s="91" t="str">
        <f>IFERROR(__xludf.DUMMYFUNCTION("TRIM(REGEXREPLACE(C2145, ""[0-9]+[a-f]?\."", """"))"),"")</f>
        <v/>
      </c>
      <c r="H2145" s="91" t="str">
        <f>IFERROR(__xludf.DUMMYFUNCTION("TRIM(REGEXREPLACE(D2145, ""[0-9]+[a-f]?\."", """"))"),"")</f>
        <v/>
      </c>
      <c r="I2145" s="91" t="str">
        <f>IFERROR(__xludf.DUMMYFUNCTION("TRIM(REGEXREPLACE(E2145, ""[0-9]+[a-f]?\."", """"))"),"")</f>
        <v/>
      </c>
      <c r="J2145" s="91" t="str">
        <f t="shared" si="704"/>
        <v>576. </v>
      </c>
      <c r="K2145" s="91" t="str">
        <f t="shared" si="705"/>
        <v>576. </v>
      </c>
      <c r="L2145" s="91" t="str">
        <f t="shared" si="706"/>
        <v>576. </v>
      </c>
    </row>
    <row r="2146" hidden="1">
      <c r="A2146" s="104" t="s">
        <v>108</v>
      </c>
      <c r="B2146" s="105" t="s">
        <v>4190</v>
      </c>
      <c r="C2146" s="264"/>
      <c r="D2146" s="264"/>
      <c r="E2146" s="264"/>
    </row>
    <row r="2147" hidden="1">
      <c r="A2147" s="146"/>
      <c r="B2147" s="147"/>
      <c r="C2147" s="31"/>
      <c r="D2147" s="31"/>
      <c r="E2147" s="31"/>
      <c r="F2147" s="89">
        <v>577.0</v>
      </c>
      <c r="G2147" s="91" t="str">
        <f>IFERROR(__xludf.DUMMYFUNCTION("TRIM(REGEXREPLACE(C2147, ""[0-9]+[a-f]?\."", """"))"),"")</f>
        <v/>
      </c>
      <c r="H2147" s="91" t="str">
        <f>IFERROR(__xludf.DUMMYFUNCTION("TRIM(REGEXREPLACE(D2147, ""[0-9]+[a-f]?\."", """"))"),"")</f>
        <v/>
      </c>
      <c r="I2147" s="91" t="str">
        <f>IFERROR(__xludf.DUMMYFUNCTION("TRIM(REGEXREPLACE(E2147, ""[0-9]+[a-f]?\."", """"))"),"")</f>
        <v/>
      </c>
      <c r="J2147" s="91" t="str">
        <f t="shared" ref="J2147:J2149" si="707">F2147 &amp; ". " &amp;G2147</f>
        <v>577. </v>
      </c>
      <c r="K2147" s="91" t="str">
        <f t="shared" ref="K2147:K2149" si="708">F2147 &amp; ". " &amp;H2147</f>
        <v>577. </v>
      </c>
      <c r="L2147" s="91" t="str">
        <f t="shared" ref="L2147:L2149" si="709">F2147 &amp; ". " &amp;I2147</f>
        <v>577. </v>
      </c>
    </row>
    <row r="2148" hidden="1">
      <c r="A2148" s="146"/>
      <c r="B2148" s="147"/>
      <c r="C2148" s="31"/>
      <c r="D2148" s="31"/>
      <c r="E2148" s="31"/>
      <c r="F2148" s="89">
        <v>578.0</v>
      </c>
      <c r="G2148" s="91" t="str">
        <f>IFERROR(__xludf.DUMMYFUNCTION("TRIM(REGEXREPLACE(C2148, ""[0-9]+[a-f]?\."", """"))"),"")</f>
        <v/>
      </c>
      <c r="H2148" s="91" t="str">
        <f>IFERROR(__xludf.DUMMYFUNCTION("TRIM(REGEXREPLACE(D2148, ""[0-9]+[a-f]?\."", """"))"),"")</f>
        <v/>
      </c>
      <c r="I2148" s="91" t="str">
        <f>IFERROR(__xludf.DUMMYFUNCTION("TRIM(REGEXREPLACE(E2148, ""[0-9]+[a-f]?\."", """"))"),"")</f>
        <v/>
      </c>
      <c r="J2148" s="91" t="str">
        <f t="shared" si="707"/>
        <v>578. </v>
      </c>
      <c r="K2148" s="91" t="str">
        <f t="shared" si="708"/>
        <v>578. </v>
      </c>
      <c r="L2148" s="91" t="str">
        <f t="shared" si="709"/>
        <v>578. </v>
      </c>
    </row>
    <row r="2149" hidden="1">
      <c r="A2149" s="146"/>
      <c r="B2149" s="147"/>
      <c r="C2149" s="31"/>
      <c r="D2149" s="31"/>
      <c r="E2149" s="31"/>
      <c r="F2149" s="89">
        <v>579.0</v>
      </c>
      <c r="G2149" s="91" t="str">
        <f>IFERROR(__xludf.DUMMYFUNCTION("TRIM(REGEXREPLACE(C2149, ""[0-9]+[a-f]?\."", """"))"),"")</f>
        <v/>
      </c>
      <c r="H2149" s="91" t="str">
        <f>IFERROR(__xludf.DUMMYFUNCTION("TRIM(REGEXREPLACE(D2149, ""[0-9]+[a-f]?\."", """"))"),"")</f>
        <v/>
      </c>
      <c r="I2149" s="91" t="str">
        <f>IFERROR(__xludf.DUMMYFUNCTION("TRIM(REGEXREPLACE(E2149, ""[0-9]+[a-f]?\."", """"))"),"")</f>
        <v/>
      </c>
      <c r="J2149" s="91" t="str">
        <f t="shared" si="707"/>
        <v>579. </v>
      </c>
      <c r="K2149" s="91" t="str">
        <f t="shared" si="708"/>
        <v>579. </v>
      </c>
      <c r="L2149" s="91" t="str">
        <f t="shared" si="709"/>
        <v>579. </v>
      </c>
    </row>
    <row r="2150" hidden="1">
      <c r="A2150" s="144" t="s">
        <v>691</v>
      </c>
      <c r="B2150" s="150" t="s">
        <v>4145</v>
      </c>
      <c r="C2150" s="150" t="s">
        <v>4147</v>
      </c>
      <c r="D2150" s="150" t="s">
        <v>4148</v>
      </c>
      <c r="E2150" s="150" t="s">
        <v>4150</v>
      </c>
    </row>
    <row r="2151" hidden="1">
      <c r="A2151" s="104" t="s">
        <v>139</v>
      </c>
      <c r="B2151" s="141" t="s">
        <v>4227</v>
      </c>
      <c r="C2151" s="264"/>
      <c r="D2151" s="264"/>
      <c r="E2151" s="264"/>
    </row>
    <row r="2152" hidden="1">
      <c r="A2152" s="67" t="s">
        <v>108</v>
      </c>
      <c r="B2152" s="69" t="s">
        <v>4232</v>
      </c>
      <c r="C2152" s="123"/>
      <c r="D2152" s="153"/>
      <c r="E2152" s="153"/>
    </row>
    <row r="2153" hidden="1">
      <c r="A2153" s="169"/>
      <c r="B2153" s="169"/>
      <c r="C2153" s="170"/>
      <c r="D2153" s="76"/>
      <c r="E2153" s="76"/>
    </row>
    <row r="2154" hidden="1">
      <c r="A2154" s="122" t="s">
        <v>150</v>
      </c>
      <c r="B2154" s="123" t="s">
        <v>4244</v>
      </c>
      <c r="C2154" s="123" t="s">
        <v>4245</v>
      </c>
      <c r="D2154" s="153"/>
      <c r="E2154" s="153"/>
    </row>
    <row r="2155" hidden="1">
      <c r="A2155" s="104" t="s">
        <v>139</v>
      </c>
      <c r="B2155" s="141" t="s">
        <v>4246</v>
      </c>
      <c r="C2155" s="264"/>
      <c r="D2155" s="264"/>
      <c r="E2155" s="264"/>
    </row>
    <row r="2156" hidden="1">
      <c r="A2156" s="81"/>
      <c r="B2156" s="142"/>
      <c r="C2156" s="31"/>
      <c r="D2156" s="31"/>
      <c r="E2156" s="31"/>
      <c r="F2156" s="89">
        <v>580.0</v>
      </c>
      <c r="G2156" s="91" t="str">
        <f>IFERROR(__xludf.DUMMYFUNCTION("TRIM(REGEXREPLACE(C2156, ""[0-9]+[a-f]?\."", """"))"),"")</f>
        <v/>
      </c>
      <c r="H2156" s="91" t="str">
        <f>IFERROR(__xludf.DUMMYFUNCTION("TRIM(REGEXREPLACE(D2156, ""[0-9]+[a-f]?\."", """"))"),"")</f>
        <v/>
      </c>
      <c r="I2156" s="91" t="str">
        <f>IFERROR(__xludf.DUMMYFUNCTION("TRIM(REGEXREPLACE(E2156, ""[0-9]+[a-f]?\."", """"))"),"")</f>
        <v/>
      </c>
      <c r="J2156" s="91" t="str">
        <f t="shared" ref="J2156:J2190" si="710">F2156 &amp; ". " &amp;G2156</f>
        <v>580. </v>
      </c>
      <c r="K2156" s="91" t="str">
        <f t="shared" ref="K2156:K2190" si="711">F2156 &amp; ". " &amp;H2156</f>
        <v>580. </v>
      </c>
      <c r="L2156" s="91" t="str">
        <f t="shared" ref="L2156:L2190" si="712">F2156 &amp; ". " &amp;I2156</f>
        <v>580. </v>
      </c>
    </row>
    <row r="2157" hidden="1">
      <c r="A2157" s="146"/>
      <c r="B2157" s="147"/>
      <c r="C2157" s="31"/>
      <c r="D2157" s="31"/>
      <c r="E2157" s="31"/>
      <c r="F2157" s="89">
        <v>581.0</v>
      </c>
      <c r="G2157" s="91" t="str">
        <f>IFERROR(__xludf.DUMMYFUNCTION("TRIM(REGEXREPLACE(C2157, ""[0-9]+[a-f]?\."", """"))"),"")</f>
        <v/>
      </c>
      <c r="H2157" s="91" t="str">
        <f>IFERROR(__xludf.DUMMYFUNCTION("TRIM(REGEXREPLACE(D2157, ""[0-9]+[a-f]?\."", """"))"),"")</f>
        <v/>
      </c>
      <c r="I2157" s="91" t="str">
        <f>IFERROR(__xludf.DUMMYFUNCTION("TRIM(REGEXREPLACE(E2157, ""[0-9]+[a-f]?\."", """"))"),"")</f>
        <v/>
      </c>
      <c r="J2157" s="91" t="str">
        <f t="shared" si="710"/>
        <v>581. </v>
      </c>
      <c r="K2157" s="91" t="str">
        <f t="shared" si="711"/>
        <v>581. </v>
      </c>
      <c r="L2157" s="91" t="str">
        <f t="shared" si="712"/>
        <v>581. </v>
      </c>
    </row>
    <row r="2158" hidden="1">
      <c r="A2158" s="81"/>
      <c r="B2158" s="142"/>
      <c r="C2158" s="31"/>
      <c r="D2158" s="31"/>
      <c r="E2158" s="31"/>
      <c r="F2158" s="89">
        <v>582.0</v>
      </c>
      <c r="G2158" s="91" t="str">
        <f>IFERROR(__xludf.DUMMYFUNCTION("TRIM(REGEXREPLACE(C2158, ""[0-9]+[a-f]?\."", """"))"),"")</f>
        <v/>
      </c>
      <c r="H2158" s="91" t="str">
        <f>IFERROR(__xludf.DUMMYFUNCTION("TRIM(REGEXREPLACE(D2158, ""[0-9]+[a-f]?\."", """"))"),"")</f>
        <v/>
      </c>
      <c r="I2158" s="91" t="str">
        <f>IFERROR(__xludf.DUMMYFUNCTION("TRIM(REGEXREPLACE(E2158, ""[0-9]+[a-f]?\."", """"))"),"")</f>
        <v/>
      </c>
      <c r="J2158" s="91" t="str">
        <f t="shared" si="710"/>
        <v>582. </v>
      </c>
      <c r="K2158" s="91" t="str">
        <f t="shared" si="711"/>
        <v>582. </v>
      </c>
      <c r="L2158" s="91" t="str">
        <f t="shared" si="712"/>
        <v>582. </v>
      </c>
    </row>
    <row r="2159" hidden="1">
      <c r="A2159" s="133"/>
      <c r="B2159" s="143"/>
      <c r="C2159" s="31"/>
      <c r="D2159" s="31"/>
      <c r="E2159" s="31"/>
      <c r="F2159" s="89">
        <v>583.0</v>
      </c>
      <c r="G2159" s="91" t="str">
        <f>IFERROR(__xludf.DUMMYFUNCTION("TRIM(REGEXREPLACE(C2159, ""[0-9]+[a-f]?\."", """"))"),"")</f>
        <v/>
      </c>
      <c r="H2159" s="91" t="str">
        <f>IFERROR(__xludf.DUMMYFUNCTION("TRIM(REGEXREPLACE(D2159, ""[0-9]+[a-f]?\."", """"))"),"")</f>
        <v/>
      </c>
      <c r="I2159" s="91" t="str">
        <f>IFERROR(__xludf.DUMMYFUNCTION("TRIM(REGEXREPLACE(E2159, ""[0-9]+[a-f]?\."", """"))"),"")</f>
        <v/>
      </c>
      <c r="J2159" s="91" t="str">
        <f t="shared" si="710"/>
        <v>583. </v>
      </c>
      <c r="K2159" s="91" t="str">
        <f t="shared" si="711"/>
        <v>583. </v>
      </c>
      <c r="L2159" s="91" t="str">
        <f t="shared" si="712"/>
        <v>583. </v>
      </c>
    </row>
    <row r="2160" hidden="1">
      <c r="A2160" s="81"/>
      <c r="B2160" s="142"/>
      <c r="C2160" s="31"/>
      <c r="D2160" s="31"/>
      <c r="E2160" s="31"/>
      <c r="F2160" s="89">
        <v>584.0</v>
      </c>
      <c r="G2160" s="91" t="str">
        <f>IFERROR(__xludf.DUMMYFUNCTION("TRIM(REGEXREPLACE(C2160, ""[0-9]+[a-f]?\."", """"))"),"")</f>
        <v/>
      </c>
      <c r="H2160" s="91" t="str">
        <f>IFERROR(__xludf.DUMMYFUNCTION("TRIM(REGEXREPLACE(D2160, ""[0-9]+[a-f]?\."", """"))"),"")</f>
        <v/>
      </c>
      <c r="I2160" s="91" t="str">
        <f>IFERROR(__xludf.DUMMYFUNCTION("TRIM(REGEXREPLACE(E2160, ""[0-9]+[a-f]?\."", """"))"),"")</f>
        <v/>
      </c>
      <c r="J2160" s="91" t="str">
        <f t="shared" si="710"/>
        <v>584. </v>
      </c>
      <c r="K2160" s="91" t="str">
        <f t="shared" si="711"/>
        <v>584. </v>
      </c>
      <c r="L2160" s="91" t="str">
        <f t="shared" si="712"/>
        <v>584. </v>
      </c>
    </row>
    <row r="2161" hidden="1">
      <c r="A2161" s="146"/>
      <c r="B2161" s="147"/>
      <c r="C2161" s="31"/>
      <c r="D2161" s="31"/>
      <c r="E2161" s="31"/>
      <c r="F2161" s="89">
        <v>585.0</v>
      </c>
      <c r="G2161" s="91" t="str">
        <f>IFERROR(__xludf.DUMMYFUNCTION("TRIM(REGEXREPLACE(C2161, ""[0-9]+[a-f]?\."", """"))"),"")</f>
        <v/>
      </c>
      <c r="H2161" s="91" t="str">
        <f>IFERROR(__xludf.DUMMYFUNCTION("TRIM(REGEXREPLACE(D2161, ""[0-9]+[a-f]?\."", """"))"),"")</f>
        <v/>
      </c>
      <c r="I2161" s="91" t="str">
        <f>IFERROR(__xludf.DUMMYFUNCTION("TRIM(REGEXREPLACE(E2161, ""[0-9]+[a-f]?\."", """"))"),"")</f>
        <v/>
      </c>
      <c r="J2161" s="91" t="str">
        <f t="shared" si="710"/>
        <v>585. </v>
      </c>
      <c r="K2161" s="91" t="str">
        <f t="shared" si="711"/>
        <v>585. </v>
      </c>
      <c r="L2161" s="91" t="str">
        <f t="shared" si="712"/>
        <v>585. </v>
      </c>
    </row>
    <row r="2162" hidden="1">
      <c r="A2162" s="81"/>
      <c r="B2162" s="142"/>
      <c r="C2162" s="31"/>
      <c r="D2162" s="31"/>
      <c r="E2162" s="31"/>
      <c r="F2162" s="89">
        <v>586.0</v>
      </c>
      <c r="G2162" s="91" t="str">
        <f>IFERROR(__xludf.DUMMYFUNCTION("TRIM(REGEXREPLACE(C2162, ""[0-9]+[a-f]?\."", """"))"),"")</f>
        <v/>
      </c>
      <c r="H2162" s="91" t="str">
        <f>IFERROR(__xludf.DUMMYFUNCTION("TRIM(REGEXREPLACE(D2162, ""[0-9]+[a-f]?\."", """"))"),"")</f>
        <v/>
      </c>
      <c r="I2162" s="91" t="str">
        <f>IFERROR(__xludf.DUMMYFUNCTION("TRIM(REGEXREPLACE(E2162, ""[0-9]+[a-f]?\."", """"))"),"")</f>
        <v/>
      </c>
      <c r="J2162" s="91" t="str">
        <f t="shared" si="710"/>
        <v>586. </v>
      </c>
      <c r="K2162" s="91" t="str">
        <f t="shared" si="711"/>
        <v>586. </v>
      </c>
      <c r="L2162" s="91" t="str">
        <f t="shared" si="712"/>
        <v>586. </v>
      </c>
    </row>
    <row r="2163" hidden="1">
      <c r="A2163" s="133"/>
      <c r="B2163" s="143"/>
      <c r="C2163" s="31"/>
      <c r="D2163" s="31"/>
      <c r="E2163" s="31"/>
      <c r="F2163" s="89">
        <v>587.0</v>
      </c>
      <c r="G2163" s="91" t="str">
        <f>IFERROR(__xludf.DUMMYFUNCTION("TRIM(REGEXREPLACE(C2163, ""[0-9]+[a-f]?\."", """"))"),"")</f>
        <v/>
      </c>
      <c r="H2163" s="91" t="str">
        <f>IFERROR(__xludf.DUMMYFUNCTION("TRIM(REGEXREPLACE(D2163, ""[0-9]+[a-f]?\."", """"))"),"")</f>
        <v/>
      </c>
      <c r="I2163" s="91" t="str">
        <f>IFERROR(__xludf.DUMMYFUNCTION("TRIM(REGEXREPLACE(E2163, ""[0-9]+[a-f]?\."", """"))"),"")</f>
        <v/>
      </c>
      <c r="J2163" s="91" t="str">
        <f t="shared" si="710"/>
        <v>587. </v>
      </c>
      <c r="K2163" s="91" t="str">
        <f t="shared" si="711"/>
        <v>587. </v>
      </c>
      <c r="L2163" s="91" t="str">
        <f t="shared" si="712"/>
        <v>587. </v>
      </c>
    </row>
    <row r="2164" hidden="1">
      <c r="A2164" s="81"/>
      <c r="B2164" s="142"/>
      <c r="C2164" s="31"/>
      <c r="D2164" s="31"/>
      <c r="E2164" s="31"/>
      <c r="F2164" s="89">
        <v>588.0</v>
      </c>
      <c r="G2164" s="91" t="str">
        <f>IFERROR(__xludf.DUMMYFUNCTION("TRIM(REGEXREPLACE(C2164, ""[0-9]+[a-f]?\."", """"))"),"")</f>
        <v/>
      </c>
      <c r="H2164" s="91" t="str">
        <f>IFERROR(__xludf.DUMMYFUNCTION("TRIM(REGEXREPLACE(D2164, ""[0-9]+[a-f]?\."", """"))"),"")</f>
        <v/>
      </c>
      <c r="I2164" s="91" t="str">
        <f>IFERROR(__xludf.DUMMYFUNCTION("TRIM(REGEXREPLACE(E2164, ""[0-9]+[a-f]?\."", """"))"),"")</f>
        <v/>
      </c>
      <c r="J2164" s="91" t="str">
        <f t="shared" si="710"/>
        <v>588. </v>
      </c>
      <c r="K2164" s="91" t="str">
        <f t="shared" si="711"/>
        <v>588. </v>
      </c>
      <c r="L2164" s="91" t="str">
        <f t="shared" si="712"/>
        <v>588. </v>
      </c>
    </row>
    <row r="2165" hidden="1">
      <c r="A2165" s="146"/>
      <c r="B2165" s="147"/>
      <c r="C2165" s="31"/>
      <c r="D2165" s="31"/>
      <c r="E2165" s="31"/>
      <c r="F2165" s="89">
        <v>589.0</v>
      </c>
      <c r="G2165" s="91" t="str">
        <f>IFERROR(__xludf.DUMMYFUNCTION("TRIM(REGEXREPLACE(C2165, ""[0-9]+[a-f]?\."", """"))"),"")</f>
        <v/>
      </c>
      <c r="H2165" s="91" t="str">
        <f>IFERROR(__xludf.DUMMYFUNCTION("TRIM(REGEXREPLACE(D2165, ""[0-9]+[a-f]?\."", """"))"),"")</f>
        <v/>
      </c>
      <c r="I2165" s="91" t="str">
        <f>IFERROR(__xludf.DUMMYFUNCTION("TRIM(REGEXREPLACE(E2165, ""[0-9]+[a-f]?\."", """"))"),"")</f>
        <v/>
      </c>
      <c r="J2165" s="91" t="str">
        <f t="shared" si="710"/>
        <v>589. </v>
      </c>
      <c r="K2165" s="91" t="str">
        <f t="shared" si="711"/>
        <v>589. </v>
      </c>
      <c r="L2165" s="91" t="str">
        <f t="shared" si="712"/>
        <v>589. </v>
      </c>
    </row>
    <row r="2166" hidden="1">
      <c r="A2166" s="81"/>
      <c r="B2166" s="142"/>
      <c r="C2166" s="31"/>
      <c r="D2166" s="31"/>
      <c r="E2166" s="31"/>
      <c r="F2166" s="89">
        <v>590.0</v>
      </c>
      <c r="G2166" s="91" t="str">
        <f>IFERROR(__xludf.DUMMYFUNCTION("TRIM(REGEXREPLACE(C2166, ""[0-9]+[a-f]?\."", """"))"),"")</f>
        <v/>
      </c>
      <c r="H2166" s="91" t="str">
        <f>IFERROR(__xludf.DUMMYFUNCTION("TRIM(REGEXREPLACE(D2166, ""[0-9]+[a-f]?\."", """"))"),"")</f>
        <v/>
      </c>
      <c r="I2166" s="91" t="str">
        <f>IFERROR(__xludf.DUMMYFUNCTION("TRIM(REGEXREPLACE(E2166, ""[0-9]+[a-f]?\."", """"))"),"")</f>
        <v/>
      </c>
      <c r="J2166" s="91" t="str">
        <f t="shared" si="710"/>
        <v>590. </v>
      </c>
      <c r="K2166" s="91" t="str">
        <f t="shared" si="711"/>
        <v>590. </v>
      </c>
      <c r="L2166" s="91" t="str">
        <f t="shared" si="712"/>
        <v>590. </v>
      </c>
    </row>
    <row r="2167" hidden="1">
      <c r="A2167" s="133"/>
      <c r="B2167" s="143"/>
      <c r="C2167" s="31"/>
      <c r="D2167" s="31"/>
      <c r="E2167" s="31"/>
      <c r="F2167" s="89">
        <v>591.0</v>
      </c>
      <c r="G2167" s="91" t="str">
        <f>IFERROR(__xludf.DUMMYFUNCTION("TRIM(REGEXREPLACE(C2167, ""[0-9]+[a-f]?\."", """"))"),"")</f>
        <v/>
      </c>
      <c r="H2167" s="91" t="str">
        <f>IFERROR(__xludf.DUMMYFUNCTION("TRIM(REGEXREPLACE(D2167, ""[0-9]+[a-f]?\."", """"))"),"")</f>
        <v/>
      </c>
      <c r="I2167" s="91" t="str">
        <f>IFERROR(__xludf.DUMMYFUNCTION("TRIM(REGEXREPLACE(E2167, ""[0-9]+[a-f]?\."", """"))"),"")</f>
        <v/>
      </c>
      <c r="J2167" s="91" t="str">
        <f t="shared" si="710"/>
        <v>591. </v>
      </c>
      <c r="K2167" s="91" t="str">
        <f t="shared" si="711"/>
        <v>591. </v>
      </c>
      <c r="L2167" s="91" t="str">
        <f t="shared" si="712"/>
        <v>591. </v>
      </c>
    </row>
    <row r="2168" hidden="1">
      <c r="A2168" s="81"/>
      <c r="B2168" s="142"/>
      <c r="C2168" s="31"/>
      <c r="D2168" s="31"/>
      <c r="E2168" s="31"/>
      <c r="F2168" s="89">
        <v>592.0</v>
      </c>
      <c r="G2168" s="91" t="str">
        <f>IFERROR(__xludf.DUMMYFUNCTION("TRIM(REGEXREPLACE(C2168, ""[0-9]+[a-f]?\."", """"))"),"")</f>
        <v/>
      </c>
      <c r="H2168" s="91" t="str">
        <f>IFERROR(__xludf.DUMMYFUNCTION("TRIM(REGEXREPLACE(D2168, ""[0-9]+[a-f]?\."", """"))"),"")</f>
        <v/>
      </c>
      <c r="I2168" s="91" t="str">
        <f>IFERROR(__xludf.DUMMYFUNCTION("TRIM(REGEXREPLACE(E2168, ""[0-9]+[a-f]?\."", """"))"),"")</f>
        <v/>
      </c>
      <c r="J2168" s="91" t="str">
        <f t="shared" si="710"/>
        <v>592. </v>
      </c>
      <c r="K2168" s="91" t="str">
        <f t="shared" si="711"/>
        <v>592. </v>
      </c>
      <c r="L2168" s="91" t="str">
        <f t="shared" si="712"/>
        <v>592. </v>
      </c>
    </row>
    <row r="2169" hidden="1">
      <c r="A2169" s="146"/>
      <c r="B2169" s="147"/>
      <c r="C2169" s="31"/>
      <c r="D2169" s="31"/>
      <c r="E2169" s="31"/>
      <c r="F2169" s="89">
        <v>593.0</v>
      </c>
      <c r="G2169" s="91" t="str">
        <f>IFERROR(__xludf.DUMMYFUNCTION("TRIM(REGEXREPLACE(C2169, ""[0-9]+[a-f]?\."", """"))"),"")</f>
        <v/>
      </c>
      <c r="H2169" s="91" t="str">
        <f>IFERROR(__xludf.DUMMYFUNCTION("TRIM(REGEXREPLACE(D2169, ""[0-9]+[a-f]?\."", """"))"),"")</f>
        <v/>
      </c>
      <c r="I2169" s="91" t="str">
        <f>IFERROR(__xludf.DUMMYFUNCTION("TRIM(REGEXREPLACE(E2169, ""[0-9]+[a-f]?\."", """"))"),"")</f>
        <v/>
      </c>
      <c r="J2169" s="91" t="str">
        <f t="shared" si="710"/>
        <v>593. </v>
      </c>
      <c r="K2169" s="91" t="str">
        <f t="shared" si="711"/>
        <v>593. </v>
      </c>
      <c r="L2169" s="91" t="str">
        <f t="shared" si="712"/>
        <v>593. </v>
      </c>
    </row>
    <row r="2170" hidden="1">
      <c r="A2170" s="81"/>
      <c r="B2170" s="142"/>
      <c r="C2170" s="31"/>
      <c r="D2170" s="31"/>
      <c r="E2170" s="31"/>
      <c r="F2170" s="89">
        <v>594.0</v>
      </c>
      <c r="G2170" s="91" t="str">
        <f>IFERROR(__xludf.DUMMYFUNCTION("TRIM(REGEXREPLACE(C2170, ""[0-9]+[a-f]?\."", """"))"),"")</f>
        <v/>
      </c>
      <c r="H2170" s="91" t="str">
        <f>IFERROR(__xludf.DUMMYFUNCTION("TRIM(REGEXREPLACE(D2170, ""[0-9]+[a-f]?\."", """"))"),"")</f>
        <v/>
      </c>
      <c r="I2170" s="91" t="str">
        <f>IFERROR(__xludf.DUMMYFUNCTION("TRIM(REGEXREPLACE(E2170, ""[0-9]+[a-f]?\."", """"))"),"")</f>
        <v/>
      </c>
      <c r="J2170" s="91" t="str">
        <f t="shared" si="710"/>
        <v>594. </v>
      </c>
      <c r="K2170" s="91" t="str">
        <f t="shared" si="711"/>
        <v>594. </v>
      </c>
      <c r="L2170" s="91" t="str">
        <f t="shared" si="712"/>
        <v>594. </v>
      </c>
    </row>
    <row r="2171" hidden="1">
      <c r="A2171" s="133"/>
      <c r="B2171" s="143"/>
      <c r="C2171" s="31"/>
      <c r="D2171" s="31"/>
      <c r="E2171" s="31"/>
      <c r="F2171" s="89">
        <v>595.0</v>
      </c>
      <c r="G2171" s="91" t="str">
        <f>IFERROR(__xludf.DUMMYFUNCTION("TRIM(REGEXREPLACE(C2171, ""[0-9]+[a-f]?\."", """"))"),"")</f>
        <v/>
      </c>
      <c r="H2171" s="91" t="str">
        <f>IFERROR(__xludf.DUMMYFUNCTION("TRIM(REGEXREPLACE(D2171, ""[0-9]+[a-f]?\."", """"))"),"")</f>
        <v/>
      </c>
      <c r="I2171" s="91" t="str">
        <f>IFERROR(__xludf.DUMMYFUNCTION("TRIM(REGEXREPLACE(E2171, ""[0-9]+[a-f]?\."", """"))"),"")</f>
        <v/>
      </c>
      <c r="J2171" s="91" t="str">
        <f t="shared" si="710"/>
        <v>595. </v>
      </c>
      <c r="K2171" s="91" t="str">
        <f t="shared" si="711"/>
        <v>595. </v>
      </c>
      <c r="L2171" s="91" t="str">
        <f t="shared" si="712"/>
        <v>595. </v>
      </c>
    </row>
    <row r="2172" hidden="1">
      <c r="A2172" s="81"/>
      <c r="B2172" s="142"/>
      <c r="C2172" s="31"/>
      <c r="D2172" s="31"/>
      <c r="E2172" s="31"/>
      <c r="F2172" s="89">
        <v>596.0</v>
      </c>
      <c r="G2172" s="91" t="str">
        <f>IFERROR(__xludf.DUMMYFUNCTION("TRIM(REGEXREPLACE(C2172, ""[0-9]+[a-f]?\."", """"))"),"")</f>
        <v/>
      </c>
      <c r="H2172" s="91" t="str">
        <f>IFERROR(__xludf.DUMMYFUNCTION("TRIM(REGEXREPLACE(D2172, ""[0-9]+[a-f]?\."", """"))"),"")</f>
        <v/>
      </c>
      <c r="I2172" s="91" t="str">
        <f>IFERROR(__xludf.DUMMYFUNCTION("TRIM(REGEXREPLACE(E2172, ""[0-9]+[a-f]?\."", """"))"),"")</f>
        <v/>
      </c>
      <c r="J2172" s="91" t="str">
        <f t="shared" si="710"/>
        <v>596. </v>
      </c>
      <c r="K2172" s="91" t="str">
        <f t="shared" si="711"/>
        <v>596. </v>
      </c>
      <c r="L2172" s="91" t="str">
        <f t="shared" si="712"/>
        <v>596. </v>
      </c>
    </row>
    <row r="2173" hidden="1">
      <c r="A2173" s="146"/>
      <c r="B2173" s="147"/>
      <c r="C2173" s="31"/>
      <c r="D2173" s="31"/>
      <c r="E2173" s="31"/>
      <c r="F2173" s="89">
        <v>597.0</v>
      </c>
      <c r="G2173" s="91" t="str">
        <f>IFERROR(__xludf.DUMMYFUNCTION("TRIM(REGEXREPLACE(C2173, ""[0-9]+[a-f]?\."", """"))"),"")</f>
        <v/>
      </c>
      <c r="H2173" s="91" t="str">
        <f>IFERROR(__xludf.DUMMYFUNCTION("TRIM(REGEXREPLACE(D2173, ""[0-9]+[a-f]?\."", """"))"),"")</f>
        <v/>
      </c>
      <c r="I2173" s="91" t="str">
        <f>IFERROR(__xludf.DUMMYFUNCTION("TRIM(REGEXREPLACE(E2173, ""[0-9]+[a-f]?\."", """"))"),"")</f>
        <v/>
      </c>
      <c r="J2173" s="91" t="str">
        <f t="shared" si="710"/>
        <v>597. </v>
      </c>
      <c r="K2173" s="91" t="str">
        <f t="shared" si="711"/>
        <v>597. </v>
      </c>
      <c r="L2173" s="91" t="str">
        <f t="shared" si="712"/>
        <v>597. </v>
      </c>
    </row>
    <row r="2174" hidden="1">
      <c r="A2174" s="81"/>
      <c r="B2174" s="142"/>
      <c r="C2174" s="31"/>
      <c r="D2174" s="31"/>
      <c r="E2174" s="31"/>
      <c r="F2174" s="89">
        <v>598.0</v>
      </c>
      <c r="G2174" s="91" t="str">
        <f>IFERROR(__xludf.DUMMYFUNCTION("TRIM(REGEXREPLACE(C2174, ""[0-9]+[a-f]?\."", """"))"),"")</f>
        <v/>
      </c>
      <c r="H2174" s="91" t="str">
        <f>IFERROR(__xludf.DUMMYFUNCTION("TRIM(REGEXREPLACE(D2174, ""[0-9]+[a-f]?\."", """"))"),"")</f>
        <v/>
      </c>
      <c r="I2174" s="91" t="str">
        <f>IFERROR(__xludf.DUMMYFUNCTION("TRIM(REGEXREPLACE(E2174, ""[0-9]+[a-f]?\."", """"))"),"")</f>
        <v/>
      </c>
      <c r="J2174" s="91" t="str">
        <f t="shared" si="710"/>
        <v>598. </v>
      </c>
      <c r="K2174" s="91" t="str">
        <f t="shared" si="711"/>
        <v>598. </v>
      </c>
      <c r="L2174" s="91" t="str">
        <f t="shared" si="712"/>
        <v>598. </v>
      </c>
    </row>
    <row r="2175" hidden="1">
      <c r="A2175" s="133"/>
      <c r="B2175" s="143"/>
      <c r="C2175" s="31"/>
      <c r="D2175" s="31"/>
      <c r="E2175" s="31"/>
      <c r="F2175" s="89">
        <v>599.0</v>
      </c>
      <c r="G2175" s="91" t="str">
        <f>IFERROR(__xludf.DUMMYFUNCTION("TRIM(REGEXREPLACE(C2175, ""[0-9]+[a-f]?\."", """"))"),"")</f>
        <v/>
      </c>
      <c r="H2175" s="91" t="str">
        <f>IFERROR(__xludf.DUMMYFUNCTION("TRIM(REGEXREPLACE(D2175, ""[0-9]+[a-f]?\."", """"))"),"")</f>
        <v/>
      </c>
      <c r="I2175" s="91" t="str">
        <f>IFERROR(__xludf.DUMMYFUNCTION("TRIM(REGEXREPLACE(E2175, ""[0-9]+[a-f]?\."", """"))"),"")</f>
        <v/>
      </c>
      <c r="J2175" s="91" t="str">
        <f t="shared" si="710"/>
        <v>599. </v>
      </c>
      <c r="K2175" s="91" t="str">
        <f t="shared" si="711"/>
        <v>599. </v>
      </c>
      <c r="L2175" s="91" t="str">
        <f t="shared" si="712"/>
        <v>599. </v>
      </c>
    </row>
    <row r="2176" hidden="1">
      <c r="A2176" s="81"/>
      <c r="B2176" s="142"/>
      <c r="C2176" s="31"/>
      <c r="D2176" s="31"/>
      <c r="E2176" s="31"/>
      <c r="F2176" s="89">
        <v>600.0</v>
      </c>
      <c r="G2176" s="91" t="str">
        <f>IFERROR(__xludf.DUMMYFUNCTION("TRIM(REGEXREPLACE(C2176, ""[0-9]+[a-f]?\."", """"))"),"")</f>
        <v/>
      </c>
      <c r="H2176" s="91" t="str">
        <f>IFERROR(__xludf.DUMMYFUNCTION("TRIM(REGEXREPLACE(D2176, ""[0-9]+[a-f]?\."", """"))"),"")</f>
        <v/>
      </c>
      <c r="I2176" s="91" t="str">
        <f>IFERROR(__xludf.DUMMYFUNCTION("TRIM(REGEXREPLACE(E2176, ""[0-9]+[a-f]?\."", """"))"),"")</f>
        <v/>
      </c>
      <c r="J2176" s="91" t="str">
        <f t="shared" si="710"/>
        <v>600. </v>
      </c>
      <c r="K2176" s="91" t="str">
        <f t="shared" si="711"/>
        <v>600. </v>
      </c>
      <c r="L2176" s="91" t="str">
        <f t="shared" si="712"/>
        <v>600. </v>
      </c>
    </row>
    <row r="2177" hidden="1">
      <c r="A2177" s="146"/>
      <c r="B2177" s="147"/>
      <c r="C2177" s="31"/>
      <c r="D2177" s="31"/>
      <c r="E2177" s="31"/>
      <c r="F2177" s="89">
        <v>601.0</v>
      </c>
      <c r="G2177" s="91" t="str">
        <f>IFERROR(__xludf.DUMMYFUNCTION("TRIM(REGEXREPLACE(C2177, ""[0-9]+[a-f]?\."", """"))"),"")</f>
        <v/>
      </c>
      <c r="H2177" s="91" t="str">
        <f>IFERROR(__xludf.DUMMYFUNCTION("TRIM(REGEXREPLACE(D2177, ""[0-9]+[a-f]?\."", """"))"),"")</f>
        <v/>
      </c>
      <c r="I2177" s="91" t="str">
        <f>IFERROR(__xludf.DUMMYFUNCTION("TRIM(REGEXREPLACE(E2177, ""[0-9]+[a-f]?\."", """"))"),"")</f>
        <v/>
      </c>
      <c r="J2177" s="91" t="str">
        <f t="shared" si="710"/>
        <v>601. </v>
      </c>
      <c r="K2177" s="91" t="str">
        <f t="shared" si="711"/>
        <v>601. </v>
      </c>
      <c r="L2177" s="91" t="str">
        <f t="shared" si="712"/>
        <v>601. </v>
      </c>
    </row>
    <row r="2178" hidden="1">
      <c r="A2178" s="81"/>
      <c r="B2178" s="142"/>
      <c r="C2178" s="31"/>
      <c r="D2178" s="31"/>
      <c r="E2178" s="31"/>
      <c r="F2178" s="89">
        <v>602.0</v>
      </c>
      <c r="G2178" s="91" t="str">
        <f>IFERROR(__xludf.DUMMYFUNCTION("TRIM(REGEXREPLACE(C2178, ""[0-9]+[a-f]?\."", """"))"),"")</f>
        <v/>
      </c>
      <c r="H2178" s="91" t="str">
        <f>IFERROR(__xludf.DUMMYFUNCTION("TRIM(REGEXREPLACE(D2178, ""[0-9]+[a-f]?\."", """"))"),"")</f>
        <v/>
      </c>
      <c r="I2178" s="91" t="str">
        <f>IFERROR(__xludf.DUMMYFUNCTION("TRIM(REGEXREPLACE(E2178, ""[0-9]+[a-f]?\."", """"))"),"")</f>
        <v/>
      </c>
      <c r="J2178" s="91" t="str">
        <f t="shared" si="710"/>
        <v>602. </v>
      </c>
      <c r="K2178" s="91" t="str">
        <f t="shared" si="711"/>
        <v>602. </v>
      </c>
      <c r="L2178" s="91" t="str">
        <f t="shared" si="712"/>
        <v>602. </v>
      </c>
    </row>
    <row r="2179" hidden="1">
      <c r="A2179" s="133"/>
      <c r="B2179" s="143"/>
      <c r="C2179" s="31"/>
      <c r="D2179" s="31"/>
      <c r="E2179" s="31"/>
      <c r="F2179" s="89">
        <v>603.0</v>
      </c>
      <c r="G2179" s="91" t="str">
        <f>IFERROR(__xludf.DUMMYFUNCTION("TRIM(REGEXREPLACE(C2179, ""[0-9]+[a-f]?\."", """"))"),"")</f>
        <v/>
      </c>
      <c r="H2179" s="91" t="str">
        <f>IFERROR(__xludf.DUMMYFUNCTION("TRIM(REGEXREPLACE(D2179, ""[0-9]+[a-f]?\."", """"))"),"")</f>
        <v/>
      </c>
      <c r="I2179" s="91" t="str">
        <f>IFERROR(__xludf.DUMMYFUNCTION("TRIM(REGEXREPLACE(E2179, ""[0-9]+[a-f]?\."", """"))"),"")</f>
        <v/>
      </c>
      <c r="J2179" s="91" t="str">
        <f t="shared" si="710"/>
        <v>603. </v>
      </c>
      <c r="K2179" s="91" t="str">
        <f t="shared" si="711"/>
        <v>603. </v>
      </c>
      <c r="L2179" s="91" t="str">
        <f t="shared" si="712"/>
        <v>603. </v>
      </c>
    </row>
    <row r="2180" hidden="1">
      <c r="A2180" s="81"/>
      <c r="B2180" s="142"/>
      <c r="C2180" s="31"/>
      <c r="D2180" s="31"/>
      <c r="E2180" s="31"/>
      <c r="F2180" s="89">
        <v>604.0</v>
      </c>
      <c r="G2180" s="91" t="str">
        <f>IFERROR(__xludf.DUMMYFUNCTION("TRIM(REGEXREPLACE(C2180, ""[0-9]+[a-f]?\."", """"))"),"")</f>
        <v/>
      </c>
      <c r="H2180" s="91" t="str">
        <f>IFERROR(__xludf.DUMMYFUNCTION("TRIM(REGEXREPLACE(D2180, ""[0-9]+[a-f]?\."", """"))"),"")</f>
        <v/>
      </c>
      <c r="I2180" s="91" t="str">
        <f>IFERROR(__xludf.DUMMYFUNCTION("TRIM(REGEXREPLACE(E2180, ""[0-9]+[a-f]?\."", """"))"),"")</f>
        <v/>
      </c>
      <c r="J2180" s="91" t="str">
        <f t="shared" si="710"/>
        <v>604. </v>
      </c>
      <c r="K2180" s="91" t="str">
        <f t="shared" si="711"/>
        <v>604. </v>
      </c>
      <c r="L2180" s="91" t="str">
        <f t="shared" si="712"/>
        <v>604. </v>
      </c>
    </row>
    <row r="2181" hidden="1">
      <c r="A2181" s="146"/>
      <c r="B2181" s="147"/>
      <c r="C2181" s="31"/>
      <c r="D2181" s="31"/>
      <c r="E2181" s="31"/>
      <c r="F2181" s="89">
        <v>605.0</v>
      </c>
      <c r="G2181" s="91" t="str">
        <f>IFERROR(__xludf.DUMMYFUNCTION("TRIM(REGEXREPLACE(C2181, ""[0-9]+[a-f]?\."", """"))"),"")</f>
        <v/>
      </c>
      <c r="H2181" s="91" t="str">
        <f>IFERROR(__xludf.DUMMYFUNCTION("TRIM(REGEXREPLACE(D2181, ""[0-9]+[a-f]?\."", """"))"),"")</f>
        <v/>
      </c>
      <c r="I2181" s="91" t="str">
        <f>IFERROR(__xludf.DUMMYFUNCTION("TRIM(REGEXREPLACE(E2181, ""[0-9]+[a-f]?\."", """"))"),"")</f>
        <v/>
      </c>
      <c r="J2181" s="91" t="str">
        <f t="shared" si="710"/>
        <v>605. </v>
      </c>
      <c r="K2181" s="91" t="str">
        <f t="shared" si="711"/>
        <v>605. </v>
      </c>
      <c r="L2181" s="91" t="str">
        <f t="shared" si="712"/>
        <v>605. </v>
      </c>
    </row>
    <row r="2182" hidden="1">
      <c r="A2182" s="81"/>
      <c r="B2182" s="142"/>
      <c r="C2182" s="31"/>
      <c r="D2182" s="31"/>
      <c r="E2182" s="31"/>
      <c r="F2182" s="89">
        <v>606.0</v>
      </c>
      <c r="G2182" s="91" t="str">
        <f>IFERROR(__xludf.DUMMYFUNCTION("TRIM(REGEXREPLACE(C2182, ""[0-9]+[a-f]?\."", """"))"),"")</f>
        <v/>
      </c>
      <c r="H2182" s="91" t="str">
        <f>IFERROR(__xludf.DUMMYFUNCTION("TRIM(REGEXREPLACE(D2182, ""[0-9]+[a-f]?\."", """"))"),"")</f>
        <v/>
      </c>
      <c r="I2182" s="91" t="str">
        <f>IFERROR(__xludf.DUMMYFUNCTION("TRIM(REGEXREPLACE(E2182, ""[0-9]+[a-f]?\."", """"))"),"")</f>
        <v/>
      </c>
      <c r="J2182" s="91" t="str">
        <f t="shared" si="710"/>
        <v>606. </v>
      </c>
      <c r="K2182" s="91" t="str">
        <f t="shared" si="711"/>
        <v>606. </v>
      </c>
      <c r="L2182" s="91" t="str">
        <f t="shared" si="712"/>
        <v>606. </v>
      </c>
    </row>
    <row r="2183" hidden="1">
      <c r="A2183" s="133"/>
      <c r="B2183" s="143"/>
      <c r="C2183" s="31"/>
      <c r="D2183" s="31"/>
      <c r="E2183" s="31"/>
      <c r="F2183" s="89">
        <v>607.0</v>
      </c>
      <c r="G2183" s="91" t="str">
        <f>IFERROR(__xludf.DUMMYFUNCTION("TRIM(REGEXREPLACE(C2183, ""[0-9]+[a-f]?\."", """"))"),"")</f>
        <v/>
      </c>
      <c r="H2183" s="91" t="str">
        <f>IFERROR(__xludf.DUMMYFUNCTION("TRIM(REGEXREPLACE(D2183, ""[0-9]+[a-f]?\."", """"))"),"")</f>
        <v/>
      </c>
      <c r="I2183" s="91" t="str">
        <f>IFERROR(__xludf.DUMMYFUNCTION("TRIM(REGEXREPLACE(E2183, ""[0-9]+[a-f]?\."", """"))"),"")</f>
        <v/>
      </c>
      <c r="J2183" s="91" t="str">
        <f t="shared" si="710"/>
        <v>607. </v>
      </c>
      <c r="K2183" s="91" t="str">
        <f t="shared" si="711"/>
        <v>607. </v>
      </c>
      <c r="L2183" s="91" t="str">
        <f t="shared" si="712"/>
        <v>607. </v>
      </c>
    </row>
    <row r="2184" hidden="1">
      <c r="A2184" s="81"/>
      <c r="B2184" s="142"/>
      <c r="C2184" s="31"/>
      <c r="D2184" s="31"/>
      <c r="E2184" s="31"/>
      <c r="F2184" s="89">
        <v>608.0</v>
      </c>
      <c r="G2184" s="91" t="str">
        <f>IFERROR(__xludf.DUMMYFUNCTION("TRIM(REGEXREPLACE(C2184, ""[0-9]+[a-f]?\."", """"))"),"")</f>
        <v/>
      </c>
      <c r="H2184" s="91" t="str">
        <f>IFERROR(__xludf.DUMMYFUNCTION("TRIM(REGEXREPLACE(D2184, ""[0-9]+[a-f]?\."", """"))"),"")</f>
        <v/>
      </c>
      <c r="I2184" s="91" t="str">
        <f>IFERROR(__xludf.DUMMYFUNCTION("TRIM(REGEXREPLACE(E2184, ""[0-9]+[a-f]?\."", """"))"),"")</f>
        <v/>
      </c>
      <c r="J2184" s="91" t="str">
        <f t="shared" si="710"/>
        <v>608. </v>
      </c>
      <c r="K2184" s="91" t="str">
        <f t="shared" si="711"/>
        <v>608. </v>
      </c>
      <c r="L2184" s="91" t="str">
        <f t="shared" si="712"/>
        <v>608. </v>
      </c>
    </row>
    <row r="2185" hidden="1">
      <c r="A2185" s="146"/>
      <c r="B2185" s="147"/>
      <c r="C2185" s="31"/>
      <c r="D2185" s="31"/>
      <c r="E2185" s="31"/>
      <c r="F2185" s="89">
        <v>609.0</v>
      </c>
      <c r="G2185" s="91" t="str">
        <f>IFERROR(__xludf.DUMMYFUNCTION("TRIM(REGEXREPLACE(C2185, ""[0-9]+[a-f]?\."", """"))"),"")</f>
        <v/>
      </c>
      <c r="H2185" s="91" t="str">
        <f>IFERROR(__xludf.DUMMYFUNCTION("TRIM(REGEXREPLACE(D2185, ""[0-9]+[a-f]?\."", """"))"),"")</f>
        <v/>
      </c>
      <c r="I2185" s="91" t="str">
        <f>IFERROR(__xludf.DUMMYFUNCTION("TRIM(REGEXREPLACE(E2185, ""[0-9]+[a-f]?\."", """"))"),"")</f>
        <v/>
      </c>
      <c r="J2185" s="91" t="str">
        <f t="shared" si="710"/>
        <v>609. </v>
      </c>
      <c r="K2185" s="91" t="str">
        <f t="shared" si="711"/>
        <v>609. </v>
      </c>
      <c r="L2185" s="91" t="str">
        <f t="shared" si="712"/>
        <v>609. </v>
      </c>
    </row>
    <row r="2186" hidden="1">
      <c r="A2186" s="81"/>
      <c r="B2186" s="142"/>
      <c r="C2186" s="31"/>
      <c r="D2186" s="31"/>
      <c r="E2186" s="31"/>
      <c r="F2186" s="89">
        <v>610.0</v>
      </c>
      <c r="G2186" s="91" t="str">
        <f>IFERROR(__xludf.DUMMYFUNCTION("TRIM(REGEXREPLACE(C2186, ""[0-9]+[a-f]?\."", """"))"),"")</f>
        <v/>
      </c>
      <c r="H2186" s="91" t="str">
        <f>IFERROR(__xludf.DUMMYFUNCTION("TRIM(REGEXREPLACE(D2186, ""[0-9]+[a-f]?\."", """"))"),"")</f>
        <v/>
      </c>
      <c r="I2186" s="91" t="str">
        <f>IFERROR(__xludf.DUMMYFUNCTION("TRIM(REGEXREPLACE(E2186, ""[0-9]+[a-f]?\."", """"))"),"")</f>
        <v/>
      </c>
      <c r="J2186" s="91" t="str">
        <f t="shared" si="710"/>
        <v>610. </v>
      </c>
      <c r="K2186" s="91" t="str">
        <f t="shared" si="711"/>
        <v>610. </v>
      </c>
      <c r="L2186" s="91" t="str">
        <f t="shared" si="712"/>
        <v>610. </v>
      </c>
    </row>
    <row r="2187" hidden="1">
      <c r="A2187" s="133"/>
      <c r="B2187" s="143"/>
      <c r="C2187" s="31"/>
      <c r="D2187" s="31"/>
      <c r="E2187" s="31"/>
      <c r="F2187" s="89">
        <v>611.0</v>
      </c>
      <c r="G2187" s="91" t="str">
        <f>IFERROR(__xludf.DUMMYFUNCTION("TRIM(REGEXREPLACE(C2187, ""[0-9]+[a-f]?\."", """"))"),"")</f>
        <v/>
      </c>
      <c r="H2187" s="91" t="str">
        <f>IFERROR(__xludf.DUMMYFUNCTION("TRIM(REGEXREPLACE(D2187, ""[0-9]+[a-f]?\."", """"))"),"")</f>
        <v/>
      </c>
      <c r="I2187" s="91" t="str">
        <f>IFERROR(__xludf.DUMMYFUNCTION("TRIM(REGEXREPLACE(E2187, ""[0-9]+[a-f]?\."", """"))"),"")</f>
        <v/>
      </c>
      <c r="J2187" s="91" t="str">
        <f t="shared" si="710"/>
        <v>611. </v>
      </c>
      <c r="K2187" s="91" t="str">
        <f t="shared" si="711"/>
        <v>611. </v>
      </c>
      <c r="L2187" s="91" t="str">
        <f t="shared" si="712"/>
        <v>611. </v>
      </c>
    </row>
    <row r="2188" hidden="1">
      <c r="A2188" s="81"/>
      <c r="B2188" s="142"/>
      <c r="C2188" s="31"/>
      <c r="D2188" s="31"/>
      <c r="E2188" s="31"/>
      <c r="F2188" s="89">
        <v>612.0</v>
      </c>
      <c r="G2188" s="91" t="str">
        <f>IFERROR(__xludf.DUMMYFUNCTION("TRIM(REGEXREPLACE(C2188, ""[0-9]+[a-f]?\."", """"))"),"")</f>
        <v/>
      </c>
      <c r="H2188" s="91" t="str">
        <f>IFERROR(__xludf.DUMMYFUNCTION("TRIM(REGEXREPLACE(D2188, ""[0-9]+[a-f]?\."", """"))"),"")</f>
        <v/>
      </c>
      <c r="I2188" s="91" t="str">
        <f>IFERROR(__xludf.DUMMYFUNCTION("TRIM(REGEXREPLACE(E2188, ""[0-9]+[a-f]?\."", """"))"),"")</f>
        <v/>
      </c>
      <c r="J2188" s="91" t="str">
        <f t="shared" si="710"/>
        <v>612. </v>
      </c>
      <c r="K2188" s="91" t="str">
        <f t="shared" si="711"/>
        <v>612. </v>
      </c>
      <c r="L2188" s="91" t="str">
        <f t="shared" si="712"/>
        <v>612. </v>
      </c>
    </row>
    <row r="2189" hidden="1">
      <c r="A2189" s="230"/>
      <c r="B2189" s="131"/>
      <c r="C2189" s="31"/>
      <c r="D2189" s="31"/>
      <c r="E2189" s="31"/>
      <c r="F2189" s="89">
        <v>613.0</v>
      </c>
      <c r="G2189" s="91" t="str">
        <f>IFERROR(__xludf.DUMMYFUNCTION("TRIM(REGEXREPLACE(C2189, ""[0-9]+[a-f]?\."", """"))"),"")</f>
        <v/>
      </c>
      <c r="H2189" s="91" t="str">
        <f>IFERROR(__xludf.DUMMYFUNCTION("TRIM(REGEXREPLACE(D2189, ""[0-9]+[a-f]?\."", """"))"),"")</f>
        <v/>
      </c>
      <c r="I2189" s="91" t="str">
        <f>IFERROR(__xludf.DUMMYFUNCTION("TRIM(REGEXREPLACE(E2189, ""[0-9]+[a-f]?\."", """"))"),"")</f>
        <v/>
      </c>
      <c r="J2189" s="91" t="str">
        <f t="shared" si="710"/>
        <v>613. </v>
      </c>
      <c r="K2189" s="91" t="str">
        <f t="shared" si="711"/>
        <v>613. </v>
      </c>
      <c r="L2189" s="91" t="str">
        <f t="shared" si="712"/>
        <v>613. </v>
      </c>
    </row>
    <row r="2190" hidden="1">
      <c r="A2190" s="146"/>
      <c r="B2190" s="147"/>
      <c r="C2190" s="31"/>
      <c r="D2190" s="31"/>
      <c r="E2190" s="31"/>
      <c r="F2190" s="89">
        <v>614.0</v>
      </c>
      <c r="G2190" s="91" t="str">
        <f>IFERROR(__xludf.DUMMYFUNCTION("TRIM(REGEXREPLACE(C2190, ""[0-9]+[a-f]?\."", """"))"),"")</f>
        <v/>
      </c>
      <c r="H2190" s="91" t="str">
        <f>IFERROR(__xludf.DUMMYFUNCTION("TRIM(REGEXREPLACE(D2190, ""[0-9]+[a-f]?\."", """"))"),"")</f>
        <v/>
      </c>
      <c r="I2190" s="91" t="str">
        <f>IFERROR(__xludf.DUMMYFUNCTION("TRIM(REGEXREPLACE(E2190, ""[0-9]+[a-f]?\."", """"))"),"")</f>
        <v/>
      </c>
      <c r="J2190" s="91" t="str">
        <f t="shared" si="710"/>
        <v>614. </v>
      </c>
      <c r="K2190" s="91" t="str">
        <f t="shared" si="711"/>
        <v>614. </v>
      </c>
      <c r="L2190" s="91" t="str">
        <f t="shared" si="712"/>
        <v>614. </v>
      </c>
    </row>
    <row r="2191" hidden="1">
      <c r="A2191" s="104" t="s">
        <v>139</v>
      </c>
      <c r="B2191" s="141" t="s">
        <v>4531</v>
      </c>
      <c r="C2191" s="264"/>
      <c r="D2191" s="264"/>
      <c r="E2191" s="264"/>
    </row>
    <row r="2192" hidden="1">
      <c r="A2192" s="67" t="s">
        <v>108</v>
      </c>
      <c r="B2192" s="69" t="s">
        <v>4534</v>
      </c>
      <c r="C2192" s="123"/>
      <c r="D2192" s="153"/>
      <c r="E2192" s="153"/>
    </row>
    <row r="2193" hidden="1">
      <c r="A2193" s="122" t="s">
        <v>236</v>
      </c>
      <c r="B2193" s="153" t="s">
        <v>4244</v>
      </c>
      <c r="C2193" s="153" t="s">
        <v>4245</v>
      </c>
      <c r="D2193" s="153"/>
      <c r="E2193" s="153"/>
    </row>
    <row r="2194" hidden="1">
      <c r="A2194" s="104" t="s">
        <v>139</v>
      </c>
      <c r="B2194" s="141" t="s">
        <v>4542</v>
      </c>
      <c r="C2194" s="264"/>
      <c r="D2194" s="264"/>
      <c r="E2194" s="264"/>
    </row>
    <row r="2195" hidden="1">
      <c r="A2195" s="122" t="s">
        <v>150</v>
      </c>
      <c r="B2195" s="123" t="s">
        <v>4543</v>
      </c>
      <c r="C2195" s="123" t="s">
        <v>4544</v>
      </c>
      <c r="D2195" s="153" t="s">
        <v>4545</v>
      </c>
      <c r="E2195" s="153" t="s">
        <v>4546</v>
      </c>
    </row>
    <row r="2196" hidden="1">
      <c r="A2196" s="81"/>
      <c r="B2196" s="142"/>
      <c r="C2196" s="31"/>
      <c r="D2196" s="31"/>
      <c r="E2196" s="31"/>
      <c r="F2196" s="89">
        <v>615.0</v>
      </c>
      <c r="G2196" s="91" t="str">
        <f>IFERROR(__xludf.DUMMYFUNCTION("TRIM(REGEXREPLACE(C2196, ""[0-9]+[a-f]?\."", """"))"),"")</f>
        <v/>
      </c>
      <c r="H2196" s="91" t="str">
        <f>IFERROR(__xludf.DUMMYFUNCTION("TRIM(REGEXREPLACE(D2196, ""[0-9]+[a-f]?\."", """"))"),"")</f>
        <v/>
      </c>
      <c r="I2196" s="91" t="str">
        <f>IFERROR(__xludf.DUMMYFUNCTION("TRIM(REGEXREPLACE(E2196, ""[0-9]+[a-f]?\."", """"))"),"")</f>
        <v/>
      </c>
      <c r="J2196" s="91" t="str">
        <f t="shared" ref="J2196:J2201" si="713">F2196 &amp; ". " &amp;G2196</f>
        <v>615. </v>
      </c>
      <c r="K2196" s="91" t="str">
        <f t="shared" ref="K2196:K2201" si="714">F2196 &amp; ". " &amp;H2196</f>
        <v>615. </v>
      </c>
      <c r="L2196" s="91" t="str">
        <f t="shared" ref="L2196:L2201" si="715">F2196 &amp; ". " &amp;I2196</f>
        <v>615. </v>
      </c>
    </row>
    <row r="2197" hidden="1">
      <c r="A2197" s="81"/>
      <c r="B2197" s="142"/>
      <c r="C2197" s="31"/>
      <c r="D2197" s="31"/>
      <c r="E2197" s="31"/>
      <c r="F2197" s="89">
        <v>616.0</v>
      </c>
      <c r="G2197" s="91" t="str">
        <f>IFERROR(__xludf.DUMMYFUNCTION("TRIM(REGEXREPLACE(C2197, ""[0-9]+[a-f]?\."", """"))"),"")</f>
        <v/>
      </c>
      <c r="H2197" s="91" t="str">
        <f>IFERROR(__xludf.DUMMYFUNCTION("TRIM(REGEXREPLACE(D2197, ""[0-9]+[a-f]?\."", """"))"),"")</f>
        <v/>
      </c>
      <c r="I2197" s="91" t="str">
        <f>IFERROR(__xludf.DUMMYFUNCTION("TRIM(REGEXREPLACE(E2197, ""[0-9]+[a-f]?\."", """"))"),"")</f>
        <v/>
      </c>
      <c r="J2197" s="91" t="str">
        <f t="shared" si="713"/>
        <v>616. </v>
      </c>
      <c r="K2197" s="91" t="str">
        <f t="shared" si="714"/>
        <v>616. </v>
      </c>
      <c r="L2197" s="91" t="str">
        <f t="shared" si="715"/>
        <v>616. </v>
      </c>
    </row>
    <row r="2198" hidden="1">
      <c r="A2198" s="81"/>
      <c r="B2198" s="142"/>
      <c r="C2198" s="31"/>
      <c r="D2198" s="31"/>
      <c r="E2198" s="31"/>
      <c r="F2198" s="89">
        <v>617.0</v>
      </c>
      <c r="G2198" s="91" t="str">
        <f>IFERROR(__xludf.DUMMYFUNCTION("TRIM(REGEXREPLACE(C2198, ""[0-9]+[a-f]?\."", """"))"),"")</f>
        <v/>
      </c>
      <c r="H2198" s="91" t="str">
        <f>IFERROR(__xludf.DUMMYFUNCTION("TRIM(REGEXREPLACE(D2198, ""[0-9]+[a-f]?\."", """"))"),"")</f>
        <v/>
      </c>
      <c r="I2198" s="91" t="str">
        <f>IFERROR(__xludf.DUMMYFUNCTION("TRIM(REGEXREPLACE(E2198, ""[0-9]+[a-f]?\."", """"))"),"")</f>
        <v/>
      </c>
      <c r="J2198" s="91" t="str">
        <f t="shared" si="713"/>
        <v>617. </v>
      </c>
      <c r="K2198" s="91" t="str">
        <f t="shared" si="714"/>
        <v>617. </v>
      </c>
      <c r="L2198" s="91" t="str">
        <f t="shared" si="715"/>
        <v>617. </v>
      </c>
    </row>
    <row r="2199" hidden="1">
      <c r="A2199" s="81"/>
      <c r="B2199" s="142"/>
      <c r="C2199" s="31"/>
      <c r="D2199" s="31"/>
      <c r="E2199" s="31"/>
      <c r="F2199" s="89">
        <v>618.0</v>
      </c>
      <c r="G2199" s="91" t="str">
        <f>IFERROR(__xludf.DUMMYFUNCTION("TRIM(REGEXREPLACE(C2199, ""[0-9]+[a-f]?\."", """"))"),"")</f>
        <v/>
      </c>
      <c r="H2199" s="91" t="str">
        <f>IFERROR(__xludf.DUMMYFUNCTION("TRIM(REGEXREPLACE(D2199, ""[0-9]+[a-f]?\."", """"))"),"")</f>
        <v/>
      </c>
      <c r="I2199" s="91" t="str">
        <f>IFERROR(__xludf.DUMMYFUNCTION("TRIM(REGEXREPLACE(E2199, ""[0-9]+[a-f]?\."", """"))"),"")</f>
        <v/>
      </c>
      <c r="J2199" s="91" t="str">
        <f t="shared" si="713"/>
        <v>618. </v>
      </c>
      <c r="K2199" s="91" t="str">
        <f t="shared" si="714"/>
        <v>618. </v>
      </c>
      <c r="L2199" s="91" t="str">
        <f t="shared" si="715"/>
        <v>618. </v>
      </c>
    </row>
    <row r="2200" hidden="1">
      <c r="A2200" s="81"/>
      <c r="B2200" s="142"/>
      <c r="C2200" s="31"/>
      <c r="D2200" s="31"/>
      <c r="E2200" s="31"/>
      <c r="F2200" s="89">
        <v>619.0</v>
      </c>
      <c r="G2200" s="91" t="str">
        <f>IFERROR(__xludf.DUMMYFUNCTION("TRIM(REGEXREPLACE(C2200, ""[0-9]+[a-f]?\."", """"))"),"")</f>
        <v/>
      </c>
      <c r="H2200" s="91" t="str">
        <f>IFERROR(__xludf.DUMMYFUNCTION("TRIM(REGEXREPLACE(D2200, ""[0-9]+[a-f]?\."", """"))"),"")</f>
        <v/>
      </c>
      <c r="I2200" s="91" t="str">
        <f>IFERROR(__xludf.DUMMYFUNCTION("TRIM(REGEXREPLACE(E2200, ""[0-9]+[a-f]?\."", """"))"),"")</f>
        <v/>
      </c>
      <c r="J2200" s="91" t="str">
        <f t="shared" si="713"/>
        <v>619. </v>
      </c>
      <c r="K2200" s="91" t="str">
        <f t="shared" si="714"/>
        <v>619. </v>
      </c>
      <c r="L2200" s="91" t="str">
        <f t="shared" si="715"/>
        <v>619. </v>
      </c>
    </row>
    <row r="2201" hidden="1">
      <c r="A2201" s="81"/>
      <c r="B2201" s="142"/>
      <c r="C2201" s="31"/>
      <c r="D2201" s="31"/>
      <c r="E2201" s="31"/>
      <c r="F2201" s="89">
        <v>620.0</v>
      </c>
      <c r="G2201" s="91" t="str">
        <f>IFERROR(__xludf.DUMMYFUNCTION("TRIM(REGEXREPLACE(C2201, ""[0-9]+[a-f]?\."", """"))"),"")</f>
        <v/>
      </c>
      <c r="H2201" s="91" t="str">
        <f>IFERROR(__xludf.DUMMYFUNCTION("TRIM(REGEXREPLACE(D2201, ""[0-9]+[a-f]?\."", """"))"),"")</f>
        <v/>
      </c>
      <c r="I2201" s="91" t="str">
        <f>IFERROR(__xludf.DUMMYFUNCTION("TRIM(REGEXREPLACE(E2201, ""[0-9]+[a-f]?\."", """"))"),"")</f>
        <v/>
      </c>
      <c r="J2201" s="91" t="str">
        <f t="shared" si="713"/>
        <v>620. </v>
      </c>
      <c r="K2201" s="91" t="str">
        <f t="shared" si="714"/>
        <v>620. </v>
      </c>
      <c r="L2201" s="91" t="str">
        <f t="shared" si="715"/>
        <v>620. </v>
      </c>
    </row>
    <row r="2202" hidden="1">
      <c r="A2202" s="122" t="s">
        <v>236</v>
      </c>
      <c r="B2202" s="153" t="s">
        <v>4543</v>
      </c>
      <c r="C2202" s="153" t="s">
        <v>4544</v>
      </c>
      <c r="D2202" s="153" t="s">
        <v>4545</v>
      </c>
      <c r="E2202" s="153" t="s">
        <v>4546</v>
      </c>
    </row>
    <row r="2203" hidden="1">
      <c r="A2203" s="133"/>
      <c r="B2203" s="143"/>
      <c r="C2203" s="31"/>
      <c r="D2203" s="31"/>
      <c r="E2203" s="31"/>
      <c r="F2203" s="89">
        <v>621.0</v>
      </c>
      <c r="G2203" s="91" t="str">
        <f>IFERROR(__xludf.DUMMYFUNCTION("TRIM(REGEXREPLACE(C2203, ""[0-9]+[a-f]?\."", """"))"),"")</f>
        <v/>
      </c>
      <c r="H2203" s="91" t="str">
        <f>IFERROR(__xludf.DUMMYFUNCTION("TRIM(REGEXREPLACE(D2203, ""[0-9]+[a-f]?\."", """"))"),"")</f>
        <v/>
      </c>
      <c r="I2203" s="91" t="str">
        <f>IFERROR(__xludf.DUMMYFUNCTION("TRIM(REGEXREPLACE(E2203, ""[0-9]+[a-f]?\."", """"))"),"")</f>
        <v/>
      </c>
      <c r="J2203" s="91" t="str">
        <f t="shared" ref="J2203:J2208" si="716">F2203 &amp; ". " &amp;G2203</f>
        <v>621. </v>
      </c>
      <c r="K2203" s="91" t="str">
        <f t="shared" ref="K2203:K2208" si="717">F2203 &amp; ". " &amp;H2203</f>
        <v>621. </v>
      </c>
      <c r="L2203" s="91" t="str">
        <f t="shared" ref="L2203:L2208" si="718">F2203 &amp; ". " &amp;I2203</f>
        <v>621. </v>
      </c>
    </row>
    <row r="2204" hidden="1">
      <c r="A2204" s="146"/>
      <c r="B2204" s="147"/>
      <c r="C2204" s="31"/>
      <c r="D2204" s="31"/>
      <c r="E2204" s="31"/>
      <c r="F2204" s="89">
        <v>622.0</v>
      </c>
      <c r="G2204" s="91" t="str">
        <f>IFERROR(__xludf.DUMMYFUNCTION("TRIM(REGEXREPLACE(C2204, ""[0-9]+[a-f]?\."", """"))"),"")</f>
        <v/>
      </c>
      <c r="H2204" s="91" t="str">
        <f>IFERROR(__xludf.DUMMYFUNCTION("TRIM(REGEXREPLACE(D2204, ""[0-9]+[a-f]?\."", """"))"),"")</f>
        <v/>
      </c>
      <c r="I2204" s="91" t="str">
        <f>IFERROR(__xludf.DUMMYFUNCTION("TRIM(REGEXREPLACE(E2204, ""[0-9]+[a-f]?\."", """"))"),"")</f>
        <v/>
      </c>
      <c r="J2204" s="91" t="str">
        <f t="shared" si="716"/>
        <v>622. </v>
      </c>
      <c r="K2204" s="91" t="str">
        <f t="shared" si="717"/>
        <v>622. </v>
      </c>
      <c r="L2204" s="91" t="str">
        <f t="shared" si="718"/>
        <v>622. </v>
      </c>
    </row>
    <row r="2205" hidden="1">
      <c r="A2205" s="81"/>
      <c r="B2205" s="142"/>
      <c r="C2205" s="31"/>
      <c r="D2205" s="31"/>
      <c r="E2205" s="31"/>
      <c r="F2205" s="89">
        <v>623.0</v>
      </c>
      <c r="G2205" s="91" t="str">
        <f>IFERROR(__xludf.DUMMYFUNCTION("TRIM(REGEXREPLACE(C2205, ""[0-9]+[a-f]?\."", """"))"),"")</f>
        <v/>
      </c>
      <c r="H2205" s="91" t="str">
        <f>IFERROR(__xludf.DUMMYFUNCTION("TRIM(REGEXREPLACE(D2205, ""[0-9]+[a-f]?\."", """"))"),"")</f>
        <v/>
      </c>
      <c r="I2205" s="91" t="str">
        <f>IFERROR(__xludf.DUMMYFUNCTION("TRIM(REGEXREPLACE(E2205, ""[0-9]+[a-f]?\."", """"))"),"")</f>
        <v/>
      </c>
      <c r="J2205" s="91" t="str">
        <f t="shared" si="716"/>
        <v>623. </v>
      </c>
      <c r="K2205" s="91" t="str">
        <f t="shared" si="717"/>
        <v>623. </v>
      </c>
      <c r="L2205" s="91" t="str">
        <f t="shared" si="718"/>
        <v>623. </v>
      </c>
    </row>
    <row r="2206" hidden="1">
      <c r="A2206" s="133"/>
      <c r="B2206" s="143"/>
      <c r="C2206" s="31"/>
      <c r="D2206" s="31"/>
      <c r="E2206" s="31"/>
      <c r="F2206" s="89">
        <v>624.0</v>
      </c>
      <c r="G2206" s="91" t="str">
        <f>IFERROR(__xludf.DUMMYFUNCTION("TRIM(REGEXREPLACE(C2206, ""[0-9]+[a-f]?\."", """"))"),"")</f>
        <v/>
      </c>
      <c r="H2206" s="91" t="str">
        <f>IFERROR(__xludf.DUMMYFUNCTION("TRIM(REGEXREPLACE(D2206, ""[0-9]+[a-f]?\."", """"))"),"")</f>
        <v/>
      </c>
      <c r="I2206" s="91" t="str">
        <f>IFERROR(__xludf.DUMMYFUNCTION("TRIM(REGEXREPLACE(E2206, ""[0-9]+[a-f]?\."", """"))"),"")</f>
        <v/>
      </c>
      <c r="J2206" s="91" t="str">
        <f t="shared" si="716"/>
        <v>624. </v>
      </c>
      <c r="K2206" s="91" t="str">
        <f t="shared" si="717"/>
        <v>624. </v>
      </c>
      <c r="L2206" s="91" t="str">
        <f t="shared" si="718"/>
        <v>624. </v>
      </c>
    </row>
    <row r="2207" hidden="1">
      <c r="A2207" s="81"/>
      <c r="B2207" s="142"/>
      <c r="C2207" s="31"/>
      <c r="D2207" s="31"/>
      <c r="E2207" s="31"/>
      <c r="F2207" s="89">
        <v>625.0</v>
      </c>
      <c r="G2207" s="91" t="str">
        <f>IFERROR(__xludf.DUMMYFUNCTION("TRIM(REGEXREPLACE(C2207, ""[0-9]+[a-f]?\."", """"))"),"")</f>
        <v/>
      </c>
      <c r="H2207" s="91" t="str">
        <f>IFERROR(__xludf.DUMMYFUNCTION("TRIM(REGEXREPLACE(D2207, ""[0-9]+[a-f]?\."", """"))"),"")</f>
        <v/>
      </c>
      <c r="I2207" s="91" t="str">
        <f>IFERROR(__xludf.DUMMYFUNCTION("TRIM(REGEXREPLACE(E2207, ""[0-9]+[a-f]?\."", """"))"),"")</f>
        <v/>
      </c>
      <c r="J2207" s="91" t="str">
        <f t="shared" si="716"/>
        <v>625. </v>
      </c>
      <c r="K2207" s="91" t="str">
        <f t="shared" si="717"/>
        <v>625. </v>
      </c>
      <c r="L2207" s="91" t="str">
        <f t="shared" si="718"/>
        <v>625. </v>
      </c>
    </row>
    <row r="2208" hidden="1">
      <c r="A2208" s="133"/>
      <c r="B2208" s="143"/>
      <c r="C2208" s="31"/>
      <c r="D2208" s="31"/>
      <c r="E2208" s="31"/>
      <c r="F2208" s="89">
        <v>626.0</v>
      </c>
      <c r="G2208" s="91" t="str">
        <f>IFERROR(__xludf.DUMMYFUNCTION("TRIM(REGEXREPLACE(C2208, ""[0-9]+[a-f]?\."", """"))"),"")</f>
        <v/>
      </c>
      <c r="H2208" s="91" t="str">
        <f>IFERROR(__xludf.DUMMYFUNCTION("TRIM(REGEXREPLACE(D2208, ""[0-9]+[a-f]?\."", """"))"),"")</f>
        <v/>
      </c>
      <c r="I2208" s="91" t="str">
        <f>IFERROR(__xludf.DUMMYFUNCTION("TRIM(REGEXREPLACE(E2208, ""[0-9]+[a-f]?\."", """"))"),"")</f>
        <v/>
      </c>
      <c r="J2208" s="91" t="str">
        <f t="shared" si="716"/>
        <v>626. </v>
      </c>
      <c r="K2208" s="91" t="str">
        <f t="shared" si="717"/>
        <v>626. </v>
      </c>
      <c r="L2208" s="91" t="str">
        <f t="shared" si="718"/>
        <v>626. </v>
      </c>
    </row>
    <row r="2209" hidden="1">
      <c r="A2209" s="104" t="s">
        <v>139</v>
      </c>
      <c r="B2209" s="141" t="s">
        <v>4621</v>
      </c>
      <c r="C2209" s="264"/>
      <c r="D2209" s="264"/>
      <c r="E2209" s="264"/>
    </row>
    <row r="2210" hidden="1">
      <c r="A2210" s="67" t="s">
        <v>108</v>
      </c>
      <c r="B2210" s="69" t="s">
        <v>4625</v>
      </c>
      <c r="C2210" s="123"/>
      <c r="D2210" s="153"/>
      <c r="E2210" s="153"/>
    </row>
    <row r="2211" hidden="1">
      <c r="A2211" s="104" t="s">
        <v>139</v>
      </c>
      <c r="B2211" s="141" t="s">
        <v>4629</v>
      </c>
      <c r="C2211" s="264"/>
      <c r="D2211" s="264"/>
      <c r="E2211" s="264"/>
    </row>
    <row r="2212" hidden="1">
      <c r="A2212" s="126"/>
      <c r="B2212" s="127"/>
      <c r="C2212" s="31"/>
      <c r="D2212" s="31"/>
      <c r="E2212" s="31"/>
      <c r="F2212" s="89">
        <v>627.0</v>
      </c>
      <c r="G2212" s="91" t="str">
        <f>IFERROR(__xludf.DUMMYFUNCTION("TRIM(REGEXREPLACE(C2212, ""[0-9]+[a-f]?\."", """"))"),"")</f>
        <v/>
      </c>
      <c r="H2212" s="91" t="str">
        <f>IFERROR(__xludf.DUMMYFUNCTION("TRIM(REGEXREPLACE(D2212, ""[0-9]+[a-f]?\."", """"))"),"")</f>
        <v/>
      </c>
      <c r="I2212" s="91" t="str">
        <f>IFERROR(__xludf.DUMMYFUNCTION("TRIM(REGEXREPLACE(E2212, ""[0-9]+[a-f]?\."", """"))"),"")</f>
        <v/>
      </c>
      <c r="J2212" s="91" t="str">
        <f t="shared" ref="J2212:J2214" si="719">F2212 &amp; ". " &amp;G2212</f>
        <v>627. </v>
      </c>
      <c r="K2212" s="91" t="str">
        <f t="shared" ref="K2212:K2214" si="720">F2212 &amp; ". " &amp;H2212</f>
        <v>627. </v>
      </c>
      <c r="L2212" s="91" t="str">
        <f t="shared" ref="L2212:L2214" si="721">F2212 &amp; ". " &amp;I2212</f>
        <v>627. </v>
      </c>
    </row>
    <row r="2213" hidden="1">
      <c r="A2213" s="81"/>
      <c r="B2213" s="142"/>
      <c r="C2213" s="31"/>
      <c r="D2213" s="31"/>
      <c r="E2213" s="31"/>
      <c r="F2213" s="89">
        <v>628.0</v>
      </c>
      <c r="G2213" s="91" t="str">
        <f>IFERROR(__xludf.DUMMYFUNCTION("TRIM(REGEXREPLACE(C2213, ""[0-9]+[a-f]?\."", """"))"),"")</f>
        <v/>
      </c>
      <c r="H2213" s="91" t="str">
        <f>IFERROR(__xludf.DUMMYFUNCTION("TRIM(REGEXREPLACE(D2213, ""[0-9]+[a-f]?\."", """"))"),"")</f>
        <v/>
      </c>
      <c r="I2213" s="91" t="str">
        <f>IFERROR(__xludf.DUMMYFUNCTION("TRIM(REGEXREPLACE(E2213, ""[0-9]+[a-f]?\."", """"))"),"")</f>
        <v/>
      </c>
      <c r="J2213" s="91" t="str">
        <f t="shared" si="719"/>
        <v>628. </v>
      </c>
      <c r="K2213" s="91" t="str">
        <f t="shared" si="720"/>
        <v>628. </v>
      </c>
      <c r="L2213" s="91" t="str">
        <f t="shared" si="721"/>
        <v>628. </v>
      </c>
    </row>
    <row r="2214" hidden="1">
      <c r="A2214" s="133"/>
      <c r="B2214" s="143"/>
      <c r="C2214" s="31"/>
      <c r="D2214" s="31"/>
      <c r="E2214" s="31"/>
      <c r="F2214" s="89">
        <v>629.0</v>
      </c>
      <c r="G2214" s="91" t="str">
        <f>IFERROR(__xludf.DUMMYFUNCTION("TRIM(REGEXREPLACE(C2214, ""[0-9]+[a-f]?\."", """"))"),"")</f>
        <v/>
      </c>
      <c r="H2214" s="91" t="str">
        <f>IFERROR(__xludf.DUMMYFUNCTION("TRIM(REGEXREPLACE(D2214, ""[0-9]+[a-f]?\."", """"))"),"")</f>
        <v/>
      </c>
      <c r="I2214" s="91" t="str">
        <f>IFERROR(__xludf.DUMMYFUNCTION("TRIM(REGEXREPLACE(E2214, ""[0-9]+[a-f]?\."", """"))"),"")</f>
        <v/>
      </c>
      <c r="J2214" s="91" t="str">
        <f t="shared" si="719"/>
        <v>629. </v>
      </c>
      <c r="K2214" s="91" t="str">
        <f t="shared" si="720"/>
        <v>629. </v>
      </c>
      <c r="L2214" s="91" t="str">
        <f t="shared" si="721"/>
        <v>629. </v>
      </c>
    </row>
    <row r="2215" hidden="1">
      <c r="A2215" s="144" t="s">
        <v>648</v>
      </c>
      <c r="B2215" s="145" t="s">
        <v>4655</v>
      </c>
      <c r="C2215" s="145" t="s">
        <v>650</v>
      </c>
      <c r="D2215" s="150" t="s">
        <v>651</v>
      </c>
      <c r="E2215" s="150" t="s">
        <v>653</v>
      </c>
    </row>
    <row r="2216" hidden="1">
      <c r="A2216" s="104" t="s">
        <v>108</v>
      </c>
      <c r="B2216" s="105" t="s">
        <v>4659</v>
      </c>
      <c r="C2216" s="264"/>
      <c r="D2216" s="264"/>
      <c r="E2216" s="264"/>
    </row>
    <row r="2217" hidden="1">
      <c r="A2217" s="104" t="s">
        <v>108</v>
      </c>
      <c r="B2217" s="105" t="s">
        <v>4665</v>
      </c>
      <c r="C2217" s="264" t="s">
        <v>659</v>
      </c>
      <c r="D2217" s="264" t="s">
        <v>660</v>
      </c>
      <c r="E2217" s="264" t="s">
        <v>4666</v>
      </c>
    </row>
    <row r="2218" hidden="1">
      <c r="A2218" s="146"/>
      <c r="B2218" s="147"/>
      <c r="C2218" s="31"/>
      <c r="D2218" s="31"/>
      <c r="E2218" s="31"/>
      <c r="F2218" s="89">
        <v>630.0</v>
      </c>
      <c r="G2218" s="91" t="str">
        <f>IFERROR(__xludf.DUMMYFUNCTION("TRIM(REGEXREPLACE(C2218, ""[0-9]+[a-f]?\."", """"))"),"")</f>
        <v/>
      </c>
      <c r="H2218" s="91" t="str">
        <f>IFERROR(__xludf.DUMMYFUNCTION("TRIM(REGEXREPLACE(D2218, ""[0-9]+[a-f]?\."", """"))"),"")</f>
        <v/>
      </c>
      <c r="I2218" s="91" t="str">
        <f>IFERROR(__xludf.DUMMYFUNCTION("TRIM(REGEXREPLACE(E2218, ""[0-9]+[a-f]?\."", """"))"),"")</f>
        <v/>
      </c>
      <c r="J2218" s="91" t="str">
        <f t="shared" ref="J2218:J2219" si="722">F2218 &amp; ". " &amp;G2218</f>
        <v>630. </v>
      </c>
      <c r="K2218" s="91" t="str">
        <f t="shared" ref="K2218:K2219" si="723">F2218 &amp; ". " &amp;H2218</f>
        <v>630. </v>
      </c>
      <c r="L2218" s="91" t="str">
        <f t="shared" ref="L2218:L2219" si="724">F2218 &amp; ". " &amp;I2218</f>
        <v>630. </v>
      </c>
    </row>
    <row r="2219" hidden="1">
      <c r="A2219" s="81"/>
      <c r="B2219" s="142"/>
      <c r="C2219" s="31"/>
      <c r="D2219" s="31"/>
      <c r="E2219" s="31"/>
      <c r="F2219" s="89">
        <v>631.0</v>
      </c>
      <c r="G2219" s="91" t="str">
        <f>IFERROR(__xludf.DUMMYFUNCTION("TRIM(REGEXREPLACE(C2219, ""[0-9]+[a-f]?\."", """"))"),"")</f>
        <v/>
      </c>
      <c r="H2219" s="91" t="str">
        <f>IFERROR(__xludf.DUMMYFUNCTION("TRIM(REGEXREPLACE(D2219, ""[0-9]+[a-f]?\."", """"))"),"")</f>
        <v/>
      </c>
      <c r="I2219" s="91" t="str">
        <f>IFERROR(__xludf.DUMMYFUNCTION("TRIM(REGEXREPLACE(E2219, ""[0-9]+[a-f]?\."", """"))"),"")</f>
        <v/>
      </c>
      <c r="J2219" s="91" t="str">
        <f t="shared" si="722"/>
        <v>631. </v>
      </c>
      <c r="K2219" s="91" t="str">
        <f t="shared" si="723"/>
        <v>631. </v>
      </c>
      <c r="L2219" s="91" t="str">
        <f t="shared" si="724"/>
        <v>631. </v>
      </c>
    </row>
    <row r="2220" hidden="1">
      <c r="A2220" s="144" t="s">
        <v>691</v>
      </c>
      <c r="B2220" s="150" t="s">
        <v>4655</v>
      </c>
      <c r="C2220" s="150" t="s">
        <v>650</v>
      </c>
      <c r="D2220" s="150" t="s">
        <v>651</v>
      </c>
      <c r="E2220" s="150" t="s">
        <v>653</v>
      </c>
    </row>
    <row r="2221" hidden="1">
      <c r="A2221" s="104" t="s">
        <v>139</v>
      </c>
      <c r="B2221" s="141" t="s">
        <v>4689</v>
      </c>
      <c r="C2221" s="264"/>
      <c r="D2221" s="264"/>
      <c r="E2221" s="264"/>
    </row>
    <row r="2222" hidden="1">
      <c r="A2222" s="67" t="s">
        <v>108</v>
      </c>
      <c r="B2222" s="69" t="s">
        <v>4691</v>
      </c>
      <c r="C2222" s="123"/>
      <c r="D2222" s="153"/>
      <c r="E2222" s="153"/>
    </row>
    <row r="2223" hidden="1">
      <c r="A2223" s="104" t="s">
        <v>108</v>
      </c>
      <c r="B2223" s="105" t="s">
        <v>4693</v>
      </c>
      <c r="C2223" s="264"/>
      <c r="D2223" s="264"/>
      <c r="E2223" s="264"/>
    </row>
    <row r="2224" hidden="1">
      <c r="A2224" s="81"/>
      <c r="B2224" s="142"/>
      <c r="C2224" s="31"/>
      <c r="D2224" s="31"/>
      <c r="E2224" s="31"/>
      <c r="F2224" s="89">
        <v>632.0</v>
      </c>
      <c r="G2224" s="91" t="str">
        <f>IFERROR(__xludf.DUMMYFUNCTION("TRIM(REGEXREPLACE(C2224, ""[0-9]+[a-f]?\."", """"))"),"")</f>
        <v/>
      </c>
      <c r="H2224" s="91" t="str">
        <f>IFERROR(__xludf.DUMMYFUNCTION("TRIM(REGEXREPLACE(D2224, ""[0-9]+[a-f]?\."", """"))"),"")</f>
        <v/>
      </c>
      <c r="I2224" s="91" t="str">
        <f>IFERROR(__xludf.DUMMYFUNCTION("TRIM(REGEXREPLACE(E2224, ""[0-9]+[a-f]?\."", """"))"),"")</f>
        <v/>
      </c>
      <c r="J2224" s="91" t="str">
        <f>F2224 &amp; ". " &amp;G2224</f>
        <v>632. </v>
      </c>
      <c r="K2224" s="91" t="str">
        <f>F2224 &amp; ". " &amp;H2224</f>
        <v>632. </v>
      </c>
      <c r="L2224" s="91" t="str">
        <f>F2224 &amp; ". " &amp;I2224</f>
        <v>632. </v>
      </c>
    </row>
    <row r="2225" hidden="1">
      <c r="A2225" s="81"/>
      <c r="B2225" s="142"/>
      <c r="C2225" s="142"/>
      <c r="D2225" s="142"/>
      <c r="E2225" s="142"/>
    </row>
    <row r="2226" hidden="1">
      <c r="A2226" s="81"/>
      <c r="B2226" s="142"/>
      <c r="C2226" s="31"/>
      <c r="D2226" s="31"/>
      <c r="E2226" s="31"/>
      <c r="F2226" s="89">
        <v>633.0</v>
      </c>
      <c r="G2226" s="91" t="str">
        <f>IFERROR(__xludf.DUMMYFUNCTION("TRIM(REGEXREPLACE(C2226, ""[0-9]+[a-f]?\."", """"))"),"")</f>
        <v/>
      </c>
      <c r="H2226" s="91" t="str">
        <f>IFERROR(__xludf.DUMMYFUNCTION("TRIM(REGEXREPLACE(D2226, ""[0-9]+[a-f]?\."", """"))"),"")</f>
        <v/>
      </c>
      <c r="I2226" s="91" t="str">
        <f>IFERROR(__xludf.DUMMYFUNCTION("TRIM(REGEXREPLACE(E2226, ""[0-9]+[a-f]?\."", """"))"),"")</f>
        <v/>
      </c>
      <c r="J2226" s="91" t="str">
        <f t="shared" ref="J2226:J2227" si="725">F2226 &amp; ". " &amp;G2226</f>
        <v>633. </v>
      </c>
      <c r="K2226" s="91" t="str">
        <f t="shared" ref="K2226:K2227" si="726">F2226 &amp; ". " &amp;H2226</f>
        <v>633. </v>
      </c>
      <c r="L2226" s="91" t="str">
        <f t="shared" ref="L2226:L2227" si="727">F2226 &amp; ". " &amp;I2226</f>
        <v>633. </v>
      </c>
    </row>
    <row r="2227" hidden="1">
      <c r="A2227" s="133"/>
      <c r="B2227" s="143"/>
      <c r="C2227" s="31"/>
      <c r="D2227" s="31"/>
      <c r="E2227" s="31"/>
      <c r="F2227" s="89">
        <v>634.0</v>
      </c>
      <c r="G2227" s="91" t="str">
        <f>IFERROR(__xludf.DUMMYFUNCTION("TRIM(REGEXREPLACE(C2227, ""[0-9]+[a-f]?\."", """"))"),"")</f>
        <v/>
      </c>
      <c r="H2227" s="91" t="str">
        <f>IFERROR(__xludf.DUMMYFUNCTION("TRIM(REGEXREPLACE(D2227, ""[0-9]+[a-f]?\."", """"))"),"")</f>
        <v/>
      </c>
      <c r="I2227" s="91" t="str">
        <f>IFERROR(__xludf.DUMMYFUNCTION("TRIM(REGEXREPLACE(E2227, ""[0-9]+[a-f]?\."", """"))"),"")</f>
        <v/>
      </c>
      <c r="J2227" s="91" t="str">
        <f t="shared" si="725"/>
        <v>634. </v>
      </c>
      <c r="K2227" s="91" t="str">
        <f t="shared" si="726"/>
        <v>634. </v>
      </c>
      <c r="L2227" s="91" t="str">
        <f t="shared" si="727"/>
        <v>634. </v>
      </c>
    </row>
    <row r="2228" hidden="1">
      <c r="A2228" s="104" t="s">
        <v>139</v>
      </c>
      <c r="B2228" s="141" t="s">
        <v>4716</v>
      </c>
      <c r="C2228" s="264"/>
      <c r="D2228" s="264"/>
      <c r="E2228" s="264"/>
    </row>
    <row r="2229" hidden="1">
      <c r="A2229" s="144" t="s">
        <v>648</v>
      </c>
      <c r="B2229" s="145" t="s">
        <v>4717</v>
      </c>
      <c r="C2229" s="145" t="s">
        <v>1418</v>
      </c>
      <c r="D2229" s="150"/>
      <c r="E2229" s="150"/>
    </row>
    <row r="2230" hidden="1">
      <c r="A2230" s="104" t="s">
        <v>108</v>
      </c>
      <c r="B2230" s="105" t="s">
        <v>4718</v>
      </c>
      <c r="C2230" s="264" t="s">
        <v>1432</v>
      </c>
      <c r="D2230" s="264"/>
      <c r="E2230" s="264"/>
    </row>
    <row r="2231" hidden="1">
      <c r="A2231" s="122" t="s">
        <v>150</v>
      </c>
      <c r="B2231" s="123" t="s">
        <v>4719</v>
      </c>
      <c r="C2231" s="123"/>
      <c r="D2231" s="153"/>
      <c r="E2231" s="153"/>
    </row>
    <row r="2232" hidden="1">
      <c r="A2232" s="81"/>
      <c r="B2232" s="142"/>
      <c r="C2232" s="31"/>
      <c r="D2232" s="31"/>
      <c r="E2232" s="31"/>
      <c r="F2232" s="89">
        <v>635.0</v>
      </c>
      <c r="G2232" s="91" t="str">
        <f>IFERROR(__xludf.DUMMYFUNCTION("TRIM(REGEXREPLACE(C2232, ""[0-9]+[a-f]?\."", """"))"),"")</f>
        <v/>
      </c>
      <c r="H2232" s="91" t="str">
        <f>IFERROR(__xludf.DUMMYFUNCTION("TRIM(REGEXREPLACE(D2232, ""[0-9]+[a-f]?\."", """"))"),"")</f>
        <v/>
      </c>
      <c r="I2232" s="91" t="str">
        <f>IFERROR(__xludf.DUMMYFUNCTION("TRIM(REGEXREPLACE(E2232, ""[0-9]+[a-f]?\."", """"))"),"")</f>
        <v/>
      </c>
      <c r="J2232" s="91" t="str">
        <f t="shared" ref="J2232:J2236" si="728">F2232 &amp; ". " &amp;G2232</f>
        <v>635. </v>
      </c>
      <c r="K2232" s="91" t="str">
        <f t="shared" ref="K2232:K2236" si="729">F2232 &amp; ". " &amp;H2232</f>
        <v>635. </v>
      </c>
      <c r="L2232" s="91" t="str">
        <f t="shared" ref="L2232:L2236" si="730">F2232 &amp; ". " &amp;I2232</f>
        <v>635. </v>
      </c>
    </row>
    <row r="2233" hidden="1">
      <c r="A2233" s="81"/>
      <c r="B2233" s="142"/>
      <c r="C2233" s="31"/>
      <c r="D2233" s="31"/>
      <c r="E2233" s="31"/>
      <c r="F2233" s="89">
        <v>636.0</v>
      </c>
      <c r="G2233" s="91" t="str">
        <f>IFERROR(__xludf.DUMMYFUNCTION("TRIM(REGEXREPLACE(C2233, ""[0-9]+[a-f]?\."", """"))"),"")</f>
        <v/>
      </c>
      <c r="H2233" s="91" t="str">
        <f>IFERROR(__xludf.DUMMYFUNCTION("TRIM(REGEXREPLACE(D2233, ""[0-9]+[a-f]?\."", """"))"),"")</f>
        <v/>
      </c>
      <c r="I2233" s="91" t="str">
        <f>IFERROR(__xludf.DUMMYFUNCTION("TRIM(REGEXREPLACE(E2233, ""[0-9]+[a-f]?\."", """"))"),"")</f>
        <v/>
      </c>
      <c r="J2233" s="91" t="str">
        <f t="shared" si="728"/>
        <v>636. </v>
      </c>
      <c r="K2233" s="91" t="str">
        <f t="shared" si="729"/>
        <v>636. </v>
      </c>
      <c r="L2233" s="91" t="str">
        <f t="shared" si="730"/>
        <v>636. </v>
      </c>
    </row>
    <row r="2234" hidden="1">
      <c r="A2234" s="81"/>
      <c r="B2234" s="142"/>
      <c r="C2234" s="31"/>
      <c r="D2234" s="31"/>
      <c r="E2234" s="31"/>
      <c r="F2234" s="89">
        <v>637.0</v>
      </c>
      <c r="G2234" s="91" t="str">
        <f>IFERROR(__xludf.DUMMYFUNCTION("TRIM(REGEXREPLACE(C2234, ""[0-9]+[a-f]?\."", """"))"),"")</f>
        <v/>
      </c>
      <c r="H2234" s="91" t="str">
        <f>IFERROR(__xludf.DUMMYFUNCTION("TRIM(REGEXREPLACE(D2234, ""[0-9]+[a-f]?\."", """"))"),"")</f>
        <v/>
      </c>
      <c r="I2234" s="91" t="str">
        <f>IFERROR(__xludf.DUMMYFUNCTION("TRIM(REGEXREPLACE(E2234, ""[0-9]+[a-f]?\."", """"))"),"")</f>
        <v/>
      </c>
      <c r="J2234" s="91" t="str">
        <f t="shared" si="728"/>
        <v>637. </v>
      </c>
      <c r="K2234" s="91" t="str">
        <f t="shared" si="729"/>
        <v>637. </v>
      </c>
      <c r="L2234" s="91" t="str">
        <f t="shared" si="730"/>
        <v>637. </v>
      </c>
    </row>
    <row r="2235" hidden="1">
      <c r="A2235" s="81"/>
      <c r="B2235" s="142"/>
      <c r="C2235" s="31"/>
      <c r="D2235" s="31"/>
      <c r="E2235" s="31"/>
      <c r="F2235" s="89">
        <v>638.0</v>
      </c>
      <c r="G2235" s="91" t="str">
        <f>IFERROR(__xludf.DUMMYFUNCTION("TRIM(REGEXREPLACE(C2235, ""[0-9]+[a-f]?\."", """"))"),"")</f>
        <v/>
      </c>
      <c r="H2235" s="91" t="str">
        <f>IFERROR(__xludf.DUMMYFUNCTION("TRIM(REGEXREPLACE(D2235, ""[0-9]+[a-f]?\."", """"))"),"")</f>
        <v/>
      </c>
      <c r="I2235" s="91" t="str">
        <f>IFERROR(__xludf.DUMMYFUNCTION("TRIM(REGEXREPLACE(E2235, ""[0-9]+[a-f]?\."", """"))"),"")</f>
        <v/>
      </c>
      <c r="J2235" s="91" t="str">
        <f t="shared" si="728"/>
        <v>638. </v>
      </c>
      <c r="K2235" s="91" t="str">
        <f t="shared" si="729"/>
        <v>638. </v>
      </c>
      <c r="L2235" s="91" t="str">
        <f t="shared" si="730"/>
        <v>638. </v>
      </c>
    </row>
    <row r="2236" hidden="1">
      <c r="A2236" s="81"/>
      <c r="B2236" s="142"/>
      <c r="C2236" s="31"/>
      <c r="D2236" s="31"/>
      <c r="E2236" s="31"/>
      <c r="F2236" s="89">
        <v>639.0</v>
      </c>
      <c r="G2236" s="91" t="str">
        <f>IFERROR(__xludf.DUMMYFUNCTION("TRIM(REGEXREPLACE(C2236, ""[0-9]+[a-f]?\."", """"))"),"")</f>
        <v/>
      </c>
      <c r="H2236" s="91" t="str">
        <f>IFERROR(__xludf.DUMMYFUNCTION("TRIM(REGEXREPLACE(D2236, ""[0-9]+[a-f]?\."", """"))"),"")</f>
        <v/>
      </c>
      <c r="I2236" s="91" t="str">
        <f>IFERROR(__xludf.DUMMYFUNCTION("TRIM(REGEXREPLACE(E2236, ""[0-9]+[a-f]?\."", """"))"),"")</f>
        <v/>
      </c>
      <c r="J2236" s="91" t="str">
        <f t="shared" si="728"/>
        <v>639. </v>
      </c>
      <c r="K2236" s="91" t="str">
        <f t="shared" si="729"/>
        <v>639. </v>
      </c>
      <c r="L2236" s="91" t="str">
        <f t="shared" si="730"/>
        <v>639. </v>
      </c>
    </row>
    <row r="2237" hidden="1">
      <c r="A2237" s="122" t="s">
        <v>236</v>
      </c>
      <c r="B2237" s="153" t="s">
        <v>4719</v>
      </c>
      <c r="C2237" s="153"/>
      <c r="D2237" s="153"/>
      <c r="E2237" s="153"/>
    </row>
    <row r="2238" hidden="1">
      <c r="A2238" s="122" t="s">
        <v>150</v>
      </c>
      <c r="B2238" s="123" t="s">
        <v>4751</v>
      </c>
      <c r="C2238" s="123"/>
      <c r="D2238" s="153"/>
      <c r="E2238" s="153"/>
    </row>
    <row r="2239" hidden="1">
      <c r="A2239" s="126"/>
      <c r="B2239" s="127"/>
      <c r="C2239" s="31"/>
      <c r="D2239" s="31"/>
      <c r="E2239" s="31"/>
      <c r="F2239" s="89">
        <v>640.0</v>
      </c>
      <c r="G2239" s="91" t="str">
        <f>IFERROR(__xludf.DUMMYFUNCTION("TRIM(REGEXREPLACE(C2239, ""[0-9]+[a-f]?\."", """"))"),"")</f>
        <v/>
      </c>
      <c r="H2239" s="91" t="str">
        <f>IFERROR(__xludf.DUMMYFUNCTION("TRIM(REGEXREPLACE(D2239, ""[0-9]+[a-f]?\."", """"))"),"")</f>
        <v/>
      </c>
      <c r="I2239" s="91" t="str">
        <f>IFERROR(__xludf.DUMMYFUNCTION("TRIM(REGEXREPLACE(E2239, ""[0-9]+[a-f]?\."", """"))"),"")</f>
        <v/>
      </c>
      <c r="J2239" s="91" t="str">
        <f t="shared" ref="J2239:J2242" si="731">F2239 &amp; ". " &amp;G2239</f>
        <v>640. </v>
      </c>
      <c r="K2239" s="91" t="str">
        <f t="shared" ref="K2239:K2242" si="732">F2239 &amp; ". " &amp;H2239</f>
        <v>640. </v>
      </c>
      <c r="L2239" s="91" t="str">
        <f t="shared" ref="L2239:L2242" si="733">F2239 &amp; ". " &amp;I2239</f>
        <v>640. </v>
      </c>
    </row>
    <row r="2240" hidden="1">
      <c r="A2240" s="146"/>
      <c r="B2240" s="147"/>
      <c r="C2240" s="31"/>
      <c r="D2240" s="31"/>
      <c r="E2240" s="31"/>
      <c r="F2240" s="89">
        <v>641.0</v>
      </c>
      <c r="G2240" s="91" t="str">
        <f>IFERROR(__xludf.DUMMYFUNCTION("TRIM(REGEXREPLACE(C2240, ""[0-9]+[a-f]?\."", """"))"),"")</f>
        <v/>
      </c>
      <c r="H2240" s="91" t="str">
        <f>IFERROR(__xludf.DUMMYFUNCTION("TRIM(REGEXREPLACE(D2240, ""[0-9]+[a-f]?\."", """"))"),"")</f>
        <v/>
      </c>
      <c r="I2240" s="91" t="str">
        <f>IFERROR(__xludf.DUMMYFUNCTION("TRIM(REGEXREPLACE(E2240, ""[0-9]+[a-f]?\."", """"))"),"")</f>
        <v/>
      </c>
      <c r="J2240" s="91" t="str">
        <f t="shared" si="731"/>
        <v>641. </v>
      </c>
      <c r="K2240" s="91" t="str">
        <f t="shared" si="732"/>
        <v>641. </v>
      </c>
      <c r="L2240" s="91" t="str">
        <f t="shared" si="733"/>
        <v>641. </v>
      </c>
    </row>
    <row r="2241" hidden="1">
      <c r="A2241" s="146"/>
      <c r="B2241" s="147"/>
      <c r="C2241" s="31"/>
      <c r="D2241" s="31"/>
      <c r="E2241" s="31"/>
      <c r="F2241" s="89">
        <v>642.0</v>
      </c>
      <c r="G2241" s="91" t="str">
        <f>IFERROR(__xludf.DUMMYFUNCTION("TRIM(REGEXREPLACE(C2241, ""[0-9]+[a-f]?\."", """"))"),"")</f>
        <v/>
      </c>
      <c r="H2241" s="91" t="str">
        <f>IFERROR(__xludf.DUMMYFUNCTION("TRIM(REGEXREPLACE(D2241, ""[0-9]+[a-f]?\."", """"))"),"")</f>
        <v/>
      </c>
      <c r="I2241" s="91" t="str">
        <f>IFERROR(__xludf.DUMMYFUNCTION("TRIM(REGEXREPLACE(E2241, ""[0-9]+[a-f]?\."", """"))"),"")</f>
        <v/>
      </c>
      <c r="J2241" s="91" t="str">
        <f t="shared" si="731"/>
        <v>642. </v>
      </c>
      <c r="K2241" s="91" t="str">
        <f t="shared" si="732"/>
        <v>642. </v>
      </c>
      <c r="L2241" s="91" t="str">
        <f t="shared" si="733"/>
        <v>642. </v>
      </c>
    </row>
    <row r="2242" hidden="1">
      <c r="A2242" s="146"/>
      <c r="B2242" s="147"/>
      <c r="C2242" s="31"/>
      <c r="D2242" s="31"/>
      <c r="E2242" s="31"/>
      <c r="F2242" s="89">
        <v>643.0</v>
      </c>
      <c r="G2242" s="91" t="str">
        <f>IFERROR(__xludf.DUMMYFUNCTION("TRIM(REGEXREPLACE(C2242, ""[0-9]+[a-f]?\."", """"))"),"")</f>
        <v/>
      </c>
      <c r="H2242" s="91" t="str">
        <f>IFERROR(__xludf.DUMMYFUNCTION("TRIM(REGEXREPLACE(D2242, ""[0-9]+[a-f]?\."", """"))"),"")</f>
        <v/>
      </c>
      <c r="I2242" s="91" t="str">
        <f>IFERROR(__xludf.DUMMYFUNCTION("TRIM(REGEXREPLACE(E2242, ""[0-9]+[a-f]?\."", """"))"),"")</f>
        <v/>
      </c>
      <c r="J2242" s="91" t="str">
        <f t="shared" si="731"/>
        <v>643. </v>
      </c>
      <c r="K2242" s="91" t="str">
        <f t="shared" si="732"/>
        <v>643. </v>
      </c>
      <c r="L2242" s="91" t="str">
        <f t="shared" si="733"/>
        <v>643. </v>
      </c>
    </row>
    <row r="2243" hidden="1">
      <c r="A2243" s="122" t="s">
        <v>236</v>
      </c>
      <c r="B2243" s="153" t="s">
        <v>4751</v>
      </c>
      <c r="C2243" s="153"/>
      <c r="D2243" s="153"/>
      <c r="E2243" s="153"/>
    </row>
    <row r="2244" hidden="1">
      <c r="A2244" s="144" t="s">
        <v>691</v>
      </c>
      <c r="B2244" s="150" t="s">
        <v>4717</v>
      </c>
      <c r="C2244" s="150" t="s">
        <v>1418</v>
      </c>
      <c r="D2244" s="150"/>
      <c r="E2244" s="150"/>
    </row>
    <row r="2245" hidden="1">
      <c r="A2245" s="104" t="s">
        <v>139</v>
      </c>
      <c r="B2245" s="141" t="s">
        <v>4797</v>
      </c>
      <c r="C2245" s="264"/>
      <c r="D2245" s="264"/>
      <c r="E2245" s="264"/>
    </row>
    <row r="2246" hidden="1">
      <c r="A2246" s="67" t="s">
        <v>108</v>
      </c>
      <c r="B2246" s="69" t="s">
        <v>4804</v>
      </c>
      <c r="C2246" s="123"/>
      <c r="D2246" s="153"/>
      <c r="E2246" s="153"/>
    </row>
    <row r="2247" hidden="1">
      <c r="A2247" s="104" t="s">
        <v>139</v>
      </c>
      <c r="B2247" s="141" t="s">
        <v>4808</v>
      </c>
      <c r="C2247" s="264"/>
      <c r="D2247" s="264"/>
      <c r="E2247" s="264"/>
    </row>
    <row r="2248" hidden="1">
      <c r="A2248" s="126"/>
      <c r="B2248" s="127"/>
      <c r="C2248" s="31"/>
      <c r="D2248" s="31"/>
      <c r="E2248" s="31"/>
      <c r="F2248" s="89">
        <v>644.0</v>
      </c>
      <c r="G2248" s="91" t="str">
        <f>IFERROR(__xludf.DUMMYFUNCTION("TRIM(REGEXREPLACE(C2248, ""[0-9]+[a-f]?\."", """"))"),"")</f>
        <v/>
      </c>
      <c r="H2248" s="91" t="str">
        <f>IFERROR(__xludf.DUMMYFUNCTION("TRIM(REGEXREPLACE(D2248, ""[0-9]+[a-f]?\."", """"))"),"")</f>
        <v/>
      </c>
      <c r="I2248" s="91" t="str">
        <f>IFERROR(__xludf.DUMMYFUNCTION("TRIM(REGEXREPLACE(E2248, ""[0-9]+[a-f]?\."", """"))"),"")</f>
        <v/>
      </c>
      <c r="J2248" s="91" t="str">
        <f t="shared" ref="J2248:J2254" si="734">F2248 &amp; ". " &amp;G2248</f>
        <v>644. </v>
      </c>
      <c r="K2248" s="91" t="str">
        <f t="shared" ref="K2248:K2254" si="735">F2248 &amp; ". " &amp;H2248</f>
        <v>644. </v>
      </c>
      <c r="L2248" s="91" t="str">
        <f t="shared" ref="L2248:L2254" si="736">F2248 &amp; ". " &amp;I2248</f>
        <v>644. </v>
      </c>
    </row>
    <row r="2249" hidden="1">
      <c r="A2249" s="81"/>
      <c r="B2249" s="142"/>
      <c r="C2249" s="31"/>
      <c r="D2249" s="31"/>
      <c r="E2249" s="31"/>
      <c r="F2249" s="89">
        <v>645.0</v>
      </c>
      <c r="G2249" s="91" t="str">
        <f>IFERROR(__xludf.DUMMYFUNCTION("TRIM(REGEXREPLACE(C2249, ""[0-9]+[a-f]?\."", """"))"),"")</f>
        <v/>
      </c>
      <c r="H2249" s="91" t="str">
        <f>IFERROR(__xludf.DUMMYFUNCTION("TRIM(REGEXREPLACE(D2249, ""[0-9]+[a-f]?\."", """"))"),"")</f>
        <v/>
      </c>
      <c r="I2249" s="91" t="str">
        <f>IFERROR(__xludf.DUMMYFUNCTION("TRIM(REGEXREPLACE(E2249, ""[0-9]+[a-f]?\."", """"))"),"")</f>
        <v/>
      </c>
      <c r="J2249" s="91" t="str">
        <f t="shared" si="734"/>
        <v>645. </v>
      </c>
      <c r="K2249" s="91" t="str">
        <f t="shared" si="735"/>
        <v>645. </v>
      </c>
      <c r="L2249" s="91" t="str">
        <f t="shared" si="736"/>
        <v>645. </v>
      </c>
    </row>
    <row r="2250" hidden="1">
      <c r="A2250" s="146"/>
      <c r="B2250" s="147"/>
      <c r="C2250" s="31"/>
      <c r="D2250" s="31"/>
      <c r="E2250" s="31"/>
      <c r="F2250" s="89">
        <v>646.0</v>
      </c>
      <c r="G2250" s="91" t="str">
        <f>IFERROR(__xludf.DUMMYFUNCTION("TRIM(REGEXREPLACE(C2250, ""[0-9]+[a-f]?\."", """"))"),"")</f>
        <v/>
      </c>
      <c r="H2250" s="91" t="str">
        <f>IFERROR(__xludf.DUMMYFUNCTION("TRIM(REGEXREPLACE(D2250, ""[0-9]+[a-f]?\."", """"))"),"")</f>
        <v/>
      </c>
      <c r="I2250" s="91" t="str">
        <f>IFERROR(__xludf.DUMMYFUNCTION("TRIM(REGEXREPLACE(E2250, ""[0-9]+[a-f]?\."", """"))"),"")</f>
        <v/>
      </c>
      <c r="J2250" s="91" t="str">
        <f t="shared" si="734"/>
        <v>646. </v>
      </c>
      <c r="K2250" s="91" t="str">
        <f t="shared" si="735"/>
        <v>646. </v>
      </c>
      <c r="L2250" s="91" t="str">
        <f t="shared" si="736"/>
        <v>646. </v>
      </c>
    </row>
    <row r="2251" hidden="1">
      <c r="A2251" s="146"/>
      <c r="B2251" s="147"/>
      <c r="C2251" s="31"/>
      <c r="D2251" s="31"/>
      <c r="E2251" s="31"/>
      <c r="F2251" s="89">
        <v>647.0</v>
      </c>
      <c r="G2251" s="91" t="str">
        <f>IFERROR(__xludf.DUMMYFUNCTION("TRIM(REGEXREPLACE(C2251, ""[0-9]+[a-f]?\."", """"))"),"")</f>
        <v/>
      </c>
      <c r="H2251" s="91" t="str">
        <f>IFERROR(__xludf.DUMMYFUNCTION("TRIM(REGEXREPLACE(D2251, ""[0-9]+[a-f]?\."", """"))"),"")</f>
        <v/>
      </c>
      <c r="I2251" s="91" t="str">
        <f>IFERROR(__xludf.DUMMYFUNCTION("TRIM(REGEXREPLACE(E2251, ""[0-9]+[a-f]?\."", """"))"),"")</f>
        <v/>
      </c>
      <c r="J2251" s="91" t="str">
        <f t="shared" si="734"/>
        <v>647. </v>
      </c>
      <c r="K2251" s="91" t="str">
        <f t="shared" si="735"/>
        <v>647. </v>
      </c>
      <c r="L2251" s="91" t="str">
        <f t="shared" si="736"/>
        <v>647. </v>
      </c>
    </row>
    <row r="2252" hidden="1">
      <c r="A2252" s="81"/>
      <c r="B2252" s="142"/>
      <c r="C2252" s="31"/>
      <c r="D2252" s="31"/>
      <c r="E2252" s="31"/>
      <c r="F2252" s="89">
        <v>648.0</v>
      </c>
      <c r="G2252" s="91" t="str">
        <f>IFERROR(__xludf.DUMMYFUNCTION("TRIM(REGEXREPLACE(C2252, ""[0-9]+[a-f]?\."", """"))"),"")</f>
        <v/>
      </c>
      <c r="H2252" s="91" t="str">
        <f>IFERROR(__xludf.DUMMYFUNCTION("TRIM(REGEXREPLACE(D2252, ""[0-9]+[a-f]?\."", """"))"),"")</f>
        <v/>
      </c>
      <c r="I2252" s="91" t="str">
        <f>IFERROR(__xludf.DUMMYFUNCTION("TRIM(REGEXREPLACE(E2252, ""[0-9]+[a-f]?\."", """"))"),"")</f>
        <v/>
      </c>
      <c r="J2252" s="91" t="str">
        <f t="shared" si="734"/>
        <v>648. </v>
      </c>
      <c r="K2252" s="91" t="str">
        <f t="shared" si="735"/>
        <v>648. </v>
      </c>
      <c r="L2252" s="91" t="str">
        <f t="shared" si="736"/>
        <v>648. </v>
      </c>
    </row>
    <row r="2253" hidden="1">
      <c r="A2253" s="81"/>
      <c r="B2253" s="142"/>
      <c r="C2253" s="31"/>
      <c r="D2253" s="31"/>
      <c r="E2253" s="31"/>
      <c r="F2253" s="89">
        <v>649.0</v>
      </c>
      <c r="G2253" s="91" t="str">
        <f>IFERROR(__xludf.DUMMYFUNCTION("TRIM(REGEXREPLACE(C2253, ""[0-9]+[a-f]?\."", """"))"),"")</f>
        <v/>
      </c>
      <c r="H2253" s="91" t="str">
        <f>IFERROR(__xludf.DUMMYFUNCTION("TRIM(REGEXREPLACE(D2253, ""[0-9]+[a-f]?\."", """"))"),"")</f>
        <v/>
      </c>
      <c r="I2253" s="91" t="str">
        <f>IFERROR(__xludf.DUMMYFUNCTION("TRIM(REGEXREPLACE(E2253, ""[0-9]+[a-f]?\."", """"))"),"")</f>
        <v/>
      </c>
      <c r="J2253" s="91" t="str">
        <f t="shared" si="734"/>
        <v>649. </v>
      </c>
      <c r="K2253" s="91" t="str">
        <f t="shared" si="735"/>
        <v>649. </v>
      </c>
      <c r="L2253" s="91" t="str">
        <f t="shared" si="736"/>
        <v>649. </v>
      </c>
    </row>
    <row r="2254" hidden="1">
      <c r="A2254" s="81"/>
      <c r="B2254" s="142"/>
      <c r="C2254" s="31"/>
      <c r="D2254" s="31"/>
      <c r="E2254" s="31"/>
      <c r="F2254" s="89">
        <v>650.0</v>
      </c>
      <c r="G2254" s="91" t="str">
        <f>IFERROR(__xludf.DUMMYFUNCTION("TRIM(REGEXREPLACE(C2254, ""[0-9]+[a-f]?\."", """"))"),"")</f>
        <v/>
      </c>
      <c r="H2254" s="91" t="str">
        <f>IFERROR(__xludf.DUMMYFUNCTION("TRIM(REGEXREPLACE(D2254, ""[0-9]+[a-f]?\."", """"))"),"")</f>
        <v/>
      </c>
      <c r="I2254" s="91" t="str">
        <f>IFERROR(__xludf.DUMMYFUNCTION("TRIM(REGEXREPLACE(E2254, ""[0-9]+[a-f]?\."", """"))"),"")</f>
        <v/>
      </c>
      <c r="J2254" s="91" t="str">
        <f t="shared" si="734"/>
        <v>650. </v>
      </c>
      <c r="K2254" s="91" t="str">
        <f t="shared" si="735"/>
        <v>650. </v>
      </c>
      <c r="L2254" s="91" t="str">
        <f t="shared" si="736"/>
        <v>650. </v>
      </c>
    </row>
    <row r="2255" hidden="1">
      <c r="A2255" s="104" t="s">
        <v>139</v>
      </c>
      <c r="B2255" s="141" t="s">
        <v>4860</v>
      </c>
      <c r="C2255" s="264"/>
      <c r="D2255" s="264"/>
      <c r="E2255" s="264"/>
    </row>
    <row r="2256" hidden="1">
      <c r="A2256" s="67" t="s">
        <v>108</v>
      </c>
      <c r="B2256" s="69" t="s">
        <v>4866</v>
      </c>
      <c r="C2256" s="123"/>
      <c r="D2256" s="153"/>
      <c r="E2256" s="153"/>
    </row>
    <row r="2257" hidden="1">
      <c r="A2257" s="104" t="s">
        <v>139</v>
      </c>
      <c r="B2257" s="141" t="s">
        <v>4868</v>
      </c>
      <c r="C2257" s="264"/>
      <c r="D2257" s="264"/>
      <c r="E2257" s="264"/>
    </row>
    <row r="2258" hidden="1">
      <c r="A2258" s="126"/>
      <c r="B2258" s="127"/>
      <c r="C2258" s="31"/>
      <c r="D2258" s="31"/>
      <c r="E2258" s="31"/>
      <c r="F2258" s="89">
        <v>651.0</v>
      </c>
      <c r="G2258" s="91" t="str">
        <f>IFERROR(__xludf.DUMMYFUNCTION("TRIM(REGEXREPLACE(C2258, ""[0-9]+[a-f]?\."", """"))"),"")</f>
        <v/>
      </c>
      <c r="H2258" s="91" t="str">
        <f>IFERROR(__xludf.DUMMYFUNCTION("TRIM(REGEXREPLACE(D2258, ""[0-9]+[a-f]?\."", """"))"),"")</f>
        <v/>
      </c>
      <c r="I2258" s="91" t="str">
        <f>IFERROR(__xludf.DUMMYFUNCTION("TRIM(REGEXREPLACE(E2258, ""[0-9]+[a-f]?\."", """"))"),"")</f>
        <v/>
      </c>
      <c r="J2258" s="91" t="str">
        <f t="shared" ref="J2258:J2268" si="737">F2258 &amp; ". " &amp;G2258</f>
        <v>651. </v>
      </c>
      <c r="K2258" s="91" t="str">
        <f t="shared" ref="K2258:K2268" si="738">F2258 &amp; ". " &amp;H2258</f>
        <v>651. </v>
      </c>
      <c r="L2258" s="91" t="str">
        <f t="shared" ref="L2258:L2268" si="739">F2258 &amp; ". " &amp;I2258</f>
        <v>651. </v>
      </c>
    </row>
    <row r="2259" hidden="1">
      <c r="A2259" s="81"/>
      <c r="B2259" s="142"/>
      <c r="C2259" s="31"/>
      <c r="D2259" s="31"/>
      <c r="E2259" s="31"/>
      <c r="F2259" s="89">
        <v>652.0</v>
      </c>
      <c r="G2259" s="91" t="str">
        <f>IFERROR(__xludf.DUMMYFUNCTION("TRIM(REGEXREPLACE(C2259, ""[0-9]+[a-f]?\."", """"))"),"")</f>
        <v/>
      </c>
      <c r="H2259" s="91" t="str">
        <f>IFERROR(__xludf.DUMMYFUNCTION("TRIM(REGEXREPLACE(D2259, ""[0-9]+[a-f]?\."", """"))"),"")</f>
        <v/>
      </c>
      <c r="I2259" s="91" t="str">
        <f>IFERROR(__xludf.DUMMYFUNCTION("TRIM(REGEXREPLACE(E2259, ""[0-9]+[a-f]?\."", """"))"),"")</f>
        <v/>
      </c>
      <c r="J2259" s="91" t="str">
        <f t="shared" si="737"/>
        <v>652. </v>
      </c>
      <c r="K2259" s="91" t="str">
        <f t="shared" si="738"/>
        <v>652. </v>
      </c>
      <c r="L2259" s="91" t="str">
        <f t="shared" si="739"/>
        <v>652. </v>
      </c>
    </row>
    <row r="2260" hidden="1">
      <c r="A2260" s="146"/>
      <c r="B2260" s="147"/>
      <c r="C2260" s="31"/>
      <c r="D2260" s="31"/>
      <c r="E2260" s="31"/>
      <c r="F2260" s="89">
        <v>653.0</v>
      </c>
      <c r="G2260" s="91" t="str">
        <f>IFERROR(__xludf.DUMMYFUNCTION("TRIM(REGEXREPLACE(C2260, ""[0-9]+[a-f]?\."", """"))"),"")</f>
        <v/>
      </c>
      <c r="H2260" s="91" t="str">
        <f>IFERROR(__xludf.DUMMYFUNCTION("TRIM(REGEXREPLACE(D2260, ""[0-9]+[a-f]?\."", """"))"),"")</f>
        <v/>
      </c>
      <c r="I2260" s="91" t="str">
        <f>IFERROR(__xludf.DUMMYFUNCTION("TRIM(REGEXREPLACE(E2260, ""[0-9]+[a-f]?\."", """"))"),"")</f>
        <v/>
      </c>
      <c r="J2260" s="91" t="str">
        <f t="shared" si="737"/>
        <v>653. </v>
      </c>
      <c r="K2260" s="91" t="str">
        <f t="shared" si="738"/>
        <v>653. </v>
      </c>
      <c r="L2260" s="91" t="str">
        <f t="shared" si="739"/>
        <v>653. </v>
      </c>
    </row>
    <row r="2261" hidden="1">
      <c r="A2261" s="81"/>
      <c r="B2261" s="142"/>
      <c r="C2261" s="31"/>
      <c r="D2261" s="31"/>
      <c r="E2261" s="31"/>
      <c r="F2261" s="89">
        <v>654.0</v>
      </c>
      <c r="G2261" s="91" t="str">
        <f>IFERROR(__xludf.DUMMYFUNCTION("TRIM(REGEXREPLACE(C2261, ""[0-9]+[a-f]?\."", """"))"),"")</f>
        <v/>
      </c>
      <c r="H2261" s="91" t="str">
        <f>IFERROR(__xludf.DUMMYFUNCTION("TRIM(REGEXREPLACE(D2261, ""[0-9]+[a-f]?\."", """"))"),"")</f>
        <v/>
      </c>
      <c r="I2261" s="91" t="str">
        <f>IFERROR(__xludf.DUMMYFUNCTION("TRIM(REGEXREPLACE(E2261, ""[0-9]+[a-f]?\."", """"))"),"")</f>
        <v/>
      </c>
      <c r="J2261" s="91" t="str">
        <f t="shared" si="737"/>
        <v>654. </v>
      </c>
      <c r="K2261" s="91" t="str">
        <f t="shared" si="738"/>
        <v>654. </v>
      </c>
      <c r="L2261" s="91" t="str">
        <f t="shared" si="739"/>
        <v>654. </v>
      </c>
    </row>
    <row r="2262" hidden="1">
      <c r="A2262" s="146"/>
      <c r="B2262" s="147"/>
      <c r="C2262" s="31"/>
      <c r="D2262" s="31"/>
      <c r="E2262" s="31"/>
      <c r="F2262" s="89">
        <v>655.0</v>
      </c>
      <c r="G2262" s="91" t="str">
        <f>IFERROR(__xludf.DUMMYFUNCTION("TRIM(REGEXREPLACE(C2262, ""[0-9]+[a-f]?\."", """"))"),"")</f>
        <v/>
      </c>
      <c r="H2262" s="91" t="str">
        <f>IFERROR(__xludf.DUMMYFUNCTION("TRIM(REGEXREPLACE(D2262, ""[0-9]+[a-f]?\."", """"))"),"")</f>
        <v/>
      </c>
      <c r="I2262" s="91" t="str">
        <f>IFERROR(__xludf.DUMMYFUNCTION("TRIM(REGEXREPLACE(E2262, ""[0-9]+[a-f]?\."", """"))"),"")</f>
        <v/>
      </c>
      <c r="J2262" s="91" t="str">
        <f t="shared" si="737"/>
        <v>655. </v>
      </c>
      <c r="K2262" s="91" t="str">
        <f t="shared" si="738"/>
        <v>655. </v>
      </c>
      <c r="L2262" s="91" t="str">
        <f t="shared" si="739"/>
        <v>655. </v>
      </c>
    </row>
    <row r="2263" hidden="1">
      <c r="A2263" s="146"/>
      <c r="B2263" s="147"/>
      <c r="C2263" s="31"/>
      <c r="D2263" s="31"/>
      <c r="E2263" s="31"/>
      <c r="F2263" s="89">
        <v>656.0</v>
      </c>
      <c r="G2263" s="91" t="str">
        <f>IFERROR(__xludf.DUMMYFUNCTION("TRIM(REGEXREPLACE(C2263, ""[0-9]+[a-f]?\."", """"))"),"")</f>
        <v/>
      </c>
      <c r="H2263" s="91" t="str">
        <f>IFERROR(__xludf.DUMMYFUNCTION("TRIM(REGEXREPLACE(D2263, ""[0-9]+[a-f]?\."", """"))"),"")</f>
        <v/>
      </c>
      <c r="I2263" s="91" t="str">
        <f>IFERROR(__xludf.DUMMYFUNCTION("TRIM(REGEXREPLACE(E2263, ""[0-9]+[a-f]?\."", """"))"),"")</f>
        <v/>
      </c>
      <c r="J2263" s="91" t="str">
        <f t="shared" si="737"/>
        <v>656. </v>
      </c>
      <c r="K2263" s="91" t="str">
        <f t="shared" si="738"/>
        <v>656. </v>
      </c>
      <c r="L2263" s="91" t="str">
        <f t="shared" si="739"/>
        <v>656. </v>
      </c>
    </row>
    <row r="2264" hidden="1">
      <c r="A2264" s="81"/>
      <c r="B2264" s="142"/>
      <c r="C2264" s="31"/>
      <c r="D2264" s="31"/>
      <c r="E2264" s="31"/>
      <c r="F2264" s="89">
        <v>657.0</v>
      </c>
      <c r="G2264" s="91" t="str">
        <f>IFERROR(__xludf.DUMMYFUNCTION("TRIM(REGEXREPLACE(C2264, ""[0-9]+[a-f]?\."", """"))"),"")</f>
        <v/>
      </c>
      <c r="H2264" s="91" t="str">
        <f>IFERROR(__xludf.DUMMYFUNCTION("TRIM(REGEXREPLACE(D2264, ""[0-9]+[a-f]?\."", """"))"),"")</f>
        <v/>
      </c>
      <c r="I2264" s="91" t="str">
        <f>IFERROR(__xludf.DUMMYFUNCTION("TRIM(REGEXREPLACE(E2264, ""[0-9]+[a-f]?\."", """"))"),"")</f>
        <v/>
      </c>
      <c r="J2264" s="91" t="str">
        <f t="shared" si="737"/>
        <v>657. </v>
      </c>
      <c r="K2264" s="91" t="str">
        <f t="shared" si="738"/>
        <v>657. </v>
      </c>
      <c r="L2264" s="91" t="str">
        <f t="shared" si="739"/>
        <v>657. </v>
      </c>
    </row>
    <row r="2265" hidden="1">
      <c r="A2265" s="146"/>
      <c r="B2265" s="147"/>
      <c r="C2265" s="31"/>
      <c r="D2265" s="31"/>
      <c r="E2265" s="31"/>
      <c r="F2265" s="89">
        <v>658.0</v>
      </c>
      <c r="G2265" s="91" t="str">
        <f>IFERROR(__xludf.DUMMYFUNCTION("TRIM(REGEXREPLACE(C2265, ""[0-9]+[a-f]?\."", """"))"),"")</f>
        <v/>
      </c>
      <c r="H2265" s="91" t="str">
        <f>IFERROR(__xludf.DUMMYFUNCTION("TRIM(REGEXREPLACE(D2265, ""[0-9]+[a-f]?\."", """"))"),"")</f>
        <v/>
      </c>
      <c r="I2265" s="91" t="str">
        <f>IFERROR(__xludf.DUMMYFUNCTION("TRIM(REGEXREPLACE(E2265, ""[0-9]+[a-f]?\."", """"))"),"")</f>
        <v/>
      </c>
      <c r="J2265" s="91" t="str">
        <f t="shared" si="737"/>
        <v>658. </v>
      </c>
      <c r="K2265" s="91" t="str">
        <f t="shared" si="738"/>
        <v>658. </v>
      </c>
      <c r="L2265" s="91" t="str">
        <f t="shared" si="739"/>
        <v>658. </v>
      </c>
    </row>
    <row r="2266" hidden="1">
      <c r="A2266" s="81"/>
      <c r="B2266" s="142"/>
      <c r="C2266" s="31"/>
      <c r="D2266" s="31"/>
      <c r="E2266" s="31"/>
      <c r="F2266" s="89">
        <v>659.0</v>
      </c>
      <c r="G2266" s="91" t="str">
        <f>IFERROR(__xludf.DUMMYFUNCTION("TRIM(REGEXREPLACE(C2266, ""[0-9]+[a-f]?\."", """"))"),"")</f>
        <v/>
      </c>
      <c r="H2266" s="91" t="str">
        <f>IFERROR(__xludf.DUMMYFUNCTION("TRIM(REGEXREPLACE(D2266, ""[0-9]+[a-f]?\."", """"))"),"")</f>
        <v/>
      </c>
      <c r="I2266" s="91" t="str">
        <f>IFERROR(__xludf.DUMMYFUNCTION("TRIM(REGEXREPLACE(E2266, ""[0-9]+[a-f]?\."", """"))"),"")</f>
        <v/>
      </c>
      <c r="J2266" s="91" t="str">
        <f t="shared" si="737"/>
        <v>659. </v>
      </c>
      <c r="K2266" s="91" t="str">
        <f t="shared" si="738"/>
        <v>659. </v>
      </c>
      <c r="L2266" s="91" t="str">
        <f t="shared" si="739"/>
        <v>659. </v>
      </c>
    </row>
    <row r="2267" hidden="1">
      <c r="A2267" s="146"/>
      <c r="B2267" s="147"/>
      <c r="C2267" s="31"/>
      <c r="D2267" s="31"/>
      <c r="E2267" s="31"/>
      <c r="F2267" s="89">
        <v>660.0</v>
      </c>
      <c r="G2267" s="91" t="str">
        <f>IFERROR(__xludf.DUMMYFUNCTION("TRIM(REGEXREPLACE(C2267, ""[0-9]+[a-f]?\."", """"))"),"")</f>
        <v/>
      </c>
      <c r="H2267" s="91" t="str">
        <f>IFERROR(__xludf.DUMMYFUNCTION("TRIM(REGEXREPLACE(D2267, ""[0-9]+[a-f]?\."", """"))"),"")</f>
        <v/>
      </c>
      <c r="I2267" s="91" t="str">
        <f>IFERROR(__xludf.DUMMYFUNCTION("TRIM(REGEXREPLACE(E2267, ""[0-9]+[a-f]?\."", """"))"),"")</f>
        <v/>
      </c>
      <c r="J2267" s="91" t="str">
        <f t="shared" si="737"/>
        <v>660. </v>
      </c>
      <c r="K2267" s="91" t="str">
        <f t="shared" si="738"/>
        <v>660. </v>
      </c>
      <c r="L2267" s="91" t="str">
        <f t="shared" si="739"/>
        <v>660. </v>
      </c>
    </row>
    <row r="2268" hidden="1">
      <c r="A2268" s="146"/>
      <c r="B2268" s="147"/>
      <c r="C2268" s="31"/>
      <c r="D2268" s="31"/>
      <c r="E2268" s="31"/>
      <c r="F2268" s="89">
        <v>661.0</v>
      </c>
      <c r="G2268" s="91" t="str">
        <f>IFERROR(__xludf.DUMMYFUNCTION("TRIM(REGEXREPLACE(C2268, ""[0-9]+[a-f]?\."", """"))"),"")</f>
        <v/>
      </c>
      <c r="H2268" s="91" t="str">
        <f>IFERROR(__xludf.DUMMYFUNCTION("TRIM(REGEXREPLACE(D2268, ""[0-9]+[a-f]?\."", """"))"),"")</f>
        <v/>
      </c>
      <c r="I2268" s="91" t="str">
        <f>IFERROR(__xludf.DUMMYFUNCTION("TRIM(REGEXREPLACE(E2268, ""[0-9]+[a-f]?\."", """"))"),"")</f>
        <v/>
      </c>
      <c r="J2268" s="91" t="str">
        <f t="shared" si="737"/>
        <v>661. </v>
      </c>
      <c r="K2268" s="91" t="str">
        <f t="shared" si="738"/>
        <v>661. </v>
      </c>
      <c r="L2268" s="91" t="str">
        <f t="shared" si="739"/>
        <v>661. </v>
      </c>
    </row>
    <row r="2269" hidden="1">
      <c r="A2269" s="104" t="s">
        <v>139</v>
      </c>
      <c r="B2269" s="141" t="s">
        <v>4940</v>
      </c>
      <c r="C2269" s="264"/>
      <c r="D2269" s="264"/>
      <c r="E2269" s="264"/>
    </row>
    <row r="2270" hidden="1">
      <c r="A2270" s="67" t="s">
        <v>108</v>
      </c>
      <c r="B2270" s="69" t="s">
        <v>4948</v>
      </c>
      <c r="C2270" s="123"/>
      <c r="D2270" s="153"/>
      <c r="E2270" s="153"/>
    </row>
    <row r="2271" hidden="1">
      <c r="A2271" s="169"/>
      <c r="B2271" s="170"/>
      <c r="C2271" s="170" t="s">
        <v>53</v>
      </c>
      <c r="D2271" s="170" t="s">
        <v>53</v>
      </c>
      <c r="E2271" s="170" t="s">
        <v>53</v>
      </c>
    </row>
    <row r="2272" hidden="1">
      <c r="A2272" s="122" t="s">
        <v>150</v>
      </c>
      <c r="B2272" s="123" t="s">
        <v>4958</v>
      </c>
      <c r="C2272" s="123"/>
      <c r="D2272" s="153"/>
      <c r="E2272" s="153"/>
    </row>
    <row r="2273" hidden="1">
      <c r="A2273" s="104" t="s">
        <v>139</v>
      </c>
      <c r="B2273" s="141" t="s">
        <v>4967</v>
      </c>
      <c r="C2273" s="264"/>
      <c r="D2273" s="264"/>
      <c r="E2273" s="264"/>
    </row>
    <row r="2274" hidden="1">
      <c r="A2274" s="81"/>
      <c r="B2274" s="142"/>
      <c r="C2274" s="31"/>
      <c r="D2274" s="31"/>
      <c r="E2274" s="31"/>
      <c r="F2274" s="89">
        <v>662.0</v>
      </c>
      <c r="G2274" s="91" t="str">
        <f>IFERROR(__xludf.DUMMYFUNCTION("TRIM(REGEXREPLACE(C2274, ""[0-9]+[a-f]?\."", """"))"),"")</f>
        <v/>
      </c>
      <c r="H2274" s="91" t="str">
        <f>IFERROR(__xludf.DUMMYFUNCTION("TRIM(REGEXREPLACE(D2274, ""[0-9]+[a-f]?\."", """"))"),"")</f>
        <v/>
      </c>
      <c r="I2274" s="91" t="str">
        <f>IFERROR(__xludf.DUMMYFUNCTION("TRIM(REGEXREPLACE(E2274, ""[0-9]+[a-f]?\."", """"))"),"")</f>
        <v/>
      </c>
      <c r="J2274" s="91" t="str">
        <f>F2274 &amp; ". " &amp;G2274</f>
        <v>662. </v>
      </c>
      <c r="K2274" s="91" t="str">
        <f>F2274 &amp; ". " &amp;H2274</f>
        <v>662. </v>
      </c>
      <c r="L2274" s="91" t="str">
        <f>F2274 &amp; ". " &amp;I2274</f>
        <v>662. </v>
      </c>
    </row>
    <row r="2275" hidden="1">
      <c r="A2275" s="144" t="s">
        <v>648</v>
      </c>
      <c r="B2275" s="145" t="s">
        <v>5018</v>
      </c>
      <c r="C2275" s="145" t="s">
        <v>1282</v>
      </c>
      <c r="D2275" s="150" t="s">
        <v>1283</v>
      </c>
      <c r="E2275" s="150" t="s">
        <v>1284</v>
      </c>
    </row>
    <row r="2276" hidden="1">
      <c r="A2276" s="104" t="s">
        <v>108</v>
      </c>
      <c r="B2276" s="105" t="s">
        <v>5026</v>
      </c>
      <c r="C2276" s="264" t="s">
        <v>1286</v>
      </c>
      <c r="D2276" s="264" t="s">
        <v>1287</v>
      </c>
      <c r="E2276" s="264" t="s">
        <v>1288</v>
      </c>
    </row>
    <row r="2277" hidden="1">
      <c r="A2277" s="146"/>
      <c r="B2277" s="147"/>
      <c r="C2277" s="31"/>
      <c r="D2277" s="31"/>
      <c r="E2277" s="31"/>
      <c r="F2277" s="89">
        <v>663.0</v>
      </c>
      <c r="G2277" s="91" t="str">
        <f>IFERROR(__xludf.DUMMYFUNCTION("TRIM(REGEXREPLACE(C2277, ""[0-9]+[a-f]?\."", """"))"),"")</f>
        <v/>
      </c>
      <c r="H2277" s="91" t="str">
        <f>IFERROR(__xludf.DUMMYFUNCTION("TRIM(REGEXREPLACE(D2277, ""[0-9]+[a-f]?\."", """"))"),"")</f>
        <v/>
      </c>
      <c r="I2277" s="91" t="str">
        <f>IFERROR(__xludf.DUMMYFUNCTION("TRIM(REGEXREPLACE(E2277, ""[0-9]+[a-f]?\."", """"))"),"")</f>
        <v/>
      </c>
      <c r="J2277" s="91" t="str">
        <f>F2277 &amp; ". " &amp;G2277</f>
        <v>663. </v>
      </c>
      <c r="K2277" s="91" t="str">
        <f>F2277 &amp; ". " &amp;H2277</f>
        <v>663. </v>
      </c>
      <c r="L2277" s="91" t="str">
        <f>F2277 &amp; ". " &amp;I2277</f>
        <v>663. </v>
      </c>
    </row>
    <row r="2278" hidden="1">
      <c r="A2278" s="144" t="s">
        <v>691</v>
      </c>
      <c r="B2278" s="150" t="s">
        <v>5018</v>
      </c>
      <c r="C2278" s="150" t="s">
        <v>1282</v>
      </c>
      <c r="D2278" s="150" t="s">
        <v>1283</v>
      </c>
      <c r="E2278" s="150" t="s">
        <v>1284</v>
      </c>
    </row>
    <row r="2279" hidden="1">
      <c r="A2279" s="81"/>
      <c r="B2279" s="142"/>
      <c r="C2279" s="31"/>
      <c r="D2279" s="31"/>
      <c r="E2279" s="31"/>
      <c r="F2279" s="89">
        <v>664.0</v>
      </c>
      <c r="G2279" s="91" t="str">
        <f>IFERROR(__xludf.DUMMYFUNCTION("TRIM(REGEXREPLACE(C2279, ""[0-9]+[a-f]?\."", """"))"),"")</f>
        <v/>
      </c>
      <c r="H2279" s="91" t="str">
        <f>IFERROR(__xludf.DUMMYFUNCTION("TRIM(REGEXREPLACE(D2279, ""[0-9]+[a-f]?\."", """"))"),"")</f>
        <v/>
      </c>
      <c r="I2279" s="91" t="str">
        <f>IFERROR(__xludf.DUMMYFUNCTION("TRIM(REGEXREPLACE(E2279, ""[0-9]+[a-f]?\."", """"))"),"")</f>
        <v/>
      </c>
      <c r="J2279" s="91" t="str">
        <f>F2279 &amp; ". " &amp;G2279</f>
        <v>664. </v>
      </c>
      <c r="K2279" s="91" t="str">
        <f>F2279 &amp; ". " &amp;H2279</f>
        <v>664. </v>
      </c>
      <c r="L2279" s="91" t="str">
        <f>F2279 &amp; ". " &amp;I2279</f>
        <v>664. </v>
      </c>
    </row>
    <row r="2280" hidden="1">
      <c r="A2280" s="144" t="s">
        <v>648</v>
      </c>
      <c r="B2280" s="145" t="s">
        <v>5049</v>
      </c>
      <c r="C2280" s="145" t="s">
        <v>1311</v>
      </c>
      <c r="D2280" s="150" t="s">
        <v>1312</v>
      </c>
      <c r="E2280" s="150" t="s">
        <v>1313</v>
      </c>
    </row>
    <row r="2281" hidden="1">
      <c r="A2281" s="104" t="s">
        <v>108</v>
      </c>
      <c r="B2281" s="105" t="s">
        <v>5056</v>
      </c>
      <c r="C2281" s="264" t="s">
        <v>1320</v>
      </c>
      <c r="D2281" s="264" t="s">
        <v>1321</v>
      </c>
      <c r="E2281" s="264" t="s">
        <v>1322</v>
      </c>
    </row>
    <row r="2282" hidden="1">
      <c r="A2282" s="146"/>
      <c r="B2282" s="147"/>
      <c r="C2282" s="31"/>
      <c r="D2282" s="31"/>
      <c r="E2282" s="31"/>
      <c r="F2282" s="89">
        <v>665.0</v>
      </c>
      <c r="G2282" s="91" t="str">
        <f>IFERROR(__xludf.DUMMYFUNCTION("TRIM(REGEXREPLACE(C2282, ""[0-9]+[a-f]?\."", """"))"),"")</f>
        <v/>
      </c>
      <c r="H2282" s="91" t="str">
        <f>IFERROR(__xludf.DUMMYFUNCTION("TRIM(REGEXREPLACE(D2282, ""[0-9]+[a-f]?\."", """"))"),"")</f>
        <v/>
      </c>
      <c r="I2282" s="91" t="str">
        <f>IFERROR(__xludf.DUMMYFUNCTION("TRIM(REGEXREPLACE(E2282, ""[0-9]+[a-f]?\."", """"))"),"")</f>
        <v/>
      </c>
      <c r="J2282" s="91" t="str">
        <f>F2282 &amp; ". " &amp;G2282</f>
        <v>665. </v>
      </c>
      <c r="K2282" s="91" t="str">
        <f>F2282 &amp; ". " &amp;H2282</f>
        <v>665. </v>
      </c>
      <c r="L2282" s="91" t="str">
        <f>F2282 &amp; ". " &amp;I2282</f>
        <v>665. </v>
      </c>
    </row>
    <row r="2283" hidden="1">
      <c r="A2283" s="144" t="s">
        <v>691</v>
      </c>
      <c r="B2283" s="150" t="s">
        <v>5049</v>
      </c>
      <c r="C2283" s="150" t="s">
        <v>1311</v>
      </c>
      <c r="D2283" s="150" t="s">
        <v>1312</v>
      </c>
      <c r="E2283" s="150" t="s">
        <v>1313</v>
      </c>
    </row>
    <row r="2284" hidden="1">
      <c r="A2284" s="122" t="s">
        <v>150</v>
      </c>
      <c r="B2284" s="69" t="s">
        <v>5729</v>
      </c>
      <c r="C2284" s="123"/>
      <c r="D2284" s="153"/>
      <c r="E2284" s="153"/>
    </row>
    <row r="2285" hidden="1">
      <c r="A2285" s="81"/>
      <c r="B2285" s="142"/>
      <c r="C2285" s="31"/>
      <c r="D2285" s="31"/>
      <c r="E2285" s="31"/>
      <c r="F2285" s="89">
        <v>666.0</v>
      </c>
      <c r="G2285" s="91" t="str">
        <f>IFERROR(__xludf.DUMMYFUNCTION("TRIM(REGEXREPLACE(C2285, ""[0-9]+[a-f]?\."", """"))"),"")</f>
        <v/>
      </c>
      <c r="H2285" s="91" t="str">
        <f>IFERROR(__xludf.DUMMYFUNCTION("TRIM(REGEXREPLACE(D2285, ""[0-9]+[a-f]?\."", """"))"),"")</f>
        <v/>
      </c>
      <c r="I2285" s="91" t="str">
        <f>IFERROR(__xludf.DUMMYFUNCTION("TRIM(REGEXREPLACE(E2285, ""[0-9]+[a-f]?\."", """"))"),"")</f>
        <v/>
      </c>
      <c r="J2285" s="91" t="str">
        <f t="shared" ref="J2285:J2289" si="740">F2285 &amp; ". " &amp;G2285</f>
        <v>666. </v>
      </c>
      <c r="K2285" s="91" t="str">
        <f t="shared" ref="K2285:K2289" si="741">F2285 &amp; ". " &amp;H2285</f>
        <v>666. </v>
      </c>
      <c r="L2285" s="91" t="str">
        <f t="shared" ref="L2285:L2289" si="742">F2285 &amp; ". " &amp;I2285</f>
        <v>666. </v>
      </c>
    </row>
    <row r="2286" hidden="1">
      <c r="A2286" s="81"/>
      <c r="B2286" s="142"/>
      <c r="C2286" s="31"/>
      <c r="D2286" s="31"/>
      <c r="E2286" s="31"/>
      <c r="F2286" s="89">
        <v>667.0</v>
      </c>
      <c r="G2286" s="91" t="str">
        <f>IFERROR(__xludf.DUMMYFUNCTION("TRIM(REGEXREPLACE(C2286, ""[0-9]+[a-f]?\."", """"))"),"")</f>
        <v/>
      </c>
      <c r="H2286" s="91" t="str">
        <f>IFERROR(__xludf.DUMMYFUNCTION("TRIM(REGEXREPLACE(D2286, ""[0-9]+[a-f]?\."", """"))"),"")</f>
        <v/>
      </c>
      <c r="I2286" s="91" t="str">
        <f>IFERROR(__xludf.DUMMYFUNCTION("TRIM(REGEXREPLACE(E2286, ""[0-9]+[a-f]?\."", """"))"),"")</f>
        <v/>
      </c>
      <c r="J2286" s="91" t="str">
        <f t="shared" si="740"/>
        <v>667. </v>
      </c>
      <c r="K2286" s="91" t="str">
        <f t="shared" si="741"/>
        <v>667. </v>
      </c>
      <c r="L2286" s="91" t="str">
        <f t="shared" si="742"/>
        <v>667. </v>
      </c>
    </row>
    <row r="2287" hidden="1">
      <c r="A2287" s="81"/>
      <c r="B2287" s="142"/>
      <c r="C2287" s="31"/>
      <c r="D2287" s="31"/>
      <c r="E2287" s="31"/>
      <c r="F2287" s="89">
        <v>668.0</v>
      </c>
      <c r="G2287" s="91" t="str">
        <f>IFERROR(__xludf.DUMMYFUNCTION("TRIM(REGEXREPLACE(C2287, ""[0-9]+[a-f]?\."", """"))"),"")</f>
        <v/>
      </c>
      <c r="H2287" s="91" t="str">
        <f>IFERROR(__xludf.DUMMYFUNCTION("TRIM(REGEXREPLACE(D2287, ""[0-9]+[a-f]?\."", """"))"),"")</f>
        <v/>
      </c>
      <c r="I2287" s="91" t="str">
        <f>IFERROR(__xludf.DUMMYFUNCTION("TRIM(REGEXREPLACE(E2287, ""[0-9]+[a-f]?\."", """"))"),"")</f>
        <v/>
      </c>
      <c r="J2287" s="91" t="str">
        <f t="shared" si="740"/>
        <v>668. </v>
      </c>
      <c r="K2287" s="91" t="str">
        <f t="shared" si="741"/>
        <v>668. </v>
      </c>
      <c r="L2287" s="91" t="str">
        <f t="shared" si="742"/>
        <v>668. </v>
      </c>
    </row>
    <row r="2288" hidden="1">
      <c r="A2288" s="81"/>
      <c r="B2288" s="142"/>
      <c r="C2288" s="31"/>
      <c r="D2288" s="31"/>
      <c r="E2288" s="31"/>
      <c r="F2288" s="89">
        <v>669.0</v>
      </c>
      <c r="G2288" s="91" t="str">
        <f>IFERROR(__xludf.DUMMYFUNCTION("TRIM(REGEXREPLACE(C2288, ""[0-9]+[a-f]?\."", """"))"),"")</f>
        <v/>
      </c>
      <c r="H2288" s="91" t="str">
        <f>IFERROR(__xludf.DUMMYFUNCTION("TRIM(REGEXREPLACE(D2288, ""[0-9]+[a-f]?\."", """"))"),"")</f>
        <v/>
      </c>
      <c r="I2288" s="91" t="str">
        <f>IFERROR(__xludf.DUMMYFUNCTION("TRIM(REGEXREPLACE(E2288, ""[0-9]+[a-f]?\."", """"))"),"")</f>
        <v/>
      </c>
      <c r="J2288" s="91" t="str">
        <f t="shared" si="740"/>
        <v>669. </v>
      </c>
      <c r="K2288" s="91" t="str">
        <f t="shared" si="741"/>
        <v>669. </v>
      </c>
      <c r="L2288" s="91" t="str">
        <f t="shared" si="742"/>
        <v>669. </v>
      </c>
    </row>
    <row r="2289" hidden="1">
      <c r="A2289" s="81"/>
      <c r="B2289" s="142"/>
      <c r="C2289" s="31"/>
      <c r="D2289" s="31"/>
      <c r="E2289" s="31"/>
      <c r="F2289" s="89">
        <v>670.0</v>
      </c>
      <c r="G2289" s="91" t="str">
        <f>IFERROR(__xludf.DUMMYFUNCTION("TRIM(REGEXREPLACE(C2289, ""[0-9]+[a-f]?\."", """"))"),"")</f>
        <v/>
      </c>
      <c r="H2289" s="91" t="str">
        <f>IFERROR(__xludf.DUMMYFUNCTION("TRIM(REGEXREPLACE(D2289, ""[0-9]+[a-f]?\."", """"))"),"")</f>
        <v/>
      </c>
      <c r="I2289" s="91" t="str">
        <f>IFERROR(__xludf.DUMMYFUNCTION("TRIM(REGEXREPLACE(E2289, ""[0-9]+[a-f]?\."", """"))"),"")</f>
        <v/>
      </c>
      <c r="J2289" s="91" t="str">
        <f t="shared" si="740"/>
        <v>670. </v>
      </c>
      <c r="K2289" s="91" t="str">
        <f t="shared" si="741"/>
        <v>670. </v>
      </c>
      <c r="L2289" s="91" t="str">
        <f t="shared" si="742"/>
        <v>670. </v>
      </c>
    </row>
    <row r="2290" hidden="1">
      <c r="A2290" s="122" t="s">
        <v>236</v>
      </c>
      <c r="B2290" s="69" t="s">
        <v>5729</v>
      </c>
      <c r="C2290" s="153"/>
      <c r="D2290" s="153"/>
      <c r="E2290" s="153"/>
    </row>
    <row r="2291" hidden="1">
      <c r="A2291" s="122" t="s">
        <v>236</v>
      </c>
      <c r="B2291" s="153" t="s">
        <v>4958</v>
      </c>
      <c r="C2291" s="153"/>
      <c r="D2291" s="153"/>
      <c r="E2291" s="153"/>
    </row>
    <row r="2292" hidden="1">
      <c r="A2292" s="104" t="s">
        <v>139</v>
      </c>
      <c r="B2292" s="141" t="s">
        <v>5125</v>
      </c>
      <c r="C2292" s="264"/>
      <c r="D2292" s="264"/>
      <c r="E2292" s="264"/>
    </row>
    <row r="2293" hidden="1">
      <c r="A2293" s="67" t="s">
        <v>108</v>
      </c>
      <c r="B2293" s="69" t="s">
        <v>5130</v>
      </c>
      <c r="C2293" s="123"/>
      <c r="D2293" s="153"/>
      <c r="E2293" s="153"/>
    </row>
    <row r="2294" hidden="1">
      <c r="A2294" s="122" t="s">
        <v>236</v>
      </c>
      <c r="B2294" s="153" t="s">
        <v>3214</v>
      </c>
      <c r="C2294" s="153"/>
      <c r="D2294" s="70"/>
      <c r="E2294" s="70"/>
    </row>
    <row r="2295" hidden="1">
      <c r="A2295" s="122" t="s">
        <v>236</v>
      </c>
      <c r="B2295" s="122" t="s">
        <v>2515</v>
      </c>
      <c r="C2295" s="153" t="s">
        <v>2519</v>
      </c>
      <c r="D2295" s="70"/>
      <c r="E2295" s="70"/>
    </row>
    <row r="2296" hidden="1">
      <c r="A2296" s="67" t="s">
        <v>139</v>
      </c>
      <c r="B2296" s="69" t="s">
        <v>5142</v>
      </c>
      <c r="C2296" s="123"/>
      <c r="D2296" s="153"/>
      <c r="E2296" s="153"/>
    </row>
    <row r="2297" hidden="1">
      <c r="A2297" s="67" t="s">
        <v>108</v>
      </c>
      <c r="B2297" s="69" t="s">
        <v>5152</v>
      </c>
      <c r="C2297" s="123"/>
      <c r="D2297" s="153"/>
      <c r="E2297" s="153"/>
    </row>
    <row r="2298" hidden="1">
      <c r="A2298" s="65" t="s">
        <v>236</v>
      </c>
      <c r="B2298" s="65" t="s">
        <v>424</v>
      </c>
      <c r="C2298" s="291"/>
      <c r="D2298" s="30"/>
      <c r="E2298" s="30"/>
    </row>
    <row r="2299" hidden="1">
      <c r="A2299" s="30"/>
      <c r="B2299" s="30"/>
      <c r="C2299" s="291"/>
      <c r="D2299" s="30"/>
      <c r="E2299" s="30"/>
    </row>
    <row r="2300" hidden="1">
      <c r="A2300" s="76"/>
      <c r="B2300" s="76"/>
      <c r="C2300" s="170"/>
      <c r="D2300" s="76"/>
      <c r="E2300" s="76"/>
    </row>
    <row r="2301" hidden="1">
      <c r="A2301" s="70" t="s">
        <v>150</v>
      </c>
      <c r="B2301" s="71" t="s">
        <v>5159</v>
      </c>
      <c r="C2301" s="123" t="s">
        <v>5160</v>
      </c>
      <c r="D2301" s="70" t="s">
        <v>5161</v>
      </c>
      <c r="E2301" s="70" t="s">
        <v>5162</v>
      </c>
    </row>
    <row r="2302" hidden="1">
      <c r="A2302" s="67" t="s">
        <v>139</v>
      </c>
      <c r="B2302" s="69" t="s">
        <v>5164</v>
      </c>
      <c r="C2302" s="123"/>
      <c r="D2302" s="153"/>
      <c r="E2302" s="153"/>
    </row>
    <row r="2303" hidden="1">
      <c r="A2303" s="154"/>
      <c r="B2303" s="274"/>
      <c r="C2303" s="31"/>
      <c r="D2303" s="31"/>
      <c r="E2303" s="31"/>
      <c r="F2303" s="89">
        <v>671.0</v>
      </c>
      <c r="G2303" s="91" t="str">
        <f>IFERROR(__xludf.DUMMYFUNCTION("TRIM(REGEXREPLACE(C2303, ""[0-9]+[a-f]?\."", """"))"),"")</f>
        <v/>
      </c>
      <c r="H2303" s="91" t="str">
        <f>IFERROR(__xludf.DUMMYFUNCTION("TRIM(REGEXREPLACE(D2303, ""[0-9]+[a-f]?\."", """"))"),"")</f>
        <v/>
      </c>
      <c r="I2303" s="91" t="str">
        <f>IFERROR(__xludf.DUMMYFUNCTION("TRIM(REGEXREPLACE(E2303, ""[0-9]+[a-f]?\."", """"))"),"")</f>
        <v/>
      </c>
      <c r="J2303" s="91" t="str">
        <f t="shared" ref="J2303:J2315" si="743">F2303 &amp; ". " &amp;G2303</f>
        <v>671. </v>
      </c>
      <c r="K2303" s="91" t="str">
        <f t="shared" ref="K2303:K2315" si="744">F2303 &amp; ". " &amp;H2303</f>
        <v>671. </v>
      </c>
      <c r="L2303" s="91" t="str">
        <f t="shared" ref="L2303:L2315" si="745">F2303 &amp; ". " &amp;I2303</f>
        <v>671. </v>
      </c>
    </row>
    <row r="2304" hidden="1">
      <c r="A2304" s="162"/>
      <c r="B2304" s="163"/>
      <c r="C2304" s="31"/>
      <c r="D2304" s="31"/>
      <c r="E2304" s="31"/>
      <c r="F2304" s="89">
        <v>672.0</v>
      </c>
      <c r="G2304" s="91" t="str">
        <f>IFERROR(__xludf.DUMMYFUNCTION("TRIM(REGEXREPLACE(C2304, ""[0-9]+[a-f]?\."", """"))"),"")</f>
        <v/>
      </c>
      <c r="H2304" s="91" t="str">
        <f>IFERROR(__xludf.DUMMYFUNCTION("TRIM(REGEXREPLACE(D2304, ""[0-9]+[a-f]?\."", """"))"),"")</f>
        <v/>
      </c>
      <c r="I2304" s="91" t="str">
        <f>IFERROR(__xludf.DUMMYFUNCTION("TRIM(REGEXREPLACE(E2304, ""[0-9]+[a-f]?\."", """"))"),"")</f>
        <v/>
      </c>
      <c r="J2304" s="91" t="str">
        <f t="shared" si="743"/>
        <v>672. </v>
      </c>
      <c r="K2304" s="91" t="str">
        <f t="shared" si="744"/>
        <v>672. </v>
      </c>
      <c r="L2304" s="91" t="str">
        <f t="shared" si="745"/>
        <v>672. </v>
      </c>
    </row>
    <row r="2305" hidden="1">
      <c r="A2305" s="84"/>
      <c r="B2305" s="159"/>
      <c r="C2305" s="31"/>
      <c r="D2305" s="31"/>
      <c r="E2305" s="31"/>
      <c r="F2305" s="89">
        <v>673.0</v>
      </c>
      <c r="G2305" s="91" t="str">
        <f>IFERROR(__xludf.DUMMYFUNCTION("TRIM(REGEXREPLACE(C2305, ""[0-9]+[a-f]?\."", """"))"),"")</f>
        <v/>
      </c>
      <c r="H2305" s="91" t="str">
        <f>IFERROR(__xludf.DUMMYFUNCTION("TRIM(REGEXREPLACE(D2305, ""[0-9]+[a-f]?\."", """"))"),"")</f>
        <v/>
      </c>
      <c r="I2305" s="91" t="str">
        <f>IFERROR(__xludf.DUMMYFUNCTION("TRIM(REGEXREPLACE(E2305, ""[0-9]+[a-f]?\."", """"))"),"")</f>
        <v/>
      </c>
      <c r="J2305" s="91" t="str">
        <f t="shared" si="743"/>
        <v>673. </v>
      </c>
      <c r="K2305" s="91" t="str">
        <f t="shared" si="744"/>
        <v>673. </v>
      </c>
      <c r="L2305" s="91" t="str">
        <f t="shared" si="745"/>
        <v>673. </v>
      </c>
    </row>
    <row r="2306" hidden="1">
      <c r="A2306" s="154"/>
      <c r="B2306" s="274"/>
      <c r="C2306" s="31"/>
      <c r="D2306" s="31"/>
      <c r="E2306" s="31"/>
      <c r="F2306" s="89">
        <v>674.0</v>
      </c>
      <c r="G2306" s="91" t="str">
        <f>IFERROR(__xludf.DUMMYFUNCTION("TRIM(REGEXREPLACE(C2306, ""[0-9]+[a-f]?\."", """"))"),"")</f>
        <v/>
      </c>
      <c r="H2306" s="91" t="str">
        <f>IFERROR(__xludf.DUMMYFUNCTION("TRIM(REGEXREPLACE(D2306, ""[0-9]+[a-f]?\."", """"))"),"")</f>
        <v/>
      </c>
      <c r="I2306" s="91" t="str">
        <f>IFERROR(__xludf.DUMMYFUNCTION("TRIM(REGEXREPLACE(E2306, ""[0-9]+[a-f]?\."", """"))"),"")</f>
        <v/>
      </c>
      <c r="J2306" s="91" t="str">
        <f t="shared" si="743"/>
        <v>674. </v>
      </c>
      <c r="K2306" s="91" t="str">
        <f t="shared" si="744"/>
        <v>674. </v>
      </c>
      <c r="L2306" s="91" t="str">
        <f t="shared" si="745"/>
        <v>674. </v>
      </c>
    </row>
    <row r="2307" hidden="1">
      <c r="A2307" s="84"/>
      <c r="B2307" s="159"/>
      <c r="C2307" s="31"/>
      <c r="D2307" s="31"/>
      <c r="E2307" s="31"/>
      <c r="F2307" s="89">
        <v>675.0</v>
      </c>
      <c r="G2307" s="91" t="str">
        <f>IFERROR(__xludf.DUMMYFUNCTION("TRIM(REGEXREPLACE(C2307, ""[0-9]+[a-f]?\."", """"))"),"")</f>
        <v/>
      </c>
      <c r="H2307" s="91" t="str">
        <f>IFERROR(__xludf.DUMMYFUNCTION("TRIM(REGEXREPLACE(D2307, ""[0-9]+[a-f]?\."", """"))"),"")</f>
        <v/>
      </c>
      <c r="I2307" s="91" t="str">
        <f>IFERROR(__xludf.DUMMYFUNCTION("TRIM(REGEXREPLACE(E2307, ""[0-9]+[a-f]?\."", """"))"),"")</f>
        <v/>
      </c>
      <c r="J2307" s="91" t="str">
        <f t="shared" si="743"/>
        <v>675. </v>
      </c>
      <c r="K2307" s="91" t="str">
        <f t="shared" si="744"/>
        <v>675. </v>
      </c>
      <c r="L2307" s="91" t="str">
        <f t="shared" si="745"/>
        <v>675. </v>
      </c>
    </row>
    <row r="2308" hidden="1">
      <c r="A2308" s="154"/>
      <c r="B2308" s="274"/>
      <c r="C2308" s="31"/>
      <c r="D2308" s="31"/>
      <c r="E2308" s="31"/>
      <c r="F2308" s="89">
        <v>676.0</v>
      </c>
      <c r="G2308" s="91" t="str">
        <f>IFERROR(__xludf.DUMMYFUNCTION("TRIM(REGEXREPLACE(C2308, ""[0-9]+[a-f]?\."", """"))"),"")</f>
        <v/>
      </c>
      <c r="H2308" s="91" t="str">
        <f>IFERROR(__xludf.DUMMYFUNCTION("TRIM(REGEXREPLACE(D2308, ""[0-9]+[a-f]?\."", """"))"),"")</f>
        <v/>
      </c>
      <c r="I2308" s="91" t="str">
        <f>IFERROR(__xludf.DUMMYFUNCTION("TRIM(REGEXREPLACE(E2308, ""[0-9]+[a-f]?\."", """"))"),"")</f>
        <v/>
      </c>
      <c r="J2308" s="91" t="str">
        <f t="shared" si="743"/>
        <v>676. </v>
      </c>
      <c r="K2308" s="91" t="str">
        <f t="shared" si="744"/>
        <v>676. </v>
      </c>
      <c r="L2308" s="91" t="str">
        <f t="shared" si="745"/>
        <v>676. </v>
      </c>
    </row>
    <row r="2309" hidden="1">
      <c r="A2309" s="84"/>
      <c r="B2309" s="159"/>
      <c r="C2309" s="31"/>
      <c r="D2309" s="31"/>
      <c r="E2309" s="31"/>
      <c r="F2309" s="89">
        <v>677.0</v>
      </c>
      <c r="G2309" s="91" t="str">
        <f>IFERROR(__xludf.DUMMYFUNCTION("TRIM(REGEXREPLACE(C2309, ""[0-9]+[a-f]?\."", """"))"),"")</f>
        <v/>
      </c>
      <c r="H2309" s="91" t="str">
        <f>IFERROR(__xludf.DUMMYFUNCTION("TRIM(REGEXREPLACE(D2309, ""[0-9]+[a-f]?\."", """"))"),"")</f>
        <v/>
      </c>
      <c r="I2309" s="91" t="str">
        <f>IFERROR(__xludf.DUMMYFUNCTION("TRIM(REGEXREPLACE(E2309, ""[0-9]+[a-f]?\."", """"))"),"")</f>
        <v/>
      </c>
      <c r="J2309" s="91" t="str">
        <f t="shared" si="743"/>
        <v>677. </v>
      </c>
      <c r="K2309" s="91" t="str">
        <f t="shared" si="744"/>
        <v>677. </v>
      </c>
      <c r="L2309" s="91" t="str">
        <f t="shared" si="745"/>
        <v>677. </v>
      </c>
    </row>
    <row r="2310" hidden="1">
      <c r="A2310" s="84"/>
      <c r="B2310" s="159"/>
      <c r="C2310" s="31"/>
      <c r="D2310" s="31"/>
      <c r="E2310" s="31"/>
      <c r="F2310" s="89">
        <v>678.0</v>
      </c>
      <c r="G2310" s="91" t="str">
        <f>IFERROR(__xludf.DUMMYFUNCTION("TRIM(REGEXREPLACE(C2310, ""[0-9]+[a-f]?\."", """"))"),"")</f>
        <v/>
      </c>
      <c r="H2310" s="91" t="str">
        <f>IFERROR(__xludf.DUMMYFUNCTION("TRIM(REGEXREPLACE(D2310, ""[0-9]+[a-f]?\."", """"))"),"")</f>
        <v/>
      </c>
      <c r="I2310" s="91" t="str">
        <f>IFERROR(__xludf.DUMMYFUNCTION("TRIM(REGEXREPLACE(E2310, ""[0-9]+[a-f]?\."", """"))"),"")</f>
        <v/>
      </c>
      <c r="J2310" s="91" t="str">
        <f t="shared" si="743"/>
        <v>678. </v>
      </c>
      <c r="K2310" s="91" t="str">
        <f t="shared" si="744"/>
        <v>678. </v>
      </c>
      <c r="L2310" s="91" t="str">
        <f t="shared" si="745"/>
        <v>678. </v>
      </c>
    </row>
    <row r="2311" hidden="1">
      <c r="A2311" s="162"/>
      <c r="B2311" s="163"/>
      <c r="C2311" s="31"/>
      <c r="D2311" s="31"/>
      <c r="E2311" s="31"/>
      <c r="F2311" s="89">
        <v>679.0</v>
      </c>
      <c r="G2311" s="91" t="str">
        <f>IFERROR(__xludf.DUMMYFUNCTION("TRIM(REGEXREPLACE(C2311, ""[0-9]+[a-f]?\."", """"))"),"")</f>
        <v/>
      </c>
      <c r="H2311" s="91" t="str">
        <f>IFERROR(__xludf.DUMMYFUNCTION("TRIM(REGEXREPLACE(D2311, ""[0-9]+[a-f]?\."", """"))"),"")</f>
        <v/>
      </c>
      <c r="I2311" s="91" t="str">
        <f>IFERROR(__xludf.DUMMYFUNCTION("TRIM(REGEXREPLACE(E2311, ""[0-9]+[a-f]?\."", """"))"),"")</f>
        <v/>
      </c>
      <c r="J2311" s="91" t="str">
        <f t="shared" si="743"/>
        <v>679. </v>
      </c>
      <c r="K2311" s="91" t="str">
        <f t="shared" si="744"/>
        <v>679. </v>
      </c>
      <c r="L2311" s="91" t="str">
        <f t="shared" si="745"/>
        <v>679. </v>
      </c>
    </row>
    <row r="2312" hidden="1">
      <c r="A2312" s="84"/>
      <c r="B2312" s="159"/>
      <c r="C2312" s="31"/>
      <c r="D2312" s="31"/>
      <c r="E2312" s="31"/>
      <c r="F2312" s="89">
        <v>680.0</v>
      </c>
      <c r="G2312" s="91" t="str">
        <f>IFERROR(__xludf.DUMMYFUNCTION("TRIM(REGEXREPLACE(C2312, ""[0-9]+[a-f]?\."", """"))"),"")</f>
        <v/>
      </c>
      <c r="H2312" s="91" t="str">
        <f>IFERROR(__xludf.DUMMYFUNCTION("TRIM(REGEXREPLACE(D2312, ""[0-9]+[a-f]?\."", """"))"),"")</f>
        <v/>
      </c>
      <c r="I2312" s="91" t="str">
        <f>IFERROR(__xludf.DUMMYFUNCTION("TRIM(REGEXREPLACE(E2312, ""[0-9]+[a-f]?\."", """"))"),"")</f>
        <v/>
      </c>
      <c r="J2312" s="91" t="str">
        <f t="shared" si="743"/>
        <v>680. </v>
      </c>
      <c r="K2312" s="91" t="str">
        <f t="shared" si="744"/>
        <v>680. </v>
      </c>
      <c r="L2312" s="91" t="str">
        <f t="shared" si="745"/>
        <v>680. </v>
      </c>
    </row>
    <row r="2313" hidden="1">
      <c r="A2313" s="154"/>
      <c r="B2313" s="274"/>
      <c r="C2313" s="31"/>
      <c r="D2313" s="31"/>
      <c r="E2313" s="31"/>
      <c r="F2313" s="89">
        <v>681.0</v>
      </c>
      <c r="G2313" s="91" t="str">
        <f>IFERROR(__xludf.DUMMYFUNCTION("TRIM(REGEXREPLACE(C2313, ""[0-9]+[a-f]?\."", """"))"),"")</f>
        <v/>
      </c>
      <c r="H2313" s="91" t="str">
        <f>IFERROR(__xludf.DUMMYFUNCTION("TRIM(REGEXREPLACE(D2313, ""[0-9]+[a-f]?\."", """"))"),"")</f>
        <v/>
      </c>
      <c r="I2313" s="91" t="str">
        <f>IFERROR(__xludf.DUMMYFUNCTION("TRIM(REGEXREPLACE(E2313, ""[0-9]+[a-f]?\."", """"))"),"")</f>
        <v/>
      </c>
      <c r="J2313" s="91" t="str">
        <f t="shared" si="743"/>
        <v>681. </v>
      </c>
      <c r="K2313" s="91" t="str">
        <f t="shared" si="744"/>
        <v>681. </v>
      </c>
      <c r="L2313" s="91" t="str">
        <f t="shared" si="745"/>
        <v>681. </v>
      </c>
    </row>
    <row r="2314" hidden="1">
      <c r="A2314" s="84"/>
      <c r="B2314" s="159"/>
      <c r="C2314" s="31"/>
      <c r="D2314" s="31"/>
      <c r="E2314" s="31"/>
      <c r="F2314" s="89">
        <v>682.0</v>
      </c>
      <c r="G2314" s="91" t="str">
        <f>IFERROR(__xludf.DUMMYFUNCTION("TRIM(REGEXREPLACE(C2314, ""[0-9]+[a-f]?\."", """"))"),"")</f>
        <v/>
      </c>
      <c r="H2314" s="91" t="str">
        <f>IFERROR(__xludf.DUMMYFUNCTION("TRIM(REGEXREPLACE(D2314, ""[0-9]+[a-f]?\."", """"))"),"")</f>
        <v/>
      </c>
      <c r="I2314" s="91" t="str">
        <f>IFERROR(__xludf.DUMMYFUNCTION("TRIM(REGEXREPLACE(E2314, ""[0-9]+[a-f]?\."", """"))"),"")</f>
        <v/>
      </c>
      <c r="J2314" s="91" t="str">
        <f t="shared" si="743"/>
        <v>682. </v>
      </c>
      <c r="K2314" s="91" t="str">
        <f t="shared" si="744"/>
        <v>682. </v>
      </c>
      <c r="L2314" s="91" t="str">
        <f t="shared" si="745"/>
        <v>682. </v>
      </c>
    </row>
    <row r="2315" hidden="1">
      <c r="A2315" s="175"/>
      <c r="B2315" s="176"/>
      <c r="C2315" s="31"/>
      <c r="D2315" s="31"/>
      <c r="E2315" s="31"/>
      <c r="F2315" s="89">
        <v>683.0</v>
      </c>
      <c r="G2315" s="91" t="str">
        <f>IFERROR(__xludf.DUMMYFUNCTION("TRIM(REGEXREPLACE(C2315, ""[0-9]+[a-f]?\."", """"))"),"")</f>
        <v/>
      </c>
      <c r="H2315" s="91" t="str">
        <f>IFERROR(__xludf.DUMMYFUNCTION("TRIM(REGEXREPLACE(D2315, ""[0-9]+[a-f]?\."", """"))"),"")</f>
        <v/>
      </c>
      <c r="I2315" s="91" t="str">
        <f>IFERROR(__xludf.DUMMYFUNCTION("TRIM(REGEXREPLACE(E2315, ""[0-9]+[a-f]?\."", """"))"),"")</f>
        <v/>
      </c>
      <c r="J2315" s="91" t="str">
        <f t="shared" si="743"/>
        <v>683. </v>
      </c>
      <c r="K2315" s="91" t="str">
        <f t="shared" si="744"/>
        <v>683. </v>
      </c>
      <c r="L2315" s="91" t="str">
        <f t="shared" si="745"/>
        <v>683. </v>
      </c>
    </row>
    <row r="2316" hidden="1">
      <c r="A2316" s="173" t="s">
        <v>648</v>
      </c>
      <c r="B2316" s="174" t="s">
        <v>5273</v>
      </c>
      <c r="C2316" s="145" t="s">
        <v>5274</v>
      </c>
      <c r="D2316" s="173"/>
      <c r="E2316" s="173"/>
    </row>
    <row r="2317" hidden="1">
      <c r="A2317" s="162"/>
      <c r="B2317" s="163"/>
      <c r="C2317" s="31"/>
      <c r="D2317" s="31"/>
      <c r="E2317" s="31"/>
      <c r="F2317" s="89">
        <v>684.0</v>
      </c>
      <c r="G2317" s="91" t="str">
        <f>IFERROR(__xludf.DUMMYFUNCTION("TRIM(REGEXREPLACE(C2317, ""[0-9]+[a-f]?\."", """"))"),"")</f>
        <v/>
      </c>
      <c r="H2317" s="91" t="str">
        <f>IFERROR(__xludf.DUMMYFUNCTION("TRIM(REGEXREPLACE(D2317, ""[0-9]+[a-f]?\."", """"))"),"")</f>
        <v/>
      </c>
      <c r="I2317" s="91" t="str">
        <f>IFERROR(__xludf.DUMMYFUNCTION("TRIM(REGEXREPLACE(E2317, ""[0-9]+[a-f]?\."", """"))"),"")</f>
        <v/>
      </c>
      <c r="J2317" s="91" t="str">
        <f>F2317 &amp; ". " &amp;G2317</f>
        <v>684. </v>
      </c>
      <c r="K2317" s="91" t="str">
        <f>F2317 &amp; ". " &amp;H2317</f>
        <v>684. </v>
      </c>
      <c r="L2317" s="91" t="str">
        <f>F2317 &amp; ". " &amp;I2317</f>
        <v>684. </v>
      </c>
    </row>
    <row r="2318" hidden="1">
      <c r="A2318" s="173" t="s">
        <v>691</v>
      </c>
      <c r="B2318" s="173" t="s">
        <v>5273</v>
      </c>
      <c r="C2318" s="150" t="s">
        <v>5274</v>
      </c>
      <c r="D2318" s="173"/>
      <c r="E2318" s="173"/>
    </row>
    <row r="2319" hidden="1">
      <c r="A2319" s="84"/>
      <c r="B2319" s="159"/>
      <c r="C2319" s="31"/>
      <c r="D2319" s="31"/>
      <c r="E2319" s="31"/>
      <c r="F2319" s="89">
        <v>685.0</v>
      </c>
      <c r="G2319" s="91" t="str">
        <f>IFERROR(__xludf.DUMMYFUNCTION("TRIM(REGEXREPLACE(C2319, ""[0-9]+[a-f]?\."", """"))"),"")</f>
        <v/>
      </c>
      <c r="H2319" s="91" t="str">
        <f>IFERROR(__xludf.DUMMYFUNCTION("TRIM(REGEXREPLACE(D2319, ""[0-9]+[a-f]?\."", """"))"),"")</f>
        <v/>
      </c>
      <c r="I2319" s="91" t="str">
        <f>IFERROR(__xludf.DUMMYFUNCTION("TRIM(REGEXREPLACE(E2319, ""[0-9]+[a-f]?\."", """"))"),"")</f>
        <v/>
      </c>
      <c r="J2319" s="91" t="str">
        <f>F2319 &amp; ". " &amp;G2319</f>
        <v>685. </v>
      </c>
      <c r="K2319" s="91" t="str">
        <f>F2319 &amp; ". " &amp;H2319</f>
        <v>685. </v>
      </c>
      <c r="L2319" s="91" t="str">
        <f>F2319 &amp; ". " &amp;I2319</f>
        <v>685. </v>
      </c>
    </row>
    <row r="2320" hidden="1">
      <c r="A2320" s="70" t="s">
        <v>150</v>
      </c>
      <c r="B2320" s="71" t="s">
        <v>5290</v>
      </c>
      <c r="C2320" s="123" t="s">
        <v>5291</v>
      </c>
      <c r="D2320" s="70"/>
      <c r="E2320" s="70"/>
    </row>
    <row r="2321" hidden="1">
      <c r="A2321" s="162"/>
      <c r="B2321" s="163"/>
      <c r="C2321" s="31"/>
      <c r="D2321" s="31"/>
      <c r="E2321" s="31"/>
      <c r="F2321" s="89">
        <v>686.0</v>
      </c>
      <c r="G2321" s="91" t="str">
        <f>IFERROR(__xludf.DUMMYFUNCTION("TRIM(REGEXREPLACE(C2321, ""[0-9]+[a-f]?\."", """"))"),"")</f>
        <v/>
      </c>
      <c r="H2321" s="91" t="str">
        <f>IFERROR(__xludf.DUMMYFUNCTION("TRIM(REGEXREPLACE(D2321, ""[0-9]+[a-f]?\."", """"))"),"")</f>
        <v/>
      </c>
      <c r="I2321" s="91" t="str">
        <f>IFERROR(__xludf.DUMMYFUNCTION("TRIM(REGEXREPLACE(E2321, ""[0-9]+[a-f]?\."", """"))"),"")</f>
        <v/>
      </c>
      <c r="J2321" s="91" t="str">
        <f t="shared" ref="J2321:J2322" si="746">F2321 &amp; ". " &amp;G2321</f>
        <v>686. </v>
      </c>
      <c r="K2321" s="91" t="str">
        <f t="shared" ref="K2321:K2322" si="747">F2321 &amp; ". " &amp;H2321</f>
        <v>686. </v>
      </c>
      <c r="L2321" s="91" t="str">
        <f t="shared" ref="L2321:L2322" si="748">F2321 &amp; ". " &amp;I2321</f>
        <v>686. </v>
      </c>
    </row>
    <row r="2322" hidden="1">
      <c r="A2322" s="162"/>
      <c r="B2322" s="163"/>
      <c r="C2322" s="31"/>
      <c r="D2322" s="31"/>
      <c r="E2322" s="31"/>
      <c r="F2322" s="89">
        <v>687.0</v>
      </c>
      <c r="G2322" s="91" t="str">
        <f>IFERROR(__xludf.DUMMYFUNCTION("TRIM(REGEXREPLACE(C2322, ""[0-9]+[a-f]?\."", """"))"),"")</f>
        <v/>
      </c>
      <c r="H2322" s="91" t="str">
        <f>IFERROR(__xludf.DUMMYFUNCTION("TRIM(REGEXREPLACE(D2322, ""[0-9]+[a-f]?\."", """"))"),"")</f>
        <v/>
      </c>
      <c r="I2322" s="91" t="str">
        <f>IFERROR(__xludf.DUMMYFUNCTION("TRIM(REGEXREPLACE(E2322, ""[0-9]+[a-f]?\."", """"))"),"")</f>
        <v/>
      </c>
      <c r="J2322" s="91" t="str">
        <f t="shared" si="746"/>
        <v>687. </v>
      </c>
      <c r="K2322" s="91" t="str">
        <f t="shared" si="747"/>
        <v>687. </v>
      </c>
      <c r="L2322" s="91" t="str">
        <f t="shared" si="748"/>
        <v>687. </v>
      </c>
    </row>
    <row r="2323" hidden="1">
      <c r="A2323" s="70" t="s">
        <v>236</v>
      </c>
      <c r="B2323" s="70" t="s">
        <v>5290</v>
      </c>
      <c r="C2323" s="153" t="s">
        <v>5291</v>
      </c>
      <c r="D2323" s="70"/>
      <c r="E2323" s="70"/>
    </row>
    <row r="2324" hidden="1">
      <c r="A2324" s="108" t="s">
        <v>108</v>
      </c>
      <c r="B2324" s="121" t="s">
        <v>5313</v>
      </c>
      <c r="C2324" s="264"/>
      <c r="D2324" s="108"/>
      <c r="E2324" s="108"/>
    </row>
    <row r="2325" hidden="1">
      <c r="A2325" s="162"/>
      <c r="B2325" s="163"/>
      <c r="C2325" s="31"/>
      <c r="D2325" s="31"/>
      <c r="E2325" s="31"/>
      <c r="F2325" s="89">
        <v>688.0</v>
      </c>
      <c r="G2325" s="91" t="str">
        <f>IFERROR(__xludf.DUMMYFUNCTION("TRIM(REGEXREPLACE(C2325, ""[0-9]+[a-f]?\."", """"))"),"")</f>
        <v/>
      </c>
      <c r="H2325" s="91" t="str">
        <f>IFERROR(__xludf.DUMMYFUNCTION("TRIM(REGEXREPLACE(D2325, ""[0-9]+[a-f]?\."", """"))"),"")</f>
        <v/>
      </c>
      <c r="I2325" s="91" t="str">
        <f>IFERROR(__xludf.DUMMYFUNCTION("TRIM(REGEXREPLACE(E2325, ""[0-9]+[a-f]?\."", """"))"),"")</f>
        <v/>
      </c>
      <c r="J2325" s="91" t="str">
        <f t="shared" ref="J2325:J2331" si="749">F2325 &amp; ". " &amp;G2325</f>
        <v>688. </v>
      </c>
      <c r="K2325" s="91" t="str">
        <f t="shared" ref="K2325:K2331" si="750">F2325 &amp; ". " &amp;H2325</f>
        <v>688. </v>
      </c>
      <c r="L2325" s="91" t="str">
        <f t="shared" ref="L2325:L2331" si="751">F2325 &amp; ". " &amp;I2325</f>
        <v>688. </v>
      </c>
    </row>
    <row r="2326" hidden="1">
      <c r="A2326" s="84"/>
      <c r="B2326" s="159"/>
      <c r="C2326" s="31"/>
      <c r="D2326" s="31"/>
      <c r="E2326" s="31"/>
      <c r="F2326" s="89">
        <v>689.0</v>
      </c>
      <c r="G2326" s="91" t="str">
        <f>IFERROR(__xludf.DUMMYFUNCTION("TRIM(REGEXREPLACE(C2326, ""[0-9]+[a-f]?\."", """"))"),"")</f>
        <v/>
      </c>
      <c r="H2326" s="91" t="str">
        <f>IFERROR(__xludf.DUMMYFUNCTION("TRIM(REGEXREPLACE(D2326, ""[0-9]+[a-f]?\."", """"))"),"")</f>
        <v/>
      </c>
      <c r="I2326" s="91" t="str">
        <f>IFERROR(__xludf.DUMMYFUNCTION("TRIM(REGEXREPLACE(E2326, ""[0-9]+[a-f]?\."", """"))"),"")</f>
        <v/>
      </c>
      <c r="J2326" s="91" t="str">
        <f t="shared" si="749"/>
        <v>689. </v>
      </c>
      <c r="K2326" s="91" t="str">
        <f t="shared" si="750"/>
        <v>689. </v>
      </c>
      <c r="L2326" s="91" t="str">
        <f t="shared" si="751"/>
        <v>689. </v>
      </c>
    </row>
    <row r="2327" hidden="1">
      <c r="A2327" s="84"/>
      <c r="B2327" s="159"/>
      <c r="C2327" s="31"/>
      <c r="D2327" s="31"/>
      <c r="E2327" s="31"/>
      <c r="F2327" s="89">
        <v>690.0</v>
      </c>
      <c r="G2327" s="91" t="str">
        <f>IFERROR(__xludf.DUMMYFUNCTION("TRIM(REGEXREPLACE(C2327, ""[0-9]+[a-f]?\."", """"))"),"")</f>
        <v/>
      </c>
      <c r="H2327" s="91" t="str">
        <f>IFERROR(__xludf.DUMMYFUNCTION("TRIM(REGEXREPLACE(D2327, ""[0-9]+[a-f]?\."", """"))"),"")</f>
        <v/>
      </c>
      <c r="I2327" s="91" t="str">
        <f>IFERROR(__xludf.DUMMYFUNCTION("TRIM(REGEXREPLACE(E2327, ""[0-9]+[a-f]?\."", """"))"),"")</f>
        <v/>
      </c>
      <c r="J2327" s="91" t="str">
        <f t="shared" si="749"/>
        <v>690. </v>
      </c>
      <c r="K2327" s="91" t="str">
        <f t="shared" si="750"/>
        <v>690. </v>
      </c>
      <c r="L2327" s="91" t="str">
        <f t="shared" si="751"/>
        <v>690. </v>
      </c>
    </row>
    <row r="2328" hidden="1">
      <c r="A2328" s="154"/>
      <c r="B2328" s="274"/>
      <c r="C2328" s="31"/>
      <c r="D2328" s="31"/>
      <c r="E2328" s="31"/>
      <c r="F2328" s="89">
        <v>691.0</v>
      </c>
      <c r="G2328" s="91" t="str">
        <f>IFERROR(__xludf.DUMMYFUNCTION("TRIM(REGEXREPLACE(C2328, ""[0-9]+[a-f]?\."", """"))"),"")</f>
        <v/>
      </c>
      <c r="H2328" s="91" t="str">
        <f>IFERROR(__xludf.DUMMYFUNCTION("TRIM(REGEXREPLACE(D2328, ""[0-9]+[a-f]?\."", """"))"),"")</f>
        <v/>
      </c>
      <c r="I2328" s="91" t="str">
        <f>IFERROR(__xludf.DUMMYFUNCTION("TRIM(REGEXREPLACE(E2328, ""[0-9]+[a-f]?\."", """"))"),"")</f>
        <v/>
      </c>
      <c r="J2328" s="91" t="str">
        <f t="shared" si="749"/>
        <v>691. </v>
      </c>
      <c r="K2328" s="91" t="str">
        <f t="shared" si="750"/>
        <v>691. </v>
      </c>
      <c r="L2328" s="91" t="str">
        <f t="shared" si="751"/>
        <v>691. </v>
      </c>
    </row>
    <row r="2329" hidden="1">
      <c r="A2329" s="84"/>
      <c r="B2329" s="159"/>
      <c r="C2329" s="31"/>
      <c r="D2329" s="31"/>
      <c r="E2329" s="31"/>
      <c r="F2329" s="89">
        <v>692.0</v>
      </c>
      <c r="G2329" s="91" t="str">
        <f>IFERROR(__xludf.DUMMYFUNCTION("TRIM(REGEXREPLACE(C2329, ""[0-9]+[a-f]?\."", """"))"),"")</f>
        <v/>
      </c>
      <c r="H2329" s="91" t="str">
        <f>IFERROR(__xludf.DUMMYFUNCTION("TRIM(REGEXREPLACE(D2329, ""[0-9]+[a-f]?\."", """"))"),"")</f>
        <v/>
      </c>
      <c r="I2329" s="91" t="str">
        <f>IFERROR(__xludf.DUMMYFUNCTION("TRIM(REGEXREPLACE(E2329, ""[0-9]+[a-f]?\."", """"))"),"")</f>
        <v/>
      </c>
      <c r="J2329" s="91" t="str">
        <f t="shared" si="749"/>
        <v>692. </v>
      </c>
      <c r="K2329" s="91" t="str">
        <f t="shared" si="750"/>
        <v>692. </v>
      </c>
      <c r="L2329" s="91" t="str">
        <f t="shared" si="751"/>
        <v>692. </v>
      </c>
    </row>
    <row r="2330" hidden="1">
      <c r="A2330" s="154"/>
      <c r="B2330" s="274"/>
      <c r="C2330" s="31"/>
      <c r="D2330" s="31"/>
      <c r="E2330" s="31"/>
      <c r="F2330" s="89">
        <v>693.0</v>
      </c>
      <c r="G2330" s="91" t="str">
        <f>IFERROR(__xludf.DUMMYFUNCTION("TRIM(REGEXREPLACE(C2330, ""[0-9]+[a-f]?\."", """"))"),"")</f>
        <v/>
      </c>
      <c r="H2330" s="91" t="str">
        <f>IFERROR(__xludf.DUMMYFUNCTION("TRIM(REGEXREPLACE(D2330, ""[0-9]+[a-f]?\."", """"))"),"")</f>
        <v/>
      </c>
      <c r="I2330" s="91" t="str">
        <f>IFERROR(__xludf.DUMMYFUNCTION("TRIM(REGEXREPLACE(E2330, ""[0-9]+[a-f]?\."", """"))"),"")</f>
        <v/>
      </c>
      <c r="J2330" s="91" t="str">
        <f t="shared" si="749"/>
        <v>693. </v>
      </c>
      <c r="K2330" s="91" t="str">
        <f t="shared" si="750"/>
        <v>693. </v>
      </c>
      <c r="L2330" s="91" t="str">
        <f t="shared" si="751"/>
        <v>693. </v>
      </c>
    </row>
    <row r="2331" hidden="1">
      <c r="A2331" s="84"/>
      <c r="B2331" s="159"/>
      <c r="C2331" s="31"/>
      <c r="D2331" s="31"/>
      <c r="E2331" s="31"/>
      <c r="F2331" s="89">
        <v>694.0</v>
      </c>
      <c r="G2331" s="91" t="str">
        <f>IFERROR(__xludf.DUMMYFUNCTION("TRIM(REGEXREPLACE(C2331, ""[0-9]+[a-f]?\."", """"))"),"")</f>
        <v/>
      </c>
      <c r="H2331" s="91" t="str">
        <f>IFERROR(__xludf.DUMMYFUNCTION("TRIM(REGEXREPLACE(D2331, ""[0-9]+[a-f]?\."", """"))"),"")</f>
        <v/>
      </c>
      <c r="I2331" s="91" t="str">
        <f>IFERROR(__xludf.DUMMYFUNCTION("TRIM(REGEXREPLACE(E2331, ""[0-9]+[a-f]?\."", """"))"),"")</f>
        <v/>
      </c>
      <c r="J2331" s="91" t="str">
        <f t="shared" si="749"/>
        <v>694. </v>
      </c>
      <c r="K2331" s="91" t="str">
        <f t="shared" si="750"/>
        <v>694. </v>
      </c>
      <c r="L2331" s="91" t="str">
        <f t="shared" si="751"/>
        <v>694. </v>
      </c>
    </row>
    <row r="2332" hidden="1">
      <c r="A2332" s="70" t="s">
        <v>150</v>
      </c>
      <c r="B2332" s="71" t="s">
        <v>5354</v>
      </c>
      <c r="C2332" s="123" t="s">
        <v>5355</v>
      </c>
      <c r="D2332" s="70"/>
      <c r="E2332" s="70"/>
    </row>
    <row r="2333" hidden="1">
      <c r="A2333" s="162"/>
      <c r="B2333" s="163"/>
      <c r="C2333" s="31"/>
      <c r="D2333" s="31"/>
      <c r="E2333" s="31"/>
      <c r="F2333" s="89">
        <v>695.0</v>
      </c>
      <c r="G2333" s="91" t="str">
        <f>IFERROR(__xludf.DUMMYFUNCTION("TRIM(REGEXREPLACE(C2333, ""[0-9]+[a-f]?\."", """"))"),"")</f>
        <v/>
      </c>
      <c r="H2333" s="91" t="str">
        <f>IFERROR(__xludf.DUMMYFUNCTION("TRIM(REGEXREPLACE(D2333, ""[0-9]+[a-f]?\."", """"))"),"")</f>
        <v/>
      </c>
      <c r="I2333" s="91" t="str">
        <f>IFERROR(__xludf.DUMMYFUNCTION("TRIM(REGEXREPLACE(E2333, ""[0-9]+[a-f]?\."", """"))"),"")</f>
        <v/>
      </c>
      <c r="J2333" s="91" t="str">
        <f t="shared" ref="J2333:J2334" si="752">F2333 &amp; ". " &amp;G2333</f>
        <v>695. </v>
      </c>
      <c r="K2333" s="91" t="str">
        <f t="shared" ref="K2333:K2334" si="753">F2333 &amp; ". " &amp;H2333</f>
        <v>695. </v>
      </c>
      <c r="L2333" s="91" t="str">
        <f t="shared" ref="L2333:L2334" si="754">F2333 &amp; ". " &amp;I2333</f>
        <v>695. </v>
      </c>
    </row>
    <row r="2334" hidden="1">
      <c r="A2334" s="162"/>
      <c r="B2334" s="163"/>
      <c r="C2334" s="31"/>
      <c r="D2334" s="31"/>
      <c r="E2334" s="31"/>
      <c r="F2334" s="89">
        <v>696.0</v>
      </c>
      <c r="G2334" s="91" t="str">
        <f>IFERROR(__xludf.DUMMYFUNCTION("TRIM(REGEXREPLACE(C2334, ""[0-9]+[a-f]?\."", """"))"),"")</f>
        <v/>
      </c>
      <c r="H2334" s="91" t="str">
        <f>IFERROR(__xludf.DUMMYFUNCTION("TRIM(REGEXREPLACE(D2334, ""[0-9]+[a-f]?\."", """"))"),"")</f>
        <v/>
      </c>
      <c r="I2334" s="91" t="str">
        <f>IFERROR(__xludf.DUMMYFUNCTION("TRIM(REGEXREPLACE(E2334, ""[0-9]+[a-f]?\."", """"))"),"")</f>
        <v/>
      </c>
      <c r="J2334" s="91" t="str">
        <f t="shared" si="752"/>
        <v>696. </v>
      </c>
      <c r="K2334" s="91" t="str">
        <f t="shared" si="753"/>
        <v>696. </v>
      </c>
      <c r="L2334" s="91" t="str">
        <f t="shared" si="754"/>
        <v>696. </v>
      </c>
    </row>
    <row r="2335" hidden="1">
      <c r="A2335" s="70" t="s">
        <v>236</v>
      </c>
      <c r="B2335" s="70" t="s">
        <v>5354</v>
      </c>
      <c r="C2335" s="153" t="s">
        <v>5355</v>
      </c>
      <c r="D2335" s="70"/>
      <c r="E2335" s="70"/>
    </row>
    <row r="2336" hidden="1">
      <c r="A2336" s="108" t="s">
        <v>108</v>
      </c>
      <c r="B2336" s="121" t="s">
        <v>5369</v>
      </c>
      <c r="C2336" s="264"/>
      <c r="D2336" s="108"/>
      <c r="E2336" s="108"/>
    </row>
    <row r="2337" hidden="1">
      <c r="A2337" s="162"/>
      <c r="B2337" s="163"/>
      <c r="C2337" s="31"/>
      <c r="D2337" s="31"/>
      <c r="E2337" s="31"/>
      <c r="F2337" s="89">
        <v>697.0</v>
      </c>
      <c r="G2337" s="91" t="str">
        <f>IFERROR(__xludf.DUMMYFUNCTION("TRIM(REGEXREPLACE(C2337, ""[0-9]+[a-f]?\."", """"))"),"")</f>
        <v/>
      </c>
      <c r="H2337" s="91" t="str">
        <f>IFERROR(__xludf.DUMMYFUNCTION("TRIM(REGEXREPLACE(D2337, ""[0-9]+[a-f]?\."", """"))"),"")</f>
        <v/>
      </c>
      <c r="I2337" s="91" t="str">
        <f>IFERROR(__xludf.DUMMYFUNCTION("TRIM(REGEXREPLACE(E2337, ""[0-9]+[a-f]?\."", """"))"),"")</f>
        <v/>
      </c>
      <c r="J2337" s="91" t="str">
        <f t="shared" ref="J2337:J2342" si="755">F2337 &amp; ". " &amp;G2337</f>
        <v>697. </v>
      </c>
      <c r="K2337" s="91" t="str">
        <f t="shared" ref="K2337:K2342" si="756">F2337 &amp; ". " &amp;H2337</f>
        <v>697. </v>
      </c>
      <c r="L2337" s="91" t="str">
        <f t="shared" ref="L2337:L2342" si="757">F2337 &amp; ". " &amp;I2337</f>
        <v>697. </v>
      </c>
    </row>
    <row r="2338" hidden="1">
      <c r="A2338" s="84"/>
      <c r="B2338" s="159"/>
      <c r="C2338" s="31"/>
      <c r="D2338" s="31"/>
      <c r="E2338" s="31"/>
      <c r="F2338" s="89">
        <v>698.0</v>
      </c>
      <c r="G2338" s="91" t="str">
        <f>IFERROR(__xludf.DUMMYFUNCTION("TRIM(REGEXREPLACE(C2338, ""[0-9]+[a-f]?\."", """"))"),"")</f>
        <v/>
      </c>
      <c r="H2338" s="91" t="str">
        <f>IFERROR(__xludf.DUMMYFUNCTION("TRIM(REGEXREPLACE(D2338, ""[0-9]+[a-f]?\."", """"))"),"")</f>
        <v/>
      </c>
      <c r="I2338" s="91" t="str">
        <f>IFERROR(__xludf.DUMMYFUNCTION("TRIM(REGEXREPLACE(E2338, ""[0-9]+[a-f]?\."", """"))"),"")</f>
        <v/>
      </c>
      <c r="J2338" s="91" t="str">
        <f t="shared" si="755"/>
        <v>698. </v>
      </c>
      <c r="K2338" s="91" t="str">
        <f t="shared" si="756"/>
        <v>698. </v>
      </c>
      <c r="L2338" s="91" t="str">
        <f t="shared" si="757"/>
        <v>698. </v>
      </c>
    </row>
    <row r="2339" hidden="1">
      <c r="A2339" s="84"/>
      <c r="B2339" s="159"/>
      <c r="C2339" s="31"/>
      <c r="D2339" s="31"/>
      <c r="E2339" s="31"/>
      <c r="F2339" s="89">
        <v>699.0</v>
      </c>
      <c r="G2339" s="91" t="str">
        <f>IFERROR(__xludf.DUMMYFUNCTION("TRIM(REGEXREPLACE(C2339, ""[0-9]+[a-f]?\."", """"))"),"")</f>
        <v/>
      </c>
      <c r="H2339" s="91" t="str">
        <f>IFERROR(__xludf.DUMMYFUNCTION("TRIM(REGEXREPLACE(D2339, ""[0-9]+[a-f]?\."", """"))"),"")</f>
        <v/>
      </c>
      <c r="I2339" s="91" t="str">
        <f>IFERROR(__xludf.DUMMYFUNCTION("TRIM(REGEXREPLACE(E2339, ""[0-9]+[a-f]?\."", """"))"),"")</f>
        <v/>
      </c>
      <c r="J2339" s="91" t="str">
        <f t="shared" si="755"/>
        <v>699. </v>
      </c>
      <c r="K2339" s="91" t="str">
        <f t="shared" si="756"/>
        <v>699. </v>
      </c>
      <c r="L2339" s="91" t="str">
        <f t="shared" si="757"/>
        <v>699. </v>
      </c>
    </row>
    <row r="2340" hidden="1">
      <c r="A2340" s="154"/>
      <c r="B2340" s="274"/>
      <c r="C2340" s="31"/>
      <c r="D2340" s="31"/>
      <c r="E2340" s="31"/>
      <c r="F2340" s="89">
        <v>700.0</v>
      </c>
      <c r="G2340" s="91" t="str">
        <f>IFERROR(__xludf.DUMMYFUNCTION("TRIM(REGEXREPLACE(C2340, ""[0-9]+[a-f]?\."", """"))"),"")</f>
        <v/>
      </c>
      <c r="H2340" s="91" t="str">
        <f>IFERROR(__xludf.DUMMYFUNCTION("TRIM(REGEXREPLACE(D2340, ""[0-9]+[a-f]?\."", """"))"),"")</f>
        <v/>
      </c>
      <c r="I2340" s="91" t="str">
        <f>IFERROR(__xludf.DUMMYFUNCTION("TRIM(REGEXREPLACE(E2340, ""[0-9]+[a-f]?\."", """"))"),"")</f>
        <v/>
      </c>
      <c r="J2340" s="91" t="str">
        <f t="shared" si="755"/>
        <v>700. </v>
      </c>
      <c r="K2340" s="91" t="str">
        <f t="shared" si="756"/>
        <v>700. </v>
      </c>
      <c r="L2340" s="91" t="str">
        <f t="shared" si="757"/>
        <v>700. </v>
      </c>
    </row>
    <row r="2341" hidden="1">
      <c r="A2341" s="84"/>
      <c r="B2341" s="159"/>
      <c r="C2341" s="31"/>
      <c r="D2341" s="31"/>
      <c r="E2341" s="31"/>
      <c r="F2341" s="89">
        <v>701.0</v>
      </c>
      <c r="G2341" s="91" t="str">
        <f>IFERROR(__xludf.DUMMYFUNCTION("TRIM(REGEXREPLACE(C2341, ""[0-9]+[a-f]?\."", """"))"),"")</f>
        <v/>
      </c>
      <c r="H2341" s="91" t="str">
        <f>IFERROR(__xludf.DUMMYFUNCTION("TRIM(REGEXREPLACE(D2341, ""[0-9]+[a-f]?\."", """"))"),"")</f>
        <v/>
      </c>
      <c r="I2341" s="91" t="str">
        <f>IFERROR(__xludf.DUMMYFUNCTION("TRIM(REGEXREPLACE(E2341, ""[0-9]+[a-f]?\."", """"))"),"")</f>
        <v/>
      </c>
      <c r="J2341" s="91" t="str">
        <f t="shared" si="755"/>
        <v>701. </v>
      </c>
      <c r="K2341" s="91" t="str">
        <f t="shared" si="756"/>
        <v>701. </v>
      </c>
      <c r="L2341" s="91" t="str">
        <f t="shared" si="757"/>
        <v>701. </v>
      </c>
    </row>
    <row r="2342" hidden="1">
      <c r="A2342" s="154"/>
      <c r="B2342" s="274"/>
      <c r="C2342" s="31"/>
      <c r="D2342" s="31"/>
      <c r="E2342" s="31"/>
      <c r="F2342" s="89">
        <v>702.0</v>
      </c>
      <c r="G2342" s="91" t="str">
        <f>IFERROR(__xludf.DUMMYFUNCTION("TRIM(REGEXREPLACE(C2342, ""[0-9]+[a-f]?\."", """"))"),"")</f>
        <v/>
      </c>
      <c r="H2342" s="91" t="str">
        <f>IFERROR(__xludf.DUMMYFUNCTION("TRIM(REGEXREPLACE(D2342, ""[0-9]+[a-f]?\."", """"))"),"")</f>
        <v/>
      </c>
      <c r="I2342" s="91" t="str">
        <f>IFERROR(__xludf.DUMMYFUNCTION("TRIM(REGEXREPLACE(E2342, ""[0-9]+[a-f]?\."", """"))"),"")</f>
        <v/>
      </c>
      <c r="J2342" s="91" t="str">
        <f t="shared" si="755"/>
        <v>702. </v>
      </c>
      <c r="K2342" s="91" t="str">
        <f t="shared" si="756"/>
        <v>702. </v>
      </c>
      <c r="L2342" s="91" t="str">
        <f t="shared" si="757"/>
        <v>702. </v>
      </c>
    </row>
    <row r="2343" hidden="1">
      <c r="A2343" s="70" t="s">
        <v>236</v>
      </c>
      <c r="B2343" s="70" t="s">
        <v>5159</v>
      </c>
      <c r="C2343" s="153" t="s">
        <v>5160</v>
      </c>
      <c r="D2343" s="70" t="s">
        <v>5161</v>
      </c>
      <c r="E2343" s="70" t="s">
        <v>5162</v>
      </c>
    </row>
    <row r="2344" hidden="1">
      <c r="A2344" s="76"/>
      <c r="B2344" s="76"/>
      <c r="C2344" s="170"/>
      <c r="D2344" s="76"/>
      <c r="E2344" s="76"/>
    </row>
    <row r="2345" hidden="1">
      <c r="A2345" s="70" t="s">
        <v>150</v>
      </c>
      <c r="B2345" s="71" t="s">
        <v>5398</v>
      </c>
      <c r="C2345" s="123" t="s">
        <v>5399</v>
      </c>
      <c r="D2345" s="70" t="s">
        <v>5400</v>
      </c>
      <c r="E2345" s="70" t="s">
        <v>5401</v>
      </c>
    </row>
    <row r="2346" hidden="1">
      <c r="A2346" s="84"/>
      <c r="B2346" s="159"/>
      <c r="C2346" s="31"/>
      <c r="D2346" s="31"/>
      <c r="E2346" s="31"/>
      <c r="F2346" s="89">
        <v>703.0</v>
      </c>
      <c r="G2346" s="91" t="str">
        <f>IFERROR(__xludf.DUMMYFUNCTION("TRIM(REGEXREPLACE(C2346, ""[0-9]+[a-f]?\."", """"))"),"")</f>
        <v/>
      </c>
      <c r="H2346" s="91" t="str">
        <f>IFERROR(__xludf.DUMMYFUNCTION("TRIM(REGEXREPLACE(D2346, ""[0-9]+[a-f]?\."", """"))"),"")</f>
        <v/>
      </c>
      <c r="I2346" s="91" t="str">
        <f>IFERROR(__xludf.DUMMYFUNCTION("TRIM(REGEXREPLACE(E2346, ""[0-9]+[a-f]?\."", """"))"),"")</f>
        <v/>
      </c>
      <c r="J2346" s="91" t="str">
        <f t="shared" ref="J2346:J2350" si="758">F2346 &amp; ". " &amp;G2346</f>
        <v>703. </v>
      </c>
      <c r="K2346" s="91" t="str">
        <f t="shared" ref="K2346:K2350" si="759">F2346 &amp; ". " &amp;H2346</f>
        <v>703. </v>
      </c>
      <c r="L2346" s="91" t="str">
        <f t="shared" ref="L2346:L2350" si="760">F2346 &amp; ". " &amp;I2346</f>
        <v>703. </v>
      </c>
    </row>
    <row r="2347" hidden="1">
      <c r="A2347" s="84"/>
      <c r="B2347" s="159"/>
      <c r="C2347" s="31"/>
      <c r="D2347" s="31"/>
      <c r="E2347" s="31"/>
      <c r="F2347" s="89">
        <v>704.0</v>
      </c>
      <c r="G2347" s="91" t="str">
        <f>IFERROR(__xludf.DUMMYFUNCTION("TRIM(REGEXREPLACE(C2347, ""[0-9]+[a-f]?\."", """"))"),"")</f>
        <v/>
      </c>
      <c r="H2347" s="91" t="str">
        <f>IFERROR(__xludf.DUMMYFUNCTION("TRIM(REGEXREPLACE(D2347, ""[0-9]+[a-f]?\."", """"))"),"")</f>
        <v/>
      </c>
      <c r="I2347" s="91" t="str">
        <f>IFERROR(__xludf.DUMMYFUNCTION("TRIM(REGEXREPLACE(E2347, ""[0-9]+[a-f]?\."", """"))"),"")</f>
        <v/>
      </c>
      <c r="J2347" s="91" t="str">
        <f t="shared" si="758"/>
        <v>704. </v>
      </c>
      <c r="K2347" s="91" t="str">
        <f t="shared" si="759"/>
        <v>704. </v>
      </c>
      <c r="L2347" s="91" t="str">
        <f t="shared" si="760"/>
        <v>704. </v>
      </c>
    </row>
    <row r="2348" hidden="1">
      <c r="A2348" s="84"/>
      <c r="B2348" s="159"/>
      <c r="C2348" s="31"/>
      <c r="D2348" s="31"/>
      <c r="E2348" s="31"/>
      <c r="F2348" s="89">
        <v>705.0</v>
      </c>
      <c r="G2348" s="91" t="str">
        <f>IFERROR(__xludf.DUMMYFUNCTION("TRIM(REGEXREPLACE(C2348, ""[0-9]+[a-f]?\."", """"))"),"")</f>
        <v/>
      </c>
      <c r="H2348" s="91" t="str">
        <f>IFERROR(__xludf.DUMMYFUNCTION("TRIM(REGEXREPLACE(D2348, ""[0-9]+[a-f]?\."", """"))"),"")</f>
        <v/>
      </c>
      <c r="I2348" s="91" t="str">
        <f>IFERROR(__xludf.DUMMYFUNCTION("TRIM(REGEXREPLACE(E2348, ""[0-9]+[a-f]?\."", """"))"),"")</f>
        <v/>
      </c>
      <c r="J2348" s="91" t="str">
        <f t="shared" si="758"/>
        <v>705. </v>
      </c>
      <c r="K2348" s="91" t="str">
        <f t="shared" si="759"/>
        <v>705. </v>
      </c>
      <c r="L2348" s="91" t="str">
        <f t="shared" si="760"/>
        <v>705. </v>
      </c>
    </row>
    <row r="2349" hidden="1">
      <c r="A2349" s="84"/>
      <c r="B2349" s="159"/>
      <c r="C2349" s="31"/>
      <c r="D2349" s="31"/>
      <c r="E2349" s="31"/>
      <c r="F2349" s="89">
        <v>706.0</v>
      </c>
      <c r="G2349" s="91" t="str">
        <f>IFERROR(__xludf.DUMMYFUNCTION("TRIM(REGEXREPLACE(C2349, ""[0-9]+[a-f]?\."", """"))"),"")</f>
        <v/>
      </c>
      <c r="H2349" s="91" t="str">
        <f>IFERROR(__xludf.DUMMYFUNCTION("TRIM(REGEXREPLACE(D2349, ""[0-9]+[a-f]?\."", """"))"),"")</f>
        <v/>
      </c>
      <c r="I2349" s="91" t="str">
        <f>IFERROR(__xludf.DUMMYFUNCTION("TRIM(REGEXREPLACE(E2349, ""[0-9]+[a-f]?\."", """"))"),"")</f>
        <v/>
      </c>
      <c r="J2349" s="91" t="str">
        <f t="shared" si="758"/>
        <v>706. </v>
      </c>
      <c r="K2349" s="91" t="str">
        <f t="shared" si="759"/>
        <v>706. </v>
      </c>
      <c r="L2349" s="91" t="str">
        <f t="shared" si="760"/>
        <v>706. </v>
      </c>
    </row>
    <row r="2350" hidden="1">
      <c r="A2350" s="162"/>
      <c r="B2350" s="163"/>
      <c r="C2350" s="31"/>
      <c r="D2350" s="31"/>
      <c r="E2350" s="31"/>
      <c r="F2350" s="89">
        <v>707.0</v>
      </c>
      <c r="G2350" s="91" t="str">
        <f>IFERROR(__xludf.DUMMYFUNCTION("TRIM(REGEXREPLACE(C2350, ""[0-9]+[a-f]?\."", """"))"),"")</f>
        <v/>
      </c>
      <c r="H2350" s="91" t="str">
        <f>IFERROR(__xludf.DUMMYFUNCTION("TRIM(REGEXREPLACE(D2350, ""[0-9]+[a-f]?\."", """"))"),"")</f>
        <v/>
      </c>
      <c r="I2350" s="91" t="str">
        <f>IFERROR(__xludf.DUMMYFUNCTION("TRIM(REGEXREPLACE(E2350, ""[0-9]+[a-f]?\."", """"))"),"")</f>
        <v/>
      </c>
      <c r="J2350" s="91" t="str">
        <f t="shared" si="758"/>
        <v>707. </v>
      </c>
      <c r="K2350" s="91" t="str">
        <f t="shared" si="759"/>
        <v>707. </v>
      </c>
      <c r="L2350" s="91" t="str">
        <f t="shared" si="760"/>
        <v>707. </v>
      </c>
    </row>
    <row r="2351" hidden="1">
      <c r="A2351" s="279" t="s">
        <v>636</v>
      </c>
      <c r="B2351" s="280" t="s">
        <v>5435</v>
      </c>
      <c r="C2351" s="294" t="s">
        <v>5436</v>
      </c>
      <c r="D2351" s="279" t="s">
        <v>5437</v>
      </c>
      <c r="E2351" s="279" t="s">
        <v>5438</v>
      </c>
    </row>
    <row r="2352" hidden="1">
      <c r="A2352" s="67" t="s">
        <v>139</v>
      </c>
      <c r="B2352" s="69" t="s">
        <v>5441</v>
      </c>
      <c r="C2352" s="123"/>
      <c r="D2352" s="153"/>
      <c r="E2352" s="153"/>
    </row>
    <row r="2353" hidden="1">
      <c r="A2353" s="65" t="s">
        <v>108</v>
      </c>
      <c r="B2353" s="65" t="s">
        <v>5443</v>
      </c>
      <c r="C2353" s="31"/>
      <c r="D2353" s="30"/>
      <c r="E2353" s="30"/>
    </row>
    <row r="2354" hidden="1">
      <c r="A2354" s="70" t="s">
        <v>236</v>
      </c>
      <c r="B2354" s="70" t="s">
        <v>5398</v>
      </c>
      <c r="C2354" s="153" t="s">
        <v>5399</v>
      </c>
      <c r="D2354" s="70" t="s">
        <v>5400</v>
      </c>
      <c r="E2354" s="70" t="s">
        <v>5445</v>
      </c>
    </row>
    <row r="2355" hidden="1">
      <c r="A2355" s="76"/>
      <c r="B2355" s="76"/>
      <c r="C2355" s="170"/>
      <c r="D2355" s="76"/>
      <c r="E2355" s="76"/>
    </row>
    <row r="2356" hidden="1">
      <c r="A2356" s="70" t="s">
        <v>236</v>
      </c>
      <c r="B2356" s="70" t="s">
        <v>418</v>
      </c>
      <c r="C2356" s="153"/>
      <c r="D2356" s="70"/>
      <c r="E2356" s="70"/>
    </row>
    <row r="2357" hidden="1">
      <c r="A2357" s="154"/>
      <c r="B2357" s="274"/>
      <c r="C2357" s="31"/>
      <c r="D2357" s="31"/>
      <c r="E2357" s="31"/>
      <c r="F2357" s="89">
        <v>708.0</v>
      </c>
      <c r="G2357" s="91" t="str">
        <f>IFERROR(__xludf.DUMMYFUNCTION("TRIM(REGEXREPLACE(C2357, ""[0-9]+[a-f]?\."", """"))"),"")</f>
        <v/>
      </c>
      <c r="H2357" s="91" t="str">
        <f>IFERROR(__xludf.DUMMYFUNCTION("TRIM(REGEXREPLACE(D2357, ""[0-9]+[a-f]?\."", """"))"),"")</f>
        <v/>
      </c>
      <c r="I2357" s="91" t="str">
        <f>IFERROR(__xludf.DUMMYFUNCTION("TRIM(REGEXREPLACE(E2357, ""[0-9]+[a-f]?\."", """"))"),"")</f>
        <v/>
      </c>
      <c r="J2357" s="91" t="str">
        <f>F2357 &amp; ". " &amp;G2357</f>
        <v>708. </v>
      </c>
      <c r="K2357" s="91" t="str">
        <f>F2357 &amp; ". " &amp;H2357</f>
        <v>708. </v>
      </c>
      <c r="L2357" s="91" t="str">
        <f>F2357 &amp; ". " &amp;I2357</f>
        <v>708. </v>
      </c>
    </row>
    <row r="2358" hidden="1">
      <c r="A2358" s="65" t="s">
        <v>236</v>
      </c>
      <c r="B2358" s="65" t="s">
        <v>328</v>
      </c>
      <c r="C2358" s="170"/>
      <c r="D2358" s="76"/>
      <c r="E2358" s="76"/>
    </row>
    <row r="2359" hidden="1">
      <c r="A2359" s="130"/>
      <c r="B2359" s="130"/>
      <c r="C2359" s="130"/>
      <c r="D2359" s="130"/>
      <c r="E2359" s="130"/>
    </row>
    <row r="2360" hidden="1">
      <c r="A2360" s="130"/>
      <c r="B2360" s="130"/>
      <c r="C2360" s="130"/>
      <c r="D2360" s="130"/>
      <c r="E2360" s="130"/>
    </row>
    <row r="2361" hidden="1">
      <c r="A2361" s="130"/>
      <c r="B2361" s="130"/>
      <c r="C2361" s="130"/>
      <c r="D2361" s="130"/>
      <c r="E2361" s="130"/>
    </row>
    <row r="2362" hidden="1">
      <c r="A2362" s="130"/>
      <c r="B2362" s="130"/>
      <c r="C2362" s="130"/>
      <c r="D2362" s="130"/>
      <c r="E2362" s="130"/>
    </row>
    <row r="2363" hidden="1">
      <c r="A2363" s="130"/>
      <c r="B2363" s="130"/>
      <c r="C2363" s="130"/>
      <c r="D2363" s="130"/>
      <c r="E2363" s="130"/>
    </row>
    <row r="2364" hidden="1">
      <c r="A2364" s="130"/>
      <c r="B2364" s="130"/>
      <c r="C2364" s="130"/>
      <c r="D2364" s="130"/>
      <c r="E2364" s="130"/>
    </row>
    <row r="2365" hidden="1">
      <c r="A2365" s="130"/>
      <c r="B2365" s="130"/>
      <c r="C2365" s="130"/>
      <c r="D2365" s="130"/>
      <c r="E2365" s="130"/>
    </row>
    <row r="2366" hidden="1">
      <c r="A2366" s="130"/>
      <c r="B2366" s="130"/>
      <c r="C2366" s="130"/>
      <c r="D2366" s="130"/>
      <c r="E2366" s="130"/>
    </row>
    <row r="2367" hidden="1">
      <c r="A2367" s="30"/>
      <c r="B2367" s="30"/>
      <c r="C2367" s="291"/>
      <c r="D2367" s="30"/>
      <c r="E2367" s="30"/>
    </row>
    <row r="2368" hidden="1">
      <c r="A2368" s="30"/>
      <c r="B2368" s="30"/>
      <c r="C2368" s="291"/>
      <c r="D2368" s="30"/>
      <c r="E2368" s="30"/>
    </row>
    <row r="2369" hidden="1">
      <c r="A2369" s="30"/>
      <c r="B2369" s="30"/>
      <c r="C2369" s="291"/>
      <c r="D2369" s="30"/>
      <c r="E2369" s="30"/>
    </row>
    <row r="2370" hidden="1">
      <c r="A2370" s="30"/>
      <c r="B2370" s="30"/>
      <c r="C2370" s="291"/>
      <c r="D2370" s="30"/>
      <c r="E2370" s="30"/>
    </row>
    <row r="2371" hidden="1">
      <c r="A2371" s="30"/>
      <c r="B2371" s="30"/>
      <c r="C2371" s="291"/>
      <c r="D2371" s="30"/>
      <c r="E2371" s="30"/>
    </row>
    <row r="2372" hidden="1">
      <c r="A2372" s="30"/>
      <c r="B2372" s="30"/>
      <c r="C2372" s="291"/>
      <c r="D2372" s="30"/>
      <c r="E2372" s="30"/>
    </row>
    <row r="2373" hidden="1">
      <c r="A2373" s="30"/>
      <c r="B2373" s="30"/>
      <c r="C2373" s="291"/>
      <c r="D2373" s="30"/>
      <c r="E2373" s="30"/>
    </row>
    <row r="2374" hidden="1">
      <c r="A2374" s="30"/>
      <c r="B2374" s="30"/>
      <c r="C2374" s="291"/>
      <c r="D2374" s="30"/>
      <c r="E2374" s="30"/>
    </row>
    <row r="2375" hidden="1">
      <c r="A2375" s="30"/>
      <c r="B2375" s="30"/>
      <c r="C2375" s="291"/>
      <c r="D2375" s="30"/>
      <c r="E2375" s="30"/>
    </row>
    <row r="2376" hidden="1">
      <c r="A2376" s="30"/>
      <c r="B2376" s="30"/>
      <c r="C2376" s="291"/>
      <c r="D2376" s="30"/>
      <c r="E2376" s="30"/>
    </row>
    <row r="2377" hidden="1">
      <c r="A2377" s="30"/>
      <c r="B2377" s="30"/>
      <c r="C2377" s="291"/>
      <c r="D2377" s="30"/>
      <c r="E2377" s="30"/>
    </row>
    <row r="2378" hidden="1">
      <c r="A2378" s="30"/>
      <c r="B2378" s="30"/>
      <c r="C2378" s="291"/>
      <c r="D2378" s="30"/>
      <c r="E2378" s="30"/>
    </row>
    <row r="2379" hidden="1">
      <c r="A2379" s="30"/>
      <c r="B2379" s="30"/>
      <c r="C2379" s="291"/>
      <c r="D2379" s="30"/>
      <c r="E2379" s="30"/>
    </row>
    <row r="2380" hidden="1">
      <c r="A2380" s="30"/>
      <c r="B2380" s="30"/>
      <c r="C2380" s="291"/>
      <c r="D2380" s="30"/>
      <c r="E2380" s="30"/>
    </row>
    <row r="2381" hidden="1">
      <c r="A2381" s="30"/>
      <c r="B2381" s="30"/>
      <c r="C2381" s="291"/>
      <c r="D2381" s="30"/>
      <c r="E2381" s="30"/>
    </row>
    <row r="2382" hidden="1">
      <c r="A2382" s="30"/>
      <c r="B2382" s="30"/>
      <c r="C2382" s="291"/>
      <c r="D2382" s="30"/>
      <c r="E2382" s="30"/>
    </row>
    <row r="2383" hidden="1">
      <c r="A2383" s="30"/>
      <c r="B2383" s="30"/>
      <c r="C2383" s="291"/>
      <c r="D2383" s="30"/>
      <c r="E2383" s="30"/>
    </row>
    <row r="2384" hidden="1">
      <c r="A2384" s="30"/>
      <c r="B2384" s="30"/>
      <c r="C2384" s="291"/>
      <c r="D2384" s="30"/>
      <c r="E2384" s="30"/>
    </row>
    <row r="2385" hidden="1">
      <c r="A2385" s="30"/>
      <c r="B2385" s="30"/>
      <c r="C2385" s="291"/>
      <c r="D2385" s="30"/>
      <c r="E2385" s="30"/>
    </row>
    <row r="2386" hidden="1">
      <c r="A2386" s="30"/>
      <c r="B2386" s="30"/>
      <c r="C2386" s="291"/>
      <c r="D2386" s="30"/>
      <c r="E2386" s="30"/>
    </row>
    <row r="2387" hidden="1">
      <c r="A2387" s="30"/>
      <c r="B2387" s="30"/>
      <c r="C2387" s="291"/>
      <c r="D2387" s="30"/>
      <c r="E2387" s="30"/>
    </row>
    <row r="2388" hidden="1">
      <c r="A2388" s="30"/>
      <c r="B2388" s="30"/>
      <c r="C2388" s="291"/>
      <c r="D2388" s="30"/>
      <c r="E2388" s="30"/>
    </row>
    <row r="2389" hidden="1">
      <c r="A2389" s="30"/>
      <c r="B2389" s="30"/>
      <c r="C2389" s="291"/>
      <c r="D2389" s="30"/>
      <c r="E2389" s="30"/>
    </row>
    <row r="2390" hidden="1">
      <c r="A2390" s="30"/>
      <c r="B2390" s="30"/>
      <c r="C2390" s="291"/>
      <c r="D2390" s="30"/>
      <c r="E2390" s="30"/>
    </row>
    <row r="2391" hidden="1">
      <c r="A2391" s="30"/>
      <c r="B2391" s="30"/>
      <c r="C2391" s="291"/>
      <c r="D2391" s="30"/>
      <c r="E2391" s="30"/>
    </row>
    <row r="2392" hidden="1">
      <c r="A2392" s="30"/>
      <c r="B2392" s="30"/>
      <c r="C2392" s="291"/>
      <c r="D2392" s="30"/>
      <c r="E2392" s="30"/>
    </row>
    <row r="2393" hidden="1">
      <c r="A2393" s="30"/>
      <c r="B2393" s="30"/>
      <c r="C2393" s="291"/>
      <c r="D2393" s="30"/>
      <c r="E2393" s="30"/>
    </row>
    <row r="2394" hidden="1">
      <c r="A2394" s="30"/>
      <c r="B2394" s="30"/>
      <c r="C2394" s="291"/>
      <c r="D2394" s="30"/>
      <c r="E2394" s="30"/>
    </row>
    <row r="2395" hidden="1">
      <c r="A2395" s="30"/>
      <c r="B2395" s="30"/>
      <c r="C2395" s="291"/>
      <c r="D2395" s="30"/>
      <c r="E2395" s="30"/>
    </row>
    <row r="2396" hidden="1">
      <c r="A2396" s="30"/>
      <c r="B2396" s="30"/>
      <c r="C2396" s="291"/>
      <c r="D2396" s="30"/>
      <c r="E2396" s="30"/>
    </row>
    <row r="2397" hidden="1">
      <c r="A2397" s="30"/>
      <c r="B2397" s="30"/>
      <c r="C2397" s="291"/>
      <c r="D2397" s="30"/>
      <c r="E2397" s="30"/>
    </row>
    <row r="2398" hidden="1">
      <c r="A2398" s="30"/>
      <c r="B2398" s="30"/>
      <c r="C2398" s="291"/>
      <c r="D2398" s="30"/>
      <c r="E2398" s="30"/>
    </row>
    <row r="2399" hidden="1">
      <c r="A2399" s="30"/>
      <c r="B2399" s="30"/>
      <c r="C2399" s="291"/>
      <c r="D2399" s="30"/>
      <c r="E2399" s="30"/>
    </row>
    <row r="2400" hidden="1">
      <c r="A2400" s="30"/>
      <c r="B2400" s="30"/>
      <c r="C2400" s="291"/>
      <c r="D2400" s="30"/>
      <c r="E2400" s="30"/>
    </row>
    <row r="2401" hidden="1">
      <c r="A2401" s="30"/>
      <c r="B2401" s="30"/>
      <c r="C2401" s="291"/>
      <c r="D2401" s="30"/>
      <c r="E2401" s="30"/>
    </row>
    <row r="2402" hidden="1">
      <c r="A2402" s="30"/>
      <c r="B2402" s="30"/>
      <c r="C2402" s="291"/>
      <c r="D2402" s="30"/>
      <c r="E2402" s="30"/>
    </row>
    <row r="2403" hidden="1">
      <c r="A2403" s="30"/>
      <c r="B2403" s="30"/>
      <c r="C2403" s="291"/>
      <c r="D2403" s="30"/>
      <c r="E2403" s="30"/>
    </row>
    <row r="2404" hidden="1">
      <c r="A2404" s="30"/>
      <c r="B2404" s="30"/>
      <c r="C2404" s="291"/>
      <c r="D2404" s="30"/>
      <c r="E2404" s="30"/>
    </row>
    <row r="2405" hidden="1">
      <c r="A2405" s="30"/>
      <c r="B2405" s="30"/>
      <c r="C2405" s="291"/>
      <c r="D2405" s="30"/>
      <c r="E2405" s="30"/>
    </row>
    <row r="2406" hidden="1">
      <c r="A2406" s="30"/>
      <c r="B2406" s="30"/>
      <c r="C2406" s="291"/>
      <c r="D2406" s="30"/>
      <c r="E2406" s="30"/>
    </row>
    <row r="2407" hidden="1">
      <c r="A2407" s="30"/>
      <c r="B2407" s="30"/>
      <c r="C2407" s="291"/>
      <c r="D2407" s="30"/>
      <c r="E2407" s="30"/>
    </row>
    <row r="2408" hidden="1">
      <c r="A2408" s="30"/>
      <c r="B2408" s="30"/>
      <c r="C2408" s="291"/>
      <c r="D2408" s="30"/>
      <c r="E2408" s="30"/>
    </row>
    <row r="2409" hidden="1">
      <c r="A2409" s="30"/>
      <c r="B2409" s="30"/>
      <c r="C2409" s="291"/>
      <c r="D2409" s="30"/>
      <c r="E2409" s="30"/>
    </row>
    <row r="2410" hidden="1">
      <c r="A2410" s="30"/>
      <c r="B2410" s="30"/>
      <c r="C2410" s="291"/>
      <c r="D2410" s="30"/>
      <c r="E2410" s="30"/>
    </row>
    <row r="2411" hidden="1">
      <c r="A2411" s="30"/>
      <c r="B2411" s="30"/>
      <c r="C2411" s="291"/>
      <c r="D2411" s="30"/>
      <c r="E2411" s="30"/>
    </row>
    <row r="2412" hidden="1">
      <c r="A2412" s="30"/>
      <c r="B2412" s="30"/>
      <c r="C2412" s="291"/>
      <c r="D2412" s="30"/>
      <c r="E2412" s="30"/>
    </row>
    <row r="2413" hidden="1">
      <c r="A2413" s="30"/>
      <c r="B2413" s="30"/>
      <c r="C2413" s="291"/>
      <c r="D2413" s="30"/>
      <c r="E2413" s="30"/>
    </row>
    <row r="2414" hidden="1">
      <c r="A2414" s="30"/>
      <c r="B2414" s="30"/>
      <c r="C2414" s="291"/>
      <c r="D2414" s="30"/>
      <c r="E2414" s="30"/>
    </row>
    <row r="2415" hidden="1">
      <c r="A2415" s="30"/>
      <c r="B2415" s="30"/>
      <c r="C2415" s="291"/>
      <c r="D2415" s="30"/>
      <c r="E2415" s="30"/>
    </row>
    <row r="2416" hidden="1">
      <c r="A2416" s="30"/>
      <c r="B2416" s="30"/>
      <c r="C2416" s="291"/>
      <c r="D2416" s="30"/>
      <c r="E2416" s="30"/>
    </row>
    <row r="2417" hidden="1">
      <c r="A2417" s="30"/>
      <c r="B2417" s="30"/>
      <c r="C2417" s="291"/>
      <c r="D2417" s="30"/>
      <c r="E2417" s="30"/>
    </row>
    <row r="2418" hidden="1">
      <c r="A2418" s="30"/>
      <c r="B2418" s="30"/>
      <c r="C2418" s="291"/>
      <c r="D2418" s="30"/>
      <c r="E2418" s="30"/>
    </row>
    <row r="2419" hidden="1">
      <c r="A2419" s="30"/>
      <c r="B2419" s="30"/>
      <c r="C2419" s="291"/>
      <c r="D2419" s="30"/>
      <c r="E2419" s="30"/>
    </row>
    <row r="2420" hidden="1">
      <c r="A2420" s="30"/>
      <c r="B2420" s="30"/>
      <c r="C2420" s="291"/>
      <c r="D2420" s="30"/>
      <c r="E2420" s="30"/>
    </row>
    <row r="2421" hidden="1">
      <c r="A2421" s="30"/>
      <c r="B2421" s="30"/>
      <c r="C2421" s="291"/>
      <c r="D2421" s="30"/>
      <c r="E2421" s="30"/>
    </row>
    <row r="2422" hidden="1">
      <c r="A2422" s="30"/>
      <c r="B2422" s="30"/>
      <c r="C2422" s="291"/>
      <c r="D2422" s="30"/>
      <c r="E2422" s="30"/>
    </row>
    <row r="2423" hidden="1">
      <c r="A2423" s="30"/>
      <c r="B2423" s="30"/>
      <c r="C2423" s="291"/>
      <c r="D2423" s="30"/>
      <c r="E2423" s="30"/>
    </row>
    <row r="2424" hidden="1">
      <c r="A2424" s="30"/>
      <c r="B2424" s="30"/>
      <c r="C2424" s="291"/>
      <c r="D2424" s="30"/>
      <c r="E2424" s="30"/>
    </row>
    <row r="2425" hidden="1">
      <c r="A2425" s="30"/>
      <c r="B2425" s="30"/>
      <c r="C2425" s="291"/>
      <c r="D2425" s="30"/>
      <c r="E2425" s="30"/>
    </row>
    <row r="2426" hidden="1">
      <c r="A2426" s="30"/>
      <c r="B2426" s="30"/>
      <c r="C2426" s="291"/>
      <c r="D2426" s="30"/>
      <c r="E2426" s="30"/>
    </row>
    <row r="2427" hidden="1">
      <c r="A2427" s="30"/>
      <c r="B2427" s="30"/>
      <c r="C2427" s="291"/>
      <c r="D2427" s="30"/>
      <c r="E2427" s="30"/>
    </row>
    <row r="2428" hidden="1">
      <c r="A2428" s="30"/>
      <c r="B2428" s="30"/>
      <c r="C2428" s="291"/>
      <c r="D2428" s="30"/>
      <c r="E2428" s="30"/>
    </row>
    <row r="2429" hidden="1">
      <c r="A2429" s="30"/>
      <c r="B2429" s="30"/>
      <c r="C2429" s="291"/>
      <c r="D2429" s="30"/>
      <c r="E2429" s="30"/>
    </row>
    <row r="2430" hidden="1">
      <c r="A2430" s="30"/>
      <c r="B2430" s="30"/>
      <c r="C2430" s="291"/>
      <c r="D2430" s="30"/>
      <c r="E2430" s="30"/>
    </row>
    <row r="2431" hidden="1">
      <c r="A2431" s="30"/>
      <c r="B2431" s="30"/>
      <c r="C2431" s="291"/>
      <c r="D2431" s="30"/>
      <c r="E2431" s="30"/>
    </row>
    <row r="2432" hidden="1">
      <c r="A2432" s="30"/>
      <c r="B2432" s="30"/>
      <c r="C2432" s="291"/>
      <c r="D2432" s="30"/>
      <c r="E2432" s="30"/>
    </row>
    <row r="2433" hidden="1">
      <c r="A2433" s="30"/>
      <c r="B2433" s="30"/>
      <c r="C2433" s="291"/>
      <c r="D2433" s="30"/>
      <c r="E2433" s="30"/>
    </row>
    <row r="2434" hidden="1">
      <c r="A2434" s="30"/>
      <c r="B2434" s="30"/>
      <c r="C2434" s="291"/>
      <c r="D2434" s="30"/>
      <c r="E2434" s="30"/>
    </row>
    <row r="2435" hidden="1">
      <c r="A2435" s="30"/>
      <c r="B2435" s="30"/>
      <c r="C2435" s="291"/>
      <c r="D2435" s="30"/>
      <c r="E2435" s="30"/>
    </row>
    <row r="2436" hidden="1">
      <c r="A2436" s="30"/>
      <c r="B2436" s="30"/>
      <c r="C2436" s="291"/>
      <c r="D2436" s="30"/>
      <c r="E2436" s="30"/>
    </row>
    <row r="2437" hidden="1">
      <c r="A2437" s="30"/>
      <c r="B2437" s="30"/>
      <c r="C2437" s="291"/>
      <c r="D2437" s="30"/>
      <c r="E2437" s="30"/>
    </row>
    <row r="2438" hidden="1">
      <c r="A2438" s="30"/>
      <c r="B2438" s="30"/>
      <c r="C2438" s="291"/>
      <c r="D2438" s="30"/>
      <c r="E2438" s="30"/>
    </row>
    <row r="2439" hidden="1">
      <c r="A2439" s="30"/>
      <c r="B2439" s="30"/>
      <c r="C2439" s="291"/>
      <c r="D2439" s="30"/>
      <c r="E2439" s="30"/>
    </row>
    <row r="2440" hidden="1">
      <c r="A2440" s="30"/>
      <c r="B2440" s="30"/>
      <c r="C2440" s="291"/>
      <c r="D2440" s="30"/>
      <c r="E2440" s="30"/>
    </row>
    <row r="2441" hidden="1">
      <c r="A2441" s="30"/>
      <c r="B2441" s="30"/>
      <c r="C2441" s="291"/>
      <c r="D2441" s="30"/>
      <c r="E2441" s="30"/>
    </row>
    <row r="2442" hidden="1">
      <c r="A2442" s="30"/>
      <c r="B2442" s="30"/>
      <c r="C2442" s="291"/>
      <c r="D2442" s="30"/>
      <c r="E2442" s="30"/>
    </row>
    <row r="2443" hidden="1">
      <c r="A2443" s="30"/>
      <c r="B2443" s="30"/>
      <c r="C2443" s="291"/>
      <c r="D2443" s="30"/>
      <c r="E2443" s="30"/>
    </row>
    <row r="2444" hidden="1">
      <c r="A2444" s="30"/>
      <c r="B2444" s="30"/>
      <c r="C2444" s="291"/>
      <c r="D2444" s="30"/>
      <c r="E2444" s="30"/>
    </row>
    <row r="2445" hidden="1">
      <c r="A2445" s="30"/>
      <c r="B2445" s="30"/>
      <c r="C2445" s="291"/>
      <c r="D2445" s="30"/>
      <c r="E2445" s="30"/>
    </row>
    <row r="2446" hidden="1">
      <c r="A2446" s="30"/>
      <c r="B2446" s="30"/>
      <c r="C2446" s="291"/>
      <c r="D2446" s="30"/>
      <c r="E2446" s="30"/>
    </row>
    <row r="2447" hidden="1">
      <c r="A2447" s="30"/>
      <c r="B2447" s="30"/>
      <c r="C2447" s="291"/>
      <c r="D2447" s="30"/>
      <c r="E2447" s="30"/>
    </row>
    <row r="2448" hidden="1">
      <c r="A2448" s="30"/>
      <c r="B2448" s="30"/>
      <c r="C2448" s="291"/>
      <c r="D2448" s="30"/>
      <c r="E2448" s="30"/>
    </row>
    <row r="2449" hidden="1">
      <c r="A2449" s="30"/>
      <c r="B2449" s="30"/>
      <c r="C2449" s="291"/>
      <c r="D2449" s="30"/>
      <c r="E2449" s="30"/>
    </row>
    <row r="2450" hidden="1">
      <c r="A2450" s="30"/>
      <c r="B2450" s="30"/>
      <c r="C2450" s="291"/>
      <c r="D2450" s="30"/>
      <c r="E2450" s="30"/>
    </row>
    <row r="2451" hidden="1">
      <c r="A2451" s="30"/>
      <c r="B2451" s="30"/>
      <c r="C2451" s="291"/>
      <c r="D2451" s="30"/>
      <c r="E2451" s="30"/>
    </row>
    <row r="2452" hidden="1">
      <c r="A2452" s="30"/>
      <c r="B2452" s="30"/>
      <c r="C2452" s="291"/>
      <c r="D2452" s="30"/>
      <c r="E2452" s="30"/>
    </row>
    <row r="2453" hidden="1">
      <c r="A2453" s="30"/>
      <c r="B2453" s="30"/>
      <c r="C2453" s="291"/>
      <c r="D2453" s="30"/>
      <c r="E2453" s="30"/>
    </row>
    <row r="2454" hidden="1">
      <c r="A2454" s="30"/>
      <c r="B2454" s="30"/>
      <c r="C2454" s="291"/>
      <c r="D2454" s="30"/>
      <c r="E2454" s="30"/>
    </row>
    <row r="2455" hidden="1">
      <c r="A2455" s="30"/>
      <c r="B2455" s="30"/>
      <c r="C2455" s="291"/>
      <c r="D2455" s="30"/>
      <c r="E2455" s="30"/>
    </row>
    <row r="2456" hidden="1">
      <c r="A2456" s="30"/>
      <c r="B2456" s="30"/>
      <c r="C2456" s="291"/>
      <c r="D2456" s="30"/>
      <c r="E2456" s="30"/>
    </row>
    <row r="2457" hidden="1">
      <c r="A2457" s="30"/>
      <c r="B2457" s="30"/>
      <c r="C2457" s="291"/>
      <c r="D2457" s="30"/>
      <c r="E2457" s="30"/>
    </row>
    <row r="2458" hidden="1">
      <c r="A2458" s="30"/>
      <c r="B2458" s="30"/>
      <c r="C2458" s="291"/>
      <c r="D2458" s="30"/>
      <c r="E2458" s="30"/>
    </row>
    <row r="2459" hidden="1">
      <c r="A2459" s="30"/>
      <c r="B2459" s="30"/>
      <c r="C2459" s="291"/>
      <c r="D2459" s="30"/>
      <c r="E2459" s="30"/>
    </row>
    <row r="2460" hidden="1">
      <c r="A2460" s="30"/>
      <c r="B2460" s="30"/>
      <c r="C2460" s="291"/>
      <c r="D2460" s="30"/>
      <c r="E2460" s="30"/>
    </row>
    <row r="2461" hidden="1">
      <c r="A2461" s="30"/>
      <c r="B2461" s="30"/>
      <c r="C2461" s="291"/>
      <c r="D2461" s="30"/>
      <c r="E2461" s="30"/>
    </row>
    <row r="2462" hidden="1">
      <c r="A2462" s="30"/>
      <c r="B2462" s="30"/>
      <c r="C2462" s="291"/>
      <c r="D2462" s="30"/>
      <c r="E2462" s="30"/>
    </row>
    <row r="2463" hidden="1">
      <c r="A2463" s="30"/>
      <c r="B2463" s="30"/>
      <c r="C2463" s="291"/>
      <c r="D2463" s="30"/>
      <c r="E2463" s="30"/>
    </row>
    <row r="2464" hidden="1">
      <c r="A2464" s="30"/>
      <c r="B2464" s="30"/>
      <c r="C2464" s="291"/>
      <c r="D2464" s="30"/>
      <c r="E2464" s="30"/>
    </row>
    <row r="2465" hidden="1">
      <c r="A2465" s="30"/>
      <c r="B2465" s="30"/>
      <c r="C2465" s="291"/>
      <c r="D2465" s="30"/>
      <c r="E2465" s="30"/>
    </row>
    <row r="2466" hidden="1">
      <c r="A2466" s="30"/>
      <c r="B2466" s="30"/>
      <c r="C2466" s="291"/>
      <c r="D2466" s="30"/>
      <c r="E2466" s="30"/>
    </row>
    <row r="2467" hidden="1">
      <c r="A2467" s="30"/>
      <c r="B2467" s="30"/>
      <c r="C2467" s="291"/>
      <c r="D2467" s="30"/>
      <c r="E2467" s="30"/>
    </row>
    <row r="2468" hidden="1">
      <c r="A2468" s="30"/>
      <c r="B2468" s="30"/>
      <c r="C2468" s="291"/>
      <c r="D2468" s="30"/>
      <c r="E2468" s="30"/>
    </row>
    <row r="2469" hidden="1">
      <c r="A2469" s="30"/>
      <c r="B2469" s="30"/>
      <c r="C2469" s="291"/>
      <c r="D2469" s="30"/>
      <c r="E2469" s="30"/>
    </row>
    <row r="2470" hidden="1">
      <c r="A2470" s="30"/>
      <c r="B2470" s="30"/>
      <c r="C2470" s="291"/>
      <c r="D2470" s="30"/>
      <c r="E2470" s="30"/>
    </row>
    <row r="2471" hidden="1">
      <c r="A2471" s="30"/>
      <c r="B2471" s="30"/>
      <c r="C2471" s="291"/>
      <c r="D2471" s="30"/>
      <c r="E2471" s="30"/>
    </row>
    <row r="2472" hidden="1">
      <c r="A2472" s="30"/>
      <c r="B2472" s="30"/>
      <c r="C2472" s="291"/>
      <c r="D2472" s="30"/>
      <c r="E2472" s="30"/>
    </row>
    <row r="2473" hidden="1">
      <c r="A2473" s="30"/>
      <c r="B2473" s="30"/>
      <c r="C2473" s="291"/>
      <c r="D2473" s="30"/>
      <c r="E2473" s="30"/>
    </row>
    <row r="2474" hidden="1">
      <c r="A2474" s="30"/>
      <c r="B2474" s="30"/>
      <c r="C2474" s="291"/>
      <c r="D2474" s="30"/>
      <c r="E2474" s="30"/>
    </row>
    <row r="2475" hidden="1">
      <c r="A2475" s="30"/>
      <c r="B2475" s="30"/>
      <c r="C2475" s="291"/>
      <c r="D2475" s="30"/>
      <c r="E2475" s="30"/>
    </row>
    <row r="2476" hidden="1">
      <c r="A2476" s="30"/>
      <c r="B2476" s="30"/>
      <c r="C2476" s="291"/>
      <c r="D2476" s="30"/>
      <c r="E2476" s="30"/>
    </row>
    <row r="2477" hidden="1">
      <c r="A2477" s="30"/>
      <c r="B2477" s="30"/>
      <c r="C2477" s="291"/>
      <c r="D2477" s="30"/>
      <c r="E2477" s="30"/>
    </row>
    <row r="2478" hidden="1">
      <c r="A2478" s="30"/>
      <c r="B2478" s="30"/>
      <c r="C2478" s="291"/>
      <c r="D2478" s="30"/>
      <c r="E2478" s="30"/>
    </row>
    <row r="2479" hidden="1">
      <c r="A2479" s="30"/>
      <c r="B2479" s="30"/>
      <c r="C2479" s="291"/>
      <c r="D2479" s="30"/>
      <c r="E2479" s="30"/>
    </row>
    <row r="2480" hidden="1">
      <c r="A2480" s="30"/>
      <c r="B2480" s="30"/>
      <c r="C2480" s="291"/>
      <c r="D2480" s="30"/>
      <c r="E2480" s="30"/>
    </row>
    <row r="2481" hidden="1">
      <c r="A2481" s="30"/>
      <c r="B2481" s="30"/>
      <c r="C2481" s="291"/>
      <c r="D2481" s="30"/>
      <c r="E2481" s="30"/>
    </row>
    <row r="2482" hidden="1">
      <c r="A2482" s="30"/>
      <c r="B2482" s="30"/>
      <c r="C2482" s="291"/>
      <c r="D2482" s="30"/>
      <c r="E2482" s="30"/>
    </row>
    <row r="2483" hidden="1">
      <c r="A2483" s="30"/>
      <c r="B2483" s="30"/>
      <c r="C2483" s="291"/>
      <c r="D2483" s="30"/>
      <c r="E2483" s="30"/>
    </row>
    <row r="2484" hidden="1">
      <c r="A2484" s="30"/>
      <c r="B2484" s="30"/>
      <c r="C2484" s="291"/>
      <c r="D2484" s="30"/>
      <c r="E2484" s="30"/>
    </row>
    <row r="2485" hidden="1">
      <c r="A2485" s="30"/>
      <c r="B2485" s="30"/>
      <c r="C2485" s="291"/>
      <c r="D2485" s="30"/>
      <c r="E2485" s="30"/>
    </row>
    <row r="2486" hidden="1">
      <c r="A2486" s="30"/>
      <c r="B2486" s="30"/>
      <c r="C2486" s="291"/>
      <c r="D2486" s="30"/>
      <c r="E2486" s="30"/>
    </row>
    <row r="2487" hidden="1">
      <c r="A2487" s="30"/>
      <c r="B2487" s="30"/>
      <c r="C2487" s="291"/>
      <c r="D2487" s="30"/>
      <c r="E2487" s="30"/>
    </row>
    <row r="2488" hidden="1">
      <c r="A2488" s="30"/>
      <c r="B2488" s="30"/>
      <c r="C2488" s="291"/>
      <c r="D2488" s="30"/>
      <c r="E2488" s="30"/>
    </row>
    <row r="2489" hidden="1">
      <c r="A2489" s="30"/>
      <c r="B2489" s="30"/>
      <c r="C2489" s="291"/>
      <c r="D2489" s="30"/>
      <c r="E2489" s="30"/>
    </row>
    <row r="2490" hidden="1">
      <c r="A2490" s="30"/>
      <c r="B2490" s="30"/>
      <c r="C2490" s="291"/>
      <c r="D2490" s="30"/>
      <c r="E2490" s="30"/>
    </row>
    <row r="2491" hidden="1">
      <c r="A2491" s="30"/>
      <c r="B2491" s="30"/>
      <c r="C2491" s="291"/>
      <c r="D2491" s="30"/>
      <c r="E2491" s="30"/>
    </row>
    <row r="2492" hidden="1">
      <c r="A2492" s="30"/>
      <c r="B2492" s="30"/>
      <c r="C2492" s="291"/>
      <c r="D2492" s="30"/>
      <c r="E2492" s="30"/>
    </row>
    <row r="2493" hidden="1">
      <c r="A2493" s="30"/>
      <c r="B2493" s="30"/>
      <c r="C2493" s="291"/>
      <c r="D2493" s="30"/>
      <c r="E2493" s="30"/>
    </row>
    <row r="2494" hidden="1">
      <c r="A2494" s="30"/>
      <c r="B2494" s="30"/>
      <c r="C2494" s="291"/>
      <c r="D2494" s="30"/>
      <c r="E2494" s="30"/>
    </row>
    <row r="2495" hidden="1">
      <c r="A2495" s="30"/>
      <c r="B2495" s="30"/>
      <c r="C2495" s="291"/>
      <c r="D2495" s="30"/>
      <c r="E2495" s="30"/>
    </row>
    <row r="2496" hidden="1">
      <c r="A2496" s="30"/>
      <c r="B2496" s="30"/>
      <c r="C2496" s="291"/>
      <c r="D2496" s="30"/>
      <c r="E2496" s="30"/>
    </row>
    <row r="2497" hidden="1">
      <c r="A2497" s="30"/>
      <c r="B2497" s="30"/>
      <c r="C2497" s="291"/>
      <c r="D2497" s="30"/>
      <c r="E2497" s="30"/>
    </row>
    <row r="2498" hidden="1">
      <c r="A2498" s="30"/>
      <c r="B2498" s="30"/>
      <c r="C2498" s="291"/>
      <c r="D2498" s="30"/>
      <c r="E2498" s="30"/>
    </row>
    <row r="2499" hidden="1">
      <c r="A2499" s="30"/>
      <c r="B2499" s="30"/>
      <c r="C2499" s="291"/>
      <c r="D2499" s="30"/>
      <c r="E2499" s="30"/>
    </row>
    <row r="2500" hidden="1">
      <c r="A2500" s="30"/>
      <c r="B2500" s="30"/>
      <c r="C2500" s="291"/>
      <c r="D2500" s="30"/>
      <c r="E2500" s="30"/>
    </row>
    <row r="2501" hidden="1">
      <c r="A2501" s="30"/>
      <c r="B2501" s="30"/>
      <c r="C2501" s="291"/>
      <c r="D2501" s="30"/>
      <c r="E2501" s="30"/>
    </row>
    <row r="2502" hidden="1">
      <c r="A2502" s="30"/>
      <c r="B2502" s="30"/>
      <c r="C2502" s="291"/>
      <c r="D2502" s="30"/>
      <c r="E2502" s="30"/>
    </row>
    <row r="2503" hidden="1">
      <c r="A2503" s="30"/>
      <c r="B2503" s="30"/>
      <c r="C2503" s="291"/>
      <c r="D2503" s="30"/>
      <c r="E2503" s="30"/>
    </row>
    <row r="2504" hidden="1">
      <c r="A2504" s="30"/>
      <c r="B2504" s="30"/>
      <c r="C2504" s="291"/>
      <c r="D2504" s="30"/>
      <c r="E2504" s="30"/>
    </row>
    <row r="2505" hidden="1">
      <c r="A2505" s="30"/>
      <c r="B2505" s="30"/>
      <c r="C2505" s="291"/>
      <c r="D2505" s="30"/>
      <c r="E2505" s="30"/>
    </row>
    <row r="2506" hidden="1">
      <c r="A2506" s="30"/>
      <c r="B2506" s="30"/>
      <c r="C2506" s="291"/>
      <c r="D2506" s="30"/>
      <c r="E2506" s="30"/>
    </row>
    <row r="2507" hidden="1">
      <c r="A2507" s="30"/>
      <c r="B2507" s="30"/>
      <c r="C2507" s="291"/>
      <c r="D2507" s="30"/>
      <c r="E2507" s="30"/>
    </row>
    <row r="2508" hidden="1">
      <c r="A2508" s="30"/>
      <c r="B2508" s="30"/>
      <c r="C2508" s="291"/>
      <c r="D2508" s="30"/>
      <c r="E2508" s="30"/>
    </row>
    <row r="2509" hidden="1">
      <c r="A2509" s="30"/>
      <c r="B2509" s="30"/>
      <c r="C2509" s="291"/>
      <c r="D2509" s="30"/>
      <c r="E2509" s="30"/>
    </row>
    <row r="2510" hidden="1">
      <c r="A2510" s="30"/>
      <c r="B2510" s="30"/>
      <c r="C2510" s="291"/>
      <c r="D2510" s="30"/>
      <c r="E2510" s="30"/>
    </row>
    <row r="2511" hidden="1">
      <c r="A2511" s="30"/>
      <c r="B2511" s="30"/>
      <c r="C2511" s="291"/>
      <c r="D2511" s="30"/>
      <c r="E2511" s="30"/>
    </row>
    <row r="2512" hidden="1">
      <c r="A2512" s="30"/>
      <c r="B2512" s="30"/>
      <c r="C2512" s="291"/>
      <c r="D2512" s="30"/>
      <c r="E2512" s="30"/>
    </row>
    <row r="2513" hidden="1">
      <c r="A2513" s="30"/>
      <c r="B2513" s="30"/>
      <c r="C2513" s="291"/>
      <c r="D2513" s="30"/>
      <c r="E2513" s="30"/>
    </row>
    <row r="2514" hidden="1">
      <c r="A2514" s="30"/>
      <c r="B2514" s="30"/>
      <c r="C2514" s="291"/>
      <c r="D2514" s="30"/>
      <c r="E2514" s="30"/>
    </row>
    <row r="2515" hidden="1">
      <c r="A2515" s="30"/>
      <c r="B2515" s="30"/>
      <c r="C2515" s="291"/>
      <c r="D2515" s="30"/>
      <c r="E2515" s="30"/>
    </row>
    <row r="2516" hidden="1">
      <c r="A2516" s="30"/>
      <c r="B2516" s="30"/>
      <c r="C2516" s="291"/>
      <c r="D2516" s="30"/>
      <c r="E2516" s="30"/>
    </row>
    <row r="2517" hidden="1">
      <c r="A2517" s="30"/>
      <c r="B2517" s="30"/>
      <c r="C2517" s="291"/>
      <c r="D2517" s="30"/>
      <c r="E2517" s="30"/>
    </row>
    <row r="2518" hidden="1">
      <c r="A2518" s="30"/>
      <c r="B2518" s="30"/>
      <c r="C2518" s="291"/>
      <c r="D2518" s="30"/>
      <c r="E2518" s="30"/>
    </row>
    <row r="2519" hidden="1">
      <c r="A2519" s="30"/>
      <c r="B2519" s="30"/>
      <c r="C2519" s="291"/>
      <c r="D2519" s="30"/>
      <c r="E2519" s="30"/>
    </row>
    <row r="2520" hidden="1">
      <c r="A2520" s="30"/>
      <c r="B2520" s="30"/>
      <c r="C2520" s="291"/>
      <c r="D2520" s="30"/>
      <c r="E2520" s="30"/>
    </row>
    <row r="2521" hidden="1">
      <c r="A2521" s="30"/>
      <c r="B2521" s="30"/>
      <c r="C2521" s="291"/>
      <c r="D2521" s="30"/>
      <c r="E2521" s="30"/>
    </row>
    <row r="2522" hidden="1">
      <c r="A2522" s="30"/>
      <c r="B2522" s="30"/>
      <c r="C2522" s="291"/>
      <c r="D2522" s="30"/>
      <c r="E2522" s="30"/>
    </row>
    <row r="2523" hidden="1">
      <c r="A2523" s="30"/>
      <c r="B2523" s="30"/>
      <c r="C2523" s="291"/>
      <c r="D2523" s="30"/>
      <c r="E2523" s="30"/>
    </row>
    <row r="2524" hidden="1">
      <c r="A2524" s="30"/>
      <c r="B2524" s="30"/>
      <c r="C2524" s="291"/>
      <c r="D2524" s="30"/>
      <c r="E2524" s="30"/>
    </row>
    <row r="2525" hidden="1">
      <c r="A2525" s="30"/>
      <c r="B2525" s="30"/>
      <c r="C2525" s="291"/>
      <c r="D2525" s="30"/>
      <c r="E2525" s="30"/>
    </row>
    <row r="2526" hidden="1">
      <c r="A2526" s="30"/>
      <c r="B2526" s="30"/>
      <c r="C2526" s="291"/>
      <c r="D2526" s="30"/>
      <c r="E2526" s="30"/>
    </row>
    <row r="2527" hidden="1">
      <c r="A2527" s="30"/>
      <c r="B2527" s="30"/>
      <c r="C2527" s="291"/>
      <c r="D2527" s="30"/>
      <c r="E2527" s="30"/>
    </row>
    <row r="2528" hidden="1">
      <c r="A2528" s="30"/>
      <c r="B2528" s="30"/>
      <c r="C2528" s="291"/>
      <c r="D2528" s="30"/>
      <c r="E2528" s="30"/>
    </row>
    <row r="2529" hidden="1">
      <c r="A2529" s="30"/>
      <c r="B2529" s="30"/>
      <c r="C2529" s="291"/>
      <c r="D2529" s="30"/>
      <c r="E2529" s="30"/>
    </row>
    <row r="2530" hidden="1">
      <c r="A2530" s="30"/>
      <c r="B2530" s="30"/>
      <c r="C2530" s="291"/>
      <c r="D2530" s="30"/>
      <c r="E2530" s="30"/>
    </row>
    <row r="2531" hidden="1">
      <c r="A2531" s="30"/>
      <c r="B2531" s="30"/>
      <c r="C2531" s="291"/>
      <c r="D2531" s="30"/>
      <c r="E2531" s="30"/>
    </row>
    <row r="2532" hidden="1">
      <c r="A2532" s="30"/>
      <c r="B2532" s="30"/>
      <c r="C2532" s="291"/>
      <c r="D2532" s="30"/>
      <c r="E2532" s="30"/>
    </row>
    <row r="2533" hidden="1">
      <c r="A2533" s="30"/>
      <c r="B2533" s="30"/>
      <c r="C2533" s="291"/>
      <c r="D2533" s="30"/>
      <c r="E2533" s="30"/>
    </row>
    <row r="2534" hidden="1">
      <c r="A2534" s="30"/>
      <c r="B2534" s="30"/>
      <c r="C2534" s="291"/>
      <c r="D2534" s="30"/>
      <c r="E2534" s="30"/>
    </row>
    <row r="2535" hidden="1">
      <c r="A2535" s="30"/>
      <c r="B2535" s="30"/>
      <c r="C2535" s="291"/>
      <c r="D2535" s="30"/>
      <c r="E2535" s="30"/>
    </row>
    <row r="2536" hidden="1">
      <c r="A2536" s="30"/>
      <c r="B2536" s="30"/>
      <c r="C2536" s="291"/>
      <c r="D2536" s="30"/>
      <c r="E2536" s="30"/>
    </row>
    <row r="2537" hidden="1">
      <c r="A2537" s="30"/>
      <c r="B2537" s="30"/>
      <c r="C2537" s="291"/>
      <c r="D2537" s="30"/>
      <c r="E2537" s="30"/>
    </row>
    <row r="2538" hidden="1">
      <c r="A2538" s="30"/>
      <c r="B2538" s="30"/>
      <c r="C2538" s="291"/>
      <c r="D2538" s="30"/>
      <c r="E2538" s="30"/>
    </row>
    <row r="2539" hidden="1">
      <c r="A2539" s="30"/>
      <c r="B2539" s="30"/>
      <c r="C2539" s="291"/>
      <c r="D2539" s="30"/>
      <c r="E2539" s="30"/>
    </row>
    <row r="2540" hidden="1">
      <c r="A2540" s="30"/>
      <c r="B2540" s="30"/>
      <c r="C2540" s="291"/>
      <c r="D2540" s="30"/>
      <c r="E2540" s="30"/>
    </row>
    <row r="2541" hidden="1">
      <c r="A2541" s="30"/>
      <c r="B2541" s="30"/>
      <c r="C2541" s="291"/>
      <c r="D2541" s="30"/>
      <c r="E2541" s="30"/>
    </row>
    <row r="2542" hidden="1">
      <c r="A2542" s="30"/>
      <c r="B2542" s="30"/>
      <c r="C2542" s="291"/>
      <c r="D2542" s="30"/>
      <c r="E2542" s="30"/>
    </row>
    <row r="2543" hidden="1">
      <c r="A2543" s="30"/>
      <c r="B2543" s="30"/>
      <c r="C2543" s="291"/>
      <c r="D2543" s="30"/>
      <c r="E2543" s="30"/>
    </row>
    <row r="2544" hidden="1">
      <c r="A2544" s="30"/>
      <c r="B2544" s="30"/>
      <c r="C2544" s="291"/>
      <c r="D2544" s="30"/>
      <c r="E2544" s="30"/>
    </row>
    <row r="2545" hidden="1">
      <c r="A2545" s="30"/>
      <c r="B2545" s="30"/>
      <c r="C2545" s="291"/>
      <c r="D2545" s="30"/>
      <c r="E2545" s="30"/>
    </row>
    <row r="2546" hidden="1">
      <c r="A2546" s="30"/>
      <c r="B2546" s="30"/>
      <c r="C2546" s="291"/>
      <c r="D2546" s="30"/>
      <c r="E2546" s="30"/>
    </row>
    <row r="2547" hidden="1">
      <c r="A2547" s="30"/>
      <c r="B2547" s="30"/>
      <c r="C2547" s="291"/>
      <c r="D2547" s="30"/>
      <c r="E2547" s="30"/>
    </row>
    <row r="2548" hidden="1">
      <c r="A2548" s="30"/>
      <c r="B2548" s="30"/>
      <c r="C2548" s="291"/>
      <c r="D2548" s="30"/>
      <c r="E2548" s="30"/>
    </row>
    <row r="2549" hidden="1">
      <c r="A2549" s="30"/>
      <c r="B2549" s="30"/>
      <c r="C2549" s="291"/>
      <c r="D2549" s="30"/>
      <c r="E2549" s="30"/>
    </row>
    <row r="2550" hidden="1">
      <c r="A2550" s="30"/>
      <c r="B2550" s="30"/>
      <c r="C2550" s="291"/>
      <c r="D2550" s="30"/>
      <c r="E2550" s="30"/>
    </row>
    <row r="2551" hidden="1">
      <c r="A2551" s="30"/>
      <c r="B2551" s="30"/>
      <c r="C2551" s="291"/>
      <c r="D2551" s="30"/>
      <c r="E2551" s="30"/>
    </row>
    <row r="2552" hidden="1">
      <c r="A2552" s="30"/>
      <c r="B2552" s="30"/>
      <c r="C2552" s="291"/>
      <c r="D2552" s="30"/>
      <c r="E2552" s="30"/>
    </row>
    <row r="2553" hidden="1">
      <c r="A2553" s="30"/>
      <c r="B2553" s="30"/>
      <c r="C2553" s="291"/>
      <c r="D2553" s="30"/>
      <c r="E2553" s="30"/>
    </row>
    <row r="2554" hidden="1">
      <c r="A2554" s="30"/>
      <c r="B2554" s="30"/>
      <c r="C2554" s="291"/>
      <c r="D2554" s="30"/>
      <c r="E2554" s="30"/>
    </row>
    <row r="2555" hidden="1">
      <c r="A2555" s="30"/>
      <c r="B2555" s="30"/>
      <c r="C2555" s="291"/>
      <c r="D2555" s="30"/>
      <c r="E2555" s="30"/>
    </row>
    <row r="2556" hidden="1">
      <c r="A2556" s="30"/>
      <c r="B2556" s="30"/>
      <c r="C2556" s="291"/>
      <c r="D2556" s="30"/>
      <c r="E2556" s="30"/>
    </row>
    <row r="2557" hidden="1">
      <c r="A2557" s="30"/>
      <c r="B2557" s="30"/>
      <c r="C2557" s="291"/>
      <c r="D2557" s="30"/>
      <c r="E2557" s="30"/>
    </row>
    <row r="2558" hidden="1">
      <c r="A2558" s="30"/>
      <c r="B2558" s="30"/>
      <c r="C2558" s="291"/>
      <c r="D2558" s="30"/>
      <c r="E2558" s="30"/>
    </row>
    <row r="2559" hidden="1">
      <c r="A2559" s="30"/>
      <c r="B2559" s="30"/>
      <c r="C2559" s="291"/>
      <c r="D2559" s="30"/>
      <c r="E2559" s="30"/>
    </row>
    <row r="2560" hidden="1">
      <c r="A2560" s="30"/>
      <c r="B2560" s="30"/>
      <c r="C2560" s="291"/>
      <c r="D2560" s="30"/>
      <c r="E2560" s="30"/>
    </row>
    <row r="2561" hidden="1">
      <c r="A2561" s="30"/>
      <c r="B2561" s="30"/>
      <c r="C2561" s="291"/>
      <c r="D2561" s="30"/>
      <c r="E2561" s="30"/>
    </row>
    <row r="2562" hidden="1">
      <c r="A2562" s="30"/>
      <c r="B2562" s="30"/>
      <c r="C2562" s="291"/>
      <c r="D2562" s="30"/>
      <c r="E2562" s="30"/>
    </row>
    <row r="2563" hidden="1">
      <c r="A2563" s="30"/>
      <c r="B2563" s="30"/>
      <c r="C2563" s="291"/>
      <c r="D2563" s="30"/>
      <c r="E2563" s="30"/>
    </row>
    <row r="2564" hidden="1">
      <c r="A2564" s="30"/>
      <c r="B2564" s="30"/>
      <c r="C2564" s="291"/>
      <c r="D2564" s="30"/>
      <c r="E2564" s="30"/>
    </row>
    <row r="2565" hidden="1">
      <c r="A2565" s="30"/>
      <c r="B2565" s="30"/>
      <c r="C2565" s="291"/>
      <c r="D2565" s="30"/>
      <c r="E2565" s="30"/>
    </row>
    <row r="2566" hidden="1">
      <c r="A2566" s="30"/>
      <c r="B2566" s="30"/>
      <c r="C2566" s="291"/>
      <c r="D2566" s="30"/>
      <c r="E2566" s="30"/>
    </row>
    <row r="2567" hidden="1">
      <c r="A2567" s="30"/>
      <c r="B2567" s="30"/>
      <c r="C2567" s="291"/>
      <c r="D2567" s="30"/>
      <c r="E2567" s="30"/>
    </row>
    <row r="2568" hidden="1">
      <c r="A2568" s="30"/>
      <c r="B2568" s="30"/>
      <c r="C2568" s="291"/>
      <c r="D2568" s="30"/>
      <c r="E2568" s="30"/>
    </row>
    <row r="2569" hidden="1">
      <c r="A2569" s="30"/>
      <c r="B2569" s="30"/>
      <c r="C2569" s="291"/>
      <c r="D2569" s="30"/>
      <c r="E2569" s="30"/>
    </row>
    <row r="2570" hidden="1">
      <c r="A2570" s="30"/>
      <c r="B2570" s="30"/>
      <c r="C2570" s="291"/>
      <c r="D2570" s="30"/>
      <c r="E2570" s="30"/>
    </row>
    <row r="2571" hidden="1">
      <c r="A2571" s="30"/>
      <c r="B2571" s="30"/>
      <c r="C2571" s="291"/>
      <c r="D2571" s="30"/>
      <c r="E2571" s="30"/>
    </row>
    <row r="2572" hidden="1">
      <c r="A2572" s="30"/>
      <c r="B2572" s="30"/>
      <c r="C2572" s="291"/>
      <c r="D2572" s="30"/>
      <c r="E2572" s="30"/>
    </row>
    <row r="2573" hidden="1">
      <c r="A2573" s="30"/>
      <c r="B2573" s="30"/>
      <c r="C2573" s="291"/>
      <c r="D2573" s="30"/>
      <c r="E2573" s="30"/>
    </row>
    <row r="2574" hidden="1">
      <c r="A2574" s="30"/>
      <c r="B2574" s="30"/>
      <c r="C2574" s="291"/>
      <c r="D2574" s="30"/>
      <c r="E2574" s="30"/>
    </row>
    <row r="2575" hidden="1">
      <c r="A2575" s="30"/>
      <c r="B2575" s="30"/>
      <c r="C2575" s="291"/>
      <c r="D2575" s="30"/>
      <c r="E2575" s="30"/>
    </row>
    <row r="2576" hidden="1">
      <c r="A2576" s="30"/>
      <c r="B2576" s="30"/>
      <c r="C2576" s="291"/>
      <c r="D2576" s="30"/>
      <c r="E2576" s="30"/>
    </row>
    <row r="2577" hidden="1">
      <c r="A2577" s="30"/>
      <c r="B2577" s="30"/>
      <c r="C2577" s="291"/>
      <c r="D2577" s="30"/>
      <c r="E2577" s="30"/>
    </row>
    <row r="2578" hidden="1">
      <c r="A2578" s="30"/>
      <c r="B2578" s="30"/>
      <c r="C2578" s="291"/>
      <c r="D2578" s="30"/>
      <c r="E2578" s="30"/>
    </row>
    <row r="2579" hidden="1">
      <c r="A2579" s="30"/>
      <c r="B2579" s="30"/>
      <c r="C2579" s="291"/>
      <c r="D2579" s="30"/>
      <c r="E2579" s="30"/>
    </row>
    <row r="2580" hidden="1">
      <c r="A2580" s="30"/>
      <c r="B2580" s="30"/>
      <c r="C2580" s="291"/>
      <c r="D2580" s="30"/>
      <c r="E2580" s="30"/>
    </row>
    <row r="2581" hidden="1">
      <c r="A2581" s="30"/>
      <c r="B2581" s="30"/>
      <c r="C2581" s="291"/>
      <c r="D2581" s="30"/>
      <c r="E2581" s="30"/>
    </row>
    <row r="2582" hidden="1">
      <c r="A2582" s="30"/>
      <c r="B2582" s="30"/>
      <c r="C2582" s="291"/>
      <c r="D2582" s="30"/>
      <c r="E2582" s="30"/>
    </row>
    <row r="2583" hidden="1">
      <c r="A2583" s="30"/>
      <c r="B2583" s="30"/>
      <c r="C2583" s="291"/>
      <c r="D2583" s="30"/>
      <c r="E2583" s="30"/>
    </row>
    <row r="2584" hidden="1">
      <c r="A2584" s="30"/>
      <c r="B2584" s="30"/>
      <c r="C2584" s="291"/>
      <c r="D2584" s="30"/>
      <c r="E2584" s="30"/>
    </row>
    <row r="2585" hidden="1">
      <c r="A2585" s="30"/>
      <c r="B2585" s="30"/>
      <c r="C2585" s="291"/>
      <c r="D2585" s="30"/>
      <c r="E2585" s="30"/>
    </row>
    <row r="2586" hidden="1">
      <c r="A2586" s="30"/>
      <c r="B2586" s="30"/>
      <c r="C2586" s="291"/>
      <c r="D2586" s="30"/>
      <c r="E2586" s="30"/>
    </row>
    <row r="2587" hidden="1">
      <c r="A2587" s="30"/>
      <c r="B2587" s="30"/>
      <c r="C2587" s="291"/>
      <c r="D2587" s="30"/>
      <c r="E2587" s="30"/>
    </row>
    <row r="2588" hidden="1">
      <c r="A2588" s="30"/>
      <c r="B2588" s="30"/>
      <c r="C2588" s="291"/>
      <c r="D2588" s="30"/>
      <c r="E2588" s="30"/>
    </row>
    <row r="2589" hidden="1">
      <c r="A2589" s="30"/>
      <c r="B2589" s="30"/>
      <c r="C2589" s="291"/>
      <c r="D2589" s="30"/>
      <c r="E2589" s="30"/>
    </row>
    <row r="2590" hidden="1">
      <c r="A2590" s="30"/>
      <c r="B2590" s="30"/>
      <c r="C2590" s="291"/>
      <c r="D2590" s="30"/>
      <c r="E2590" s="30"/>
    </row>
    <row r="2591" hidden="1">
      <c r="A2591" s="30"/>
      <c r="B2591" s="30"/>
      <c r="C2591" s="291"/>
      <c r="D2591" s="30"/>
      <c r="E2591" s="30"/>
    </row>
    <row r="2592" hidden="1">
      <c r="A2592" s="30"/>
      <c r="B2592" s="30"/>
      <c r="C2592" s="291"/>
      <c r="D2592" s="30"/>
      <c r="E2592" s="30"/>
    </row>
    <row r="2593" hidden="1">
      <c r="A2593" s="30"/>
      <c r="B2593" s="30"/>
      <c r="C2593" s="291"/>
      <c r="D2593" s="30"/>
      <c r="E2593" s="30"/>
    </row>
    <row r="2594" hidden="1">
      <c r="A2594" s="30"/>
      <c r="B2594" s="30"/>
      <c r="C2594" s="291"/>
      <c r="D2594" s="30"/>
      <c r="E2594" s="30"/>
    </row>
    <row r="2595" hidden="1">
      <c r="A2595" s="30"/>
      <c r="B2595" s="30"/>
      <c r="C2595" s="291"/>
      <c r="D2595" s="30"/>
      <c r="E2595" s="30"/>
    </row>
    <row r="2596" hidden="1">
      <c r="A2596" s="30"/>
      <c r="B2596" s="30"/>
      <c r="C2596" s="291"/>
      <c r="D2596" s="30"/>
      <c r="E2596" s="30"/>
    </row>
    <row r="2597" hidden="1">
      <c r="A2597" s="30"/>
      <c r="B2597" s="30"/>
      <c r="C2597" s="291"/>
      <c r="D2597" s="30"/>
      <c r="E2597" s="30"/>
    </row>
    <row r="2598" hidden="1">
      <c r="A2598" s="30"/>
      <c r="B2598" s="30"/>
      <c r="C2598" s="291"/>
      <c r="D2598" s="30"/>
      <c r="E2598" s="30"/>
    </row>
    <row r="2599" hidden="1">
      <c r="A2599" s="30"/>
      <c r="B2599" s="30"/>
      <c r="C2599" s="291"/>
      <c r="D2599" s="30"/>
      <c r="E2599" s="30"/>
    </row>
    <row r="2600" hidden="1">
      <c r="A2600" s="30"/>
      <c r="B2600" s="30"/>
      <c r="C2600" s="291"/>
      <c r="D2600" s="30"/>
      <c r="E2600" s="30"/>
    </row>
    <row r="2601" hidden="1">
      <c r="A2601" s="30"/>
      <c r="B2601" s="30"/>
      <c r="C2601" s="291"/>
      <c r="D2601" s="30"/>
      <c r="E2601" s="30"/>
    </row>
    <row r="2602" hidden="1">
      <c r="A2602" s="30"/>
      <c r="B2602" s="30"/>
      <c r="C2602" s="291"/>
      <c r="D2602" s="30"/>
      <c r="E2602" s="30"/>
    </row>
    <row r="2603" hidden="1">
      <c r="A2603" s="30"/>
      <c r="B2603" s="30"/>
      <c r="C2603" s="291"/>
      <c r="D2603" s="30"/>
      <c r="E2603" s="30"/>
    </row>
    <row r="2604" hidden="1">
      <c r="A2604" s="30"/>
      <c r="B2604" s="30"/>
      <c r="C2604" s="291"/>
      <c r="D2604" s="30"/>
      <c r="E2604" s="30"/>
    </row>
    <row r="2605" hidden="1">
      <c r="A2605" s="30"/>
      <c r="B2605" s="30"/>
      <c r="C2605" s="291"/>
      <c r="D2605" s="30"/>
      <c r="E2605" s="30"/>
    </row>
    <row r="2606" hidden="1">
      <c r="A2606" s="30"/>
      <c r="B2606" s="30"/>
      <c r="C2606" s="291"/>
      <c r="D2606" s="30"/>
      <c r="E2606" s="30"/>
    </row>
    <row r="2607" hidden="1">
      <c r="A2607" s="30"/>
      <c r="B2607" s="30"/>
      <c r="C2607" s="291"/>
      <c r="D2607" s="30"/>
      <c r="E2607" s="30"/>
    </row>
    <row r="2608" hidden="1">
      <c r="A2608" s="30"/>
      <c r="B2608" s="30"/>
      <c r="C2608" s="291"/>
      <c r="D2608" s="30"/>
      <c r="E2608" s="30"/>
    </row>
    <row r="2609" hidden="1">
      <c r="A2609" s="30"/>
      <c r="B2609" s="30"/>
      <c r="C2609" s="291"/>
      <c r="D2609" s="30"/>
      <c r="E2609" s="30"/>
    </row>
    <row r="2610" hidden="1">
      <c r="A2610" s="30"/>
      <c r="B2610" s="30"/>
      <c r="C2610" s="291"/>
      <c r="D2610" s="30"/>
      <c r="E2610" s="30"/>
    </row>
    <row r="2611" hidden="1">
      <c r="A2611" s="30"/>
      <c r="B2611" s="30"/>
      <c r="C2611" s="291"/>
      <c r="D2611" s="30"/>
      <c r="E2611" s="30"/>
    </row>
    <row r="2612" hidden="1">
      <c r="A2612" s="30"/>
      <c r="B2612" s="30"/>
      <c r="C2612" s="291"/>
      <c r="D2612" s="30"/>
      <c r="E2612" s="30"/>
    </row>
    <row r="2613" hidden="1">
      <c r="A2613" s="30"/>
      <c r="B2613" s="30"/>
      <c r="C2613" s="291"/>
      <c r="D2613" s="30"/>
      <c r="E2613" s="30"/>
    </row>
    <row r="2614" hidden="1">
      <c r="A2614" s="30"/>
      <c r="B2614" s="30"/>
      <c r="C2614" s="291"/>
      <c r="D2614" s="30"/>
      <c r="E2614" s="30"/>
    </row>
    <row r="2615" hidden="1">
      <c r="A2615" s="30"/>
      <c r="B2615" s="30"/>
      <c r="C2615" s="291"/>
      <c r="D2615" s="30"/>
      <c r="E2615" s="30"/>
    </row>
    <row r="2616" hidden="1">
      <c r="A2616" s="30"/>
      <c r="B2616" s="30"/>
      <c r="C2616" s="291"/>
      <c r="D2616" s="30"/>
      <c r="E2616" s="30"/>
    </row>
    <row r="2617" hidden="1">
      <c r="A2617" s="30"/>
      <c r="B2617" s="30"/>
      <c r="C2617" s="291"/>
      <c r="D2617" s="30"/>
      <c r="E2617" s="30"/>
    </row>
    <row r="2618" hidden="1">
      <c r="A2618" s="30"/>
      <c r="B2618" s="30"/>
      <c r="C2618" s="291"/>
      <c r="D2618" s="30"/>
      <c r="E2618" s="30"/>
    </row>
    <row r="2619" hidden="1">
      <c r="A2619" s="30"/>
      <c r="B2619" s="30"/>
      <c r="C2619" s="291"/>
      <c r="D2619" s="30"/>
      <c r="E2619" s="30"/>
    </row>
    <row r="2620" hidden="1">
      <c r="A2620" s="30"/>
      <c r="B2620" s="30"/>
      <c r="C2620" s="291"/>
      <c r="D2620" s="30"/>
      <c r="E2620" s="30"/>
    </row>
    <row r="2621" hidden="1">
      <c r="A2621" s="30"/>
      <c r="B2621" s="30"/>
      <c r="C2621" s="291"/>
      <c r="D2621" s="30"/>
      <c r="E2621" s="30"/>
    </row>
    <row r="2622" hidden="1">
      <c r="A2622" s="30"/>
      <c r="B2622" s="30"/>
      <c r="C2622" s="291"/>
      <c r="D2622" s="30"/>
      <c r="E2622" s="30"/>
    </row>
    <row r="2623" hidden="1">
      <c r="A2623" s="30"/>
      <c r="B2623" s="30"/>
      <c r="C2623" s="291"/>
      <c r="D2623" s="30"/>
      <c r="E2623" s="30"/>
    </row>
    <row r="2624" hidden="1">
      <c r="A2624" s="30"/>
      <c r="B2624" s="30"/>
      <c r="C2624" s="291"/>
      <c r="D2624" s="30"/>
      <c r="E2624" s="30"/>
    </row>
    <row r="2625" hidden="1">
      <c r="A2625" s="30"/>
      <c r="B2625" s="30"/>
      <c r="C2625" s="291"/>
      <c r="D2625" s="30"/>
      <c r="E2625" s="30"/>
    </row>
    <row r="2626" hidden="1">
      <c r="A2626" s="30"/>
      <c r="B2626" s="30"/>
      <c r="C2626" s="291"/>
      <c r="D2626" s="30"/>
      <c r="E2626" s="30"/>
    </row>
    <row r="2627" hidden="1">
      <c r="A2627" s="30"/>
      <c r="B2627" s="30"/>
      <c r="C2627" s="291"/>
      <c r="D2627" s="30"/>
      <c r="E2627" s="30"/>
    </row>
    <row r="2628" hidden="1">
      <c r="A2628" s="30"/>
      <c r="B2628" s="30"/>
      <c r="C2628" s="291"/>
      <c r="D2628" s="30"/>
      <c r="E2628" s="30"/>
    </row>
    <row r="2629" hidden="1">
      <c r="A2629" s="30"/>
      <c r="B2629" s="30"/>
      <c r="C2629" s="291"/>
      <c r="D2629" s="30"/>
      <c r="E2629" s="30"/>
    </row>
    <row r="2630" hidden="1">
      <c r="A2630" s="30"/>
      <c r="B2630" s="30"/>
      <c r="C2630" s="291"/>
      <c r="D2630" s="30"/>
      <c r="E2630" s="30"/>
    </row>
    <row r="2631" hidden="1">
      <c r="A2631" s="30"/>
      <c r="B2631" s="30"/>
      <c r="C2631" s="291"/>
      <c r="D2631" s="30"/>
      <c r="E2631" s="30"/>
    </row>
    <row r="2632" hidden="1">
      <c r="A2632" s="30"/>
      <c r="B2632" s="30"/>
      <c r="C2632" s="291"/>
      <c r="D2632" s="30"/>
      <c r="E2632" s="30"/>
    </row>
    <row r="2633" hidden="1">
      <c r="A2633" s="30"/>
      <c r="B2633" s="30"/>
      <c r="C2633" s="291"/>
      <c r="D2633" s="30"/>
      <c r="E2633" s="30"/>
    </row>
    <row r="2634" hidden="1">
      <c r="A2634" s="30"/>
      <c r="B2634" s="30"/>
      <c r="C2634" s="291"/>
      <c r="D2634" s="30"/>
      <c r="E2634" s="30"/>
    </row>
    <row r="2635" hidden="1">
      <c r="A2635" s="30"/>
      <c r="B2635" s="30"/>
      <c r="C2635" s="291"/>
      <c r="D2635" s="30"/>
      <c r="E2635" s="30"/>
    </row>
    <row r="2636" hidden="1">
      <c r="A2636" s="30"/>
      <c r="B2636" s="30"/>
      <c r="C2636" s="291"/>
      <c r="D2636" s="30"/>
      <c r="E2636" s="30"/>
    </row>
    <row r="2637" hidden="1">
      <c r="A2637" s="30"/>
      <c r="B2637" s="30"/>
      <c r="C2637" s="291"/>
      <c r="D2637" s="30"/>
      <c r="E2637" s="30"/>
    </row>
    <row r="2638" hidden="1">
      <c r="A2638" s="30"/>
      <c r="B2638" s="30"/>
      <c r="C2638" s="291"/>
      <c r="D2638" s="30"/>
      <c r="E2638" s="30"/>
    </row>
    <row r="2639" hidden="1">
      <c r="A2639" s="30"/>
      <c r="B2639" s="30"/>
      <c r="C2639" s="291"/>
      <c r="D2639" s="30"/>
      <c r="E2639" s="30"/>
    </row>
    <row r="2640" hidden="1">
      <c r="A2640" s="30"/>
      <c r="B2640" s="30"/>
      <c r="C2640" s="291"/>
      <c r="D2640" s="30"/>
      <c r="E2640" s="30"/>
    </row>
    <row r="2641" hidden="1">
      <c r="A2641" s="30"/>
      <c r="B2641" s="30"/>
      <c r="C2641" s="291"/>
      <c r="D2641" s="30"/>
      <c r="E2641" s="30"/>
    </row>
    <row r="2642" hidden="1">
      <c r="A2642" s="30"/>
      <c r="B2642" s="30"/>
      <c r="C2642" s="291"/>
      <c r="D2642" s="30"/>
      <c r="E2642" s="30"/>
    </row>
    <row r="2643" hidden="1">
      <c r="A2643" s="30"/>
      <c r="B2643" s="30"/>
      <c r="C2643" s="291"/>
      <c r="D2643" s="30"/>
      <c r="E2643" s="30"/>
    </row>
    <row r="2644" hidden="1">
      <c r="A2644" s="30"/>
      <c r="B2644" s="30"/>
      <c r="C2644" s="291"/>
      <c r="D2644" s="30"/>
      <c r="E2644" s="30"/>
    </row>
    <row r="2645" hidden="1">
      <c r="A2645" s="30"/>
      <c r="B2645" s="30"/>
      <c r="C2645" s="291"/>
      <c r="D2645" s="30"/>
      <c r="E2645" s="30"/>
    </row>
    <row r="2646" hidden="1">
      <c r="A2646" s="30"/>
      <c r="B2646" s="30"/>
      <c r="C2646" s="291"/>
      <c r="D2646" s="30"/>
      <c r="E2646" s="30"/>
    </row>
    <row r="2647" hidden="1">
      <c r="A2647" s="30"/>
      <c r="B2647" s="30"/>
      <c r="C2647" s="291"/>
      <c r="D2647" s="30"/>
      <c r="E2647" s="30"/>
    </row>
    <row r="2648" hidden="1">
      <c r="A2648" s="30"/>
      <c r="B2648" s="30"/>
      <c r="C2648" s="291"/>
      <c r="D2648" s="30"/>
      <c r="E2648" s="30"/>
    </row>
    <row r="2649" hidden="1">
      <c r="A2649" s="30"/>
      <c r="B2649" s="30"/>
      <c r="C2649" s="291"/>
      <c r="D2649" s="30"/>
      <c r="E2649" s="30"/>
    </row>
    <row r="2650" hidden="1">
      <c r="A2650" s="30"/>
      <c r="B2650" s="30"/>
      <c r="C2650" s="291"/>
      <c r="D2650" s="30"/>
      <c r="E2650" s="30"/>
    </row>
    <row r="2651" hidden="1">
      <c r="A2651" s="30"/>
      <c r="B2651" s="30"/>
      <c r="C2651" s="291"/>
      <c r="D2651" s="30"/>
      <c r="E2651" s="30"/>
    </row>
    <row r="2652" hidden="1">
      <c r="A2652" s="30"/>
      <c r="B2652" s="30"/>
      <c r="C2652" s="291"/>
      <c r="D2652" s="30"/>
      <c r="E2652" s="30"/>
    </row>
    <row r="2653" hidden="1">
      <c r="A2653" s="30"/>
      <c r="B2653" s="30"/>
      <c r="C2653" s="291"/>
      <c r="D2653" s="30"/>
      <c r="E2653" s="30"/>
    </row>
    <row r="2654" hidden="1">
      <c r="A2654" s="30"/>
      <c r="B2654" s="30"/>
      <c r="C2654" s="291"/>
      <c r="D2654" s="30"/>
      <c r="E2654" s="30"/>
    </row>
    <row r="2655" hidden="1">
      <c r="A2655" s="30"/>
      <c r="B2655" s="30"/>
      <c r="C2655" s="291"/>
      <c r="D2655" s="30"/>
      <c r="E2655" s="30"/>
    </row>
    <row r="2656" hidden="1">
      <c r="A2656" s="30"/>
      <c r="B2656" s="30"/>
      <c r="C2656" s="291"/>
      <c r="D2656" s="30"/>
      <c r="E2656" s="30"/>
    </row>
    <row r="2657" hidden="1">
      <c r="A2657" s="30"/>
      <c r="B2657" s="30"/>
      <c r="C2657" s="291"/>
      <c r="D2657" s="30"/>
      <c r="E2657" s="30"/>
    </row>
    <row r="2658" hidden="1">
      <c r="A2658" s="30"/>
      <c r="B2658" s="30"/>
      <c r="C2658" s="291"/>
      <c r="D2658" s="30"/>
      <c r="E2658" s="30"/>
    </row>
    <row r="2659" hidden="1">
      <c r="A2659" s="30"/>
      <c r="B2659" s="30"/>
      <c r="C2659" s="291"/>
      <c r="D2659" s="30"/>
      <c r="E2659" s="30"/>
    </row>
    <row r="2660" hidden="1">
      <c r="A2660" s="30"/>
      <c r="B2660" s="30"/>
      <c r="C2660" s="291"/>
      <c r="D2660" s="30"/>
      <c r="E2660" s="30"/>
    </row>
    <row r="2661" hidden="1">
      <c r="A2661" s="30"/>
      <c r="B2661" s="30"/>
      <c r="C2661" s="291"/>
      <c r="D2661" s="30"/>
      <c r="E2661" s="30"/>
    </row>
    <row r="2662" hidden="1">
      <c r="A2662" s="30"/>
      <c r="B2662" s="30"/>
      <c r="C2662" s="291"/>
      <c r="D2662" s="30"/>
      <c r="E2662" s="30"/>
    </row>
    <row r="2663" hidden="1">
      <c r="A2663" s="30"/>
      <c r="B2663" s="30"/>
      <c r="C2663" s="291"/>
      <c r="D2663" s="30"/>
      <c r="E2663" s="30"/>
    </row>
    <row r="2664" hidden="1">
      <c r="A2664" s="30"/>
      <c r="B2664" s="30"/>
      <c r="C2664" s="291"/>
      <c r="D2664" s="30"/>
      <c r="E2664" s="30"/>
    </row>
    <row r="2665" hidden="1">
      <c r="A2665" s="30"/>
      <c r="B2665" s="30"/>
      <c r="C2665" s="291"/>
      <c r="D2665" s="30"/>
      <c r="E2665" s="30"/>
    </row>
    <row r="2666" hidden="1">
      <c r="A2666" s="30"/>
      <c r="B2666" s="30"/>
      <c r="C2666" s="291"/>
      <c r="D2666" s="30"/>
      <c r="E2666" s="30"/>
    </row>
    <row r="2667" hidden="1">
      <c r="A2667" s="30"/>
      <c r="B2667" s="30"/>
      <c r="C2667" s="291"/>
      <c r="D2667" s="30"/>
      <c r="E2667" s="30"/>
    </row>
    <row r="2668" hidden="1">
      <c r="A2668" s="30"/>
      <c r="B2668" s="30"/>
      <c r="C2668" s="291"/>
      <c r="D2668" s="30"/>
      <c r="E2668" s="30"/>
    </row>
    <row r="2669" hidden="1">
      <c r="A2669" s="30"/>
      <c r="B2669" s="30"/>
      <c r="C2669" s="291"/>
      <c r="D2669" s="30"/>
      <c r="E2669" s="30"/>
    </row>
    <row r="2670" hidden="1">
      <c r="A2670" s="30"/>
      <c r="B2670" s="30"/>
      <c r="C2670" s="291"/>
      <c r="D2670" s="30"/>
      <c r="E2670" s="30"/>
    </row>
    <row r="2671" hidden="1">
      <c r="A2671" s="30"/>
      <c r="B2671" s="30"/>
      <c r="C2671" s="291"/>
      <c r="D2671" s="30"/>
      <c r="E2671" s="30"/>
    </row>
    <row r="2672" hidden="1">
      <c r="A2672" s="30"/>
      <c r="B2672" s="30"/>
      <c r="C2672" s="291"/>
      <c r="D2672" s="30"/>
      <c r="E2672" s="30"/>
    </row>
    <row r="2673" hidden="1">
      <c r="A2673" s="30"/>
      <c r="B2673" s="30"/>
      <c r="C2673" s="291"/>
      <c r="D2673" s="30"/>
      <c r="E2673" s="30"/>
    </row>
    <row r="2674" hidden="1">
      <c r="A2674" s="30"/>
      <c r="B2674" s="30"/>
      <c r="C2674" s="291"/>
      <c r="D2674" s="30"/>
      <c r="E2674" s="30"/>
    </row>
    <row r="2675" hidden="1">
      <c r="A2675" s="30"/>
      <c r="B2675" s="30"/>
      <c r="C2675" s="291"/>
      <c r="D2675" s="30"/>
      <c r="E2675" s="30"/>
    </row>
    <row r="2676" hidden="1">
      <c r="A2676" s="30"/>
      <c r="B2676" s="30"/>
      <c r="C2676" s="291"/>
      <c r="D2676" s="30"/>
      <c r="E2676" s="30"/>
    </row>
    <row r="2677" hidden="1">
      <c r="A2677" s="30"/>
      <c r="B2677" s="30"/>
      <c r="C2677" s="291"/>
      <c r="D2677" s="30"/>
      <c r="E2677" s="30"/>
    </row>
    <row r="2678" hidden="1">
      <c r="A2678" s="30"/>
      <c r="B2678" s="30"/>
      <c r="C2678" s="291"/>
      <c r="D2678" s="30"/>
      <c r="E2678" s="30"/>
    </row>
    <row r="2679" hidden="1">
      <c r="A2679" s="30"/>
      <c r="B2679" s="30"/>
      <c r="C2679" s="291"/>
      <c r="D2679" s="30"/>
      <c r="E2679" s="30"/>
    </row>
    <row r="2680" hidden="1">
      <c r="A2680" s="30"/>
      <c r="B2680" s="30"/>
      <c r="C2680" s="291"/>
      <c r="D2680" s="30"/>
      <c r="E2680" s="30"/>
    </row>
    <row r="2681" hidden="1">
      <c r="A2681" s="30"/>
      <c r="B2681" s="30"/>
      <c r="C2681" s="291"/>
      <c r="D2681" s="30"/>
      <c r="E2681" s="30"/>
    </row>
    <row r="2682" hidden="1">
      <c r="A2682" s="30"/>
      <c r="B2682" s="30"/>
      <c r="C2682" s="291"/>
      <c r="D2682" s="30"/>
      <c r="E2682" s="30"/>
    </row>
    <row r="2683" hidden="1">
      <c r="A2683" s="30"/>
      <c r="B2683" s="30"/>
      <c r="C2683" s="291"/>
      <c r="D2683" s="30"/>
      <c r="E2683" s="30"/>
    </row>
    <row r="2684" hidden="1">
      <c r="A2684" s="30"/>
      <c r="B2684" s="30"/>
      <c r="C2684" s="291"/>
      <c r="D2684" s="30"/>
      <c r="E2684" s="30"/>
    </row>
    <row r="2685" hidden="1">
      <c r="A2685" s="30"/>
      <c r="B2685" s="30"/>
      <c r="C2685" s="291"/>
      <c r="D2685" s="30"/>
      <c r="E2685" s="30"/>
    </row>
    <row r="2686" hidden="1">
      <c r="A2686" s="30"/>
      <c r="B2686" s="30"/>
      <c r="C2686" s="291"/>
      <c r="D2686" s="30"/>
      <c r="E2686" s="30"/>
    </row>
    <row r="2687" hidden="1">
      <c r="A2687" s="30"/>
      <c r="B2687" s="30"/>
      <c r="C2687" s="291"/>
      <c r="D2687" s="30"/>
      <c r="E2687" s="30"/>
    </row>
    <row r="2688" hidden="1">
      <c r="A2688" s="30"/>
      <c r="B2688" s="30"/>
      <c r="C2688" s="291"/>
      <c r="D2688" s="30"/>
      <c r="E2688" s="30"/>
    </row>
    <row r="2689" hidden="1">
      <c r="A2689" s="30"/>
      <c r="B2689" s="30"/>
      <c r="C2689" s="291"/>
      <c r="D2689" s="30"/>
      <c r="E2689" s="30"/>
    </row>
    <row r="2690" hidden="1">
      <c r="A2690" s="30"/>
      <c r="B2690" s="30"/>
      <c r="C2690" s="291"/>
      <c r="D2690" s="30"/>
      <c r="E2690" s="30"/>
    </row>
    <row r="2691" hidden="1">
      <c r="A2691" s="30"/>
      <c r="B2691" s="30"/>
      <c r="C2691" s="291"/>
      <c r="D2691" s="30"/>
      <c r="E2691" s="30"/>
    </row>
    <row r="2692" hidden="1">
      <c r="A2692" s="30"/>
      <c r="B2692" s="30"/>
      <c r="C2692" s="291"/>
      <c r="D2692" s="30"/>
      <c r="E2692" s="30"/>
    </row>
    <row r="2693" hidden="1">
      <c r="A2693" s="30"/>
      <c r="B2693" s="30"/>
      <c r="C2693" s="291"/>
      <c r="D2693" s="30"/>
      <c r="E2693" s="30"/>
    </row>
    <row r="2694" hidden="1">
      <c r="A2694" s="30"/>
      <c r="B2694" s="30"/>
      <c r="C2694" s="291"/>
      <c r="D2694" s="30"/>
      <c r="E2694" s="30"/>
    </row>
    <row r="2695" hidden="1">
      <c r="A2695" s="30"/>
      <c r="B2695" s="30"/>
      <c r="C2695" s="291"/>
      <c r="D2695" s="30"/>
      <c r="E2695" s="30"/>
    </row>
    <row r="2696" hidden="1">
      <c r="A2696" s="30"/>
      <c r="B2696" s="30"/>
      <c r="C2696" s="291"/>
      <c r="D2696" s="30"/>
      <c r="E2696" s="30"/>
    </row>
    <row r="2697" hidden="1">
      <c r="A2697" s="30"/>
      <c r="B2697" s="30"/>
      <c r="C2697" s="291"/>
      <c r="D2697" s="30"/>
      <c r="E2697" s="30"/>
    </row>
    <row r="2698" hidden="1">
      <c r="A2698" s="30"/>
      <c r="B2698" s="30"/>
      <c r="C2698" s="291"/>
      <c r="D2698" s="30"/>
      <c r="E2698" s="30"/>
    </row>
    <row r="2699" hidden="1">
      <c r="A2699" s="30"/>
      <c r="B2699" s="30"/>
      <c r="C2699" s="291"/>
      <c r="D2699" s="30"/>
      <c r="E2699" s="30"/>
    </row>
    <row r="2700" hidden="1">
      <c r="A2700" s="30"/>
      <c r="B2700" s="30"/>
      <c r="C2700" s="291"/>
      <c r="D2700" s="30"/>
      <c r="E2700" s="30"/>
    </row>
    <row r="2701" hidden="1">
      <c r="A2701" s="30"/>
      <c r="B2701" s="30"/>
      <c r="C2701" s="291"/>
      <c r="D2701" s="30"/>
      <c r="E2701" s="30"/>
    </row>
    <row r="2702" hidden="1">
      <c r="A2702" s="30"/>
      <c r="B2702" s="30"/>
      <c r="C2702" s="291"/>
      <c r="D2702" s="30"/>
      <c r="E2702" s="30"/>
    </row>
    <row r="2703" hidden="1">
      <c r="A2703" s="30"/>
      <c r="B2703" s="30"/>
      <c r="C2703" s="291"/>
      <c r="D2703" s="30"/>
      <c r="E2703" s="30"/>
    </row>
    <row r="2704" hidden="1">
      <c r="A2704" s="30"/>
      <c r="B2704" s="30"/>
      <c r="C2704" s="291"/>
      <c r="D2704" s="30"/>
      <c r="E2704" s="30"/>
    </row>
    <row r="2705" hidden="1">
      <c r="A2705" s="30"/>
      <c r="B2705" s="30"/>
      <c r="C2705" s="291"/>
      <c r="D2705" s="30"/>
      <c r="E2705" s="30"/>
    </row>
    <row r="2706" hidden="1">
      <c r="A2706" s="30"/>
      <c r="B2706" s="30"/>
      <c r="C2706" s="291"/>
      <c r="D2706" s="30"/>
      <c r="E2706" s="30"/>
    </row>
    <row r="2707" hidden="1">
      <c r="A2707" s="30"/>
      <c r="B2707" s="30"/>
      <c r="C2707" s="291"/>
      <c r="D2707" s="30"/>
      <c r="E2707" s="30"/>
    </row>
    <row r="2708" hidden="1">
      <c r="A2708" s="30"/>
      <c r="B2708" s="30"/>
      <c r="C2708" s="291"/>
      <c r="D2708" s="30"/>
      <c r="E2708" s="30"/>
    </row>
    <row r="2709" hidden="1">
      <c r="A2709" s="30"/>
      <c r="B2709" s="30"/>
      <c r="C2709" s="291"/>
      <c r="D2709" s="30"/>
      <c r="E2709" s="30"/>
    </row>
    <row r="2710" hidden="1">
      <c r="A2710" s="30"/>
      <c r="B2710" s="30"/>
      <c r="C2710" s="291"/>
      <c r="D2710" s="30"/>
      <c r="E2710" s="30"/>
    </row>
    <row r="2711" hidden="1">
      <c r="A2711" s="30"/>
      <c r="B2711" s="30"/>
      <c r="C2711" s="291"/>
      <c r="D2711" s="30"/>
      <c r="E2711" s="30"/>
    </row>
    <row r="2712" hidden="1">
      <c r="A2712" s="30"/>
      <c r="B2712" s="30"/>
      <c r="C2712" s="291"/>
      <c r="D2712" s="30"/>
      <c r="E2712" s="30"/>
    </row>
    <row r="2713" hidden="1">
      <c r="A2713" s="30"/>
      <c r="B2713" s="30"/>
      <c r="C2713" s="291"/>
      <c r="D2713" s="30"/>
      <c r="E2713" s="30"/>
    </row>
    <row r="2714" hidden="1">
      <c r="A2714" s="30"/>
      <c r="B2714" s="30"/>
      <c r="C2714" s="291"/>
      <c r="D2714" s="30"/>
      <c r="E2714" s="30"/>
    </row>
    <row r="2715" hidden="1">
      <c r="A2715" s="30"/>
      <c r="B2715" s="30"/>
      <c r="C2715" s="291"/>
      <c r="D2715" s="30"/>
      <c r="E2715" s="30"/>
    </row>
    <row r="2716" hidden="1">
      <c r="A2716" s="30"/>
      <c r="B2716" s="30"/>
      <c r="C2716" s="291"/>
      <c r="D2716" s="30"/>
      <c r="E2716" s="30"/>
    </row>
    <row r="2717" hidden="1">
      <c r="A2717" s="30"/>
      <c r="B2717" s="30"/>
      <c r="C2717" s="291"/>
      <c r="D2717" s="30"/>
      <c r="E2717" s="30"/>
    </row>
    <row r="2718" hidden="1">
      <c r="A2718" s="30"/>
      <c r="B2718" s="30"/>
      <c r="C2718" s="291"/>
      <c r="D2718" s="30"/>
      <c r="E2718" s="30"/>
    </row>
    <row r="2719" hidden="1">
      <c r="A2719" s="30"/>
      <c r="B2719" s="30"/>
      <c r="C2719" s="291"/>
      <c r="D2719" s="30"/>
      <c r="E2719" s="30"/>
    </row>
    <row r="2720" hidden="1">
      <c r="A2720" s="30"/>
      <c r="B2720" s="30"/>
      <c r="C2720" s="291"/>
      <c r="D2720" s="30"/>
      <c r="E2720" s="30"/>
    </row>
    <row r="2721" hidden="1">
      <c r="A2721" s="30"/>
      <c r="B2721" s="30"/>
      <c r="C2721" s="291"/>
      <c r="D2721" s="30"/>
      <c r="E2721" s="30"/>
    </row>
    <row r="2722" hidden="1">
      <c r="A2722" s="30"/>
      <c r="B2722" s="30"/>
      <c r="C2722" s="291"/>
      <c r="D2722" s="30"/>
      <c r="E2722" s="30"/>
    </row>
    <row r="2723" hidden="1">
      <c r="A2723" s="30"/>
      <c r="B2723" s="30"/>
      <c r="C2723" s="291"/>
      <c r="D2723" s="30"/>
      <c r="E2723" s="30"/>
    </row>
    <row r="2724" hidden="1">
      <c r="A2724" s="30"/>
      <c r="B2724" s="30"/>
      <c r="C2724" s="291"/>
      <c r="D2724" s="30"/>
      <c r="E2724" s="30"/>
    </row>
    <row r="2725" hidden="1">
      <c r="A2725" s="30"/>
      <c r="B2725" s="30"/>
      <c r="C2725" s="291"/>
      <c r="D2725" s="30"/>
      <c r="E2725" s="30"/>
    </row>
    <row r="2726" hidden="1">
      <c r="A2726" s="30"/>
      <c r="B2726" s="30"/>
      <c r="C2726" s="291"/>
      <c r="D2726" s="30"/>
      <c r="E2726" s="30"/>
    </row>
    <row r="2727" hidden="1">
      <c r="A2727" s="30"/>
      <c r="B2727" s="30"/>
      <c r="C2727" s="291"/>
      <c r="D2727" s="30"/>
      <c r="E2727" s="30"/>
    </row>
    <row r="2728" hidden="1">
      <c r="A2728" s="30"/>
      <c r="B2728" s="30"/>
      <c r="C2728" s="291"/>
      <c r="D2728" s="30"/>
      <c r="E2728" s="30"/>
    </row>
    <row r="2729" hidden="1">
      <c r="A2729" s="30"/>
      <c r="B2729" s="30"/>
      <c r="C2729" s="291"/>
      <c r="D2729" s="30"/>
      <c r="E2729" s="30"/>
    </row>
    <row r="2730" hidden="1">
      <c r="A2730" s="30"/>
      <c r="B2730" s="30"/>
      <c r="C2730" s="291"/>
      <c r="D2730" s="30"/>
      <c r="E2730" s="30"/>
    </row>
    <row r="2731" hidden="1">
      <c r="A2731" s="30"/>
      <c r="B2731" s="30"/>
      <c r="C2731" s="291"/>
      <c r="D2731" s="30"/>
      <c r="E2731" s="30"/>
    </row>
    <row r="2732" hidden="1">
      <c r="A2732" s="30"/>
      <c r="B2732" s="30"/>
      <c r="C2732" s="291"/>
      <c r="D2732" s="30"/>
      <c r="E2732" s="30"/>
    </row>
    <row r="2733" hidden="1">
      <c r="A2733" s="30"/>
      <c r="B2733" s="30"/>
      <c r="C2733" s="291"/>
      <c r="D2733" s="30"/>
      <c r="E2733" s="30"/>
    </row>
    <row r="2734" hidden="1">
      <c r="A2734" s="30"/>
      <c r="B2734" s="30"/>
      <c r="C2734" s="291"/>
      <c r="D2734" s="30"/>
      <c r="E2734" s="30"/>
    </row>
    <row r="2735" hidden="1">
      <c r="A2735" s="30"/>
      <c r="B2735" s="30"/>
      <c r="C2735" s="291"/>
      <c r="D2735" s="30"/>
      <c r="E2735" s="30"/>
    </row>
    <row r="2736" hidden="1">
      <c r="A2736" s="30"/>
      <c r="B2736" s="30"/>
      <c r="C2736" s="291"/>
      <c r="D2736" s="30"/>
      <c r="E2736" s="30"/>
    </row>
    <row r="2737" hidden="1">
      <c r="A2737" s="30"/>
      <c r="B2737" s="30"/>
      <c r="C2737" s="291"/>
      <c r="D2737" s="30"/>
      <c r="E2737" s="30"/>
    </row>
    <row r="2738" hidden="1">
      <c r="A2738" s="30"/>
      <c r="B2738" s="30"/>
      <c r="C2738" s="291"/>
      <c r="D2738" s="30"/>
      <c r="E2738" s="30"/>
    </row>
    <row r="2739" hidden="1">
      <c r="A2739" s="30"/>
      <c r="B2739" s="30"/>
      <c r="C2739" s="291"/>
      <c r="D2739" s="30"/>
      <c r="E2739" s="30"/>
    </row>
    <row r="2740" hidden="1">
      <c r="A2740" s="30"/>
      <c r="B2740" s="30"/>
      <c r="C2740" s="291"/>
      <c r="D2740" s="30"/>
      <c r="E2740" s="30"/>
    </row>
    <row r="2741" hidden="1">
      <c r="A2741" s="30"/>
      <c r="B2741" s="30"/>
      <c r="C2741" s="291"/>
      <c r="D2741" s="30"/>
      <c r="E2741" s="30"/>
    </row>
    <row r="2742" hidden="1">
      <c r="A2742" s="30"/>
      <c r="B2742" s="30"/>
      <c r="C2742" s="291"/>
      <c r="D2742" s="30"/>
      <c r="E2742" s="30"/>
    </row>
    <row r="2743" hidden="1">
      <c r="A2743" s="30"/>
      <c r="B2743" s="30"/>
      <c r="C2743" s="291"/>
      <c r="D2743" s="30"/>
      <c r="E2743" s="30"/>
    </row>
    <row r="2744" hidden="1">
      <c r="A2744" s="30"/>
      <c r="B2744" s="30"/>
      <c r="C2744" s="291"/>
      <c r="D2744" s="30"/>
      <c r="E2744" s="30"/>
    </row>
    <row r="2745" hidden="1">
      <c r="A2745" s="30"/>
      <c r="B2745" s="30"/>
      <c r="C2745" s="291"/>
      <c r="D2745" s="30"/>
      <c r="E2745" s="30"/>
    </row>
    <row r="2746" hidden="1">
      <c r="A2746" s="30"/>
      <c r="B2746" s="30"/>
      <c r="C2746" s="291"/>
      <c r="D2746" s="30"/>
      <c r="E2746" s="30"/>
    </row>
    <row r="2747" hidden="1">
      <c r="A2747" s="30"/>
      <c r="B2747" s="30"/>
      <c r="C2747" s="291"/>
      <c r="D2747" s="30"/>
      <c r="E2747" s="30"/>
    </row>
    <row r="2748" hidden="1">
      <c r="A2748" s="30"/>
      <c r="B2748" s="30"/>
      <c r="C2748" s="291"/>
      <c r="D2748" s="30"/>
      <c r="E2748" s="30"/>
    </row>
    <row r="2749" hidden="1">
      <c r="A2749" s="30"/>
      <c r="B2749" s="30"/>
      <c r="C2749" s="291"/>
      <c r="D2749" s="30"/>
      <c r="E2749" s="30"/>
    </row>
    <row r="2750" hidden="1">
      <c r="A2750" s="30"/>
      <c r="B2750" s="30"/>
      <c r="C2750" s="291"/>
      <c r="D2750" s="30"/>
      <c r="E2750" s="30"/>
    </row>
    <row r="2751" hidden="1">
      <c r="A2751" s="30"/>
      <c r="B2751" s="30"/>
      <c r="C2751" s="291"/>
      <c r="D2751" s="30"/>
      <c r="E2751" s="30"/>
    </row>
    <row r="2752" hidden="1">
      <c r="A2752" s="30"/>
      <c r="B2752" s="30"/>
      <c r="C2752" s="291"/>
      <c r="D2752" s="30"/>
      <c r="E2752" s="30"/>
    </row>
    <row r="2753" hidden="1">
      <c r="A2753" s="30"/>
      <c r="B2753" s="30"/>
      <c r="C2753" s="291"/>
      <c r="D2753" s="30"/>
      <c r="E2753" s="30"/>
    </row>
    <row r="2754" hidden="1">
      <c r="A2754" s="30"/>
      <c r="B2754" s="30"/>
      <c r="C2754" s="291"/>
      <c r="D2754" s="30"/>
      <c r="E2754" s="30"/>
    </row>
    <row r="2755" hidden="1">
      <c r="A2755" s="30"/>
      <c r="B2755" s="30"/>
      <c r="C2755" s="291"/>
      <c r="D2755" s="30"/>
      <c r="E2755" s="30"/>
    </row>
    <row r="2756" hidden="1">
      <c r="A2756" s="30"/>
      <c r="B2756" s="30"/>
      <c r="C2756" s="291"/>
      <c r="D2756" s="30"/>
      <c r="E2756" s="30"/>
    </row>
    <row r="2757" hidden="1">
      <c r="A2757" s="30"/>
      <c r="B2757" s="30"/>
      <c r="C2757" s="291"/>
      <c r="D2757" s="30"/>
      <c r="E2757" s="30"/>
    </row>
    <row r="2758" hidden="1">
      <c r="A2758" s="30"/>
      <c r="B2758" s="30"/>
      <c r="C2758" s="291"/>
      <c r="D2758" s="30"/>
      <c r="E2758" s="30"/>
    </row>
    <row r="2759" hidden="1">
      <c r="A2759" s="30"/>
      <c r="B2759" s="30"/>
      <c r="C2759" s="291"/>
      <c r="D2759" s="30"/>
      <c r="E2759" s="30"/>
    </row>
    <row r="2760" hidden="1">
      <c r="A2760" s="30"/>
      <c r="B2760" s="30"/>
      <c r="C2760" s="291"/>
      <c r="D2760" s="30"/>
      <c r="E2760" s="30"/>
    </row>
    <row r="2761" hidden="1">
      <c r="A2761" s="30"/>
      <c r="B2761" s="30"/>
      <c r="C2761" s="291"/>
      <c r="D2761" s="30"/>
      <c r="E2761" s="30"/>
    </row>
    <row r="2762" hidden="1">
      <c r="A2762" s="30"/>
      <c r="B2762" s="30"/>
      <c r="C2762" s="291"/>
      <c r="D2762" s="30"/>
      <c r="E2762" s="30"/>
    </row>
    <row r="2763" hidden="1">
      <c r="A2763" s="30"/>
      <c r="B2763" s="30"/>
      <c r="C2763" s="291"/>
      <c r="D2763" s="30"/>
      <c r="E2763" s="30"/>
    </row>
    <row r="2764" hidden="1">
      <c r="A2764" s="30"/>
      <c r="B2764" s="30"/>
      <c r="C2764" s="291"/>
      <c r="D2764" s="30"/>
      <c r="E2764" s="30"/>
    </row>
    <row r="2765" hidden="1">
      <c r="A2765" s="30"/>
      <c r="B2765" s="30"/>
      <c r="C2765" s="291"/>
      <c r="D2765" s="30"/>
      <c r="E2765" s="30"/>
    </row>
    <row r="2766" hidden="1">
      <c r="A2766" s="30"/>
      <c r="B2766" s="30"/>
      <c r="C2766" s="291"/>
      <c r="D2766" s="30"/>
      <c r="E2766" s="30"/>
    </row>
    <row r="2767" hidden="1">
      <c r="A2767" s="30"/>
      <c r="B2767" s="30"/>
      <c r="C2767" s="291"/>
      <c r="D2767" s="30"/>
      <c r="E2767" s="30"/>
    </row>
    <row r="2768" hidden="1">
      <c r="A2768" s="30"/>
      <c r="B2768" s="30"/>
      <c r="C2768" s="291"/>
      <c r="D2768" s="30"/>
      <c r="E2768" s="30"/>
    </row>
    <row r="2769" hidden="1">
      <c r="A2769" s="30"/>
      <c r="B2769" s="30"/>
      <c r="C2769" s="291"/>
      <c r="D2769" s="30"/>
      <c r="E2769" s="30"/>
    </row>
    <row r="2770" hidden="1">
      <c r="A2770" s="30"/>
      <c r="B2770" s="30"/>
      <c r="C2770" s="291"/>
      <c r="D2770" s="30"/>
      <c r="E2770" s="30"/>
    </row>
    <row r="2771" hidden="1">
      <c r="A2771" s="30"/>
      <c r="B2771" s="30"/>
      <c r="C2771" s="291"/>
      <c r="D2771" s="30"/>
      <c r="E2771" s="30"/>
    </row>
    <row r="2772" hidden="1">
      <c r="A2772" s="30"/>
      <c r="B2772" s="30"/>
      <c r="C2772" s="291"/>
      <c r="D2772" s="30"/>
      <c r="E2772" s="30"/>
    </row>
    <row r="2773" hidden="1">
      <c r="A2773" s="30"/>
      <c r="B2773" s="30"/>
      <c r="C2773" s="291"/>
      <c r="D2773" s="30"/>
      <c r="E2773" s="30"/>
    </row>
    <row r="2774" hidden="1">
      <c r="A2774" s="30"/>
      <c r="B2774" s="30"/>
      <c r="C2774" s="291"/>
      <c r="D2774" s="30"/>
      <c r="E2774" s="30"/>
    </row>
    <row r="2775" hidden="1">
      <c r="A2775" s="30"/>
      <c r="B2775" s="30"/>
      <c r="C2775" s="291"/>
      <c r="D2775" s="30"/>
      <c r="E2775" s="30"/>
    </row>
    <row r="2776" hidden="1">
      <c r="A2776" s="30"/>
      <c r="B2776" s="30"/>
      <c r="C2776" s="291"/>
      <c r="D2776" s="30"/>
      <c r="E2776" s="30"/>
    </row>
    <row r="2777" hidden="1">
      <c r="A2777" s="30"/>
      <c r="B2777" s="30"/>
      <c r="C2777" s="291"/>
      <c r="D2777" s="30"/>
      <c r="E2777" s="30"/>
    </row>
    <row r="2778" hidden="1">
      <c r="A2778" s="30"/>
      <c r="B2778" s="30"/>
      <c r="C2778" s="291"/>
      <c r="D2778" s="30"/>
      <c r="E2778" s="30"/>
    </row>
    <row r="2779" hidden="1">
      <c r="A2779" s="30"/>
      <c r="B2779" s="30"/>
      <c r="C2779" s="291"/>
      <c r="D2779" s="30"/>
      <c r="E2779" s="30"/>
    </row>
    <row r="2780" hidden="1">
      <c r="A2780" s="30"/>
      <c r="B2780" s="30"/>
      <c r="C2780" s="291"/>
      <c r="D2780" s="30"/>
      <c r="E2780" s="30"/>
    </row>
    <row r="2781" hidden="1">
      <c r="A2781" s="30"/>
      <c r="B2781" s="30"/>
      <c r="C2781" s="291"/>
      <c r="D2781" s="30"/>
      <c r="E2781" s="30"/>
    </row>
    <row r="2782" hidden="1">
      <c r="A2782" s="30"/>
      <c r="B2782" s="30"/>
      <c r="C2782" s="291"/>
      <c r="D2782" s="30"/>
      <c r="E2782" s="30"/>
    </row>
    <row r="2783" hidden="1">
      <c r="A2783" s="30"/>
      <c r="B2783" s="30"/>
      <c r="C2783" s="291"/>
      <c r="D2783" s="30"/>
      <c r="E2783" s="30"/>
    </row>
    <row r="2784" hidden="1">
      <c r="A2784" s="30"/>
      <c r="B2784" s="30"/>
      <c r="C2784" s="291"/>
      <c r="D2784" s="30"/>
      <c r="E2784" s="30"/>
    </row>
    <row r="2785" hidden="1">
      <c r="A2785" s="30"/>
      <c r="B2785" s="30"/>
      <c r="C2785" s="291"/>
      <c r="D2785" s="30"/>
      <c r="E2785" s="30"/>
    </row>
    <row r="2786" hidden="1">
      <c r="A2786" s="30"/>
      <c r="B2786" s="30"/>
      <c r="C2786" s="291"/>
      <c r="D2786" s="30"/>
      <c r="E2786" s="30"/>
    </row>
    <row r="2787" hidden="1">
      <c r="A2787" s="30"/>
      <c r="B2787" s="30"/>
      <c r="C2787" s="291"/>
      <c r="D2787" s="30"/>
      <c r="E2787" s="30"/>
    </row>
    <row r="2788" hidden="1">
      <c r="A2788" s="30"/>
      <c r="B2788" s="30"/>
      <c r="C2788" s="291"/>
      <c r="D2788" s="30"/>
      <c r="E2788" s="30"/>
    </row>
    <row r="2789" hidden="1">
      <c r="A2789" s="30"/>
      <c r="B2789" s="30"/>
      <c r="C2789" s="291"/>
      <c r="D2789" s="30"/>
      <c r="E2789" s="30"/>
    </row>
    <row r="2790" hidden="1">
      <c r="A2790" s="30"/>
      <c r="B2790" s="30"/>
      <c r="C2790" s="291"/>
      <c r="D2790" s="30"/>
      <c r="E2790" s="30"/>
    </row>
    <row r="2791" hidden="1">
      <c r="A2791" s="30"/>
      <c r="B2791" s="30"/>
      <c r="C2791" s="291"/>
      <c r="D2791" s="30"/>
      <c r="E2791" s="30"/>
    </row>
    <row r="2792" hidden="1">
      <c r="A2792" s="30"/>
      <c r="B2792" s="30"/>
      <c r="C2792" s="291"/>
      <c r="D2792" s="30"/>
      <c r="E2792" s="30"/>
    </row>
    <row r="2793" hidden="1">
      <c r="A2793" s="30"/>
      <c r="B2793" s="30"/>
      <c r="C2793" s="291"/>
      <c r="D2793" s="30"/>
      <c r="E2793" s="30"/>
    </row>
    <row r="2794" hidden="1">
      <c r="A2794" s="30"/>
      <c r="B2794" s="30"/>
      <c r="C2794" s="291"/>
      <c r="D2794" s="30"/>
      <c r="E2794" s="30"/>
    </row>
    <row r="2795" hidden="1">
      <c r="A2795" s="30"/>
      <c r="B2795" s="30"/>
      <c r="C2795" s="291"/>
      <c r="D2795" s="30"/>
      <c r="E2795" s="30"/>
    </row>
    <row r="2796" hidden="1">
      <c r="A2796" s="30"/>
      <c r="B2796" s="30"/>
      <c r="C2796" s="291"/>
      <c r="D2796" s="30"/>
      <c r="E2796" s="30"/>
    </row>
    <row r="2797" hidden="1">
      <c r="A2797" s="30"/>
      <c r="B2797" s="30"/>
      <c r="C2797" s="291"/>
      <c r="D2797" s="30"/>
      <c r="E2797" s="30"/>
    </row>
    <row r="2798" hidden="1">
      <c r="A2798" s="30"/>
      <c r="B2798" s="30"/>
      <c r="C2798" s="291"/>
      <c r="D2798" s="30"/>
      <c r="E2798" s="30"/>
    </row>
    <row r="2799" hidden="1">
      <c r="A2799" s="30"/>
      <c r="B2799" s="30"/>
      <c r="C2799" s="291"/>
      <c r="D2799" s="30"/>
      <c r="E2799" s="30"/>
    </row>
    <row r="2800" hidden="1">
      <c r="A2800" s="30"/>
      <c r="B2800" s="30"/>
      <c r="C2800" s="291"/>
      <c r="D2800" s="30"/>
      <c r="E2800" s="30"/>
    </row>
    <row r="2801" hidden="1">
      <c r="A2801" s="30"/>
      <c r="B2801" s="30"/>
      <c r="C2801" s="291"/>
      <c r="D2801" s="30"/>
      <c r="E2801" s="30"/>
    </row>
    <row r="2802" hidden="1">
      <c r="A2802" s="30"/>
      <c r="B2802" s="30"/>
      <c r="C2802" s="291"/>
      <c r="D2802" s="30"/>
      <c r="E2802" s="30"/>
    </row>
    <row r="2803" hidden="1">
      <c r="A2803" s="30"/>
      <c r="B2803" s="30"/>
      <c r="C2803" s="291"/>
      <c r="D2803" s="30"/>
      <c r="E2803" s="30"/>
    </row>
    <row r="2804" hidden="1">
      <c r="A2804" s="30"/>
      <c r="B2804" s="30"/>
      <c r="C2804" s="291"/>
      <c r="D2804" s="30"/>
      <c r="E2804" s="30"/>
    </row>
    <row r="2805" hidden="1">
      <c r="A2805" s="30"/>
      <c r="B2805" s="30"/>
      <c r="C2805" s="291"/>
      <c r="D2805" s="30"/>
      <c r="E2805" s="30"/>
    </row>
    <row r="2806" hidden="1">
      <c r="A2806" s="30"/>
      <c r="B2806" s="30"/>
      <c r="C2806" s="291"/>
      <c r="D2806" s="30"/>
      <c r="E2806" s="30"/>
    </row>
    <row r="2807" hidden="1">
      <c r="A2807" s="30"/>
      <c r="B2807" s="30"/>
      <c r="C2807" s="291"/>
      <c r="D2807" s="30"/>
      <c r="E2807" s="30"/>
    </row>
    <row r="2808" hidden="1">
      <c r="A2808" s="30"/>
      <c r="B2808" s="30"/>
      <c r="C2808" s="291"/>
      <c r="D2808" s="30"/>
      <c r="E2808" s="30"/>
    </row>
    <row r="2809" hidden="1">
      <c r="A2809" s="30"/>
      <c r="B2809" s="30"/>
      <c r="C2809" s="291"/>
      <c r="D2809" s="30"/>
      <c r="E2809" s="30"/>
    </row>
    <row r="2810" hidden="1">
      <c r="A2810" s="30"/>
      <c r="B2810" s="30"/>
      <c r="C2810" s="291"/>
      <c r="D2810" s="30"/>
      <c r="E2810" s="30"/>
    </row>
    <row r="2811" hidden="1">
      <c r="A2811" s="30"/>
      <c r="B2811" s="30"/>
      <c r="C2811" s="291"/>
      <c r="D2811" s="30"/>
      <c r="E2811" s="30"/>
    </row>
    <row r="2812" hidden="1">
      <c r="A2812" s="30"/>
      <c r="B2812" s="30"/>
      <c r="C2812" s="291"/>
      <c r="D2812" s="30"/>
      <c r="E2812" s="30"/>
    </row>
    <row r="2813" hidden="1">
      <c r="A2813" s="30"/>
      <c r="B2813" s="30"/>
      <c r="C2813" s="291"/>
      <c r="D2813" s="30"/>
      <c r="E2813" s="30"/>
    </row>
    <row r="2814" hidden="1">
      <c r="A2814" s="30"/>
      <c r="B2814" s="30"/>
      <c r="C2814" s="291"/>
      <c r="D2814" s="30"/>
      <c r="E2814" s="30"/>
    </row>
    <row r="2815" hidden="1">
      <c r="A2815" s="30"/>
      <c r="B2815" s="30"/>
      <c r="C2815" s="291"/>
      <c r="D2815" s="30"/>
      <c r="E2815" s="30"/>
    </row>
    <row r="2816" hidden="1">
      <c r="A2816" s="30"/>
      <c r="B2816" s="30"/>
      <c r="C2816" s="291"/>
      <c r="D2816" s="30"/>
      <c r="E2816" s="30"/>
    </row>
    <row r="2817" hidden="1">
      <c r="A2817" s="30"/>
      <c r="B2817" s="30"/>
      <c r="C2817" s="291"/>
      <c r="D2817" s="30"/>
      <c r="E2817" s="30"/>
    </row>
    <row r="2818" hidden="1">
      <c r="A2818" s="30"/>
      <c r="B2818" s="30"/>
      <c r="C2818" s="291"/>
      <c r="D2818" s="30"/>
      <c r="E2818" s="30"/>
    </row>
    <row r="2819" hidden="1">
      <c r="A2819" s="30"/>
      <c r="B2819" s="30"/>
      <c r="C2819" s="291"/>
      <c r="D2819" s="30"/>
      <c r="E2819" s="30"/>
    </row>
    <row r="2820" hidden="1">
      <c r="A2820" s="30"/>
      <c r="B2820" s="30"/>
      <c r="C2820" s="291"/>
      <c r="D2820" s="30"/>
      <c r="E2820" s="30"/>
    </row>
    <row r="2821" hidden="1">
      <c r="A2821" s="30"/>
      <c r="B2821" s="30"/>
      <c r="C2821" s="291"/>
      <c r="D2821" s="30"/>
      <c r="E2821" s="30"/>
    </row>
    <row r="2822" hidden="1">
      <c r="A2822" s="30"/>
      <c r="B2822" s="30"/>
      <c r="C2822" s="291"/>
      <c r="D2822" s="30"/>
      <c r="E2822" s="30"/>
    </row>
    <row r="2823" hidden="1">
      <c r="A2823" s="30"/>
      <c r="B2823" s="30"/>
      <c r="C2823" s="291"/>
      <c r="D2823" s="30"/>
      <c r="E2823" s="30"/>
    </row>
    <row r="2824" hidden="1">
      <c r="A2824" s="30"/>
      <c r="B2824" s="30"/>
      <c r="C2824" s="291"/>
      <c r="D2824" s="30"/>
      <c r="E2824" s="30"/>
    </row>
    <row r="2825" hidden="1">
      <c r="A2825" s="30"/>
      <c r="B2825" s="30"/>
      <c r="C2825" s="291"/>
      <c r="D2825" s="30"/>
      <c r="E2825" s="30"/>
    </row>
    <row r="2826" hidden="1">
      <c r="A2826" s="30"/>
      <c r="B2826" s="30"/>
      <c r="C2826" s="291"/>
      <c r="D2826" s="30"/>
      <c r="E2826" s="30"/>
    </row>
    <row r="2827" hidden="1">
      <c r="A2827" s="30"/>
      <c r="B2827" s="30"/>
      <c r="C2827" s="291"/>
      <c r="D2827" s="30"/>
      <c r="E2827" s="30"/>
    </row>
    <row r="2828" hidden="1">
      <c r="A2828" s="30"/>
      <c r="B2828" s="30"/>
      <c r="C2828" s="291"/>
      <c r="D2828" s="30"/>
      <c r="E2828" s="30"/>
    </row>
    <row r="2829" hidden="1">
      <c r="A2829" s="30"/>
      <c r="B2829" s="30"/>
      <c r="C2829" s="291"/>
      <c r="D2829" s="30"/>
      <c r="E2829" s="30"/>
    </row>
    <row r="2830" hidden="1">
      <c r="A2830" s="30"/>
      <c r="B2830" s="30"/>
      <c r="C2830" s="291"/>
      <c r="D2830" s="30"/>
      <c r="E2830" s="30"/>
    </row>
    <row r="2831" hidden="1">
      <c r="A2831" s="30"/>
      <c r="B2831" s="30"/>
      <c r="C2831" s="291"/>
      <c r="D2831" s="30"/>
      <c r="E2831" s="30"/>
    </row>
    <row r="2832" hidden="1">
      <c r="A2832" s="30"/>
      <c r="B2832" s="30"/>
      <c r="C2832" s="291"/>
      <c r="D2832" s="30"/>
      <c r="E2832" s="30"/>
    </row>
    <row r="2833" hidden="1">
      <c r="A2833" s="30"/>
      <c r="B2833" s="30"/>
      <c r="C2833" s="291"/>
      <c r="D2833" s="30"/>
      <c r="E2833" s="30"/>
    </row>
    <row r="2834" hidden="1">
      <c r="A2834" s="30"/>
      <c r="B2834" s="30"/>
      <c r="C2834" s="291"/>
      <c r="D2834" s="30"/>
      <c r="E2834" s="30"/>
    </row>
    <row r="2835" hidden="1">
      <c r="A2835" s="30"/>
      <c r="B2835" s="30"/>
      <c r="C2835" s="291"/>
      <c r="D2835" s="30"/>
      <c r="E2835" s="30"/>
    </row>
    <row r="2836" hidden="1">
      <c r="A2836" s="30"/>
      <c r="B2836" s="30"/>
      <c r="C2836" s="291"/>
      <c r="D2836" s="30"/>
      <c r="E2836" s="30"/>
    </row>
  </sheetData>
  <autoFilter ref="$A$1:$A$2836">
    <filterColumn colId="0">
      <filters>
        <filter val="select_one agree_likert"/>
        <filter val="select_one towns"/>
        <filter val="select_one region"/>
        <filter val="integer"/>
        <filter val="select_multiple emergency"/>
        <filter val="select_one yesno"/>
        <filter val="select_one unit"/>
        <filter val="select_multiple cons_week"/>
        <filter val="select_one husbandwife"/>
        <filter val="select_one unavail_why"/>
        <filter val="select_multiple towns"/>
        <filter val="text"/>
        <filter val="select_one mig_countries"/>
        <filter val="select_one interest"/>
        <filter val="select_multiple money_transfer"/>
        <filter val="select_one present"/>
        <filter val="select_multiple fail_reason"/>
        <filter val="select_one locality"/>
        <filter val="select_multiple assets"/>
        <filter val="select_one opinion_important"/>
        <filter val="select_multiple crops"/>
        <filter val="select_multiple savings_reasons"/>
        <filter val="select_one enum"/>
        <filter val="select_one yesnodk"/>
        <filter val="select_multiple cons_month"/>
        <filter val="decimal"/>
        <filter val="select_one countries"/>
        <filter val="select_one education"/>
        <filter val="select_one freq"/>
        <filter val="select_one resp"/>
        <filter val="note"/>
        <filter val="select_one worries"/>
        <filter val="select_one id"/>
        <filter val="select_one sex"/>
        <filter val="select_multiple changes"/>
        <filter val="select_one team"/>
        <filter val="select_one relation"/>
        <filter val="select_one commune"/>
        <filter val="select_multiple goods_transfer"/>
        <filter val="select_multiple topics"/>
        <filter val="select_one schools"/>
        <filter val="select_one call"/>
        <filter val="select_one patient"/>
        <filter val="select_multiple purchases"/>
        <filter val="select_multiple illness"/>
        <filter val="select_multiple support"/>
        <filter val="select_multiple countries"/>
        <filter val="select_one contact_relation"/>
        <filter val="select_one health"/>
        <filter val="select_one whyno_in"/>
        <filter val="select_multiple region"/>
        <filter val="select_multiple livestock"/>
        <filter val="select_multiple savings"/>
        <filter val="select_one comprehension"/>
        <filter val="select_one activities"/>
      </filters>
    </filterColumn>
  </autoFilter>
  <conditionalFormatting sqref="A652">
    <cfRule type="expression" dxfId="0" priority="1" stopIfTrue="1">
      <formula>$A655="begin group"</formula>
    </cfRule>
  </conditionalFormatting>
  <conditionalFormatting sqref="A652">
    <cfRule type="expression" dxfId="1" priority="2" stopIfTrue="1">
      <formula>$A655="begin repeat"</formula>
    </cfRule>
  </conditionalFormatting>
  <conditionalFormatting sqref="A652">
    <cfRule type="expression" dxfId="5" priority="3" stopIfTrue="1">
      <formula>OR(AND(LEFT($A655, 16)="select_multiple ", LEN($A655)&gt;16, NOT(ISNUMBER(SEARCH(" ", $A655, 17)))), AND(LEFT($A655, 11)="select_one ", LEN($A655)&gt;11, NOT(ISNUMBER(SEARCH(" ", $A655, 12)))))</formula>
    </cfRule>
  </conditionalFormatting>
  <conditionalFormatting sqref="A652">
    <cfRule type="expression" dxfId="32" priority="4" stopIfTrue="1">
      <formula>$A655="file"</formula>
    </cfRule>
  </conditionalFormatting>
  <conditionalFormatting sqref="A652">
    <cfRule type="expression" dxfId="7" priority="5" stopIfTrue="1">
      <formula>$A655="note"</formula>
    </cfRule>
  </conditionalFormatting>
  <conditionalFormatting sqref="A652">
    <cfRule type="expression" dxfId="8" priority="6" stopIfTrue="1">
      <formula>$A655="barcode"</formula>
    </cfRule>
  </conditionalFormatting>
  <conditionalFormatting sqref="A652">
    <cfRule type="expression" dxfId="9" priority="7" stopIfTrue="1">
      <formula>OR($A655="geopoint", $A655="geoshape", $A655="geotrace")</formula>
    </cfRule>
  </conditionalFormatting>
  <conditionalFormatting sqref="A652">
    <cfRule type="expression" dxfId="11" priority="8" stopIfTrue="1">
      <formula>OR($A655="date", $A655="datetime", $A655="time")</formula>
    </cfRule>
  </conditionalFormatting>
  <conditionalFormatting sqref="A652">
    <cfRule type="expression" dxfId="12" priority="9" stopIfTrue="1">
      <formula>$A655="image"</formula>
    </cfRule>
  </conditionalFormatting>
  <conditionalFormatting sqref="A652">
    <cfRule type="expression" dxfId="13" priority="10" stopIfTrue="1">
      <formula>OR($A655="audio", $A655="video")</formula>
    </cfRule>
  </conditionalFormatting>
  <conditionalFormatting sqref="A652">
    <cfRule type="expression" dxfId="31" priority="11" stopIfTrue="1">
      <formula>$A655="enumerator"</formula>
    </cfRule>
  </conditionalFormatting>
  <conditionalFormatting sqref="A652">
    <cfRule type="expression" dxfId="2" priority="12" stopIfTrue="1">
      <formula>$A655="text"</formula>
    </cfRule>
  </conditionalFormatting>
  <conditionalFormatting sqref="A652">
    <cfRule type="expression" dxfId="3" priority="13" stopIfTrue="1">
      <formula>$A655="integer"</formula>
    </cfRule>
  </conditionalFormatting>
  <conditionalFormatting sqref="A652">
    <cfRule type="expression" dxfId="4" priority="14" stopIfTrue="1">
      <formula>$A655="decimal"</formula>
    </cfRule>
  </conditionalFormatting>
  <conditionalFormatting sqref="B2001:C2836 D2001:E2357">
    <cfRule type="expression" dxfId="0" priority="15" stopIfTrue="1">
      <formula>$A2001="begin group"</formula>
    </cfRule>
  </conditionalFormatting>
  <conditionalFormatting sqref="B2001:C2836 D2001:E2357">
    <cfRule type="expression" dxfId="1" priority="16" stopIfTrue="1">
      <formula>$A2001="begin repeat"</formula>
    </cfRule>
  </conditionalFormatting>
  <conditionalFormatting sqref="B2001:E2836">
    <cfRule type="expression" dxfId="31" priority="17" stopIfTrue="1">
      <formula>$A2001="enumerator"</formula>
    </cfRule>
  </conditionalFormatting>
  <conditionalFormatting sqref="B2001:E2836">
    <cfRule type="expression" dxfId="2" priority="18" stopIfTrue="1">
      <formula>$A2001="text"</formula>
    </cfRule>
  </conditionalFormatting>
  <conditionalFormatting sqref="B2001:E2836">
    <cfRule type="expression" dxfId="3" priority="19" stopIfTrue="1">
      <formula>$A2001="integer"</formula>
    </cfRule>
  </conditionalFormatting>
  <conditionalFormatting sqref="B2001:E2836">
    <cfRule type="expression" dxfId="4" priority="20" stopIfTrue="1">
      <formula>$A2001="decimal"</formula>
    </cfRule>
  </conditionalFormatting>
  <conditionalFormatting sqref="B2001:C2836 D2001:E2357">
    <cfRule type="expression" dxfId="5" priority="21" stopIfTrue="1">
      <formula>OR(AND(LEFT($A2001, 16)="select_multiple ", LEN($A2001)&gt;16, NOT(ISNUMBER(SEARCH(" ", $A2001, 17)))), AND(LEFT($A2001, 11)="select_one ", LEN($A2001)&gt;11, NOT(ISNUMBER(SEARCH(" ", $A2001, 12)))))</formula>
    </cfRule>
  </conditionalFormatting>
  <conditionalFormatting sqref="B2001:B2836 C2128 C2296">
    <cfRule type="expression" dxfId="6" priority="22" stopIfTrue="1">
      <formula>OR($A2001="audio audit", $A2001="text audit", $A2001="speed violations count", $A2001="speed violations list", $A2001="speed violations audit")</formula>
    </cfRule>
  </conditionalFormatting>
  <conditionalFormatting sqref="B2001:C2836 D2001:E2357">
    <cfRule type="expression" dxfId="32" priority="23" stopIfTrue="1">
      <formula>$A2001="file"</formula>
    </cfRule>
  </conditionalFormatting>
  <conditionalFormatting sqref="B2001:C2836 D2001:E2357">
    <cfRule type="expression" dxfId="7" priority="24" stopIfTrue="1">
      <formula>$A2001="note"</formula>
    </cfRule>
  </conditionalFormatting>
  <conditionalFormatting sqref="B2001:C2836 D2001:E2357">
    <cfRule type="expression" dxfId="8" priority="25" stopIfTrue="1">
      <formula>$A2001="barcode"</formula>
    </cfRule>
  </conditionalFormatting>
  <conditionalFormatting sqref="B2001:C2836 D2001:E2357">
    <cfRule type="expression" dxfId="9" priority="26" stopIfTrue="1">
      <formula>OR($A2001="geopoint", $A2001="geoshape", $A2001="geotrace")</formula>
    </cfRule>
  </conditionalFormatting>
  <conditionalFormatting sqref="B2001:B2836 C2128 C2296">
    <cfRule type="expression" dxfId="10" priority="27" stopIfTrue="1">
      <formula>OR($A2001="calculate", $A2001="calculate_here")</formula>
    </cfRule>
  </conditionalFormatting>
  <conditionalFormatting sqref="B2001:C2836 D2001:E2357">
    <cfRule type="expression" dxfId="11" priority="28" stopIfTrue="1">
      <formula>OR($A2001="date", $A2001="datetime", $A2001="time")</formula>
    </cfRule>
  </conditionalFormatting>
  <conditionalFormatting sqref="B2001:C2836 D2001:E2357">
    <cfRule type="expression" dxfId="12" priority="29" stopIfTrue="1">
      <formula>$A2001="image"</formula>
    </cfRule>
  </conditionalFormatting>
  <conditionalFormatting sqref="B2001:C2836 D2001:E2357">
    <cfRule type="expression" dxfId="13" priority="30" stopIfTrue="1">
      <formula>OR($A2001="audio", $A2001="video")</formula>
    </cfRule>
  </conditionalFormatting>
  <conditionalFormatting sqref="B2001:E2836">
    <cfRule type="expression" dxfId="33" priority="31" stopIfTrue="1">
      <formula>$A2001="file"</formula>
    </cfRule>
  </conditionalFormatting>
  <conditionalFormatting sqref="B2001:E2836">
    <cfRule type="expression" dxfId="34" priority="32" stopIfTrue="1">
      <formula>$A2001="enumerator"</formula>
    </cfRule>
  </conditionalFormatting>
  <conditionalFormatting sqref="B2001:E2836">
    <cfRule type="expression" dxfId="35" priority="33" stopIfTrue="1">
      <formula>OR(AND(LEFT($A2001, 14)="sensor_stream ", LEN($A2001)&gt;14, NOT(ISNUMBER(SEARCH(" ", $A2001, 15)))), AND(LEFT($A2001, 17)="sensor_statistic ", LEN($A2001)&gt;17, NOT(ISNUMBER(SEARCH(" ", $A2001, 18)))))</formula>
    </cfRule>
  </conditionalFormatting>
  <conditionalFormatting sqref="B2001:E2836">
    <cfRule type="expression" dxfId="14" priority="34" stopIfTrue="1">
      <formula>$A2001="comments"</formula>
    </cfRule>
  </conditionalFormatting>
  <conditionalFormatting sqref="B2001:E2836">
    <cfRule type="expression" dxfId="15" priority="35" stopIfTrue="1">
      <formula>OR($A2001="audio", $A2001="video")</formula>
    </cfRule>
  </conditionalFormatting>
  <conditionalFormatting sqref="B2001:E2836">
    <cfRule type="expression" dxfId="16" priority="36" stopIfTrue="1">
      <formula>$A2001="image"</formula>
    </cfRule>
  </conditionalFormatting>
  <conditionalFormatting sqref="B2001:E2836">
    <cfRule type="expression" dxfId="17" priority="37" stopIfTrue="1">
      <formula>OR($A2001="date", $A2001="datetime", $A2001="time")</formula>
    </cfRule>
  </conditionalFormatting>
  <conditionalFormatting sqref="B2001:E2836">
    <cfRule type="expression" dxfId="18" priority="38" stopIfTrue="1">
      <formula>OR($A2001="calculate", $A2001="calculate_here")</formula>
    </cfRule>
  </conditionalFormatting>
  <conditionalFormatting sqref="B2001:E2836">
    <cfRule type="expression" dxfId="19" priority="39" stopIfTrue="1">
      <formula>$A2001="note"</formula>
    </cfRule>
  </conditionalFormatting>
  <conditionalFormatting sqref="B2001:E2836">
    <cfRule type="expression" dxfId="20" priority="40" stopIfTrue="1">
      <formula>$A2001="barcode"</formula>
    </cfRule>
  </conditionalFormatting>
  <conditionalFormatting sqref="B2001:E2836">
    <cfRule type="expression" dxfId="21" priority="41" stopIfTrue="1">
      <formula>OR($A2001="geopoint", $A2001="geoshape", $A2001="geotrace")</formula>
    </cfRule>
  </conditionalFormatting>
  <conditionalFormatting sqref="B2001:E2836">
    <cfRule type="expression" dxfId="22" priority="42" stopIfTrue="1">
      <formula>OR($A2001="audio audit", $A2001="text audit", $A2001="speed violations count", $A2001="speed violations list", $A2001="speed violations audit")</formula>
    </cfRule>
  </conditionalFormatting>
  <conditionalFormatting sqref="B2001:E2836">
    <cfRule type="expression" dxfId="23" priority="43" stopIfTrue="1">
      <formula>OR($A2001="username", $A2001="phonenumber", $A2001="start", $A2001="end", $A2001="deviceid", $A2001="subscriberid", $A2001="simserial", $A2001="caseid")</formula>
    </cfRule>
  </conditionalFormatting>
  <conditionalFormatting sqref="B2001:E2836">
    <cfRule type="expression" dxfId="24" priority="44" stopIfTrue="1">
      <formula>OR(AND(LEFT($A2001, 16)="select_multiple ", LEN($A2001)&gt;16, NOT(ISNUMBER(SEARCH(" ", $A2001, 17)))), AND(LEFT($A2001, 11)="select_one ", LEN($A2001)&gt;11, NOT(ISNUMBER(SEARCH(" ", $A2001, 12)))))</formula>
    </cfRule>
  </conditionalFormatting>
  <conditionalFormatting sqref="B2001:E2836">
    <cfRule type="expression" dxfId="25" priority="45" stopIfTrue="1">
      <formula>$A2001="decimal"</formula>
    </cfRule>
  </conditionalFormatting>
  <conditionalFormatting sqref="B2001:E2836">
    <cfRule type="expression" dxfId="26" priority="46" stopIfTrue="1">
      <formula>$A2001="integer"</formula>
    </cfRule>
  </conditionalFormatting>
  <conditionalFormatting sqref="B2001:E2836">
    <cfRule type="expression" dxfId="27" priority="47" stopIfTrue="1">
      <formula>$A2001="text"</formula>
    </cfRule>
  </conditionalFormatting>
  <conditionalFormatting sqref="B2001:E2836">
    <cfRule type="expression" dxfId="28" priority="48" stopIfTrue="1">
      <formula>$A2001="end repeat"</formula>
    </cfRule>
  </conditionalFormatting>
  <conditionalFormatting sqref="B2001:E2836">
    <cfRule type="expression" dxfId="28" priority="49" stopIfTrue="1">
      <formula>$A2001="begin repeat"</formula>
    </cfRule>
  </conditionalFormatting>
  <conditionalFormatting sqref="B2001:E2836">
    <cfRule type="expression" dxfId="29" priority="50" stopIfTrue="1">
      <formula>$A2001="end group"</formula>
    </cfRule>
  </conditionalFormatting>
  <conditionalFormatting sqref="B2001:E2836">
    <cfRule type="expression" dxfId="29" priority="51" stopIfTrue="1">
      <formula>$A2001="begin group"</formula>
    </cfRule>
  </conditionalFormatting>
  <conditionalFormatting sqref="B2001:B2836 C2128 C2296">
    <cfRule type="expression" dxfId="30" priority="52" stopIfTrue="1">
      <formula>$A2001="comments"</formula>
    </cfRule>
  </conditionalFormatting>
  <conditionalFormatting sqref="B2001:B2836 C2128 C2296">
    <cfRule type="expression" dxfId="36" priority="53" stopIfTrue="1">
      <formula>OR(AND(LEFT($A2001, 14)="sensor_stream ", LEN($A2001)&gt;14, NOT(ISNUMBER(SEARCH(" ", $A2001, 15)))), AND(LEFT($A2001, 17)="sensor_statistic ", LEN($A2001)&gt;17, NOT(ISNUMBER(SEARCH(" ", $A2001, 18)))))</formula>
    </cfRule>
  </conditionalFormatting>
  <conditionalFormatting sqref="B1:B1339 C1:C654 D1:E1339 A84 A105:A108 A112 A341:A345 C656:C1339">
    <cfRule type="expression" dxfId="0" priority="54" stopIfTrue="1">
      <formula>$A1="begin group"</formula>
    </cfRule>
  </conditionalFormatting>
  <conditionalFormatting sqref="B1:B1339 C1:C654 D1:E1339 A84 A105:A108 A112 A341:A345 C656:C1339">
    <cfRule type="expression" dxfId="1" priority="55" stopIfTrue="1">
      <formula>$A1="begin repeat"</formula>
    </cfRule>
  </conditionalFormatting>
  <conditionalFormatting sqref="B1:B1339 C1:C654 D1:E1339 A84 A105:A108 A112 A341:A345 C656:C1339">
    <cfRule type="expression" dxfId="31" priority="56" stopIfTrue="1">
      <formula>$A1="enumerator"</formula>
    </cfRule>
  </conditionalFormatting>
  <conditionalFormatting sqref="B1:B1339 C1:C654 D1:E1339 A84 A105:A108 A112 A341:A345 C656:C1339">
    <cfRule type="expression" dxfId="2" priority="57" stopIfTrue="1">
      <formula>$A1="text"</formula>
    </cfRule>
  </conditionalFormatting>
  <conditionalFormatting sqref="B1:B1339 C1:C654 D1:E1339 A84 A105:A108 A112 A341:A345 C656:C1339">
    <cfRule type="expression" dxfId="3" priority="58" stopIfTrue="1">
      <formula>$A1="integer"</formula>
    </cfRule>
  </conditionalFormatting>
  <conditionalFormatting sqref="B1:B1339 C1:C654 D1:E1339 A84 A105:A108 A112 A341:A345 C656:C1339">
    <cfRule type="expression" dxfId="4" priority="59" stopIfTrue="1">
      <formula>$A1="decimal"</formula>
    </cfRule>
  </conditionalFormatting>
  <conditionalFormatting sqref="B1:B1339 C1:C654 D1:E1339 A84 A105:A108 A112 A341:A345 C656:C1339">
    <cfRule type="expression" dxfId="5" priority="60" stopIfTrue="1">
      <formula>OR(AND(LEFT($A1, 16)="select_multiple ", LEN($A1)&gt;16, NOT(ISNUMBER(SEARCH(" ", $A1, 17)))), AND(LEFT($A1, 11)="select_one ", LEN($A1)&gt;11, NOT(ISNUMBER(SEARCH(" ", $A1, 12)))))</formula>
    </cfRule>
  </conditionalFormatting>
  <conditionalFormatting sqref="B1:B1339 C1:E1 A84 C84:C85 A105:A108 C105:E108 C114 C249:C250 C284 C457 C627 C799">
    <cfRule type="expression" dxfId="6" priority="61" stopIfTrue="1">
      <formula>OR($A1="audio audit", $A1="text audit", $A1="speed violations count", $A1="speed violations list", $A1="speed violations audit")</formula>
    </cfRule>
  </conditionalFormatting>
  <conditionalFormatting sqref="B1:B1339 C1:C654 D1:E1339 A84 A105:A108 A112 A341:A345 C656:C1339">
    <cfRule type="expression" dxfId="32" priority="62" stopIfTrue="1">
      <formula>$A1="file"</formula>
    </cfRule>
  </conditionalFormatting>
  <conditionalFormatting sqref="B1:B1339 C1:C654 D1:E1339 A84 A105:A108 A112 A341:A345 C656:C1339">
    <cfRule type="expression" dxfId="7" priority="63" stopIfTrue="1">
      <formula>$A1="note"</formula>
    </cfRule>
  </conditionalFormatting>
  <conditionalFormatting sqref="B1:B1339 C1:C654 D1:E1339 A84 A105:A108 A112 A341:A345 C656:C1339">
    <cfRule type="expression" dxfId="8" priority="64" stopIfTrue="1">
      <formula>$A1="barcode"</formula>
    </cfRule>
  </conditionalFormatting>
  <conditionalFormatting sqref="B1:B1339 C1:C654 D1:E1339 A84 A105:A108 A112 A341:A345 C656:C1339">
    <cfRule type="expression" dxfId="9" priority="65" stopIfTrue="1">
      <formula>OR($A1="geopoint", $A1="geoshape", $A1="geotrace")</formula>
    </cfRule>
  </conditionalFormatting>
  <conditionalFormatting sqref="B1:B1339 C1:E1 A84 C84:C85 A105:A108 C105:E108 C114 C249:C250 C284 C457 C627 C799">
    <cfRule type="expression" dxfId="10" priority="66" stopIfTrue="1">
      <formula>OR($A1="calculate", $A1="calculate_here")</formula>
    </cfRule>
  </conditionalFormatting>
  <conditionalFormatting sqref="B1:B1339 C1:C654 D1:E1339 A84 A105:A108 A112 A341:A345 C656:C1339">
    <cfRule type="expression" dxfId="11" priority="67" stopIfTrue="1">
      <formula>OR($A1="date", $A1="datetime", $A1="time")</formula>
    </cfRule>
  </conditionalFormatting>
  <conditionalFormatting sqref="B1:B1339 C1:C654 D1:E1339 A84 A105:A108 A112 A341:A345 C656:C1339">
    <cfRule type="expression" dxfId="12" priority="68" stopIfTrue="1">
      <formula>$A1="image"</formula>
    </cfRule>
  </conditionalFormatting>
  <conditionalFormatting sqref="B1:B1339 C1:C654 D1:E1339 A84 A105:A108 A112 A341:A345 C656:C1339">
    <cfRule type="expression" dxfId="13" priority="69" stopIfTrue="1">
      <formula>OR($A1="audio", $A1="video")</formula>
    </cfRule>
  </conditionalFormatting>
  <conditionalFormatting sqref="A1:E1339">
    <cfRule type="expression" dxfId="33" priority="70" stopIfTrue="1">
      <formula>$A1="file"</formula>
    </cfRule>
  </conditionalFormatting>
  <conditionalFormatting sqref="A1:E1339">
    <cfRule type="expression" dxfId="34" priority="71" stopIfTrue="1">
      <formula>$A1="enumerator"</formula>
    </cfRule>
  </conditionalFormatting>
  <conditionalFormatting sqref="A1:E1339">
    <cfRule type="expression" dxfId="35" priority="72" stopIfTrue="1">
      <formula>OR(AND(LEFT($A1, 14)="sensor_stream ", LEN($A1)&gt;14, NOT(ISNUMBER(SEARCH(" ", $A1, 15)))), AND(LEFT($A1, 17)="sensor_statistic ", LEN($A1)&gt;17, NOT(ISNUMBER(SEARCH(" ", $A1, 18)))))</formula>
    </cfRule>
  </conditionalFormatting>
  <conditionalFormatting sqref="A1:E1339">
    <cfRule type="expression" dxfId="14" priority="73" stopIfTrue="1">
      <formula>$A1="comments"</formula>
    </cfRule>
  </conditionalFormatting>
  <conditionalFormatting sqref="A1:E1339">
    <cfRule type="expression" dxfId="15" priority="74" stopIfTrue="1">
      <formula>OR($A1="audio", $A1="video")</formula>
    </cfRule>
  </conditionalFormatting>
  <conditionalFormatting sqref="A1:E1339">
    <cfRule type="expression" dxfId="16" priority="75" stopIfTrue="1">
      <formula>$A1="image"</formula>
    </cfRule>
  </conditionalFormatting>
  <conditionalFormatting sqref="A1:E1339">
    <cfRule type="expression" dxfId="17" priority="76" stopIfTrue="1">
      <formula>OR($A1="date", $A1="datetime", $A1="time")</formula>
    </cfRule>
  </conditionalFormatting>
  <conditionalFormatting sqref="A1:E1339">
    <cfRule type="expression" dxfId="18" priority="77" stopIfTrue="1">
      <formula>OR($A1="calculate", $A1="calculate_here")</formula>
    </cfRule>
  </conditionalFormatting>
  <conditionalFormatting sqref="A1:E1339">
    <cfRule type="expression" dxfId="19" priority="78" stopIfTrue="1">
      <formula>$A1="note"</formula>
    </cfRule>
  </conditionalFormatting>
  <conditionalFormatting sqref="A1:E1339">
    <cfRule type="expression" dxfId="20" priority="79" stopIfTrue="1">
      <formula>$A1="barcode"</formula>
    </cfRule>
  </conditionalFormatting>
  <conditionalFormatting sqref="A1:E1339">
    <cfRule type="expression" dxfId="21" priority="80" stopIfTrue="1">
      <formula>OR($A1="geopoint", $A1="geoshape", $A1="geotrace")</formula>
    </cfRule>
  </conditionalFormatting>
  <conditionalFormatting sqref="A1:E1339">
    <cfRule type="expression" dxfId="22" priority="81" stopIfTrue="1">
      <formula>OR($A1="audio audit", $A1="text audit", $A1="speed violations count", $A1="speed violations list", $A1="speed violations audit")</formula>
    </cfRule>
  </conditionalFormatting>
  <conditionalFormatting sqref="A1:E1339">
    <cfRule type="expression" dxfId="23" priority="82" stopIfTrue="1">
      <formula>OR($A1="username", $A1="phonenumber", $A1="start", $A1="end", $A1="deviceid", $A1="subscriberid", $A1="simserial", $A1="caseid")</formula>
    </cfRule>
  </conditionalFormatting>
  <conditionalFormatting sqref="A1:E1339">
    <cfRule type="expression" dxfId="24" priority="83" stopIfTrue="1">
      <formula>OR(AND(LEFT($A1, 16)="select_multiple ", LEN($A1)&gt;16, NOT(ISNUMBER(SEARCH(" ", $A1, 17)))), AND(LEFT($A1, 11)="select_one ", LEN($A1)&gt;11, NOT(ISNUMBER(SEARCH(" ", $A1, 12)))))</formula>
    </cfRule>
  </conditionalFormatting>
  <conditionalFormatting sqref="A1:E1339">
    <cfRule type="expression" dxfId="25" priority="84" stopIfTrue="1">
      <formula>$A1="decimal"</formula>
    </cfRule>
  </conditionalFormatting>
  <conditionalFormatting sqref="A1:E1339">
    <cfRule type="expression" dxfId="26" priority="85" stopIfTrue="1">
      <formula>$A1="integer"</formula>
    </cfRule>
  </conditionalFormatting>
  <conditionalFormatting sqref="A1:E1339">
    <cfRule type="expression" dxfId="27" priority="86" stopIfTrue="1">
      <formula>$A1="text"</formula>
    </cfRule>
  </conditionalFormatting>
  <conditionalFormatting sqref="A1:E1339">
    <cfRule type="expression" dxfId="28" priority="87" stopIfTrue="1">
      <formula>$A1="end repeat"</formula>
    </cfRule>
  </conditionalFormatting>
  <conditionalFormatting sqref="A1:E1339">
    <cfRule type="expression" dxfId="28" priority="88" stopIfTrue="1">
      <formula>$A1="begin repeat"</formula>
    </cfRule>
  </conditionalFormatting>
  <conditionalFormatting sqref="A1:E1339">
    <cfRule type="expression" dxfId="29" priority="89" stopIfTrue="1">
      <formula>$A1="end group"</formula>
    </cfRule>
  </conditionalFormatting>
  <conditionalFormatting sqref="A1:E1339">
    <cfRule type="expression" dxfId="29" priority="90" stopIfTrue="1">
      <formula>$A1="begin group"</formula>
    </cfRule>
  </conditionalFormatting>
  <conditionalFormatting sqref="B1:B1339 C1:E1 A84 C84:C85 A105:A108 C105:E108 C114 C249:C250 C284 C457 C627 C799">
    <cfRule type="expression" dxfId="30" priority="91" stopIfTrue="1">
      <formula>$A1="comments"</formula>
    </cfRule>
  </conditionalFormatting>
  <conditionalFormatting sqref="B1:B1339 C1:E1 A84 C84:C85 A105:A108 C105:E108 C114 C249:C250 C284 C457 C627 C799">
    <cfRule type="expression" dxfId="36" priority="92" stopIfTrue="1">
      <formula>OR(AND(LEFT($A1, 14)="sensor_stream ", LEN($A1)&gt;14, NOT(ISNUMBER(SEARCH(" ", $A1, 15)))), AND(LEFT($A1, 17)="sensor_statistic ", LEN($A1)&gt;17, NOT(ISNUMBER(SEARCH(" ", $A1, 18)))))</formula>
    </cfRule>
  </conditionalFormatting>
  <conditionalFormatting sqref="B804:C808 D804:E808">
    <cfRule type="expression" dxfId="0" priority="93" stopIfTrue="1">
      <formula>$A804="begin group"</formula>
    </cfRule>
  </conditionalFormatting>
  <conditionalFormatting sqref="B804:C808 D804:E808">
    <cfRule type="expression" dxfId="1" priority="94" stopIfTrue="1">
      <formula>$A804="begin repeat"</formula>
    </cfRule>
  </conditionalFormatting>
  <conditionalFormatting sqref="B804:E808">
    <cfRule type="expression" dxfId="31" priority="95" stopIfTrue="1">
      <formula>$A804="enumerator"</formula>
    </cfRule>
  </conditionalFormatting>
  <conditionalFormatting sqref="B804:E808">
    <cfRule type="expression" dxfId="2" priority="96" stopIfTrue="1">
      <formula>$A804="text"</formula>
    </cfRule>
  </conditionalFormatting>
  <conditionalFormatting sqref="B804:E808">
    <cfRule type="expression" dxfId="3" priority="97" stopIfTrue="1">
      <formula>$A804="integer"</formula>
    </cfRule>
  </conditionalFormatting>
  <conditionalFormatting sqref="B804:E808">
    <cfRule type="expression" dxfId="4" priority="98" stopIfTrue="1">
      <formula>$A804="decimal"</formula>
    </cfRule>
  </conditionalFormatting>
  <conditionalFormatting sqref="B804:C808 D804:E808">
    <cfRule type="expression" dxfId="5" priority="99" stopIfTrue="1">
      <formula>OR(AND(LEFT($A804, 16)="select_multiple ", LEN($A804)&gt;16, NOT(ISNUMBER(SEARCH(" ", $A804, 17)))), AND(LEFT($A804, 11)="select_one ", LEN($A804)&gt;11, NOT(ISNUMBER(SEARCH(" ", $A804, 12)))))</formula>
    </cfRule>
  </conditionalFormatting>
  <conditionalFormatting sqref="B804:B808">
    <cfRule type="expression" dxfId="6" priority="100" stopIfTrue="1">
      <formula>OR($A804="audio audit", $A804="text audit", $A804="speed violations count", $A804="speed violations list", $A804="speed violations audit")</formula>
    </cfRule>
  </conditionalFormatting>
  <conditionalFormatting sqref="B804:C808 D804:E808">
    <cfRule type="expression" dxfId="32" priority="101" stopIfTrue="1">
      <formula>$A804="file"</formula>
    </cfRule>
  </conditionalFormatting>
  <conditionalFormatting sqref="B804:C808 D804:E808">
    <cfRule type="expression" dxfId="7" priority="102" stopIfTrue="1">
      <formula>$A804="note"</formula>
    </cfRule>
  </conditionalFormatting>
  <conditionalFormatting sqref="B804:C808 D804:E808">
    <cfRule type="expression" dxfId="8" priority="103" stopIfTrue="1">
      <formula>$A804="barcode"</formula>
    </cfRule>
  </conditionalFormatting>
  <conditionalFormatting sqref="B804:C808 D804:E808">
    <cfRule type="expression" dxfId="9" priority="104" stopIfTrue="1">
      <formula>OR($A804="geopoint", $A804="geoshape", $A804="geotrace")</formula>
    </cfRule>
  </conditionalFormatting>
  <conditionalFormatting sqref="B804:B808">
    <cfRule type="expression" dxfId="10" priority="105" stopIfTrue="1">
      <formula>OR($A804="calculate", $A804="calculate_here")</formula>
    </cfRule>
  </conditionalFormatting>
  <conditionalFormatting sqref="B804:C808 D804:E808">
    <cfRule type="expression" dxfId="11" priority="106" stopIfTrue="1">
      <formula>OR($A804="date", $A804="datetime", $A804="time")</formula>
    </cfRule>
  </conditionalFormatting>
  <conditionalFormatting sqref="B804:C808 D804:E808">
    <cfRule type="expression" dxfId="12" priority="107" stopIfTrue="1">
      <formula>$A804="image"</formula>
    </cfRule>
  </conditionalFormatting>
  <conditionalFormatting sqref="B804:C808 D804:E808">
    <cfRule type="expression" dxfId="13" priority="108" stopIfTrue="1">
      <formula>OR($A804="audio", $A804="video")</formula>
    </cfRule>
  </conditionalFormatting>
  <conditionalFormatting sqref="B804:E808">
    <cfRule type="expression" dxfId="33" priority="109" stopIfTrue="1">
      <formula>$A804="file"</formula>
    </cfRule>
  </conditionalFormatting>
  <conditionalFormatting sqref="B804:E808">
    <cfRule type="expression" dxfId="34" priority="110" stopIfTrue="1">
      <formula>$A804="enumerator"</formula>
    </cfRule>
  </conditionalFormatting>
  <conditionalFormatting sqref="B804:E808">
    <cfRule type="expression" dxfId="35" priority="111" stopIfTrue="1">
      <formula>OR(AND(LEFT($A804, 14)="sensor_stream ", LEN($A804)&gt;14, NOT(ISNUMBER(SEARCH(" ", $A804, 15)))), AND(LEFT($A804, 17)="sensor_statistic ", LEN($A804)&gt;17, NOT(ISNUMBER(SEARCH(" ", $A804, 18)))))</formula>
    </cfRule>
  </conditionalFormatting>
  <conditionalFormatting sqref="B804:E808">
    <cfRule type="expression" dxfId="14" priority="112" stopIfTrue="1">
      <formula>$A804="comments"</formula>
    </cfRule>
  </conditionalFormatting>
  <conditionalFormatting sqref="B804:E808">
    <cfRule type="expression" dxfId="15" priority="113" stopIfTrue="1">
      <formula>OR($A804="audio", $A804="video")</formula>
    </cfRule>
  </conditionalFormatting>
  <conditionalFormatting sqref="B804:E808">
    <cfRule type="expression" dxfId="16" priority="114" stopIfTrue="1">
      <formula>$A804="image"</formula>
    </cfRule>
  </conditionalFormatting>
  <conditionalFormatting sqref="B804:E808">
    <cfRule type="expression" dxfId="17" priority="115" stopIfTrue="1">
      <formula>OR($A804="date", $A804="datetime", $A804="time")</formula>
    </cfRule>
  </conditionalFormatting>
  <conditionalFormatting sqref="B804:E808">
    <cfRule type="expression" dxfId="18" priority="116" stopIfTrue="1">
      <formula>OR($A804="calculate", $A804="calculate_here")</formula>
    </cfRule>
  </conditionalFormatting>
  <conditionalFormatting sqref="B804:E808">
    <cfRule type="expression" dxfId="19" priority="117" stopIfTrue="1">
      <formula>$A804="note"</formula>
    </cfRule>
  </conditionalFormatting>
  <conditionalFormatting sqref="B804:E808">
    <cfRule type="expression" dxfId="20" priority="118" stopIfTrue="1">
      <formula>$A804="barcode"</formula>
    </cfRule>
  </conditionalFormatting>
  <conditionalFormatting sqref="B804:E808">
    <cfRule type="expression" dxfId="21" priority="119" stopIfTrue="1">
      <formula>OR($A804="geopoint", $A804="geoshape", $A804="geotrace")</formula>
    </cfRule>
  </conditionalFormatting>
  <conditionalFormatting sqref="B804:E808">
    <cfRule type="expression" dxfId="22" priority="120" stopIfTrue="1">
      <formula>OR($A804="audio audit", $A804="text audit", $A804="speed violations count", $A804="speed violations list", $A804="speed violations audit")</formula>
    </cfRule>
  </conditionalFormatting>
  <conditionalFormatting sqref="B804:E808">
    <cfRule type="expression" dxfId="23" priority="121" stopIfTrue="1">
      <formula>OR($A804="username", $A804="phonenumber", $A804="start", $A804="end", $A804="deviceid", $A804="subscriberid", $A804="simserial", $A804="caseid")</formula>
    </cfRule>
  </conditionalFormatting>
  <conditionalFormatting sqref="B804:E808">
    <cfRule type="expression" dxfId="24" priority="122" stopIfTrue="1">
      <formula>OR(AND(LEFT($A804, 16)="select_multiple ", LEN($A804)&gt;16, NOT(ISNUMBER(SEARCH(" ", $A804, 17)))), AND(LEFT($A804, 11)="select_one ", LEN($A804)&gt;11, NOT(ISNUMBER(SEARCH(" ", $A804, 12)))))</formula>
    </cfRule>
  </conditionalFormatting>
  <conditionalFormatting sqref="B804:E808">
    <cfRule type="expression" dxfId="25" priority="123" stopIfTrue="1">
      <formula>$A804="decimal"</formula>
    </cfRule>
  </conditionalFormatting>
  <conditionalFormatting sqref="B804:E808">
    <cfRule type="expression" dxfId="26" priority="124" stopIfTrue="1">
      <formula>$A804="integer"</formula>
    </cfRule>
  </conditionalFormatting>
  <conditionalFormatting sqref="B804:E808">
    <cfRule type="expression" dxfId="27" priority="125" stopIfTrue="1">
      <formula>$A804="text"</formula>
    </cfRule>
  </conditionalFormatting>
  <conditionalFormatting sqref="B804:E808">
    <cfRule type="expression" dxfId="28" priority="126" stopIfTrue="1">
      <formula>$A804="end repeat"</formula>
    </cfRule>
  </conditionalFormatting>
  <conditionalFormatting sqref="B804:E808">
    <cfRule type="expression" dxfId="28" priority="127" stopIfTrue="1">
      <formula>$A804="begin repeat"</formula>
    </cfRule>
  </conditionalFormatting>
  <conditionalFormatting sqref="B804:E808">
    <cfRule type="expression" dxfId="29" priority="128" stopIfTrue="1">
      <formula>$A804="end group"</formula>
    </cfRule>
  </conditionalFormatting>
  <conditionalFormatting sqref="B804:E808">
    <cfRule type="expression" dxfId="29" priority="129" stopIfTrue="1">
      <formula>$A804="begin group"</formula>
    </cfRule>
  </conditionalFormatting>
  <conditionalFormatting sqref="B804:B808">
    <cfRule type="expression" dxfId="30" priority="130" stopIfTrue="1">
      <formula>$A804="comments"</formula>
    </cfRule>
  </conditionalFormatting>
  <conditionalFormatting sqref="B804:B808">
    <cfRule type="expression" dxfId="36" priority="131" stopIfTrue="1">
      <formula>OR(AND(LEFT($A804, 14)="sensor_stream ", LEN($A804)&gt;14, NOT(ISNUMBER(SEARCH(" ", $A804, 15)))), AND(LEFT($A804, 17)="sensor_statistic ", LEN($A804)&gt;17, NOT(ISNUMBER(SEARCH(" ", $A804, 18)))))</formula>
    </cfRule>
  </conditionalFormatting>
  <conditionalFormatting sqref="B795:C800 D795:E800">
    <cfRule type="expression" dxfId="0" priority="132" stopIfTrue="1">
      <formula>$A795="begin group"</formula>
    </cfRule>
  </conditionalFormatting>
  <conditionalFormatting sqref="B795:C800 D795:E800">
    <cfRule type="expression" dxfId="1" priority="133" stopIfTrue="1">
      <formula>$A795="begin repeat"</formula>
    </cfRule>
  </conditionalFormatting>
  <conditionalFormatting sqref="B795:E800">
    <cfRule type="expression" dxfId="31" priority="134" stopIfTrue="1">
      <formula>$A795="enumerator"</formula>
    </cfRule>
  </conditionalFormatting>
  <conditionalFormatting sqref="B795:E800">
    <cfRule type="expression" dxfId="2" priority="135" stopIfTrue="1">
      <formula>$A795="text"</formula>
    </cfRule>
  </conditionalFormatting>
  <conditionalFormatting sqref="B795:E800">
    <cfRule type="expression" dxfId="3" priority="136" stopIfTrue="1">
      <formula>$A795="integer"</formula>
    </cfRule>
  </conditionalFormatting>
  <conditionalFormatting sqref="B795:E800">
    <cfRule type="expression" dxfId="4" priority="137" stopIfTrue="1">
      <formula>$A795="decimal"</formula>
    </cfRule>
  </conditionalFormatting>
  <conditionalFormatting sqref="B795:C800 D795:E800">
    <cfRule type="expression" dxfId="5" priority="138" stopIfTrue="1">
      <formula>OR(AND(LEFT($A795, 16)="select_multiple ", LEN($A795)&gt;16, NOT(ISNUMBER(SEARCH(" ", $A795, 17)))), AND(LEFT($A795, 11)="select_one ", LEN($A795)&gt;11, NOT(ISNUMBER(SEARCH(" ", $A795, 12)))))</formula>
    </cfRule>
  </conditionalFormatting>
  <conditionalFormatting sqref="B795:B800">
    <cfRule type="expression" dxfId="6" priority="139" stopIfTrue="1">
      <formula>OR($A795="audio audit", $A795="text audit", $A795="speed violations count", $A795="speed violations list", $A795="speed violations audit")</formula>
    </cfRule>
  </conditionalFormatting>
  <conditionalFormatting sqref="B795:C800 D795:E800">
    <cfRule type="expression" dxfId="32" priority="140" stopIfTrue="1">
      <formula>$A795="file"</formula>
    </cfRule>
  </conditionalFormatting>
  <conditionalFormatting sqref="B795:C800 D795:E800">
    <cfRule type="expression" dxfId="7" priority="141" stopIfTrue="1">
      <formula>$A795="note"</formula>
    </cfRule>
  </conditionalFormatting>
  <conditionalFormatting sqref="B795:C800 D795:E800">
    <cfRule type="expression" dxfId="8" priority="142" stopIfTrue="1">
      <formula>$A795="barcode"</formula>
    </cfRule>
  </conditionalFormatting>
  <conditionalFormatting sqref="B795:C800 D795:E800">
    <cfRule type="expression" dxfId="9" priority="143" stopIfTrue="1">
      <formula>OR($A795="geopoint", $A795="geoshape", $A795="geotrace")</formula>
    </cfRule>
  </conditionalFormatting>
  <conditionalFormatting sqref="B795:B800">
    <cfRule type="expression" dxfId="10" priority="144" stopIfTrue="1">
      <formula>OR($A795="calculate", $A795="calculate_here")</formula>
    </cfRule>
  </conditionalFormatting>
  <conditionalFormatting sqref="B795:C800 D795:E800">
    <cfRule type="expression" dxfId="11" priority="145" stopIfTrue="1">
      <formula>OR($A795="date", $A795="datetime", $A795="time")</formula>
    </cfRule>
  </conditionalFormatting>
  <conditionalFormatting sqref="B795:C800 D795:E800">
    <cfRule type="expression" dxfId="12" priority="146" stopIfTrue="1">
      <formula>$A795="image"</formula>
    </cfRule>
  </conditionalFormatting>
  <conditionalFormatting sqref="B795:C800 D795:E800">
    <cfRule type="expression" dxfId="13" priority="147" stopIfTrue="1">
      <formula>OR($A795="audio", $A795="video")</formula>
    </cfRule>
  </conditionalFormatting>
  <conditionalFormatting sqref="B795:E800">
    <cfRule type="expression" dxfId="33" priority="148" stopIfTrue="1">
      <formula>$A795="file"</formula>
    </cfRule>
  </conditionalFormatting>
  <conditionalFormatting sqref="B795:E800">
    <cfRule type="expression" dxfId="34" priority="149" stopIfTrue="1">
      <formula>$A795="enumerator"</formula>
    </cfRule>
  </conditionalFormatting>
  <conditionalFormatting sqref="B795:E800">
    <cfRule type="expression" dxfId="35" priority="150" stopIfTrue="1">
      <formula>OR(AND(LEFT($A795, 14)="sensor_stream ", LEN($A795)&gt;14, NOT(ISNUMBER(SEARCH(" ", $A795, 15)))), AND(LEFT($A795, 17)="sensor_statistic ", LEN($A795)&gt;17, NOT(ISNUMBER(SEARCH(" ", $A795, 18)))))</formula>
    </cfRule>
  </conditionalFormatting>
  <conditionalFormatting sqref="B795:E800">
    <cfRule type="expression" dxfId="14" priority="151" stopIfTrue="1">
      <formula>$A795="comments"</formula>
    </cfRule>
  </conditionalFormatting>
  <conditionalFormatting sqref="B795:E800">
    <cfRule type="expression" dxfId="15" priority="152" stopIfTrue="1">
      <formula>OR($A795="audio", $A795="video")</formula>
    </cfRule>
  </conditionalFormatting>
  <conditionalFormatting sqref="B795:E800">
    <cfRule type="expression" dxfId="16" priority="153" stopIfTrue="1">
      <formula>$A795="image"</formula>
    </cfRule>
  </conditionalFormatting>
  <conditionalFormatting sqref="B795:E800">
    <cfRule type="expression" dxfId="17" priority="154" stopIfTrue="1">
      <formula>OR($A795="date", $A795="datetime", $A795="time")</formula>
    </cfRule>
  </conditionalFormatting>
  <conditionalFormatting sqref="B795:E800">
    <cfRule type="expression" dxfId="18" priority="155" stopIfTrue="1">
      <formula>OR($A795="calculate", $A795="calculate_here")</formula>
    </cfRule>
  </conditionalFormatting>
  <conditionalFormatting sqref="B795:E800">
    <cfRule type="expression" dxfId="19" priority="156" stopIfTrue="1">
      <formula>$A795="note"</formula>
    </cfRule>
  </conditionalFormatting>
  <conditionalFormatting sqref="B795:E800">
    <cfRule type="expression" dxfId="20" priority="157" stopIfTrue="1">
      <formula>$A795="barcode"</formula>
    </cfRule>
  </conditionalFormatting>
  <conditionalFormatting sqref="B795:E800">
    <cfRule type="expression" dxfId="21" priority="158" stopIfTrue="1">
      <formula>OR($A795="geopoint", $A795="geoshape", $A795="geotrace")</formula>
    </cfRule>
  </conditionalFormatting>
  <conditionalFormatting sqref="B795:E800">
    <cfRule type="expression" dxfId="22" priority="159" stopIfTrue="1">
      <formula>OR($A795="audio audit", $A795="text audit", $A795="speed violations count", $A795="speed violations list", $A795="speed violations audit")</formula>
    </cfRule>
  </conditionalFormatting>
  <conditionalFormatting sqref="B795:E800">
    <cfRule type="expression" dxfId="23" priority="160" stopIfTrue="1">
      <formula>OR($A795="username", $A795="phonenumber", $A795="start", $A795="end", $A795="deviceid", $A795="subscriberid", $A795="simserial", $A795="caseid")</formula>
    </cfRule>
  </conditionalFormatting>
  <conditionalFormatting sqref="B795:E800">
    <cfRule type="expression" dxfId="24" priority="161" stopIfTrue="1">
      <formula>OR(AND(LEFT($A795, 16)="select_multiple ", LEN($A795)&gt;16, NOT(ISNUMBER(SEARCH(" ", $A795, 17)))), AND(LEFT($A795, 11)="select_one ", LEN($A795)&gt;11, NOT(ISNUMBER(SEARCH(" ", $A795, 12)))))</formula>
    </cfRule>
  </conditionalFormatting>
  <conditionalFormatting sqref="B795:E800">
    <cfRule type="expression" dxfId="25" priority="162" stopIfTrue="1">
      <formula>$A795="decimal"</formula>
    </cfRule>
  </conditionalFormatting>
  <conditionalFormatting sqref="B795:E800">
    <cfRule type="expression" dxfId="26" priority="163" stopIfTrue="1">
      <formula>$A795="integer"</formula>
    </cfRule>
  </conditionalFormatting>
  <conditionalFormatting sqref="B795:E800">
    <cfRule type="expression" dxfId="27" priority="164" stopIfTrue="1">
      <formula>$A795="text"</formula>
    </cfRule>
  </conditionalFormatting>
  <conditionalFormatting sqref="B795:E800">
    <cfRule type="expression" dxfId="28" priority="165" stopIfTrue="1">
      <formula>$A795="end repeat"</formula>
    </cfRule>
  </conditionalFormatting>
  <conditionalFormatting sqref="B795:E800">
    <cfRule type="expression" dxfId="28" priority="166" stopIfTrue="1">
      <formula>$A795="begin repeat"</formula>
    </cfRule>
  </conditionalFormatting>
  <conditionalFormatting sqref="B795:E800">
    <cfRule type="expression" dxfId="29" priority="167" stopIfTrue="1">
      <formula>$A795="end group"</formula>
    </cfRule>
  </conditionalFormatting>
  <conditionalFormatting sqref="B795:E800">
    <cfRule type="expression" dxfId="29" priority="168" stopIfTrue="1">
      <formula>$A795="begin group"</formula>
    </cfRule>
  </conditionalFormatting>
  <conditionalFormatting sqref="B795:B800">
    <cfRule type="expression" dxfId="30" priority="169" stopIfTrue="1">
      <formula>$A795="comments"</formula>
    </cfRule>
  </conditionalFormatting>
  <conditionalFormatting sqref="B795:B800">
    <cfRule type="expression" dxfId="36" priority="170" stopIfTrue="1">
      <formula>OR(AND(LEFT($A795, 14)="sensor_stream ", LEN($A795)&gt;14, NOT(ISNUMBER(SEARCH(" ", $A795, 15)))), AND(LEFT($A795, 17)="sensor_statistic ", LEN($A795)&gt;17, NOT(ISNUMBER(SEARCH(" ", $A795, 18)))))</formula>
    </cfRule>
  </conditionalFormatting>
  <conditionalFormatting sqref="B791:C792 D791:E792">
    <cfRule type="expression" dxfId="0" priority="171" stopIfTrue="1">
      <formula>$A791="begin group"</formula>
    </cfRule>
  </conditionalFormatting>
  <conditionalFormatting sqref="B791:C792 D791:E792">
    <cfRule type="expression" dxfId="1" priority="172" stopIfTrue="1">
      <formula>$A791="begin repeat"</formula>
    </cfRule>
  </conditionalFormatting>
  <conditionalFormatting sqref="B791:E792">
    <cfRule type="expression" dxfId="31" priority="173" stopIfTrue="1">
      <formula>$A791="enumerator"</formula>
    </cfRule>
  </conditionalFormatting>
  <conditionalFormatting sqref="B791:E792">
    <cfRule type="expression" dxfId="2" priority="174" stopIfTrue="1">
      <formula>$A791="text"</formula>
    </cfRule>
  </conditionalFormatting>
  <conditionalFormatting sqref="B791:E792">
    <cfRule type="expression" dxfId="3" priority="175" stopIfTrue="1">
      <formula>$A791="integer"</formula>
    </cfRule>
  </conditionalFormatting>
  <conditionalFormatting sqref="B791:E792">
    <cfRule type="expression" dxfId="4" priority="176" stopIfTrue="1">
      <formula>$A791="decimal"</formula>
    </cfRule>
  </conditionalFormatting>
  <conditionalFormatting sqref="B791:C792 D791:E792">
    <cfRule type="expression" dxfId="5" priority="177" stopIfTrue="1">
      <formula>OR(AND(LEFT($A791, 16)="select_multiple ", LEN($A791)&gt;16, NOT(ISNUMBER(SEARCH(" ", $A791, 17)))), AND(LEFT($A791, 11)="select_one ", LEN($A791)&gt;11, NOT(ISNUMBER(SEARCH(" ", $A791, 12)))))</formula>
    </cfRule>
  </conditionalFormatting>
  <conditionalFormatting sqref="B791:B792">
    <cfRule type="expression" dxfId="6" priority="178" stopIfTrue="1">
      <formula>OR($A791="audio audit", $A791="text audit", $A791="speed violations count", $A791="speed violations list", $A791="speed violations audit")</formula>
    </cfRule>
  </conditionalFormatting>
  <conditionalFormatting sqref="B791:C792 D791:E792">
    <cfRule type="expression" dxfId="32" priority="179" stopIfTrue="1">
      <formula>$A791="file"</formula>
    </cfRule>
  </conditionalFormatting>
  <conditionalFormatting sqref="B791:C792 D791:E792">
    <cfRule type="expression" dxfId="7" priority="180" stopIfTrue="1">
      <formula>$A791="note"</formula>
    </cfRule>
  </conditionalFormatting>
  <conditionalFormatting sqref="B791:C792 D791:E792">
    <cfRule type="expression" dxfId="8" priority="181" stopIfTrue="1">
      <formula>$A791="barcode"</formula>
    </cfRule>
  </conditionalFormatting>
  <conditionalFormatting sqref="B791:C792 D791:E792">
    <cfRule type="expression" dxfId="9" priority="182" stopIfTrue="1">
      <formula>OR($A791="geopoint", $A791="geoshape", $A791="geotrace")</formula>
    </cfRule>
  </conditionalFormatting>
  <conditionalFormatting sqref="B791:B792">
    <cfRule type="expression" dxfId="10" priority="183" stopIfTrue="1">
      <formula>OR($A791="calculate", $A791="calculate_here")</formula>
    </cfRule>
  </conditionalFormatting>
  <conditionalFormatting sqref="B791:C792 D791:E792">
    <cfRule type="expression" dxfId="11" priority="184" stopIfTrue="1">
      <formula>OR($A791="date", $A791="datetime", $A791="time")</formula>
    </cfRule>
  </conditionalFormatting>
  <conditionalFormatting sqref="B791:C792 D791:E792">
    <cfRule type="expression" dxfId="12" priority="185" stopIfTrue="1">
      <formula>$A791="image"</formula>
    </cfRule>
  </conditionalFormatting>
  <conditionalFormatting sqref="B791:C792 D791:E792">
    <cfRule type="expression" dxfId="13" priority="186" stopIfTrue="1">
      <formula>OR($A791="audio", $A791="video")</formula>
    </cfRule>
  </conditionalFormatting>
  <conditionalFormatting sqref="B791:E792">
    <cfRule type="expression" dxfId="33" priority="187" stopIfTrue="1">
      <formula>$A791="file"</formula>
    </cfRule>
  </conditionalFormatting>
  <conditionalFormatting sqref="B791:E792">
    <cfRule type="expression" dxfId="34" priority="188" stopIfTrue="1">
      <formula>$A791="enumerator"</formula>
    </cfRule>
  </conditionalFormatting>
  <conditionalFormatting sqref="B791:E792">
    <cfRule type="expression" dxfId="35" priority="189" stopIfTrue="1">
      <formula>OR(AND(LEFT($A791, 14)="sensor_stream ", LEN($A791)&gt;14, NOT(ISNUMBER(SEARCH(" ", $A791, 15)))), AND(LEFT($A791, 17)="sensor_statistic ", LEN($A791)&gt;17, NOT(ISNUMBER(SEARCH(" ", $A791, 18)))))</formula>
    </cfRule>
  </conditionalFormatting>
  <conditionalFormatting sqref="B791:E792">
    <cfRule type="expression" dxfId="14" priority="190" stopIfTrue="1">
      <formula>$A791="comments"</formula>
    </cfRule>
  </conditionalFormatting>
  <conditionalFormatting sqref="B791:E792">
    <cfRule type="expression" dxfId="15" priority="191" stopIfTrue="1">
      <formula>OR($A791="audio", $A791="video")</formula>
    </cfRule>
  </conditionalFormatting>
  <conditionalFormatting sqref="B791:E792">
    <cfRule type="expression" dxfId="16" priority="192" stopIfTrue="1">
      <formula>$A791="image"</formula>
    </cfRule>
  </conditionalFormatting>
  <conditionalFormatting sqref="B791:E792">
    <cfRule type="expression" dxfId="17" priority="193" stopIfTrue="1">
      <formula>OR($A791="date", $A791="datetime", $A791="time")</formula>
    </cfRule>
  </conditionalFormatting>
  <conditionalFormatting sqref="B791:E792">
    <cfRule type="expression" dxfId="18" priority="194" stopIfTrue="1">
      <formula>OR($A791="calculate", $A791="calculate_here")</formula>
    </cfRule>
  </conditionalFormatting>
  <conditionalFormatting sqref="B791:E792">
    <cfRule type="expression" dxfId="19" priority="195" stopIfTrue="1">
      <formula>$A791="note"</formula>
    </cfRule>
  </conditionalFormatting>
  <conditionalFormatting sqref="B791:E792">
    <cfRule type="expression" dxfId="20" priority="196" stopIfTrue="1">
      <formula>$A791="barcode"</formula>
    </cfRule>
  </conditionalFormatting>
  <conditionalFormatting sqref="B791:E792">
    <cfRule type="expression" dxfId="21" priority="197" stopIfTrue="1">
      <formula>OR($A791="geopoint", $A791="geoshape", $A791="geotrace")</formula>
    </cfRule>
  </conditionalFormatting>
  <conditionalFormatting sqref="B791:E792">
    <cfRule type="expression" dxfId="22" priority="198" stopIfTrue="1">
      <formula>OR($A791="audio audit", $A791="text audit", $A791="speed violations count", $A791="speed violations list", $A791="speed violations audit")</formula>
    </cfRule>
  </conditionalFormatting>
  <conditionalFormatting sqref="B791:E792">
    <cfRule type="expression" dxfId="23" priority="199" stopIfTrue="1">
      <formula>OR($A791="username", $A791="phonenumber", $A791="start", $A791="end", $A791="deviceid", $A791="subscriberid", $A791="simserial", $A791="caseid")</formula>
    </cfRule>
  </conditionalFormatting>
  <conditionalFormatting sqref="B791:E792">
    <cfRule type="expression" dxfId="24" priority="200" stopIfTrue="1">
      <formula>OR(AND(LEFT($A791, 16)="select_multiple ", LEN($A791)&gt;16, NOT(ISNUMBER(SEARCH(" ", $A791, 17)))), AND(LEFT($A791, 11)="select_one ", LEN($A791)&gt;11, NOT(ISNUMBER(SEARCH(" ", $A791, 12)))))</formula>
    </cfRule>
  </conditionalFormatting>
  <conditionalFormatting sqref="B791:E792">
    <cfRule type="expression" dxfId="25" priority="201" stopIfTrue="1">
      <formula>$A791="decimal"</formula>
    </cfRule>
  </conditionalFormatting>
  <conditionalFormatting sqref="B791:E792">
    <cfRule type="expression" dxfId="26" priority="202" stopIfTrue="1">
      <formula>$A791="integer"</formula>
    </cfRule>
  </conditionalFormatting>
  <conditionalFormatting sqref="B791:E792">
    <cfRule type="expression" dxfId="27" priority="203" stopIfTrue="1">
      <formula>$A791="text"</formula>
    </cfRule>
  </conditionalFormatting>
  <conditionalFormatting sqref="B791:E792">
    <cfRule type="expression" dxfId="28" priority="204" stopIfTrue="1">
      <formula>$A791="end repeat"</formula>
    </cfRule>
  </conditionalFormatting>
  <conditionalFormatting sqref="B791:E792">
    <cfRule type="expression" dxfId="28" priority="205" stopIfTrue="1">
      <formula>$A791="begin repeat"</formula>
    </cfRule>
  </conditionalFormatting>
  <conditionalFormatting sqref="B791:E792">
    <cfRule type="expression" dxfId="29" priority="206" stopIfTrue="1">
      <formula>$A791="end group"</formula>
    </cfRule>
  </conditionalFormatting>
  <conditionalFormatting sqref="B791:E792">
    <cfRule type="expression" dxfId="29" priority="207" stopIfTrue="1">
      <formula>$A791="begin group"</formula>
    </cfRule>
  </conditionalFormatting>
  <conditionalFormatting sqref="B791:B792">
    <cfRule type="expression" dxfId="30" priority="208" stopIfTrue="1">
      <formula>$A791="comments"</formula>
    </cfRule>
  </conditionalFormatting>
  <conditionalFormatting sqref="B791:B792">
    <cfRule type="expression" dxfId="36" priority="209" stopIfTrue="1">
      <formula>OR(AND(LEFT($A791, 14)="sensor_stream ", LEN($A791)&gt;14, NOT(ISNUMBER(SEARCH(" ", $A791, 15)))), AND(LEFT($A791, 17)="sensor_statistic ", LEN($A791)&gt;17, NOT(ISNUMBER(SEARCH(" ", $A791, 18)))))</formula>
    </cfRule>
  </conditionalFormatting>
  <conditionalFormatting sqref="B783:C789 D783:E789">
    <cfRule type="expression" dxfId="0" priority="210" stopIfTrue="1">
      <formula>$A783="begin group"</formula>
    </cfRule>
  </conditionalFormatting>
  <conditionalFormatting sqref="B783:C789 D783:E789">
    <cfRule type="expression" dxfId="1" priority="211" stopIfTrue="1">
      <formula>$A783="begin repeat"</formula>
    </cfRule>
  </conditionalFormatting>
  <conditionalFormatting sqref="B783:E789">
    <cfRule type="expression" dxfId="31" priority="212" stopIfTrue="1">
      <formula>$A783="enumerator"</formula>
    </cfRule>
  </conditionalFormatting>
  <conditionalFormatting sqref="B783:E789">
    <cfRule type="expression" dxfId="2" priority="213" stopIfTrue="1">
      <formula>$A783="text"</formula>
    </cfRule>
  </conditionalFormatting>
  <conditionalFormatting sqref="B783:E789">
    <cfRule type="expression" dxfId="3" priority="214" stopIfTrue="1">
      <formula>$A783="integer"</formula>
    </cfRule>
  </conditionalFormatting>
  <conditionalFormatting sqref="B783:E789">
    <cfRule type="expression" dxfId="4" priority="215" stopIfTrue="1">
      <formula>$A783="decimal"</formula>
    </cfRule>
  </conditionalFormatting>
  <conditionalFormatting sqref="B783:C789 D783:E789">
    <cfRule type="expression" dxfId="5" priority="216" stopIfTrue="1">
      <formula>OR(AND(LEFT($A783, 16)="select_multiple ", LEN($A783)&gt;16, NOT(ISNUMBER(SEARCH(" ", $A783, 17)))), AND(LEFT($A783, 11)="select_one ", LEN($A783)&gt;11, NOT(ISNUMBER(SEARCH(" ", $A783, 12)))))</formula>
    </cfRule>
  </conditionalFormatting>
  <conditionalFormatting sqref="B783:B789">
    <cfRule type="expression" dxfId="6" priority="217" stopIfTrue="1">
      <formula>OR($A783="audio audit", $A783="text audit", $A783="speed violations count", $A783="speed violations list", $A783="speed violations audit")</formula>
    </cfRule>
  </conditionalFormatting>
  <conditionalFormatting sqref="B783:C789 D783:E789">
    <cfRule type="expression" dxfId="32" priority="218" stopIfTrue="1">
      <formula>$A783="file"</formula>
    </cfRule>
  </conditionalFormatting>
  <conditionalFormatting sqref="B783:C789 D783:E789">
    <cfRule type="expression" dxfId="7" priority="219" stopIfTrue="1">
      <formula>$A783="note"</formula>
    </cfRule>
  </conditionalFormatting>
  <conditionalFormatting sqref="B783:C789 D783:E789">
    <cfRule type="expression" dxfId="8" priority="220" stopIfTrue="1">
      <formula>$A783="barcode"</formula>
    </cfRule>
  </conditionalFormatting>
  <conditionalFormatting sqref="B783:C789 D783:E789">
    <cfRule type="expression" dxfId="9" priority="221" stopIfTrue="1">
      <formula>OR($A783="geopoint", $A783="geoshape", $A783="geotrace")</formula>
    </cfRule>
  </conditionalFormatting>
  <conditionalFormatting sqref="B783:B789">
    <cfRule type="expression" dxfId="10" priority="222" stopIfTrue="1">
      <formula>OR($A783="calculate", $A783="calculate_here")</formula>
    </cfRule>
  </conditionalFormatting>
  <conditionalFormatting sqref="B783:C789 D783:E789">
    <cfRule type="expression" dxfId="11" priority="223" stopIfTrue="1">
      <formula>OR($A783="date", $A783="datetime", $A783="time")</formula>
    </cfRule>
  </conditionalFormatting>
  <conditionalFormatting sqref="B783:C789 D783:E789">
    <cfRule type="expression" dxfId="12" priority="224" stopIfTrue="1">
      <formula>$A783="image"</formula>
    </cfRule>
  </conditionalFormatting>
  <conditionalFormatting sqref="B783:C789 D783:E789">
    <cfRule type="expression" dxfId="13" priority="225" stopIfTrue="1">
      <formula>OR($A783="audio", $A783="video")</formula>
    </cfRule>
  </conditionalFormatting>
  <conditionalFormatting sqref="B783:E789">
    <cfRule type="expression" dxfId="33" priority="226" stopIfTrue="1">
      <formula>$A783="file"</formula>
    </cfRule>
  </conditionalFormatting>
  <conditionalFormatting sqref="B783:E789">
    <cfRule type="expression" dxfId="34" priority="227" stopIfTrue="1">
      <formula>$A783="enumerator"</formula>
    </cfRule>
  </conditionalFormatting>
  <conditionalFormatting sqref="B783:E789">
    <cfRule type="expression" dxfId="35" priority="228" stopIfTrue="1">
      <formula>OR(AND(LEFT($A783, 14)="sensor_stream ", LEN($A783)&gt;14, NOT(ISNUMBER(SEARCH(" ", $A783, 15)))), AND(LEFT($A783, 17)="sensor_statistic ", LEN($A783)&gt;17, NOT(ISNUMBER(SEARCH(" ", $A783, 18)))))</formula>
    </cfRule>
  </conditionalFormatting>
  <conditionalFormatting sqref="B783:E789">
    <cfRule type="expression" dxfId="14" priority="229" stopIfTrue="1">
      <formula>$A783="comments"</formula>
    </cfRule>
  </conditionalFormatting>
  <conditionalFormatting sqref="B783:E789">
    <cfRule type="expression" dxfId="15" priority="230" stopIfTrue="1">
      <formula>OR($A783="audio", $A783="video")</formula>
    </cfRule>
  </conditionalFormatting>
  <conditionalFormatting sqref="B783:E789">
    <cfRule type="expression" dxfId="16" priority="231" stopIfTrue="1">
      <formula>$A783="image"</formula>
    </cfRule>
  </conditionalFormatting>
  <conditionalFormatting sqref="B783:E789">
    <cfRule type="expression" dxfId="17" priority="232" stopIfTrue="1">
      <formula>OR($A783="date", $A783="datetime", $A783="time")</formula>
    </cfRule>
  </conditionalFormatting>
  <conditionalFormatting sqref="B783:E789">
    <cfRule type="expression" dxfId="18" priority="233" stopIfTrue="1">
      <formula>OR($A783="calculate", $A783="calculate_here")</formula>
    </cfRule>
  </conditionalFormatting>
  <conditionalFormatting sqref="B783:E789">
    <cfRule type="expression" dxfId="19" priority="234" stopIfTrue="1">
      <formula>$A783="note"</formula>
    </cfRule>
  </conditionalFormatting>
  <conditionalFormatting sqref="B783:E789">
    <cfRule type="expression" dxfId="20" priority="235" stopIfTrue="1">
      <formula>$A783="barcode"</formula>
    </cfRule>
  </conditionalFormatting>
  <conditionalFormatting sqref="B783:E789">
    <cfRule type="expression" dxfId="21" priority="236" stopIfTrue="1">
      <formula>OR($A783="geopoint", $A783="geoshape", $A783="geotrace")</formula>
    </cfRule>
  </conditionalFormatting>
  <conditionalFormatting sqref="B783:E789">
    <cfRule type="expression" dxfId="22" priority="237" stopIfTrue="1">
      <formula>OR($A783="audio audit", $A783="text audit", $A783="speed violations count", $A783="speed violations list", $A783="speed violations audit")</formula>
    </cfRule>
  </conditionalFormatting>
  <conditionalFormatting sqref="B783:E789">
    <cfRule type="expression" dxfId="23" priority="238" stopIfTrue="1">
      <formula>OR($A783="username", $A783="phonenumber", $A783="start", $A783="end", $A783="deviceid", $A783="subscriberid", $A783="simserial", $A783="caseid")</formula>
    </cfRule>
  </conditionalFormatting>
  <conditionalFormatting sqref="B783:E789">
    <cfRule type="expression" dxfId="24" priority="239" stopIfTrue="1">
      <formula>OR(AND(LEFT($A783, 16)="select_multiple ", LEN($A783)&gt;16, NOT(ISNUMBER(SEARCH(" ", $A783, 17)))), AND(LEFT($A783, 11)="select_one ", LEN($A783)&gt;11, NOT(ISNUMBER(SEARCH(" ", $A783, 12)))))</formula>
    </cfRule>
  </conditionalFormatting>
  <conditionalFormatting sqref="B783:E789">
    <cfRule type="expression" dxfId="25" priority="240" stopIfTrue="1">
      <formula>$A783="decimal"</formula>
    </cfRule>
  </conditionalFormatting>
  <conditionalFormatting sqref="B783:E789">
    <cfRule type="expression" dxfId="26" priority="241" stopIfTrue="1">
      <formula>$A783="integer"</formula>
    </cfRule>
  </conditionalFormatting>
  <conditionalFormatting sqref="B783:E789">
    <cfRule type="expression" dxfId="27" priority="242" stopIfTrue="1">
      <formula>$A783="text"</formula>
    </cfRule>
  </conditionalFormatting>
  <conditionalFormatting sqref="B783:E789">
    <cfRule type="expression" dxfId="28" priority="243" stopIfTrue="1">
      <formula>$A783="end repeat"</formula>
    </cfRule>
  </conditionalFormatting>
  <conditionalFormatting sqref="B783:E789">
    <cfRule type="expression" dxfId="28" priority="244" stopIfTrue="1">
      <formula>$A783="begin repeat"</formula>
    </cfRule>
  </conditionalFormatting>
  <conditionalFormatting sqref="B783:E789">
    <cfRule type="expression" dxfId="29" priority="245" stopIfTrue="1">
      <formula>$A783="end group"</formula>
    </cfRule>
  </conditionalFormatting>
  <conditionalFormatting sqref="B783:E789">
    <cfRule type="expression" dxfId="29" priority="246" stopIfTrue="1">
      <formula>$A783="begin group"</formula>
    </cfRule>
  </conditionalFormatting>
  <conditionalFormatting sqref="B783:B789">
    <cfRule type="expression" dxfId="30" priority="247" stopIfTrue="1">
      <formula>$A783="comments"</formula>
    </cfRule>
  </conditionalFormatting>
  <conditionalFormatting sqref="B783:B789">
    <cfRule type="expression" dxfId="36" priority="248" stopIfTrue="1">
      <formula>OR(AND(LEFT($A783, 14)="sensor_stream ", LEN($A783)&gt;14, NOT(ISNUMBER(SEARCH(" ", $A783, 15)))), AND(LEFT($A783, 17)="sensor_statistic ", LEN($A783)&gt;17, NOT(ISNUMBER(SEARCH(" ", $A783, 18)))))</formula>
    </cfRule>
  </conditionalFormatting>
  <conditionalFormatting sqref="B779:C780 D779:E780">
    <cfRule type="expression" dxfId="0" priority="249" stopIfTrue="1">
      <formula>$A779="begin group"</formula>
    </cfRule>
  </conditionalFormatting>
  <conditionalFormatting sqref="B779:C780 D779:E780">
    <cfRule type="expression" dxfId="1" priority="250" stopIfTrue="1">
      <formula>$A779="begin repeat"</formula>
    </cfRule>
  </conditionalFormatting>
  <conditionalFormatting sqref="B779:E780">
    <cfRule type="expression" dxfId="31" priority="251" stopIfTrue="1">
      <formula>$A779="enumerator"</formula>
    </cfRule>
  </conditionalFormatting>
  <conditionalFormatting sqref="B779:E780">
    <cfRule type="expression" dxfId="2" priority="252" stopIfTrue="1">
      <formula>$A779="text"</formula>
    </cfRule>
  </conditionalFormatting>
  <conditionalFormatting sqref="B779:E780">
    <cfRule type="expression" dxfId="3" priority="253" stopIfTrue="1">
      <formula>$A779="integer"</formula>
    </cfRule>
  </conditionalFormatting>
  <conditionalFormatting sqref="B779:E780">
    <cfRule type="expression" dxfId="4" priority="254" stopIfTrue="1">
      <formula>$A779="decimal"</formula>
    </cfRule>
  </conditionalFormatting>
  <conditionalFormatting sqref="B779:C780 D779:E780">
    <cfRule type="expression" dxfId="5" priority="255" stopIfTrue="1">
      <formula>OR(AND(LEFT($A779, 16)="select_multiple ", LEN($A779)&gt;16, NOT(ISNUMBER(SEARCH(" ", $A779, 17)))), AND(LEFT($A779, 11)="select_one ", LEN($A779)&gt;11, NOT(ISNUMBER(SEARCH(" ", $A779, 12)))))</formula>
    </cfRule>
  </conditionalFormatting>
  <conditionalFormatting sqref="B779:B780">
    <cfRule type="expression" dxfId="6" priority="256" stopIfTrue="1">
      <formula>OR($A779="audio audit", $A779="text audit", $A779="speed violations count", $A779="speed violations list", $A779="speed violations audit")</formula>
    </cfRule>
  </conditionalFormatting>
  <conditionalFormatting sqref="B779:C780 D779:E780">
    <cfRule type="expression" dxfId="32" priority="257" stopIfTrue="1">
      <formula>$A779="file"</formula>
    </cfRule>
  </conditionalFormatting>
  <conditionalFormatting sqref="B779:C780 D779:E780">
    <cfRule type="expression" dxfId="7" priority="258" stopIfTrue="1">
      <formula>$A779="note"</formula>
    </cfRule>
  </conditionalFormatting>
  <conditionalFormatting sqref="B779:C780 D779:E780">
    <cfRule type="expression" dxfId="8" priority="259" stopIfTrue="1">
      <formula>$A779="barcode"</formula>
    </cfRule>
  </conditionalFormatting>
  <conditionalFormatting sqref="B779:C780 D779:E780">
    <cfRule type="expression" dxfId="9" priority="260" stopIfTrue="1">
      <formula>OR($A779="geopoint", $A779="geoshape", $A779="geotrace")</formula>
    </cfRule>
  </conditionalFormatting>
  <conditionalFormatting sqref="B779:B780">
    <cfRule type="expression" dxfId="10" priority="261" stopIfTrue="1">
      <formula>OR($A779="calculate", $A779="calculate_here")</formula>
    </cfRule>
  </conditionalFormatting>
  <conditionalFormatting sqref="B779:C780 D779:E780">
    <cfRule type="expression" dxfId="11" priority="262" stopIfTrue="1">
      <formula>OR($A779="date", $A779="datetime", $A779="time")</formula>
    </cfRule>
  </conditionalFormatting>
  <conditionalFormatting sqref="B779:C780 D779:E780">
    <cfRule type="expression" dxfId="12" priority="263" stopIfTrue="1">
      <formula>$A779="image"</formula>
    </cfRule>
  </conditionalFormatting>
  <conditionalFormatting sqref="B779:C780 D779:E780">
    <cfRule type="expression" dxfId="13" priority="264" stopIfTrue="1">
      <formula>OR($A779="audio", $A779="video")</formula>
    </cfRule>
  </conditionalFormatting>
  <conditionalFormatting sqref="B779:E780">
    <cfRule type="expression" dxfId="33" priority="265" stopIfTrue="1">
      <formula>$A779="file"</formula>
    </cfRule>
  </conditionalFormatting>
  <conditionalFormatting sqref="B779:E780">
    <cfRule type="expression" dxfId="34" priority="266" stopIfTrue="1">
      <formula>$A779="enumerator"</formula>
    </cfRule>
  </conditionalFormatting>
  <conditionalFormatting sqref="B779:E780">
    <cfRule type="expression" dxfId="35" priority="267" stopIfTrue="1">
      <formula>OR(AND(LEFT($A779, 14)="sensor_stream ", LEN($A779)&gt;14, NOT(ISNUMBER(SEARCH(" ", $A779, 15)))), AND(LEFT($A779, 17)="sensor_statistic ", LEN($A779)&gt;17, NOT(ISNUMBER(SEARCH(" ", $A779, 18)))))</formula>
    </cfRule>
  </conditionalFormatting>
  <conditionalFormatting sqref="B779:E780">
    <cfRule type="expression" dxfId="14" priority="268" stopIfTrue="1">
      <formula>$A779="comments"</formula>
    </cfRule>
  </conditionalFormatting>
  <conditionalFormatting sqref="B779:E780">
    <cfRule type="expression" dxfId="15" priority="269" stopIfTrue="1">
      <formula>OR($A779="audio", $A779="video")</formula>
    </cfRule>
  </conditionalFormatting>
  <conditionalFormatting sqref="B779:E780">
    <cfRule type="expression" dxfId="16" priority="270" stopIfTrue="1">
      <formula>$A779="image"</formula>
    </cfRule>
  </conditionalFormatting>
  <conditionalFormatting sqref="B779:E780">
    <cfRule type="expression" dxfId="17" priority="271" stopIfTrue="1">
      <formula>OR($A779="date", $A779="datetime", $A779="time")</formula>
    </cfRule>
  </conditionalFormatting>
  <conditionalFormatting sqref="B779:E780">
    <cfRule type="expression" dxfId="18" priority="272" stopIfTrue="1">
      <formula>OR($A779="calculate", $A779="calculate_here")</formula>
    </cfRule>
  </conditionalFormatting>
  <conditionalFormatting sqref="B779:E780">
    <cfRule type="expression" dxfId="19" priority="273" stopIfTrue="1">
      <formula>$A779="note"</formula>
    </cfRule>
  </conditionalFormatting>
  <conditionalFormatting sqref="B779:E780">
    <cfRule type="expression" dxfId="20" priority="274" stopIfTrue="1">
      <formula>$A779="barcode"</formula>
    </cfRule>
  </conditionalFormatting>
  <conditionalFormatting sqref="B779:E780">
    <cfRule type="expression" dxfId="21" priority="275" stopIfTrue="1">
      <formula>OR($A779="geopoint", $A779="geoshape", $A779="geotrace")</formula>
    </cfRule>
  </conditionalFormatting>
  <conditionalFormatting sqref="B779:E780">
    <cfRule type="expression" dxfId="22" priority="276" stopIfTrue="1">
      <formula>OR($A779="audio audit", $A779="text audit", $A779="speed violations count", $A779="speed violations list", $A779="speed violations audit")</formula>
    </cfRule>
  </conditionalFormatting>
  <conditionalFormatting sqref="B779:E780">
    <cfRule type="expression" dxfId="23" priority="277" stopIfTrue="1">
      <formula>OR($A779="username", $A779="phonenumber", $A779="start", $A779="end", $A779="deviceid", $A779="subscriberid", $A779="simserial", $A779="caseid")</formula>
    </cfRule>
  </conditionalFormatting>
  <conditionalFormatting sqref="B779:E780">
    <cfRule type="expression" dxfId="24" priority="278" stopIfTrue="1">
      <formula>OR(AND(LEFT($A779, 16)="select_multiple ", LEN($A779)&gt;16, NOT(ISNUMBER(SEARCH(" ", $A779, 17)))), AND(LEFT($A779, 11)="select_one ", LEN($A779)&gt;11, NOT(ISNUMBER(SEARCH(" ", $A779, 12)))))</formula>
    </cfRule>
  </conditionalFormatting>
  <conditionalFormatting sqref="B779:E780">
    <cfRule type="expression" dxfId="25" priority="279" stopIfTrue="1">
      <formula>$A779="decimal"</formula>
    </cfRule>
  </conditionalFormatting>
  <conditionalFormatting sqref="B779:E780">
    <cfRule type="expression" dxfId="26" priority="280" stopIfTrue="1">
      <formula>$A779="integer"</formula>
    </cfRule>
  </conditionalFormatting>
  <conditionalFormatting sqref="B779:E780">
    <cfRule type="expression" dxfId="27" priority="281" stopIfTrue="1">
      <formula>$A779="text"</formula>
    </cfRule>
  </conditionalFormatting>
  <conditionalFormatting sqref="B779:E780">
    <cfRule type="expression" dxfId="28" priority="282" stopIfTrue="1">
      <formula>$A779="end repeat"</formula>
    </cfRule>
  </conditionalFormatting>
  <conditionalFormatting sqref="B779:E780">
    <cfRule type="expression" dxfId="28" priority="283" stopIfTrue="1">
      <formula>$A779="begin repeat"</formula>
    </cfRule>
  </conditionalFormatting>
  <conditionalFormatting sqref="B779:E780">
    <cfRule type="expression" dxfId="29" priority="284" stopIfTrue="1">
      <formula>$A779="end group"</formula>
    </cfRule>
  </conditionalFormatting>
  <conditionalFormatting sqref="B779:E780">
    <cfRule type="expression" dxfId="29" priority="285" stopIfTrue="1">
      <formula>$A779="begin group"</formula>
    </cfRule>
  </conditionalFormatting>
  <conditionalFormatting sqref="B779:B780">
    <cfRule type="expression" dxfId="30" priority="286" stopIfTrue="1">
      <formula>$A779="comments"</formula>
    </cfRule>
  </conditionalFormatting>
  <conditionalFormatting sqref="B779:B780">
    <cfRule type="expression" dxfId="36" priority="287" stopIfTrue="1">
      <formula>OR(AND(LEFT($A779, 14)="sensor_stream ", LEN($A779)&gt;14, NOT(ISNUMBER(SEARCH(" ", $A779, 15)))), AND(LEFT($A779, 17)="sensor_statistic ", LEN($A779)&gt;17, NOT(ISNUMBER(SEARCH(" ", $A779, 18)))))</formula>
    </cfRule>
  </conditionalFormatting>
  <conditionalFormatting sqref="B777:C777 D777:E777">
    <cfRule type="expression" dxfId="0" priority="288" stopIfTrue="1">
      <formula>$A777="begin group"</formula>
    </cfRule>
  </conditionalFormatting>
  <conditionalFormatting sqref="B777:C777 D777:E777">
    <cfRule type="expression" dxfId="1" priority="289" stopIfTrue="1">
      <formula>$A777="begin repeat"</formula>
    </cfRule>
  </conditionalFormatting>
  <conditionalFormatting sqref="B777:E777">
    <cfRule type="expression" dxfId="31" priority="290" stopIfTrue="1">
      <formula>$A777="enumerator"</formula>
    </cfRule>
  </conditionalFormatting>
  <conditionalFormatting sqref="B777:E777">
    <cfRule type="expression" dxfId="2" priority="291" stopIfTrue="1">
      <formula>$A777="text"</formula>
    </cfRule>
  </conditionalFormatting>
  <conditionalFormatting sqref="B777:E777">
    <cfRule type="expression" dxfId="3" priority="292" stopIfTrue="1">
      <formula>$A777="integer"</formula>
    </cfRule>
  </conditionalFormatting>
  <conditionalFormatting sqref="B777:E777">
    <cfRule type="expression" dxfId="4" priority="293" stopIfTrue="1">
      <formula>$A777="decimal"</formula>
    </cfRule>
  </conditionalFormatting>
  <conditionalFormatting sqref="B777:C777 D777:E777">
    <cfRule type="expression" dxfId="5" priority="294" stopIfTrue="1">
      <formula>OR(AND(LEFT($A777, 16)="select_multiple ", LEN($A777)&gt;16, NOT(ISNUMBER(SEARCH(" ", $A777, 17)))), AND(LEFT($A777, 11)="select_one ", LEN($A777)&gt;11, NOT(ISNUMBER(SEARCH(" ", $A777, 12)))))</formula>
    </cfRule>
  </conditionalFormatting>
  <conditionalFormatting sqref="B777">
    <cfRule type="expression" dxfId="6" priority="295" stopIfTrue="1">
      <formula>OR($A777="audio audit", $A777="text audit", $A777="speed violations count", $A777="speed violations list", $A777="speed violations audit")</formula>
    </cfRule>
  </conditionalFormatting>
  <conditionalFormatting sqref="B777:C777 D777:E777">
    <cfRule type="expression" dxfId="32" priority="296" stopIfTrue="1">
      <formula>$A777="file"</formula>
    </cfRule>
  </conditionalFormatting>
  <conditionalFormatting sqref="B777:C777 D777:E777">
    <cfRule type="expression" dxfId="7" priority="297" stopIfTrue="1">
      <formula>$A777="note"</formula>
    </cfRule>
  </conditionalFormatting>
  <conditionalFormatting sqref="B777:C777 D777:E777">
    <cfRule type="expression" dxfId="8" priority="298" stopIfTrue="1">
      <formula>$A777="barcode"</formula>
    </cfRule>
  </conditionalFormatting>
  <conditionalFormatting sqref="B777:C777 D777:E777">
    <cfRule type="expression" dxfId="9" priority="299" stopIfTrue="1">
      <formula>OR($A777="geopoint", $A777="geoshape", $A777="geotrace")</formula>
    </cfRule>
  </conditionalFormatting>
  <conditionalFormatting sqref="B777">
    <cfRule type="expression" dxfId="10" priority="300" stopIfTrue="1">
      <formula>OR($A777="calculate", $A777="calculate_here")</formula>
    </cfRule>
  </conditionalFormatting>
  <conditionalFormatting sqref="B777:C777 D777:E777">
    <cfRule type="expression" dxfId="11" priority="301" stopIfTrue="1">
      <formula>OR($A777="date", $A777="datetime", $A777="time")</formula>
    </cfRule>
  </conditionalFormatting>
  <conditionalFormatting sqref="B777:C777 D777:E777">
    <cfRule type="expression" dxfId="12" priority="302" stopIfTrue="1">
      <formula>$A777="image"</formula>
    </cfRule>
  </conditionalFormatting>
  <conditionalFormatting sqref="B777:C777 D777:E777">
    <cfRule type="expression" dxfId="13" priority="303" stopIfTrue="1">
      <formula>OR($A777="audio", $A777="video")</formula>
    </cfRule>
  </conditionalFormatting>
  <conditionalFormatting sqref="B777:E777">
    <cfRule type="expression" dxfId="33" priority="304" stopIfTrue="1">
      <formula>$A777="file"</formula>
    </cfRule>
  </conditionalFormatting>
  <conditionalFormatting sqref="B777:E777">
    <cfRule type="expression" dxfId="34" priority="305" stopIfTrue="1">
      <formula>$A777="enumerator"</formula>
    </cfRule>
  </conditionalFormatting>
  <conditionalFormatting sqref="B777:E777">
    <cfRule type="expression" dxfId="35" priority="306" stopIfTrue="1">
      <formula>OR(AND(LEFT($A777, 14)="sensor_stream ", LEN($A777)&gt;14, NOT(ISNUMBER(SEARCH(" ", $A777, 15)))), AND(LEFT($A777, 17)="sensor_statistic ", LEN($A777)&gt;17, NOT(ISNUMBER(SEARCH(" ", $A777, 18)))))</formula>
    </cfRule>
  </conditionalFormatting>
  <conditionalFormatting sqref="B777:E777">
    <cfRule type="expression" dxfId="14" priority="307" stopIfTrue="1">
      <formula>$A777="comments"</formula>
    </cfRule>
  </conditionalFormatting>
  <conditionalFormatting sqref="B777:E777">
    <cfRule type="expression" dxfId="15" priority="308" stopIfTrue="1">
      <formula>OR($A777="audio", $A777="video")</formula>
    </cfRule>
  </conditionalFormatting>
  <conditionalFormatting sqref="B777:E777">
    <cfRule type="expression" dxfId="16" priority="309" stopIfTrue="1">
      <formula>$A777="image"</formula>
    </cfRule>
  </conditionalFormatting>
  <conditionalFormatting sqref="B777:E777">
    <cfRule type="expression" dxfId="17" priority="310" stopIfTrue="1">
      <formula>OR($A777="date", $A777="datetime", $A777="time")</formula>
    </cfRule>
  </conditionalFormatting>
  <conditionalFormatting sqref="B777:E777">
    <cfRule type="expression" dxfId="18" priority="311" stopIfTrue="1">
      <formula>OR($A777="calculate", $A777="calculate_here")</formula>
    </cfRule>
  </conditionalFormatting>
  <conditionalFormatting sqref="B777:E777">
    <cfRule type="expression" dxfId="19" priority="312" stopIfTrue="1">
      <formula>$A777="note"</formula>
    </cfRule>
  </conditionalFormatting>
  <conditionalFormatting sqref="B777:E777">
    <cfRule type="expression" dxfId="20" priority="313" stopIfTrue="1">
      <formula>$A777="barcode"</formula>
    </cfRule>
  </conditionalFormatting>
  <conditionalFormatting sqref="B777:E777">
    <cfRule type="expression" dxfId="21" priority="314" stopIfTrue="1">
      <formula>OR($A777="geopoint", $A777="geoshape", $A777="geotrace")</formula>
    </cfRule>
  </conditionalFormatting>
  <conditionalFormatting sqref="B777:E777">
    <cfRule type="expression" dxfId="22" priority="315" stopIfTrue="1">
      <formula>OR($A777="audio audit", $A777="text audit", $A777="speed violations count", $A777="speed violations list", $A777="speed violations audit")</formula>
    </cfRule>
  </conditionalFormatting>
  <conditionalFormatting sqref="B777:E777">
    <cfRule type="expression" dxfId="23" priority="316" stopIfTrue="1">
      <formula>OR($A777="username", $A777="phonenumber", $A777="start", $A777="end", $A777="deviceid", $A777="subscriberid", $A777="simserial", $A777="caseid")</formula>
    </cfRule>
  </conditionalFormatting>
  <conditionalFormatting sqref="B777:E777">
    <cfRule type="expression" dxfId="24" priority="317" stopIfTrue="1">
      <formula>OR(AND(LEFT($A777, 16)="select_multiple ", LEN($A777)&gt;16, NOT(ISNUMBER(SEARCH(" ", $A777, 17)))), AND(LEFT($A777, 11)="select_one ", LEN($A777)&gt;11, NOT(ISNUMBER(SEARCH(" ", $A777, 12)))))</formula>
    </cfRule>
  </conditionalFormatting>
  <conditionalFormatting sqref="B777:E777">
    <cfRule type="expression" dxfId="25" priority="318" stopIfTrue="1">
      <formula>$A777="decimal"</formula>
    </cfRule>
  </conditionalFormatting>
  <conditionalFormatting sqref="B777:E777">
    <cfRule type="expression" dxfId="26" priority="319" stopIfTrue="1">
      <formula>$A777="integer"</formula>
    </cfRule>
  </conditionalFormatting>
  <conditionalFormatting sqref="B777:E777">
    <cfRule type="expression" dxfId="27" priority="320" stopIfTrue="1">
      <formula>$A777="text"</formula>
    </cfRule>
  </conditionalFormatting>
  <conditionalFormatting sqref="B777:E777">
    <cfRule type="expression" dxfId="28" priority="321" stopIfTrue="1">
      <formula>$A777="end repeat"</formula>
    </cfRule>
  </conditionalFormatting>
  <conditionalFormatting sqref="B777:E777">
    <cfRule type="expression" dxfId="28" priority="322" stopIfTrue="1">
      <formula>$A777="begin repeat"</formula>
    </cfRule>
  </conditionalFormatting>
  <conditionalFormatting sqref="B777:E777">
    <cfRule type="expression" dxfId="29" priority="323" stopIfTrue="1">
      <formula>$A777="end group"</formula>
    </cfRule>
  </conditionalFormatting>
  <conditionalFormatting sqref="B777:E777">
    <cfRule type="expression" dxfId="29" priority="324" stopIfTrue="1">
      <formula>$A777="begin group"</formula>
    </cfRule>
  </conditionalFormatting>
  <conditionalFormatting sqref="B777">
    <cfRule type="expression" dxfId="30" priority="325" stopIfTrue="1">
      <formula>$A777="comments"</formula>
    </cfRule>
  </conditionalFormatting>
  <conditionalFormatting sqref="B777">
    <cfRule type="expression" dxfId="36" priority="326" stopIfTrue="1">
      <formula>OR(AND(LEFT($A777, 14)="sensor_stream ", LEN($A777)&gt;14, NOT(ISNUMBER(SEARCH(" ", $A777, 15)))), AND(LEFT($A777, 17)="sensor_statistic ", LEN($A777)&gt;17, NOT(ISNUMBER(SEARCH(" ", $A777, 18)))))</formula>
    </cfRule>
  </conditionalFormatting>
  <conditionalFormatting sqref="B775:C775 D775:E775">
    <cfRule type="expression" dxfId="0" priority="327" stopIfTrue="1">
      <formula>$A775="begin group"</formula>
    </cfRule>
  </conditionalFormatting>
  <conditionalFormatting sqref="B775:C775 D775:E775">
    <cfRule type="expression" dxfId="1" priority="328" stopIfTrue="1">
      <formula>$A775="begin repeat"</formula>
    </cfRule>
  </conditionalFormatting>
  <conditionalFormatting sqref="B775:E775">
    <cfRule type="expression" dxfId="31" priority="329" stopIfTrue="1">
      <formula>$A775="enumerator"</formula>
    </cfRule>
  </conditionalFormatting>
  <conditionalFormatting sqref="B775:E775">
    <cfRule type="expression" dxfId="2" priority="330" stopIfTrue="1">
      <formula>$A775="text"</formula>
    </cfRule>
  </conditionalFormatting>
  <conditionalFormatting sqref="B775:E775">
    <cfRule type="expression" dxfId="3" priority="331" stopIfTrue="1">
      <formula>$A775="integer"</formula>
    </cfRule>
  </conditionalFormatting>
  <conditionalFormatting sqref="B775:E775">
    <cfRule type="expression" dxfId="4" priority="332" stopIfTrue="1">
      <formula>$A775="decimal"</formula>
    </cfRule>
  </conditionalFormatting>
  <conditionalFormatting sqref="B775:C775 D775:E775">
    <cfRule type="expression" dxfId="5" priority="333" stopIfTrue="1">
      <formula>OR(AND(LEFT($A775, 16)="select_multiple ", LEN($A775)&gt;16, NOT(ISNUMBER(SEARCH(" ", $A775, 17)))), AND(LEFT($A775, 11)="select_one ", LEN($A775)&gt;11, NOT(ISNUMBER(SEARCH(" ", $A775, 12)))))</formula>
    </cfRule>
  </conditionalFormatting>
  <conditionalFormatting sqref="B775">
    <cfRule type="expression" dxfId="6" priority="334" stopIfTrue="1">
      <formula>OR($A775="audio audit", $A775="text audit", $A775="speed violations count", $A775="speed violations list", $A775="speed violations audit")</formula>
    </cfRule>
  </conditionalFormatting>
  <conditionalFormatting sqref="B775:C775 D775:E775">
    <cfRule type="expression" dxfId="32" priority="335" stopIfTrue="1">
      <formula>$A775="file"</formula>
    </cfRule>
  </conditionalFormatting>
  <conditionalFormatting sqref="B775:C775 D775:E775">
    <cfRule type="expression" dxfId="7" priority="336" stopIfTrue="1">
      <formula>$A775="note"</formula>
    </cfRule>
  </conditionalFormatting>
  <conditionalFormatting sqref="B775:C775 D775:E775">
    <cfRule type="expression" dxfId="8" priority="337" stopIfTrue="1">
      <formula>$A775="barcode"</formula>
    </cfRule>
  </conditionalFormatting>
  <conditionalFormatting sqref="B775:C775 D775:E775">
    <cfRule type="expression" dxfId="9" priority="338" stopIfTrue="1">
      <formula>OR($A775="geopoint", $A775="geoshape", $A775="geotrace")</formula>
    </cfRule>
  </conditionalFormatting>
  <conditionalFormatting sqref="B775">
    <cfRule type="expression" dxfId="10" priority="339" stopIfTrue="1">
      <formula>OR($A775="calculate", $A775="calculate_here")</formula>
    </cfRule>
  </conditionalFormatting>
  <conditionalFormatting sqref="B775:C775 D775:E775">
    <cfRule type="expression" dxfId="11" priority="340" stopIfTrue="1">
      <formula>OR($A775="date", $A775="datetime", $A775="time")</formula>
    </cfRule>
  </conditionalFormatting>
  <conditionalFormatting sqref="B775:C775 D775:E775">
    <cfRule type="expression" dxfId="12" priority="341" stopIfTrue="1">
      <formula>$A775="image"</formula>
    </cfRule>
  </conditionalFormatting>
  <conditionalFormatting sqref="B775:C775 D775:E775">
    <cfRule type="expression" dxfId="13" priority="342" stopIfTrue="1">
      <formula>OR($A775="audio", $A775="video")</formula>
    </cfRule>
  </conditionalFormatting>
  <conditionalFormatting sqref="B775:E775">
    <cfRule type="expression" dxfId="33" priority="343" stopIfTrue="1">
      <formula>$A775="file"</formula>
    </cfRule>
  </conditionalFormatting>
  <conditionalFormatting sqref="B775:E775">
    <cfRule type="expression" dxfId="34" priority="344" stopIfTrue="1">
      <formula>$A775="enumerator"</formula>
    </cfRule>
  </conditionalFormatting>
  <conditionalFormatting sqref="B775:E775">
    <cfRule type="expression" dxfId="35" priority="345" stopIfTrue="1">
      <formula>OR(AND(LEFT($A775, 14)="sensor_stream ", LEN($A775)&gt;14, NOT(ISNUMBER(SEARCH(" ", $A775, 15)))), AND(LEFT($A775, 17)="sensor_statistic ", LEN($A775)&gt;17, NOT(ISNUMBER(SEARCH(" ", $A775, 18)))))</formula>
    </cfRule>
  </conditionalFormatting>
  <conditionalFormatting sqref="B775:E775">
    <cfRule type="expression" dxfId="14" priority="346" stopIfTrue="1">
      <formula>$A775="comments"</formula>
    </cfRule>
  </conditionalFormatting>
  <conditionalFormatting sqref="B775:E775">
    <cfRule type="expression" dxfId="15" priority="347" stopIfTrue="1">
      <formula>OR($A775="audio", $A775="video")</formula>
    </cfRule>
  </conditionalFormatting>
  <conditionalFormatting sqref="B775:E775">
    <cfRule type="expression" dxfId="16" priority="348" stopIfTrue="1">
      <formula>$A775="image"</formula>
    </cfRule>
  </conditionalFormatting>
  <conditionalFormatting sqref="B775:E775">
    <cfRule type="expression" dxfId="17" priority="349" stopIfTrue="1">
      <formula>OR($A775="date", $A775="datetime", $A775="time")</formula>
    </cfRule>
  </conditionalFormatting>
  <conditionalFormatting sqref="B775:E775">
    <cfRule type="expression" dxfId="18" priority="350" stopIfTrue="1">
      <formula>OR($A775="calculate", $A775="calculate_here")</formula>
    </cfRule>
  </conditionalFormatting>
  <conditionalFormatting sqref="B775:E775">
    <cfRule type="expression" dxfId="19" priority="351" stopIfTrue="1">
      <formula>$A775="note"</formula>
    </cfRule>
  </conditionalFormatting>
  <conditionalFormatting sqref="B775:E775">
    <cfRule type="expression" dxfId="20" priority="352" stopIfTrue="1">
      <formula>$A775="barcode"</formula>
    </cfRule>
  </conditionalFormatting>
  <conditionalFormatting sqref="B775:E775">
    <cfRule type="expression" dxfId="21" priority="353" stopIfTrue="1">
      <formula>OR($A775="geopoint", $A775="geoshape", $A775="geotrace")</formula>
    </cfRule>
  </conditionalFormatting>
  <conditionalFormatting sqref="B775:E775">
    <cfRule type="expression" dxfId="22" priority="354" stopIfTrue="1">
      <formula>OR($A775="audio audit", $A775="text audit", $A775="speed violations count", $A775="speed violations list", $A775="speed violations audit")</formula>
    </cfRule>
  </conditionalFormatting>
  <conditionalFormatting sqref="B775:E775">
    <cfRule type="expression" dxfId="23" priority="355" stopIfTrue="1">
      <formula>OR($A775="username", $A775="phonenumber", $A775="start", $A775="end", $A775="deviceid", $A775="subscriberid", $A775="simserial", $A775="caseid")</formula>
    </cfRule>
  </conditionalFormatting>
  <conditionalFormatting sqref="B775:E775">
    <cfRule type="expression" dxfId="24" priority="356" stopIfTrue="1">
      <formula>OR(AND(LEFT($A775, 16)="select_multiple ", LEN($A775)&gt;16, NOT(ISNUMBER(SEARCH(" ", $A775, 17)))), AND(LEFT($A775, 11)="select_one ", LEN($A775)&gt;11, NOT(ISNUMBER(SEARCH(" ", $A775, 12)))))</formula>
    </cfRule>
  </conditionalFormatting>
  <conditionalFormatting sqref="B775:E775">
    <cfRule type="expression" dxfId="25" priority="357" stopIfTrue="1">
      <formula>$A775="decimal"</formula>
    </cfRule>
  </conditionalFormatting>
  <conditionalFormatting sqref="B775:E775">
    <cfRule type="expression" dxfId="26" priority="358" stopIfTrue="1">
      <formula>$A775="integer"</formula>
    </cfRule>
  </conditionalFormatting>
  <conditionalFormatting sqref="B775:E775">
    <cfRule type="expression" dxfId="27" priority="359" stopIfTrue="1">
      <formula>$A775="text"</formula>
    </cfRule>
  </conditionalFormatting>
  <conditionalFormatting sqref="B775:E775">
    <cfRule type="expression" dxfId="28" priority="360" stopIfTrue="1">
      <formula>$A775="end repeat"</formula>
    </cfRule>
  </conditionalFormatting>
  <conditionalFormatting sqref="B775:E775">
    <cfRule type="expression" dxfId="28" priority="361" stopIfTrue="1">
      <formula>$A775="begin repeat"</formula>
    </cfRule>
  </conditionalFormatting>
  <conditionalFormatting sqref="B775:E775">
    <cfRule type="expression" dxfId="29" priority="362" stopIfTrue="1">
      <formula>$A775="end group"</formula>
    </cfRule>
  </conditionalFormatting>
  <conditionalFormatting sqref="B775:E775">
    <cfRule type="expression" dxfId="29" priority="363" stopIfTrue="1">
      <formula>$A775="begin group"</formula>
    </cfRule>
  </conditionalFormatting>
  <conditionalFormatting sqref="B775">
    <cfRule type="expression" dxfId="30" priority="364" stopIfTrue="1">
      <formula>$A775="comments"</formula>
    </cfRule>
  </conditionalFormatting>
  <conditionalFormatting sqref="B775">
    <cfRule type="expression" dxfId="36" priority="365" stopIfTrue="1">
      <formula>OR(AND(LEFT($A775, 14)="sensor_stream ", LEN($A775)&gt;14, NOT(ISNUMBER(SEARCH(" ", $A775, 15)))), AND(LEFT($A775, 17)="sensor_statistic ", LEN($A775)&gt;17, NOT(ISNUMBER(SEARCH(" ", $A775, 18)))))</formula>
    </cfRule>
  </conditionalFormatting>
  <conditionalFormatting sqref="B761:C773 D761:E773">
    <cfRule type="expression" dxfId="0" priority="366" stopIfTrue="1">
      <formula>$A761="begin group"</formula>
    </cfRule>
  </conditionalFormatting>
  <conditionalFormatting sqref="B761:C773 D761:E773">
    <cfRule type="expression" dxfId="1" priority="367" stopIfTrue="1">
      <formula>$A761="begin repeat"</formula>
    </cfRule>
  </conditionalFormatting>
  <conditionalFormatting sqref="B761:E773">
    <cfRule type="expression" dxfId="31" priority="368" stopIfTrue="1">
      <formula>$A761="enumerator"</formula>
    </cfRule>
  </conditionalFormatting>
  <conditionalFormatting sqref="B761:E773">
    <cfRule type="expression" dxfId="2" priority="369" stopIfTrue="1">
      <formula>$A761="text"</formula>
    </cfRule>
  </conditionalFormatting>
  <conditionalFormatting sqref="B761:E773">
    <cfRule type="expression" dxfId="3" priority="370" stopIfTrue="1">
      <formula>$A761="integer"</formula>
    </cfRule>
  </conditionalFormatting>
  <conditionalFormatting sqref="B761:E773">
    <cfRule type="expression" dxfId="4" priority="371" stopIfTrue="1">
      <formula>$A761="decimal"</formula>
    </cfRule>
  </conditionalFormatting>
  <conditionalFormatting sqref="B761:C773 D761:E773">
    <cfRule type="expression" dxfId="5" priority="372" stopIfTrue="1">
      <formula>OR(AND(LEFT($A761, 16)="select_multiple ", LEN($A761)&gt;16, NOT(ISNUMBER(SEARCH(" ", $A761, 17)))), AND(LEFT($A761, 11)="select_one ", LEN($A761)&gt;11, NOT(ISNUMBER(SEARCH(" ", $A761, 12)))))</formula>
    </cfRule>
  </conditionalFormatting>
  <conditionalFormatting sqref="B761:B773">
    <cfRule type="expression" dxfId="6" priority="373" stopIfTrue="1">
      <formula>OR($A761="audio audit", $A761="text audit", $A761="speed violations count", $A761="speed violations list", $A761="speed violations audit")</formula>
    </cfRule>
  </conditionalFormatting>
  <conditionalFormatting sqref="B761:C773 D761:E773">
    <cfRule type="expression" dxfId="32" priority="374" stopIfTrue="1">
      <formula>$A761="file"</formula>
    </cfRule>
  </conditionalFormatting>
  <conditionalFormatting sqref="B761:C773 D761:E773">
    <cfRule type="expression" dxfId="7" priority="375" stopIfTrue="1">
      <formula>$A761="note"</formula>
    </cfRule>
  </conditionalFormatting>
  <conditionalFormatting sqref="B761:C773 D761:E773">
    <cfRule type="expression" dxfId="8" priority="376" stopIfTrue="1">
      <formula>$A761="barcode"</formula>
    </cfRule>
  </conditionalFormatting>
  <conditionalFormatting sqref="B761:C773 D761:E773">
    <cfRule type="expression" dxfId="9" priority="377" stopIfTrue="1">
      <formula>OR($A761="geopoint", $A761="geoshape", $A761="geotrace")</formula>
    </cfRule>
  </conditionalFormatting>
  <conditionalFormatting sqref="B761:B773">
    <cfRule type="expression" dxfId="10" priority="378" stopIfTrue="1">
      <formula>OR($A761="calculate", $A761="calculate_here")</formula>
    </cfRule>
  </conditionalFormatting>
  <conditionalFormatting sqref="B761:C773 D761:E773">
    <cfRule type="expression" dxfId="11" priority="379" stopIfTrue="1">
      <formula>OR($A761="date", $A761="datetime", $A761="time")</formula>
    </cfRule>
  </conditionalFormatting>
  <conditionalFormatting sqref="B761:C773 D761:E773">
    <cfRule type="expression" dxfId="12" priority="380" stopIfTrue="1">
      <formula>$A761="image"</formula>
    </cfRule>
  </conditionalFormatting>
  <conditionalFormatting sqref="B761:C773 D761:E773">
    <cfRule type="expression" dxfId="13" priority="381" stopIfTrue="1">
      <formula>OR($A761="audio", $A761="video")</formula>
    </cfRule>
  </conditionalFormatting>
  <conditionalFormatting sqref="B761:E773">
    <cfRule type="expression" dxfId="33" priority="382" stopIfTrue="1">
      <formula>$A761="file"</formula>
    </cfRule>
  </conditionalFormatting>
  <conditionalFormatting sqref="B761:E773">
    <cfRule type="expression" dxfId="34" priority="383" stopIfTrue="1">
      <formula>$A761="enumerator"</formula>
    </cfRule>
  </conditionalFormatting>
  <conditionalFormatting sqref="B761:E773">
    <cfRule type="expression" dxfId="35" priority="384" stopIfTrue="1">
      <formula>OR(AND(LEFT($A761, 14)="sensor_stream ", LEN($A761)&gt;14, NOT(ISNUMBER(SEARCH(" ", $A761, 15)))), AND(LEFT($A761, 17)="sensor_statistic ", LEN($A761)&gt;17, NOT(ISNUMBER(SEARCH(" ", $A761, 18)))))</formula>
    </cfRule>
  </conditionalFormatting>
  <conditionalFormatting sqref="B761:E773">
    <cfRule type="expression" dxfId="14" priority="385" stopIfTrue="1">
      <formula>$A761="comments"</formula>
    </cfRule>
  </conditionalFormatting>
  <conditionalFormatting sqref="B761:E773">
    <cfRule type="expression" dxfId="15" priority="386" stopIfTrue="1">
      <formula>OR($A761="audio", $A761="video")</formula>
    </cfRule>
  </conditionalFormatting>
  <conditionalFormatting sqref="B761:E773">
    <cfRule type="expression" dxfId="16" priority="387" stopIfTrue="1">
      <formula>$A761="image"</formula>
    </cfRule>
  </conditionalFormatting>
  <conditionalFormatting sqref="B761:E773">
    <cfRule type="expression" dxfId="17" priority="388" stopIfTrue="1">
      <formula>OR($A761="date", $A761="datetime", $A761="time")</formula>
    </cfRule>
  </conditionalFormatting>
  <conditionalFormatting sqref="B761:E773">
    <cfRule type="expression" dxfId="18" priority="389" stopIfTrue="1">
      <formula>OR($A761="calculate", $A761="calculate_here")</formula>
    </cfRule>
  </conditionalFormatting>
  <conditionalFormatting sqref="B761:E773">
    <cfRule type="expression" dxfId="19" priority="390" stopIfTrue="1">
      <formula>$A761="note"</formula>
    </cfRule>
  </conditionalFormatting>
  <conditionalFormatting sqref="B761:E773">
    <cfRule type="expression" dxfId="20" priority="391" stopIfTrue="1">
      <formula>$A761="barcode"</formula>
    </cfRule>
  </conditionalFormatting>
  <conditionalFormatting sqref="B761:E773">
    <cfRule type="expression" dxfId="21" priority="392" stopIfTrue="1">
      <formula>OR($A761="geopoint", $A761="geoshape", $A761="geotrace")</formula>
    </cfRule>
  </conditionalFormatting>
  <conditionalFormatting sqref="B761:E773">
    <cfRule type="expression" dxfId="22" priority="393" stopIfTrue="1">
      <formula>OR($A761="audio audit", $A761="text audit", $A761="speed violations count", $A761="speed violations list", $A761="speed violations audit")</formula>
    </cfRule>
  </conditionalFormatting>
  <conditionalFormatting sqref="B761:E773">
    <cfRule type="expression" dxfId="23" priority="394" stopIfTrue="1">
      <formula>OR($A761="username", $A761="phonenumber", $A761="start", $A761="end", $A761="deviceid", $A761="subscriberid", $A761="simserial", $A761="caseid")</formula>
    </cfRule>
  </conditionalFormatting>
  <conditionalFormatting sqref="B761:E773">
    <cfRule type="expression" dxfId="24" priority="395" stopIfTrue="1">
      <formula>OR(AND(LEFT($A761, 16)="select_multiple ", LEN($A761)&gt;16, NOT(ISNUMBER(SEARCH(" ", $A761, 17)))), AND(LEFT($A761, 11)="select_one ", LEN($A761)&gt;11, NOT(ISNUMBER(SEARCH(" ", $A761, 12)))))</formula>
    </cfRule>
  </conditionalFormatting>
  <conditionalFormatting sqref="B761:E773">
    <cfRule type="expression" dxfId="25" priority="396" stopIfTrue="1">
      <formula>$A761="decimal"</formula>
    </cfRule>
  </conditionalFormatting>
  <conditionalFormatting sqref="B761:E773">
    <cfRule type="expression" dxfId="26" priority="397" stopIfTrue="1">
      <formula>$A761="integer"</formula>
    </cfRule>
  </conditionalFormatting>
  <conditionalFormatting sqref="B761:E773">
    <cfRule type="expression" dxfId="27" priority="398" stopIfTrue="1">
      <formula>$A761="text"</formula>
    </cfRule>
  </conditionalFormatting>
  <conditionalFormatting sqref="B761:E773">
    <cfRule type="expression" dxfId="28" priority="399" stopIfTrue="1">
      <formula>$A761="end repeat"</formula>
    </cfRule>
  </conditionalFormatting>
  <conditionalFormatting sqref="B761:E773">
    <cfRule type="expression" dxfId="28" priority="400" stopIfTrue="1">
      <formula>$A761="begin repeat"</formula>
    </cfRule>
  </conditionalFormatting>
  <conditionalFormatting sqref="B761:E773">
    <cfRule type="expression" dxfId="29" priority="401" stopIfTrue="1">
      <formula>$A761="end group"</formula>
    </cfRule>
  </conditionalFormatting>
  <conditionalFormatting sqref="B761:E773">
    <cfRule type="expression" dxfId="29" priority="402" stopIfTrue="1">
      <formula>$A761="begin group"</formula>
    </cfRule>
  </conditionalFormatting>
  <conditionalFormatting sqref="B761:B773">
    <cfRule type="expression" dxfId="30" priority="403" stopIfTrue="1">
      <formula>$A761="comments"</formula>
    </cfRule>
  </conditionalFormatting>
  <conditionalFormatting sqref="B761:B773">
    <cfRule type="expression" dxfId="36" priority="404" stopIfTrue="1">
      <formula>OR(AND(LEFT($A761, 14)="sensor_stream ", LEN($A761)&gt;14, NOT(ISNUMBER(SEARCH(" ", $A761, 15)))), AND(LEFT($A761, 17)="sensor_statistic ", LEN($A761)&gt;17, NOT(ISNUMBER(SEARCH(" ", $A761, 18)))))</formula>
    </cfRule>
  </conditionalFormatting>
  <conditionalFormatting sqref="B742:C746 D742:E746">
    <cfRule type="expression" dxfId="0" priority="405" stopIfTrue="1">
      <formula>$A742="begin group"</formula>
    </cfRule>
  </conditionalFormatting>
  <conditionalFormatting sqref="B742:C746 D742:E746">
    <cfRule type="expression" dxfId="1" priority="406" stopIfTrue="1">
      <formula>$A742="begin repeat"</formula>
    </cfRule>
  </conditionalFormatting>
  <conditionalFormatting sqref="B742:E746">
    <cfRule type="expression" dxfId="31" priority="407" stopIfTrue="1">
      <formula>$A742="enumerator"</formula>
    </cfRule>
  </conditionalFormatting>
  <conditionalFormatting sqref="B742:E746">
    <cfRule type="expression" dxfId="2" priority="408" stopIfTrue="1">
      <formula>$A742="text"</formula>
    </cfRule>
  </conditionalFormatting>
  <conditionalFormatting sqref="B742:E746">
    <cfRule type="expression" dxfId="3" priority="409" stopIfTrue="1">
      <formula>$A742="integer"</formula>
    </cfRule>
  </conditionalFormatting>
  <conditionalFormatting sqref="B742:E746">
    <cfRule type="expression" dxfId="4" priority="410" stopIfTrue="1">
      <formula>$A742="decimal"</formula>
    </cfRule>
  </conditionalFormatting>
  <conditionalFormatting sqref="B742:C746 D742:E746">
    <cfRule type="expression" dxfId="5" priority="411" stopIfTrue="1">
      <formula>OR(AND(LEFT($A742, 16)="select_multiple ", LEN($A742)&gt;16, NOT(ISNUMBER(SEARCH(" ", $A742, 17)))), AND(LEFT($A742, 11)="select_one ", LEN($A742)&gt;11, NOT(ISNUMBER(SEARCH(" ", $A742, 12)))))</formula>
    </cfRule>
  </conditionalFormatting>
  <conditionalFormatting sqref="B742:B746 C743">
    <cfRule type="expression" dxfId="6" priority="412" stopIfTrue="1">
      <formula>OR($A742="audio audit", $A742="text audit", $A742="speed violations count", $A742="speed violations list", $A742="speed violations audit")</formula>
    </cfRule>
  </conditionalFormatting>
  <conditionalFormatting sqref="B742:C746 D742:E746">
    <cfRule type="expression" dxfId="32" priority="413" stopIfTrue="1">
      <formula>$A742="file"</formula>
    </cfRule>
  </conditionalFormatting>
  <conditionalFormatting sqref="B742:C746 D742:E746">
    <cfRule type="expression" dxfId="7" priority="414" stopIfTrue="1">
      <formula>$A742="note"</formula>
    </cfRule>
  </conditionalFormatting>
  <conditionalFormatting sqref="B742:C746 D742:E746">
    <cfRule type="expression" dxfId="8" priority="415" stopIfTrue="1">
      <formula>$A742="barcode"</formula>
    </cfRule>
  </conditionalFormatting>
  <conditionalFormatting sqref="B742:C746 D742:E746">
    <cfRule type="expression" dxfId="9" priority="416" stopIfTrue="1">
      <formula>OR($A742="geopoint", $A742="geoshape", $A742="geotrace")</formula>
    </cfRule>
  </conditionalFormatting>
  <conditionalFormatting sqref="B742:B746 C743">
    <cfRule type="expression" dxfId="10" priority="417" stopIfTrue="1">
      <formula>OR($A742="calculate", $A742="calculate_here")</formula>
    </cfRule>
  </conditionalFormatting>
  <conditionalFormatting sqref="B742:C746 D742:E746">
    <cfRule type="expression" dxfId="11" priority="418" stopIfTrue="1">
      <formula>OR($A742="date", $A742="datetime", $A742="time")</formula>
    </cfRule>
  </conditionalFormatting>
  <conditionalFormatting sqref="B742:C746 D742:E746">
    <cfRule type="expression" dxfId="12" priority="419" stopIfTrue="1">
      <formula>$A742="image"</formula>
    </cfRule>
  </conditionalFormatting>
  <conditionalFormatting sqref="B742:C746 D742:E746">
    <cfRule type="expression" dxfId="13" priority="420" stopIfTrue="1">
      <formula>OR($A742="audio", $A742="video")</formula>
    </cfRule>
  </conditionalFormatting>
  <conditionalFormatting sqref="B742:E746">
    <cfRule type="expression" dxfId="33" priority="421" stopIfTrue="1">
      <formula>$A742="file"</formula>
    </cfRule>
  </conditionalFormatting>
  <conditionalFormatting sqref="B742:E746">
    <cfRule type="expression" dxfId="34" priority="422" stopIfTrue="1">
      <formula>$A742="enumerator"</formula>
    </cfRule>
  </conditionalFormatting>
  <conditionalFormatting sqref="B742:E746">
    <cfRule type="expression" dxfId="35" priority="423" stopIfTrue="1">
      <formula>OR(AND(LEFT($A742, 14)="sensor_stream ", LEN($A742)&gt;14, NOT(ISNUMBER(SEARCH(" ", $A742, 15)))), AND(LEFT($A742, 17)="sensor_statistic ", LEN($A742)&gt;17, NOT(ISNUMBER(SEARCH(" ", $A742, 18)))))</formula>
    </cfRule>
  </conditionalFormatting>
  <conditionalFormatting sqref="B742:E746">
    <cfRule type="expression" dxfId="14" priority="424" stopIfTrue="1">
      <formula>$A742="comments"</formula>
    </cfRule>
  </conditionalFormatting>
  <conditionalFormatting sqref="B742:E746">
    <cfRule type="expression" dxfId="15" priority="425" stopIfTrue="1">
      <formula>OR($A742="audio", $A742="video")</formula>
    </cfRule>
  </conditionalFormatting>
  <conditionalFormatting sqref="B742:E746">
    <cfRule type="expression" dxfId="16" priority="426" stopIfTrue="1">
      <formula>$A742="image"</formula>
    </cfRule>
  </conditionalFormatting>
  <conditionalFormatting sqref="B742:E746">
    <cfRule type="expression" dxfId="17" priority="427" stopIfTrue="1">
      <formula>OR($A742="date", $A742="datetime", $A742="time")</formula>
    </cfRule>
  </conditionalFormatting>
  <conditionalFormatting sqref="B742:E746">
    <cfRule type="expression" dxfId="18" priority="428" stopIfTrue="1">
      <formula>OR($A742="calculate", $A742="calculate_here")</formula>
    </cfRule>
  </conditionalFormatting>
  <conditionalFormatting sqref="B742:E746">
    <cfRule type="expression" dxfId="19" priority="429" stopIfTrue="1">
      <formula>$A742="note"</formula>
    </cfRule>
  </conditionalFormatting>
  <conditionalFormatting sqref="B742:E746">
    <cfRule type="expression" dxfId="20" priority="430" stopIfTrue="1">
      <formula>$A742="barcode"</formula>
    </cfRule>
  </conditionalFormatting>
  <conditionalFormatting sqref="B742:E746">
    <cfRule type="expression" dxfId="21" priority="431" stopIfTrue="1">
      <formula>OR($A742="geopoint", $A742="geoshape", $A742="geotrace")</formula>
    </cfRule>
  </conditionalFormatting>
  <conditionalFormatting sqref="B742:E746">
    <cfRule type="expression" dxfId="22" priority="432" stopIfTrue="1">
      <formula>OR($A742="audio audit", $A742="text audit", $A742="speed violations count", $A742="speed violations list", $A742="speed violations audit")</formula>
    </cfRule>
  </conditionalFormatting>
  <conditionalFormatting sqref="B742:E746">
    <cfRule type="expression" dxfId="23" priority="433" stopIfTrue="1">
      <formula>OR($A742="username", $A742="phonenumber", $A742="start", $A742="end", $A742="deviceid", $A742="subscriberid", $A742="simserial", $A742="caseid")</formula>
    </cfRule>
  </conditionalFormatting>
  <conditionalFormatting sqref="B742:E746">
    <cfRule type="expression" dxfId="24" priority="434" stopIfTrue="1">
      <formula>OR(AND(LEFT($A742, 16)="select_multiple ", LEN($A742)&gt;16, NOT(ISNUMBER(SEARCH(" ", $A742, 17)))), AND(LEFT($A742, 11)="select_one ", LEN($A742)&gt;11, NOT(ISNUMBER(SEARCH(" ", $A742, 12)))))</formula>
    </cfRule>
  </conditionalFormatting>
  <conditionalFormatting sqref="B742:E746">
    <cfRule type="expression" dxfId="25" priority="435" stopIfTrue="1">
      <formula>$A742="decimal"</formula>
    </cfRule>
  </conditionalFormatting>
  <conditionalFormatting sqref="B742:E746">
    <cfRule type="expression" dxfId="26" priority="436" stopIfTrue="1">
      <formula>$A742="integer"</formula>
    </cfRule>
  </conditionalFormatting>
  <conditionalFormatting sqref="B742:E746">
    <cfRule type="expression" dxfId="27" priority="437" stopIfTrue="1">
      <formula>$A742="text"</formula>
    </cfRule>
  </conditionalFormatting>
  <conditionalFormatting sqref="B742:E746">
    <cfRule type="expression" dxfId="28" priority="438" stopIfTrue="1">
      <formula>$A742="end repeat"</formula>
    </cfRule>
  </conditionalFormatting>
  <conditionalFormatting sqref="B742:E746">
    <cfRule type="expression" dxfId="28" priority="439" stopIfTrue="1">
      <formula>$A742="begin repeat"</formula>
    </cfRule>
  </conditionalFormatting>
  <conditionalFormatting sqref="B742:E746">
    <cfRule type="expression" dxfId="29" priority="440" stopIfTrue="1">
      <formula>$A742="end group"</formula>
    </cfRule>
  </conditionalFormatting>
  <conditionalFormatting sqref="B742:E746">
    <cfRule type="expression" dxfId="29" priority="441" stopIfTrue="1">
      <formula>$A742="begin group"</formula>
    </cfRule>
  </conditionalFormatting>
  <conditionalFormatting sqref="B742:B746 C743">
    <cfRule type="expression" dxfId="30" priority="442" stopIfTrue="1">
      <formula>$A742="comments"</formula>
    </cfRule>
  </conditionalFormatting>
  <conditionalFormatting sqref="B742:B746 C743">
    <cfRule type="expression" dxfId="36" priority="443" stopIfTrue="1">
      <formula>OR(AND(LEFT($A742, 14)="sensor_stream ", LEN($A742)&gt;14, NOT(ISNUMBER(SEARCH(" ", $A742, 15)))), AND(LEFT($A742, 17)="sensor_statistic ", LEN($A742)&gt;17, NOT(ISNUMBER(SEARCH(" ", $A742, 18)))))</formula>
    </cfRule>
  </conditionalFormatting>
  <conditionalFormatting sqref="B739:C739 D739:E739">
    <cfRule type="expression" dxfId="0" priority="444" stopIfTrue="1">
      <formula>$A739="begin group"</formula>
    </cfRule>
  </conditionalFormatting>
  <conditionalFormatting sqref="B739:C739 D739:E739">
    <cfRule type="expression" dxfId="1" priority="445" stopIfTrue="1">
      <formula>$A739="begin repeat"</formula>
    </cfRule>
  </conditionalFormatting>
  <conditionalFormatting sqref="B739:E739">
    <cfRule type="expression" dxfId="31" priority="446" stopIfTrue="1">
      <formula>$A739="enumerator"</formula>
    </cfRule>
  </conditionalFormatting>
  <conditionalFormatting sqref="B739:E739">
    <cfRule type="expression" dxfId="2" priority="447" stopIfTrue="1">
      <formula>$A739="text"</formula>
    </cfRule>
  </conditionalFormatting>
  <conditionalFormatting sqref="B739:E739">
    <cfRule type="expression" dxfId="3" priority="448" stopIfTrue="1">
      <formula>$A739="integer"</formula>
    </cfRule>
  </conditionalFormatting>
  <conditionalFormatting sqref="B739:E739">
    <cfRule type="expression" dxfId="4" priority="449" stopIfTrue="1">
      <formula>$A739="decimal"</formula>
    </cfRule>
  </conditionalFormatting>
  <conditionalFormatting sqref="B739:C739 D739:E739">
    <cfRule type="expression" dxfId="5" priority="450" stopIfTrue="1">
      <formula>OR(AND(LEFT($A739, 16)="select_multiple ", LEN($A739)&gt;16, NOT(ISNUMBER(SEARCH(" ", $A739, 17)))), AND(LEFT($A739, 11)="select_one ", LEN($A739)&gt;11, NOT(ISNUMBER(SEARCH(" ", $A739, 12)))))</formula>
    </cfRule>
  </conditionalFormatting>
  <conditionalFormatting sqref="B739">
    <cfRule type="expression" dxfId="6" priority="451" stopIfTrue="1">
      <formula>OR($A739="audio audit", $A739="text audit", $A739="speed violations count", $A739="speed violations list", $A739="speed violations audit")</formula>
    </cfRule>
  </conditionalFormatting>
  <conditionalFormatting sqref="B739:C739 D739:E739">
    <cfRule type="expression" dxfId="32" priority="452" stopIfTrue="1">
      <formula>$A739="file"</formula>
    </cfRule>
  </conditionalFormatting>
  <conditionalFormatting sqref="B739:C739 D739:E739">
    <cfRule type="expression" dxfId="7" priority="453" stopIfTrue="1">
      <formula>$A739="note"</formula>
    </cfRule>
  </conditionalFormatting>
  <conditionalFormatting sqref="B739:C739 D739:E739">
    <cfRule type="expression" dxfId="8" priority="454" stopIfTrue="1">
      <formula>$A739="barcode"</formula>
    </cfRule>
  </conditionalFormatting>
  <conditionalFormatting sqref="B739:C739 D739:E739">
    <cfRule type="expression" dxfId="9" priority="455" stopIfTrue="1">
      <formula>OR($A739="geopoint", $A739="geoshape", $A739="geotrace")</formula>
    </cfRule>
  </conditionalFormatting>
  <conditionalFormatting sqref="B739">
    <cfRule type="expression" dxfId="10" priority="456" stopIfTrue="1">
      <formula>OR($A739="calculate", $A739="calculate_here")</formula>
    </cfRule>
  </conditionalFormatting>
  <conditionalFormatting sqref="B739:C739 D739:E739">
    <cfRule type="expression" dxfId="11" priority="457" stopIfTrue="1">
      <formula>OR($A739="date", $A739="datetime", $A739="time")</formula>
    </cfRule>
  </conditionalFormatting>
  <conditionalFormatting sqref="B739:C739 D739:E739">
    <cfRule type="expression" dxfId="12" priority="458" stopIfTrue="1">
      <formula>$A739="image"</formula>
    </cfRule>
  </conditionalFormatting>
  <conditionalFormatting sqref="B739:C739 D739:E739">
    <cfRule type="expression" dxfId="13" priority="459" stopIfTrue="1">
      <formula>OR($A739="audio", $A739="video")</formula>
    </cfRule>
  </conditionalFormatting>
  <conditionalFormatting sqref="B739:E739">
    <cfRule type="expression" dxfId="33" priority="460" stopIfTrue="1">
      <formula>$A739="file"</formula>
    </cfRule>
  </conditionalFormatting>
  <conditionalFormatting sqref="B739:E739">
    <cfRule type="expression" dxfId="34" priority="461" stopIfTrue="1">
      <formula>$A739="enumerator"</formula>
    </cfRule>
  </conditionalFormatting>
  <conditionalFormatting sqref="B739:E739">
    <cfRule type="expression" dxfId="35" priority="462" stopIfTrue="1">
      <formula>OR(AND(LEFT($A739, 14)="sensor_stream ", LEN($A739)&gt;14, NOT(ISNUMBER(SEARCH(" ", $A739, 15)))), AND(LEFT($A739, 17)="sensor_statistic ", LEN($A739)&gt;17, NOT(ISNUMBER(SEARCH(" ", $A739, 18)))))</formula>
    </cfRule>
  </conditionalFormatting>
  <conditionalFormatting sqref="B739:E739">
    <cfRule type="expression" dxfId="14" priority="463" stopIfTrue="1">
      <formula>$A739="comments"</formula>
    </cfRule>
  </conditionalFormatting>
  <conditionalFormatting sqref="B739:E739">
    <cfRule type="expression" dxfId="15" priority="464" stopIfTrue="1">
      <formula>OR($A739="audio", $A739="video")</formula>
    </cfRule>
  </conditionalFormatting>
  <conditionalFormatting sqref="B739:E739">
    <cfRule type="expression" dxfId="16" priority="465" stopIfTrue="1">
      <formula>$A739="image"</formula>
    </cfRule>
  </conditionalFormatting>
  <conditionalFormatting sqref="B739:E739">
    <cfRule type="expression" dxfId="17" priority="466" stopIfTrue="1">
      <formula>OR($A739="date", $A739="datetime", $A739="time")</formula>
    </cfRule>
  </conditionalFormatting>
  <conditionalFormatting sqref="B739:E739">
    <cfRule type="expression" dxfId="18" priority="467" stopIfTrue="1">
      <formula>OR($A739="calculate", $A739="calculate_here")</formula>
    </cfRule>
  </conditionalFormatting>
  <conditionalFormatting sqref="B739:E739">
    <cfRule type="expression" dxfId="19" priority="468" stopIfTrue="1">
      <formula>$A739="note"</formula>
    </cfRule>
  </conditionalFormatting>
  <conditionalFormatting sqref="B739:E739">
    <cfRule type="expression" dxfId="20" priority="469" stopIfTrue="1">
      <formula>$A739="barcode"</formula>
    </cfRule>
  </conditionalFormatting>
  <conditionalFormatting sqref="B739:E739">
    <cfRule type="expression" dxfId="21" priority="470" stopIfTrue="1">
      <formula>OR($A739="geopoint", $A739="geoshape", $A739="geotrace")</formula>
    </cfRule>
  </conditionalFormatting>
  <conditionalFormatting sqref="B739:E739">
    <cfRule type="expression" dxfId="22" priority="471" stopIfTrue="1">
      <formula>OR($A739="audio audit", $A739="text audit", $A739="speed violations count", $A739="speed violations list", $A739="speed violations audit")</formula>
    </cfRule>
  </conditionalFormatting>
  <conditionalFormatting sqref="B739:E739">
    <cfRule type="expression" dxfId="23" priority="472" stopIfTrue="1">
      <formula>OR($A739="username", $A739="phonenumber", $A739="start", $A739="end", $A739="deviceid", $A739="subscriberid", $A739="simserial", $A739="caseid")</formula>
    </cfRule>
  </conditionalFormatting>
  <conditionalFormatting sqref="B739:E739">
    <cfRule type="expression" dxfId="24" priority="473" stopIfTrue="1">
      <formula>OR(AND(LEFT($A739, 16)="select_multiple ", LEN($A739)&gt;16, NOT(ISNUMBER(SEARCH(" ", $A739, 17)))), AND(LEFT($A739, 11)="select_one ", LEN($A739)&gt;11, NOT(ISNUMBER(SEARCH(" ", $A739, 12)))))</formula>
    </cfRule>
  </conditionalFormatting>
  <conditionalFormatting sqref="B739:E739">
    <cfRule type="expression" dxfId="25" priority="474" stopIfTrue="1">
      <formula>$A739="decimal"</formula>
    </cfRule>
  </conditionalFormatting>
  <conditionalFormatting sqref="B739:E739">
    <cfRule type="expression" dxfId="26" priority="475" stopIfTrue="1">
      <formula>$A739="integer"</formula>
    </cfRule>
  </conditionalFormatting>
  <conditionalFormatting sqref="B739:E739">
    <cfRule type="expression" dxfId="27" priority="476" stopIfTrue="1">
      <formula>$A739="text"</formula>
    </cfRule>
  </conditionalFormatting>
  <conditionalFormatting sqref="B739:E739">
    <cfRule type="expression" dxfId="28" priority="477" stopIfTrue="1">
      <formula>$A739="end repeat"</formula>
    </cfRule>
  </conditionalFormatting>
  <conditionalFormatting sqref="B739:E739">
    <cfRule type="expression" dxfId="28" priority="478" stopIfTrue="1">
      <formula>$A739="begin repeat"</formula>
    </cfRule>
  </conditionalFormatting>
  <conditionalFormatting sqref="B739:E739">
    <cfRule type="expression" dxfId="29" priority="479" stopIfTrue="1">
      <formula>$A739="end group"</formula>
    </cfRule>
  </conditionalFormatting>
  <conditionalFormatting sqref="B739:E739">
    <cfRule type="expression" dxfId="29" priority="480" stopIfTrue="1">
      <formula>$A739="begin group"</formula>
    </cfRule>
  </conditionalFormatting>
  <conditionalFormatting sqref="B739">
    <cfRule type="expression" dxfId="30" priority="481" stopIfTrue="1">
      <formula>$A739="comments"</formula>
    </cfRule>
  </conditionalFormatting>
  <conditionalFormatting sqref="B739">
    <cfRule type="expression" dxfId="36" priority="482" stopIfTrue="1">
      <formula>OR(AND(LEFT($A739, 14)="sensor_stream ", LEN($A739)&gt;14, NOT(ISNUMBER(SEARCH(" ", $A739, 15)))), AND(LEFT($A739, 17)="sensor_statistic ", LEN($A739)&gt;17, NOT(ISNUMBER(SEARCH(" ", $A739, 18)))))</formula>
    </cfRule>
  </conditionalFormatting>
  <conditionalFormatting sqref="B736:C736 D736:E736">
    <cfRule type="expression" dxfId="0" priority="483" stopIfTrue="1">
      <formula>$A736="begin group"</formula>
    </cfRule>
  </conditionalFormatting>
  <conditionalFormatting sqref="B736:C736 D736:E736">
    <cfRule type="expression" dxfId="1" priority="484" stopIfTrue="1">
      <formula>$A736="begin repeat"</formula>
    </cfRule>
  </conditionalFormatting>
  <conditionalFormatting sqref="B736:E736">
    <cfRule type="expression" dxfId="31" priority="485" stopIfTrue="1">
      <formula>$A736="enumerator"</formula>
    </cfRule>
  </conditionalFormatting>
  <conditionalFormatting sqref="B736:E736">
    <cfRule type="expression" dxfId="2" priority="486" stopIfTrue="1">
      <formula>$A736="text"</formula>
    </cfRule>
  </conditionalFormatting>
  <conditionalFormatting sqref="B736:E736">
    <cfRule type="expression" dxfId="3" priority="487" stopIfTrue="1">
      <formula>$A736="integer"</formula>
    </cfRule>
  </conditionalFormatting>
  <conditionalFormatting sqref="B736:E736">
    <cfRule type="expression" dxfId="4" priority="488" stopIfTrue="1">
      <formula>$A736="decimal"</formula>
    </cfRule>
  </conditionalFormatting>
  <conditionalFormatting sqref="B736:C736 D736:E736">
    <cfRule type="expression" dxfId="5" priority="489" stopIfTrue="1">
      <formula>OR(AND(LEFT($A736, 16)="select_multiple ", LEN($A736)&gt;16, NOT(ISNUMBER(SEARCH(" ", $A736, 17)))), AND(LEFT($A736, 11)="select_one ", LEN($A736)&gt;11, NOT(ISNUMBER(SEARCH(" ", $A736, 12)))))</formula>
    </cfRule>
  </conditionalFormatting>
  <conditionalFormatting sqref="B736">
    <cfRule type="expression" dxfId="6" priority="490" stopIfTrue="1">
      <formula>OR($A736="audio audit", $A736="text audit", $A736="speed violations count", $A736="speed violations list", $A736="speed violations audit")</formula>
    </cfRule>
  </conditionalFormatting>
  <conditionalFormatting sqref="B736:C736 D736:E736">
    <cfRule type="expression" dxfId="32" priority="491" stopIfTrue="1">
      <formula>$A736="file"</formula>
    </cfRule>
  </conditionalFormatting>
  <conditionalFormatting sqref="B736:C736 D736:E736">
    <cfRule type="expression" dxfId="7" priority="492" stopIfTrue="1">
      <formula>$A736="note"</formula>
    </cfRule>
  </conditionalFormatting>
  <conditionalFormatting sqref="B736:C736 D736:E736">
    <cfRule type="expression" dxfId="8" priority="493" stopIfTrue="1">
      <formula>$A736="barcode"</formula>
    </cfRule>
  </conditionalFormatting>
  <conditionalFormatting sqref="B736:C736 D736:E736">
    <cfRule type="expression" dxfId="9" priority="494" stopIfTrue="1">
      <formula>OR($A736="geopoint", $A736="geoshape", $A736="geotrace")</formula>
    </cfRule>
  </conditionalFormatting>
  <conditionalFormatting sqref="B736">
    <cfRule type="expression" dxfId="10" priority="495" stopIfTrue="1">
      <formula>OR($A736="calculate", $A736="calculate_here")</formula>
    </cfRule>
  </conditionalFormatting>
  <conditionalFormatting sqref="B736:C736 D736:E736">
    <cfRule type="expression" dxfId="11" priority="496" stopIfTrue="1">
      <formula>OR($A736="date", $A736="datetime", $A736="time")</formula>
    </cfRule>
  </conditionalFormatting>
  <conditionalFormatting sqref="B736:C736 D736:E736">
    <cfRule type="expression" dxfId="12" priority="497" stopIfTrue="1">
      <formula>$A736="image"</formula>
    </cfRule>
  </conditionalFormatting>
  <conditionalFormatting sqref="B736:C736 D736:E736">
    <cfRule type="expression" dxfId="13" priority="498" stopIfTrue="1">
      <formula>OR($A736="audio", $A736="video")</formula>
    </cfRule>
  </conditionalFormatting>
  <conditionalFormatting sqref="B736:E736">
    <cfRule type="expression" dxfId="33" priority="499" stopIfTrue="1">
      <formula>$A736="file"</formula>
    </cfRule>
  </conditionalFormatting>
  <conditionalFormatting sqref="B736:E736">
    <cfRule type="expression" dxfId="34" priority="500" stopIfTrue="1">
      <formula>$A736="enumerator"</formula>
    </cfRule>
  </conditionalFormatting>
  <conditionalFormatting sqref="B736:E736">
    <cfRule type="expression" dxfId="35" priority="501" stopIfTrue="1">
      <formula>OR(AND(LEFT($A736, 14)="sensor_stream ", LEN($A736)&gt;14, NOT(ISNUMBER(SEARCH(" ", $A736, 15)))), AND(LEFT($A736, 17)="sensor_statistic ", LEN($A736)&gt;17, NOT(ISNUMBER(SEARCH(" ", $A736, 18)))))</formula>
    </cfRule>
  </conditionalFormatting>
  <conditionalFormatting sqref="B736:E736">
    <cfRule type="expression" dxfId="14" priority="502" stopIfTrue="1">
      <formula>$A736="comments"</formula>
    </cfRule>
  </conditionalFormatting>
  <conditionalFormatting sqref="B736:E736">
    <cfRule type="expression" dxfId="15" priority="503" stopIfTrue="1">
      <formula>OR($A736="audio", $A736="video")</formula>
    </cfRule>
  </conditionalFormatting>
  <conditionalFormatting sqref="B736:E736">
    <cfRule type="expression" dxfId="16" priority="504" stopIfTrue="1">
      <formula>$A736="image"</formula>
    </cfRule>
  </conditionalFormatting>
  <conditionalFormatting sqref="B736:E736">
    <cfRule type="expression" dxfId="17" priority="505" stopIfTrue="1">
      <formula>OR($A736="date", $A736="datetime", $A736="time")</formula>
    </cfRule>
  </conditionalFormatting>
  <conditionalFormatting sqref="B736:E736">
    <cfRule type="expression" dxfId="18" priority="506" stopIfTrue="1">
      <formula>OR($A736="calculate", $A736="calculate_here")</formula>
    </cfRule>
  </conditionalFormatting>
  <conditionalFormatting sqref="B736:E736">
    <cfRule type="expression" dxfId="19" priority="507" stopIfTrue="1">
      <formula>$A736="note"</formula>
    </cfRule>
  </conditionalFormatting>
  <conditionalFormatting sqref="B736:E736">
    <cfRule type="expression" dxfId="20" priority="508" stopIfTrue="1">
      <formula>$A736="barcode"</formula>
    </cfRule>
  </conditionalFormatting>
  <conditionalFormatting sqref="B736:E736">
    <cfRule type="expression" dxfId="21" priority="509" stopIfTrue="1">
      <formula>OR($A736="geopoint", $A736="geoshape", $A736="geotrace")</formula>
    </cfRule>
  </conditionalFormatting>
  <conditionalFormatting sqref="B736:E736">
    <cfRule type="expression" dxfId="22" priority="510" stopIfTrue="1">
      <formula>OR($A736="audio audit", $A736="text audit", $A736="speed violations count", $A736="speed violations list", $A736="speed violations audit")</formula>
    </cfRule>
  </conditionalFormatting>
  <conditionalFormatting sqref="B736:E736">
    <cfRule type="expression" dxfId="23" priority="511" stopIfTrue="1">
      <formula>OR($A736="username", $A736="phonenumber", $A736="start", $A736="end", $A736="deviceid", $A736="subscriberid", $A736="simserial", $A736="caseid")</formula>
    </cfRule>
  </conditionalFormatting>
  <conditionalFormatting sqref="B736:E736">
    <cfRule type="expression" dxfId="24" priority="512" stopIfTrue="1">
      <formula>OR(AND(LEFT($A736, 16)="select_multiple ", LEN($A736)&gt;16, NOT(ISNUMBER(SEARCH(" ", $A736, 17)))), AND(LEFT($A736, 11)="select_one ", LEN($A736)&gt;11, NOT(ISNUMBER(SEARCH(" ", $A736, 12)))))</formula>
    </cfRule>
  </conditionalFormatting>
  <conditionalFormatting sqref="B736:E736">
    <cfRule type="expression" dxfId="25" priority="513" stopIfTrue="1">
      <formula>$A736="decimal"</formula>
    </cfRule>
  </conditionalFormatting>
  <conditionalFormatting sqref="B736:E736">
    <cfRule type="expression" dxfId="26" priority="514" stopIfTrue="1">
      <formula>$A736="integer"</formula>
    </cfRule>
  </conditionalFormatting>
  <conditionalFormatting sqref="B736:E736">
    <cfRule type="expression" dxfId="27" priority="515" stopIfTrue="1">
      <formula>$A736="text"</formula>
    </cfRule>
  </conditionalFormatting>
  <conditionalFormatting sqref="B736:E736">
    <cfRule type="expression" dxfId="28" priority="516" stopIfTrue="1">
      <formula>$A736="end repeat"</formula>
    </cfRule>
  </conditionalFormatting>
  <conditionalFormatting sqref="B736:E736">
    <cfRule type="expression" dxfId="28" priority="517" stopIfTrue="1">
      <formula>$A736="begin repeat"</formula>
    </cfRule>
  </conditionalFormatting>
  <conditionalFormatting sqref="B736:E736">
    <cfRule type="expression" dxfId="29" priority="518" stopIfTrue="1">
      <formula>$A736="end group"</formula>
    </cfRule>
  </conditionalFormatting>
  <conditionalFormatting sqref="B736:E736">
    <cfRule type="expression" dxfId="29" priority="519" stopIfTrue="1">
      <formula>$A736="begin group"</formula>
    </cfRule>
  </conditionalFormatting>
  <conditionalFormatting sqref="B736">
    <cfRule type="expression" dxfId="30" priority="520" stopIfTrue="1">
      <formula>$A736="comments"</formula>
    </cfRule>
  </conditionalFormatting>
  <conditionalFormatting sqref="B736">
    <cfRule type="expression" dxfId="36" priority="521" stopIfTrue="1">
      <formula>OR(AND(LEFT($A736, 14)="sensor_stream ", LEN($A736)&gt;14, NOT(ISNUMBER(SEARCH(" ", $A736, 15)))), AND(LEFT($A736, 17)="sensor_statistic ", LEN($A736)&gt;17, NOT(ISNUMBER(SEARCH(" ", $A736, 18)))))</formula>
    </cfRule>
  </conditionalFormatting>
  <conditionalFormatting sqref="B734:C734 D734:E734">
    <cfRule type="expression" dxfId="0" priority="522" stopIfTrue="1">
      <formula>$A734="begin group"</formula>
    </cfRule>
  </conditionalFormatting>
  <conditionalFormatting sqref="B734:C734 D734:E734">
    <cfRule type="expression" dxfId="1" priority="523" stopIfTrue="1">
      <formula>$A734="begin repeat"</formula>
    </cfRule>
  </conditionalFormatting>
  <conditionalFormatting sqref="B734:E734">
    <cfRule type="expression" dxfId="31" priority="524" stopIfTrue="1">
      <formula>$A734="enumerator"</formula>
    </cfRule>
  </conditionalFormatting>
  <conditionalFormatting sqref="B734:E734">
    <cfRule type="expression" dxfId="2" priority="525" stopIfTrue="1">
      <formula>$A734="text"</formula>
    </cfRule>
  </conditionalFormatting>
  <conditionalFormatting sqref="B734:E734">
    <cfRule type="expression" dxfId="3" priority="526" stopIfTrue="1">
      <formula>$A734="integer"</formula>
    </cfRule>
  </conditionalFormatting>
  <conditionalFormatting sqref="B734:E734">
    <cfRule type="expression" dxfId="4" priority="527" stopIfTrue="1">
      <formula>$A734="decimal"</formula>
    </cfRule>
  </conditionalFormatting>
  <conditionalFormatting sqref="B734:C734 D734:E734">
    <cfRule type="expression" dxfId="5" priority="528" stopIfTrue="1">
      <formula>OR(AND(LEFT($A734, 16)="select_multiple ", LEN($A734)&gt;16, NOT(ISNUMBER(SEARCH(" ", $A734, 17)))), AND(LEFT($A734, 11)="select_one ", LEN($A734)&gt;11, NOT(ISNUMBER(SEARCH(" ", $A734, 12)))))</formula>
    </cfRule>
  </conditionalFormatting>
  <conditionalFormatting sqref="B734">
    <cfRule type="expression" dxfId="6" priority="529" stopIfTrue="1">
      <formula>OR($A734="audio audit", $A734="text audit", $A734="speed violations count", $A734="speed violations list", $A734="speed violations audit")</formula>
    </cfRule>
  </conditionalFormatting>
  <conditionalFormatting sqref="B734:C734 D734:E734">
    <cfRule type="expression" dxfId="32" priority="530" stopIfTrue="1">
      <formula>$A734="file"</formula>
    </cfRule>
  </conditionalFormatting>
  <conditionalFormatting sqref="B734:C734 D734:E734">
    <cfRule type="expression" dxfId="7" priority="531" stopIfTrue="1">
      <formula>$A734="note"</formula>
    </cfRule>
  </conditionalFormatting>
  <conditionalFormatting sqref="B734:C734 D734:E734">
    <cfRule type="expression" dxfId="8" priority="532" stopIfTrue="1">
      <formula>$A734="barcode"</formula>
    </cfRule>
  </conditionalFormatting>
  <conditionalFormatting sqref="B734:C734 D734:E734">
    <cfRule type="expression" dxfId="9" priority="533" stopIfTrue="1">
      <formula>OR($A734="geopoint", $A734="geoshape", $A734="geotrace")</formula>
    </cfRule>
  </conditionalFormatting>
  <conditionalFormatting sqref="B734">
    <cfRule type="expression" dxfId="10" priority="534" stopIfTrue="1">
      <formula>OR($A734="calculate", $A734="calculate_here")</formula>
    </cfRule>
  </conditionalFormatting>
  <conditionalFormatting sqref="B734:C734 D734:E734">
    <cfRule type="expression" dxfId="11" priority="535" stopIfTrue="1">
      <formula>OR($A734="date", $A734="datetime", $A734="time")</formula>
    </cfRule>
  </conditionalFormatting>
  <conditionalFormatting sqref="B734:C734 D734:E734">
    <cfRule type="expression" dxfId="12" priority="536" stopIfTrue="1">
      <formula>$A734="image"</formula>
    </cfRule>
  </conditionalFormatting>
  <conditionalFormatting sqref="B734:C734 D734:E734">
    <cfRule type="expression" dxfId="13" priority="537" stopIfTrue="1">
      <formula>OR($A734="audio", $A734="video")</formula>
    </cfRule>
  </conditionalFormatting>
  <conditionalFormatting sqref="B734:E734">
    <cfRule type="expression" dxfId="33" priority="538" stopIfTrue="1">
      <formula>$A734="file"</formula>
    </cfRule>
  </conditionalFormatting>
  <conditionalFormatting sqref="B734:E734">
    <cfRule type="expression" dxfId="34" priority="539" stopIfTrue="1">
      <formula>$A734="enumerator"</formula>
    </cfRule>
  </conditionalFormatting>
  <conditionalFormatting sqref="B734:E734">
    <cfRule type="expression" dxfId="35" priority="540" stopIfTrue="1">
      <formula>OR(AND(LEFT($A734, 14)="sensor_stream ", LEN($A734)&gt;14, NOT(ISNUMBER(SEARCH(" ", $A734, 15)))), AND(LEFT($A734, 17)="sensor_statistic ", LEN($A734)&gt;17, NOT(ISNUMBER(SEARCH(" ", $A734, 18)))))</formula>
    </cfRule>
  </conditionalFormatting>
  <conditionalFormatting sqref="B734:E734">
    <cfRule type="expression" dxfId="14" priority="541" stopIfTrue="1">
      <formula>$A734="comments"</formula>
    </cfRule>
  </conditionalFormatting>
  <conditionalFormatting sqref="B734:E734">
    <cfRule type="expression" dxfId="15" priority="542" stopIfTrue="1">
      <formula>OR($A734="audio", $A734="video")</formula>
    </cfRule>
  </conditionalFormatting>
  <conditionalFormatting sqref="B734:E734">
    <cfRule type="expression" dxfId="16" priority="543" stopIfTrue="1">
      <formula>$A734="image"</formula>
    </cfRule>
  </conditionalFormatting>
  <conditionalFormatting sqref="B734:E734">
    <cfRule type="expression" dxfId="17" priority="544" stopIfTrue="1">
      <formula>OR($A734="date", $A734="datetime", $A734="time")</formula>
    </cfRule>
  </conditionalFormatting>
  <conditionalFormatting sqref="B734:E734">
    <cfRule type="expression" dxfId="18" priority="545" stopIfTrue="1">
      <formula>OR($A734="calculate", $A734="calculate_here")</formula>
    </cfRule>
  </conditionalFormatting>
  <conditionalFormatting sqref="B734:E734">
    <cfRule type="expression" dxfId="19" priority="546" stopIfTrue="1">
      <formula>$A734="note"</formula>
    </cfRule>
  </conditionalFormatting>
  <conditionalFormatting sqref="B734:E734">
    <cfRule type="expression" dxfId="20" priority="547" stopIfTrue="1">
      <formula>$A734="barcode"</formula>
    </cfRule>
  </conditionalFormatting>
  <conditionalFormatting sqref="B734:E734">
    <cfRule type="expression" dxfId="21" priority="548" stopIfTrue="1">
      <formula>OR($A734="geopoint", $A734="geoshape", $A734="geotrace")</formula>
    </cfRule>
  </conditionalFormatting>
  <conditionalFormatting sqref="B734:E734">
    <cfRule type="expression" dxfId="22" priority="549" stopIfTrue="1">
      <formula>OR($A734="audio audit", $A734="text audit", $A734="speed violations count", $A734="speed violations list", $A734="speed violations audit")</formula>
    </cfRule>
  </conditionalFormatting>
  <conditionalFormatting sqref="B734:E734">
    <cfRule type="expression" dxfId="23" priority="550" stopIfTrue="1">
      <formula>OR($A734="username", $A734="phonenumber", $A734="start", $A734="end", $A734="deviceid", $A734="subscriberid", $A734="simserial", $A734="caseid")</formula>
    </cfRule>
  </conditionalFormatting>
  <conditionalFormatting sqref="B734:E734">
    <cfRule type="expression" dxfId="24" priority="551" stopIfTrue="1">
      <formula>OR(AND(LEFT($A734, 16)="select_multiple ", LEN($A734)&gt;16, NOT(ISNUMBER(SEARCH(" ", $A734, 17)))), AND(LEFT($A734, 11)="select_one ", LEN($A734)&gt;11, NOT(ISNUMBER(SEARCH(" ", $A734, 12)))))</formula>
    </cfRule>
  </conditionalFormatting>
  <conditionalFormatting sqref="B734:E734">
    <cfRule type="expression" dxfId="25" priority="552" stopIfTrue="1">
      <formula>$A734="decimal"</formula>
    </cfRule>
  </conditionalFormatting>
  <conditionalFormatting sqref="B734:E734">
    <cfRule type="expression" dxfId="26" priority="553" stopIfTrue="1">
      <formula>$A734="integer"</formula>
    </cfRule>
  </conditionalFormatting>
  <conditionalFormatting sqref="B734:E734">
    <cfRule type="expression" dxfId="27" priority="554" stopIfTrue="1">
      <formula>$A734="text"</formula>
    </cfRule>
  </conditionalFormatting>
  <conditionalFormatting sqref="B734:E734">
    <cfRule type="expression" dxfId="28" priority="555" stopIfTrue="1">
      <formula>$A734="end repeat"</formula>
    </cfRule>
  </conditionalFormatting>
  <conditionalFormatting sqref="B734:E734">
    <cfRule type="expression" dxfId="28" priority="556" stopIfTrue="1">
      <formula>$A734="begin repeat"</formula>
    </cfRule>
  </conditionalFormatting>
  <conditionalFormatting sqref="B734:E734">
    <cfRule type="expression" dxfId="29" priority="557" stopIfTrue="1">
      <formula>$A734="end group"</formula>
    </cfRule>
  </conditionalFormatting>
  <conditionalFormatting sqref="B734:E734">
    <cfRule type="expression" dxfId="29" priority="558" stopIfTrue="1">
      <formula>$A734="begin group"</formula>
    </cfRule>
  </conditionalFormatting>
  <conditionalFormatting sqref="B734">
    <cfRule type="expression" dxfId="30" priority="559" stopIfTrue="1">
      <formula>$A734="comments"</formula>
    </cfRule>
  </conditionalFormatting>
  <conditionalFormatting sqref="B734">
    <cfRule type="expression" dxfId="36" priority="560" stopIfTrue="1">
      <formula>OR(AND(LEFT($A734, 14)="sensor_stream ", LEN($A734)&gt;14, NOT(ISNUMBER(SEARCH(" ", $A734, 15)))), AND(LEFT($A734, 17)="sensor_statistic ", LEN($A734)&gt;17, NOT(ISNUMBER(SEARCH(" ", $A734, 18)))))</formula>
    </cfRule>
  </conditionalFormatting>
  <conditionalFormatting sqref="B731:C731 D731:E731">
    <cfRule type="expression" dxfId="0" priority="561" stopIfTrue="1">
      <formula>$A731="begin group"</formula>
    </cfRule>
  </conditionalFormatting>
  <conditionalFormatting sqref="B731:C731 D731:E731">
    <cfRule type="expression" dxfId="1" priority="562" stopIfTrue="1">
      <formula>$A731="begin repeat"</formula>
    </cfRule>
  </conditionalFormatting>
  <conditionalFormatting sqref="B731:E731">
    <cfRule type="expression" dxfId="31" priority="563" stopIfTrue="1">
      <formula>$A731="enumerator"</formula>
    </cfRule>
  </conditionalFormatting>
  <conditionalFormatting sqref="B731:E731">
    <cfRule type="expression" dxfId="2" priority="564" stopIfTrue="1">
      <formula>$A731="text"</formula>
    </cfRule>
  </conditionalFormatting>
  <conditionalFormatting sqref="B731:E731">
    <cfRule type="expression" dxfId="3" priority="565" stopIfTrue="1">
      <formula>$A731="integer"</formula>
    </cfRule>
  </conditionalFormatting>
  <conditionalFormatting sqref="B731:E731">
    <cfRule type="expression" dxfId="4" priority="566" stopIfTrue="1">
      <formula>$A731="decimal"</formula>
    </cfRule>
  </conditionalFormatting>
  <conditionalFormatting sqref="B731:C731 D731:E731">
    <cfRule type="expression" dxfId="5" priority="567" stopIfTrue="1">
      <formula>OR(AND(LEFT($A731, 16)="select_multiple ", LEN($A731)&gt;16, NOT(ISNUMBER(SEARCH(" ", $A731, 17)))), AND(LEFT($A731, 11)="select_one ", LEN($A731)&gt;11, NOT(ISNUMBER(SEARCH(" ", $A731, 12)))))</formula>
    </cfRule>
  </conditionalFormatting>
  <conditionalFormatting sqref="B731">
    <cfRule type="expression" dxfId="6" priority="568" stopIfTrue="1">
      <formula>OR($A731="audio audit", $A731="text audit", $A731="speed violations count", $A731="speed violations list", $A731="speed violations audit")</formula>
    </cfRule>
  </conditionalFormatting>
  <conditionalFormatting sqref="B731:C731 D731:E731">
    <cfRule type="expression" dxfId="32" priority="569" stopIfTrue="1">
      <formula>$A731="file"</formula>
    </cfRule>
  </conditionalFormatting>
  <conditionalFormatting sqref="B731:C731 D731:E731">
    <cfRule type="expression" dxfId="7" priority="570" stopIfTrue="1">
      <formula>$A731="note"</formula>
    </cfRule>
  </conditionalFormatting>
  <conditionalFormatting sqref="B731:C731 D731:E731">
    <cfRule type="expression" dxfId="8" priority="571" stopIfTrue="1">
      <formula>$A731="barcode"</formula>
    </cfRule>
  </conditionalFormatting>
  <conditionalFormatting sqref="B731:C731 D731:E731">
    <cfRule type="expression" dxfId="9" priority="572" stopIfTrue="1">
      <formula>OR($A731="geopoint", $A731="geoshape", $A731="geotrace")</formula>
    </cfRule>
  </conditionalFormatting>
  <conditionalFormatting sqref="B731">
    <cfRule type="expression" dxfId="10" priority="573" stopIfTrue="1">
      <formula>OR($A731="calculate", $A731="calculate_here")</formula>
    </cfRule>
  </conditionalFormatting>
  <conditionalFormatting sqref="B731:C731 D731:E731">
    <cfRule type="expression" dxfId="11" priority="574" stopIfTrue="1">
      <formula>OR($A731="date", $A731="datetime", $A731="time")</formula>
    </cfRule>
  </conditionalFormatting>
  <conditionalFormatting sqref="B731:C731 D731:E731">
    <cfRule type="expression" dxfId="12" priority="575" stopIfTrue="1">
      <formula>$A731="image"</formula>
    </cfRule>
  </conditionalFormatting>
  <conditionalFormatting sqref="B731:C731 D731:E731">
    <cfRule type="expression" dxfId="13" priority="576" stopIfTrue="1">
      <formula>OR($A731="audio", $A731="video")</formula>
    </cfRule>
  </conditionalFormatting>
  <conditionalFormatting sqref="B731:E731">
    <cfRule type="expression" dxfId="33" priority="577" stopIfTrue="1">
      <formula>$A731="file"</formula>
    </cfRule>
  </conditionalFormatting>
  <conditionalFormatting sqref="B731:E731">
    <cfRule type="expression" dxfId="34" priority="578" stopIfTrue="1">
      <formula>$A731="enumerator"</formula>
    </cfRule>
  </conditionalFormatting>
  <conditionalFormatting sqref="B731:E731">
    <cfRule type="expression" dxfId="35" priority="579" stopIfTrue="1">
      <formula>OR(AND(LEFT($A731, 14)="sensor_stream ", LEN($A731)&gt;14, NOT(ISNUMBER(SEARCH(" ", $A731, 15)))), AND(LEFT($A731, 17)="sensor_statistic ", LEN($A731)&gt;17, NOT(ISNUMBER(SEARCH(" ", $A731, 18)))))</formula>
    </cfRule>
  </conditionalFormatting>
  <conditionalFormatting sqref="B731:E731">
    <cfRule type="expression" dxfId="14" priority="580" stopIfTrue="1">
      <formula>$A731="comments"</formula>
    </cfRule>
  </conditionalFormatting>
  <conditionalFormatting sqref="B731:E731">
    <cfRule type="expression" dxfId="15" priority="581" stopIfTrue="1">
      <formula>OR($A731="audio", $A731="video")</formula>
    </cfRule>
  </conditionalFormatting>
  <conditionalFormatting sqref="B731:E731">
    <cfRule type="expression" dxfId="16" priority="582" stopIfTrue="1">
      <formula>$A731="image"</formula>
    </cfRule>
  </conditionalFormatting>
  <conditionalFormatting sqref="B731:E731">
    <cfRule type="expression" dxfId="17" priority="583" stopIfTrue="1">
      <formula>OR($A731="date", $A731="datetime", $A731="time")</formula>
    </cfRule>
  </conditionalFormatting>
  <conditionalFormatting sqref="B731:E731">
    <cfRule type="expression" dxfId="18" priority="584" stopIfTrue="1">
      <formula>OR($A731="calculate", $A731="calculate_here")</formula>
    </cfRule>
  </conditionalFormatting>
  <conditionalFormatting sqref="B731:E731">
    <cfRule type="expression" dxfId="19" priority="585" stopIfTrue="1">
      <formula>$A731="note"</formula>
    </cfRule>
  </conditionalFormatting>
  <conditionalFormatting sqref="B731:E731">
    <cfRule type="expression" dxfId="20" priority="586" stopIfTrue="1">
      <formula>$A731="barcode"</formula>
    </cfRule>
  </conditionalFormatting>
  <conditionalFormatting sqref="B731:E731">
    <cfRule type="expression" dxfId="21" priority="587" stopIfTrue="1">
      <formula>OR($A731="geopoint", $A731="geoshape", $A731="geotrace")</formula>
    </cfRule>
  </conditionalFormatting>
  <conditionalFormatting sqref="B731:E731">
    <cfRule type="expression" dxfId="22" priority="588" stopIfTrue="1">
      <formula>OR($A731="audio audit", $A731="text audit", $A731="speed violations count", $A731="speed violations list", $A731="speed violations audit")</formula>
    </cfRule>
  </conditionalFormatting>
  <conditionalFormatting sqref="B731:E731">
    <cfRule type="expression" dxfId="23" priority="589" stopIfTrue="1">
      <formula>OR($A731="username", $A731="phonenumber", $A731="start", $A731="end", $A731="deviceid", $A731="subscriberid", $A731="simserial", $A731="caseid")</formula>
    </cfRule>
  </conditionalFormatting>
  <conditionalFormatting sqref="B731:E731">
    <cfRule type="expression" dxfId="24" priority="590" stopIfTrue="1">
      <formula>OR(AND(LEFT($A731, 16)="select_multiple ", LEN($A731)&gt;16, NOT(ISNUMBER(SEARCH(" ", $A731, 17)))), AND(LEFT($A731, 11)="select_one ", LEN($A731)&gt;11, NOT(ISNUMBER(SEARCH(" ", $A731, 12)))))</formula>
    </cfRule>
  </conditionalFormatting>
  <conditionalFormatting sqref="B731:E731">
    <cfRule type="expression" dxfId="25" priority="591" stopIfTrue="1">
      <formula>$A731="decimal"</formula>
    </cfRule>
  </conditionalFormatting>
  <conditionalFormatting sqref="B731:E731">
    <cfRule type="expression" dxfId="26" priority="592" stopIfTrue="1">
      <formula>$A731="integer"</formula>
    </cfRule>
  </conditionalFormatting>
  <conditionalFormatting sqref="B731:E731">
    <cfRule type="expression" dxfId="27" priority="593" stopIfTrue="1">
      <formula>$A731="text"</formula>
    </cfRule>
  </conditionalFormatting>
  <conditionalFormatting sqref="B731:E731">
    <cfRule type="expression" dxfId="28" priority="594" stopIfTrue="1">
      <formula>$A731="end repeat"</formula>
    </cfRule>
  </conditionalFormatting>
  <conditionalFormatting sqref="B731:E731">
    <cfRule type="expression" dxfId="28" priority="595" stopIfTrue="1">
      <formula>$A731="begin repeat"</formula>
    </cfRule>
  </conditionalFormatting>
  <conditionalFormatting sqref="B731:E731">
    <cfRule type="expression" dxfId="29" priority="596" stopIfTrue="1">
      <formula>$A731="end group"</formula>
    </cfRule>
  </conditionalFormatting>
  <conditionalFormatting sqref="B731:E731">
    <cfRule type="expression" dxfId="29" priority="597" stopIfTrue="1">
      <formula>$A731="begin group"</formula>
    </cfRule>
  </conditionalFormatting>
  <conditionalFormatting sqref="B731">
    <cfRule type="expression" dxfId="30" priority="598" stopIfTrue="1">
      <formula>$A731="comments"</formula>
    </cfRule>
  </conditionalFormatting>
  <conditionalFormatting sqref="B731">
    <cfRule type="expression" dxfId="36" priority="599" stopIfTrue="1">
      <formula>OR(AND(LEFT($A731, 14)="sensor_stream ", LEN($A731)&gt;14, NOT(ISNUMBER(SEARCH(" ", $A731, 15)))), AND(LEFT($A731, 17)="sensor_statistic ", LEN($A731)&gt;17, NOT(ISNUMBER(SEARCH(" ", $A731, 18)))))</formula>
    </cfRule>
  </conditionalFormatting>
  <conditionalFormatting sqref="B715:C725 D715:E725">
    <cfRule type="expression" dxfId="0" priority="600" stopIfTrue="1">
      <formula>$A715="begin group"</formula>
    </cfRule>
  </conditionalFormatting>
  <conditionalFormatting sqref="B715:C725 D715:E725">
    <cfRule type="expression" dxfId="1" priority="601" stopIfTrue="1">
      <formula>$A715="begin repeat"</formula>
    </cfRule>
  </conditionalFormatting>
  <conditionalFormatting sqref="B715:E725">
    <cfRule type="expression" dxfId="31" priority="602" stopIfTrue="1">
      <formula>$A715="enumerator"</formula>
    </cfRule>
  </conditionalFormatting>
  <conditionalFormatting sqref="B715:E725">
    <cfRule type="expression" dxfId="2" priority="603" stopIfTrue="1">
      <formula>$A715="text"</formula>
    </cfRule>
  </conditionalFormatting>
  <conditionalFormatting sqref="B715:E725">
    <cfRule type="expression" dxfId="3" priority="604" stopIfTrue="1">
      <formula>$A715="integer"</formula>
    </cfRule>
  </conditionalFormatting>
  <conditionalFormatting sqref="B715:E725">
    <cfRule type="expression" dxfId="4" priority="605" stopIfTrue="1">
      <formula>$A715="decimal"</formula>
    </cfRule>
  </conditionalFormatting>
  <conditionalFormatting sqref="B715:C725 D715:E725">
    <cfRule type="expression" dxfId="5" priority="606" stopIfTrue="1">
      <formula>OR(AND(LEFT($A715, 16)="select_multiple ", LEN($A715)&gt;16, NOT(ISNUMBER(SEARCH(" ", $A715, 17)))), AND(LEFT($A715, 11)="select_one ", LEN($A715)&gt;11, NOT(ISNUMBER(SEARCH(" ", $A715, 12)))))</formula>
    </cfRule>
  </conditionalFormatting>
  <conditionalFormatting sqref="B715:B725">
    <cfRule type="expression" dxfId="6" priority="607" stopIfTrue="1">
      <formula>OR($A715="audio audit", $A715="text audit", $A715="speed violations count", $A715="speed violations list", $A715="speed violations audit")</formula>
    </cfRule>
  </conditionalFormatting>
  <conditionalFormatting sqref="B715:C725 D715:E725">
    <cfRule type="expression" dxfId="32" priority="608" stopIfTrue="1">
      <formula>$A715="file"</formula>
    </cfRule>
  </conditionalFormatting>
  <conditionalFormatting sqref="B715:C725 D715:E725">
    <cfRule type="expression" dxfId="7" priority="609" stopIfTrue="1">
      <formula>$A715="note"</formula>
    </cfRule>
  </conditionalFormatting>
  <conditionalFormatting sqref="B715:C725 D715:E725">
    <cfRule type="expression" dxfId="8" priority="610" stopIfTrue="1">
      <formula>$A715="barcode"</formula>
    </cfRule>
  </conditionalFormatting>
  <conditionalFormatting sqref="B715:C725 D715:E725">
    <cfRule type="expression" dxfId="9" priority="611" stopIfTrue="1">
      <formula>OR($A715="geopoint", $A715="geoshape", $A715="geotrace")</formula>
    </cfRule>
  </conditionalFormatting>
  <conditionalFormatting sqref="B715:B725">
    <cfRule type="expression" dxfId="10" priority="612" stopIfTrue="1">
      <formula>OR($A715="calculate", $A715="calculate_here")</formula>
    </cfRule>
  </conditionalFormatting>
  <conditionalFormatting sqref="B715:C725 D715:E725">
    <cfRule type="expression" dxfId="11" priority="613" stopIfTrue="1">
      <formula>OR($A715="date", $A715="datetime", $A715="time")</formula>
    </cfRule>
  </conditionalFormatting>
  <conditionalFormatting sqref="B715:C725 D715:E725">
    <cfRule type="expression" dxfId="12" priority="614" stopIfTrue="1">
      <formula>$A715="image"</formula>
    </cfRule>
  </conditionalFormatting>
  <conditionalFormatting sqref="B715:C725 D715:E725">
    <cfRule type="expression" dxfId="13" priority="615" stopIfTrue="1">
      <formula>OR($A715="audio", $A715="video")</formula>
    </cfRule>
  </conditionalFormatting>
  <conditionalFormatting sqref="B715:E725">
    <cfRule type="expression" dxfId="33" priority="616" stopIfTrue="1">
      <formula>$A715="file"</formula>
    </cfRule>
  </conditionalFormatting>
  <conditionalFormatting sqref="B715:E725">
    <cfRule type="expression" dxfId="34" priority="617" stopIfTrue="1">
      <formula>$A715="enumerator"</formula>
    </cfRule>
  </conditionalFormatting>
  <conditionalFormatting sqref="B715:E725">
    <cfRule type="expression" dxfId="35" priority="618" stopIfTrue="1">
      <formula>OR(AND(LEFT($A715, 14)="sensor_stream ", LEN($A715)&gt;14, NOT(ISNUMBER(SEARCH(" ", $A715, 15)))), AND(LEFT($A715, 17)="sensor_statistic ", LEN($A715)&gt;17, NOT(ISNUMBER(SEARCH(" ", $A715, 18)))))</formula>
    </cfRule>
  </conditionalFormatting>
  <conditionalFormatting sqref="B715:E725">
    <cfRule type="expression" dxfId="14" priority="619" stopIfTrue="1">
      <formula>$A715="comments"</formula>
    </cfRule>
  </conditionalFormatting>
  <conditionalFormatting sqref="B715:E725">
    <cfRule type="expression" dxfId="15" priority="620" stopIfTrue="1">
      <formula>OR($A715="audio", $A715="video")</formula>
    </cfRule>
  </conditionalFormatting>
  <conditionalFormatting sqref="B715:E725">
    <cfRule type="expression" dxfId="16" priority="621" stopIfTrue="1">
      <formula>$A715="image"</formula>
    </cfRule>
  </conditionalFormatting>
  <conditionalFormatting sqref="B715:E725">
    <cfRule type="expression" dxfId="17" priority="622" stopIfTrue="1">
      <formula>OR($A715="date", $A715="datetime", $A715="time")</formula>
    </cfRule>
  </conditionalFormatting>
  <conditionalFormatting sqref="B715:E725">
    <cfRule type="expression" dxfId="18" priority="623" stopIfTrue="1">
      <formula>OR($A715="calculate", $A715="calculate_here")</formula>
    </cfRule>
  </conditionalFormatting>
  <conditionalFormatting sqref="B715:E725">
    <cfRule type="expression" dxfId="19" priority="624" stopIfTrue="1">
      <formula>$A715="note"</formula>
    </cfRule>
  </conditionalFormatting>
  <conditionalFormatting sqref="B715:E725">
    <cfRule type="expression" dxfId="20" priority="625" stopIfTrue="1">
      <formula>$A715="barcode"</formula>
    </cfRule>
  </conditionalFormatting>
  <conditionalFormatting sqref="B715:E725">
    <cfRule type="expression" dxfId="21" priority="626" stopIfTrue="1">
      <formula>OR($A715="geopoint", $A715="geoshape", $A715="geotrace")</formula>
    </cfRule>
  </conditionalFormatting>
  <conditionalFormatting sqref="B715:E725">
    <cfRule type="expression" dxfId="22" priority="627" stopIfTrue="1">
      <formula>OR($A715="audio audit", $A715="text audit", $A715="speed violations count", $A715="speed violations list", $A715="speed violations audit")</formula>
    </cfRule>
  </conditionalFormatting>
  <conditionalFormatting sqref="B715:E725">
    <cfRule type="expression" dxfId="23" priority="628" stopIfTrue="1">
      <formula>OR($A715="username", $A715="phonenumber", $A715="start", $A715="end", $A715="deviceid", $A715="subscriberid", $A715="simserial", $A715="caseid")</formula>
    </cfRule>
  </conditionalFormatting>
  <conditionalFormatting sqref="B715:E725">
    <cfRule type="expression" dxfId="24" priority="629" stopIfTrue="1">
      <formula>OR(AND(LEFT($A715, 16)="select_multiple ", LEN($A715)&gt;16, NOT(ISNUMBER(SEARCH(" ", $A715, 17)))), AND(LEFT($A715, 11)="select_one ", LEN($A715)&gt;11, NOT(ISNUMBER(SEARCH(" ", $A715, 12)))))</formula>
    </cfRule>
  </conditionalFormatting>
  <conditionalFormatting sqref="B715:E725">
    <cfRule type="expression" dxfId="25" priority="630" stopIfTrue="1">
      <formula>$A715="decimal"</formula>
    </cfRule>
  </conditionalFormatting>
  <conditionalFormatting sqref="B715:E725">
    <cfRule type="expression" dxfId="26" priority="631" stopIfTrue="1">
      <formula>$A715="integer"</formula>
    </cfRule>
  </conditionalFormatting>
  <conditionalFormatting sqref="B715:E725">
    <cfRule type="expression" dxfId="27" priority="632" stopIfTrue="1">
      <formula>$A715="text"</formula>
    </cfRule>
  </conditionalFormatting>
  <conditionalFormatting sqref="B715:E725">
    <cfRule type="expression" dxfId="28" priority="633" stopIfTrue="1">
      <formula>$A715="end repeat"</formula>
    </cfRule>
  </conditionalFormatting>
  <conditionalFormatting sqref="B715:E725">
    <cfRule type="expression" dxfId="28" priority="634" stopIfTrue="1">
      <formula>$A715="begin repeat"</formula>
    </cfRule>
  </conditionalFormatting>
  <conditionalFormatting sqref="B715:E725">
    <cfRule type="expression" dxfId="29" priority="635" stopIfTrue="1">
      <formula>$A715="end group"</formula>
    </cfRule>
  </conditionalFormatting>
  <conditionalFormatting sqref="B715:E725">
    <cfRule type="expression" dxfId="29" priority="636" stopIfTrue="1">
      <formula>$A715="begin group"</formula>
    </cfRule>
  </conditionalFormatting>
  <conditionalFormatting sqref="B715:B725">
    <cfRule type="expression" dxfId="30" priority="637" stopIfTrue="1">
      <formula>$A715="comments"</formula>
    </cfRule>
  </conditionalFormatting>
  <conditionalFormatting sqref="B715:B725">
    <cfRule type="expression" dxfId="36" priority="638" stopIfTrue="1">
      <formula>OR(AND(LEFT($A715, 14)="sensor_stream ", LEN($A715)&gt;14, NOT(ISNUMBER(SEARCH(" ", $A715, 15)))), AND(LEFT($A715, 17)="sensor_statistic ", LEN($A715)&gt;17, NOT(ISNUMBER(SEARCH(" ", $A715, 18)))))</formula>
    </cfRule>
  </conditionalFormatting>
  <conditionalFormatting sqref="B705:C711 D705:E711">
    <cfRule type="expression" dxfId="0" priority="639" stopIfTrue="1">
      <formula>$A705="begin group"</formula>
    </cfRule>
  </conditionalFormatting>
  <conditionalFormatting sqref="B705:C711 D705:E711">
    <cfRule type="expression" dxfId="1" priority="640" stopIfTrue="1">
      <formula>$A705="begin repeat"</formula>
    </cfRule>
  </conditionalFormatting>
  <conditionalFormatting sqref="B705:E711">
    <cfRule type="expression" dxfId="31" priority="641" stopIfTrue="1">
      <formula>$A705="enumerator"</formula>
    </cfRule>
  </conditionalFormatting>
  <conditionalFormatting sqref="B705:E711">
    <cfRule type="expression" dxfId="2" priority="642" stopIfTrue="1">
      <formula>$A705="text"</formula>
    </cfRule>
  </conditionalFormatting>
  <conditionalFormatting sqref="B705:E711">
    <cfRule type="expression" dxfId="3" priority="643" stopIfTrue="1">
      <formula>$A705="integer"</formula>
    </cfRule>
  </conditionalFormatting>
  <conditionalFormatting sqref="B705:E711">
    <cfRule type="expression" dxfId="4" priority="644" stopIfTrue="1">
      <formula>$A705="decimal"</formula>
    </cfRule>
  </conditionalFormatting>
  <conditionalFormatting sqref="B705:C711 D705:E711">
    <cfRule type="expression" dxfId="5" priority="645" stopIfTrue="1">
      <formula>OR(AND(LEFT($A705, 16)="select_multiple ", LEN($A705)&gt;16, NOT(ISNUMBER(SEARCH(" ", $A705, 17)))), AND(LEFT($A705, 11)="select_one ", LEN($A705)&gt;11, NOT(ISNUMBER(SEARCH(" ", $A705, 12)))))</formula>
    </cfRule>
  </conditionalFormatting>
  <conditionalFormatting sqref="B705:B711">
    <cfRule type="expression" dxfId="6" priority="646" stopIfTrue="1">
      <formula>OR($A705="audio audit", $A705="text audit", $A705="speed violations count", $A705="speed violations list", $A705="speed violations audit")</formula>
    </cfRule>
  </conditionalFormatting>
  <conditionalFormatting sqref="B705:C711 D705:E711">
    <cfRule type="expression" dxfId="32" priority="647" stopIfTrue="1">
      <formula>$A705="file"</formula>
    </cfRule>
  </conditionalFormatting>
  <conditionalFormatting sqref="B705:C711 D705:E711">
    <cfRule type="expression" dxfId="7" priority="648" stopIfTrue="1">
      <formula>$A705="note"</formula>
    </cfRule>
  </conditionalFormatting>
  <conditionalFormatting sqref="B705:C711 D705:E711">
    <cfRule type="expression" dxfId="8" priority="649" stopIfTrue="1">
      <formula>$A705="barcode"</formula>
    </cfRule>
  </conditionalFormatting>
  <conditionalFormatting sqref="B705:C711 D705:E711">
    <cfRule type="expression" dxfId="9" priority="650" stopIfTrue="1">
      <formula>OR($A705="geopoint", $A705="geoshape", $A705="geotrace")</formula>
    </cfRule>
  </conditionalFormatting>
  <conditionalFormatting sqref="B705:B711">
    <cfRule type="expression" dxfId="10" priority="651" stopIfTrue="1">
      <formula>OR($A705="calculate", $A705="calculate_here")</formula>
    </cfRule>
  </conditionalFormatting>
  <conditionalFormatting sqref="B705:C711 D705:E711">
    <cfRule type="expression" dxfId="11" priority="652" stopIfTrue="1">
      <formula>OR($A705="date", $A705="datetime", $A705="time")</formula>
    </cfRule>
  </conditionalFormatting>
  <conditionalFormatting sqref="B705:C711 D705:E711">
    <cfRule type="expression" dxfId="12" priority="653" stopIfTrue="1">
      <formula>$A705="image"</formula>
    </cfRule>
  </conditionalFormatting>
  <conditionalFormatting sqref="B705:C711 D705:E711">
    <cfRule type="expression" dxfId="13" priority="654" stopIfTrue="1">
      <formula>OR($A705="audio", $A705="video")</formula>
    </cfRule>
  </conditionalFormatting>
  <conditionalFormatting sqref="B705:E711">
    <cfRule type="expression" dxfId="33" priority="655" stopIfTrue="1">
      <formula>$A705="file"</formula>
    </cfRule>
  </conditionalFormatting>
  <conditionalFormatting sqref="B705:E711">
    <cfRule type="expression" dxfId="34" priority="656" stopIfTrue="1">
      <formula>$A705="enumerator"</formula>
    </cfRule>
  </conditionalFormatting>
  <conditionalFormatting sqref="B705:E711">
    <cfRule type="expression" dxfId="35" priority="657" stopIfTrue="1">
      <formula>OR(AND(LEFT($A705, 14)="sensor_stream ", LEN($A705)&gt;14, NOT(ISNUMBER(SEARCH(" ", $A705, 15)))), AND(LEFT($A705, 17)="sensor_statistic ", LEN($A705)&gt;17, NOT(ISNUMBER(SEARCH(" ", $A705, 18)))))</formula>
    </cfRule>
  </conditionalFormatting>
  <conditionalFormatting sqref="B705:E711">
    <cfRule type="expression" dxfId="14" priority="658" stopIfTrue="1">
      <formula>$A705="comments"</formula>
    </cfRule>
  </conditionalFormatting>
  <conditionalFormatting sqref="B705:E711">
    <cfRule type="expression" dxfId="15" priority="659" stopIfTrue="1">
      <formula>OR($A705="audio", $A705="video")</formula>
    </cfRule>
  </conditionalFormatting>
  <conditionalFormatting sqref="B705:E711">
    <cfRule type="expression" dxfId="16" priority="660" stopIfTrue="1">
      <formula>$A705="image"</formula>
    </cfRule>
  </conditionalFormatting>
  <conditionalFormatting sqref="B705:E711">
    <cfRule type="expression" dxfId="17" priority="661" stopIfTrue="1">
      <formula>OR($A705="date", $A705="datetime", $A705="time")</formula>
    </cfRule>
  </conditionalFormatting>
  <conditionalFormatting sqref="B705:E711">
    <cfRule type="expression" dxfId="18" priority="662" stopIfTrue="1">
      <formula>OR($A705="calculate", $A705="calculate_here")</formula>
    </cfRule>
  </conditionalFormatting>
  <conditionalFormatting sqref="B705:E711">
    <cfRule type="expression" dxfId="19" priority="663" stopIfTrue="1">
      <formula>$A705="note"</formula>
    </cfRule>
  </conditionalFormatting>
  <conditionalFormatting sqref="B705:E711">
    <cfRule type="expression" dxfId="20" priority="664" stopIfTrue="1">
      <formula>$A705="barcode"</formula>
    </cfRule>
  </conditionalFormatting>
  <conditionalFormatting sqref="B705:E711">
    <cfRule type="expression" dxfId="21" priority="665" stopIfTrue="1">
      <formula>OR($A705="geopoint", $A705="geoshape", $A705="geotrace")</formula>
    </cfRule>
  </conditionalFormatting>
  <conditionalFormatting sqref="B705:E711">
    <cfRule type="expression" dxfId="22" priority="666" stopIfTrue="1">
      <formula>OR($A705="audio audit", $A705="text audit", $A705="speed violations count", $A705="speed violations list", $A705="speed violations audit")</formula>
    </cfRule>
  </conditionalFormatting>
  <conditionalFormatting sqref="B705:E711">
    <cfRule type="expression" dxfId="23" priority="667" stopIfTrue="1">
      <formula>OR($A705="username", $A705="phonenumber", $A705="start", $A705="end", $A705="deviceid", $A705="subscriberid", $A705="simserial", $A705="caseid")</formula>
    </cfRule>
  </conditionalFormatting>
  <conditionalFormatting sqref="B705:E711">
    <cfRule type="expression" dxfId="24" priority="668" stopIfTrue="1">
      <formula>OR(AND(LEFT($A705, 16)="select_multiple ", LEN($A705)&gt;16, NOT(ISNUMBER(SEARCH(" ", $A705, 17)))), AND(LEFT($A705, 11)="select_one ", LEN($A705)&gt;11, NOT(ISNUMBER(SEARCH(" ", $A705, 12)))))</formula>
    </cfRule>
  </conditionalFormatting>
  <conditionalFormatting sqref="B705:E711">
    <cfRule type="expression" dxfId="25" priority="669" stopIfTrue="1">
      <formula>$A705="decimal"</formula>
    </cfRule>
  </conditionalFormatting>
  <conditionalFormatting sqref="B705:E711">
    <cfRule type="expression" dxfId="26" priority="670" stopIfTrue="1">
      <formula>$A705="integer"</formula>
    </cfRule>
  </conditionalFormatting>
  <conditionalFormatting sqref="B705:E711">
    <cfRule type="expression" dxfId="27" priority="671" stopIfTrue="1">
      <formula>$A705="text"</formula>
    </cfRule>
  </conditionalFormatting>
  <conditionalFormatting sqref="B705:E711">
    <cfRule type="expression" dxfId="28" priority="672" stopIfTrue="1">
      <formula>$A705="end repeat"</formula>
    </cfRule>
  </conditionalFormatting>
  <conditionalFormatting sqref="B705:E711">
    <cfRule type="expression" dxfId="28" priority="673" stopIfTrue="1">
      <formula>$A705="begin repeat"</formula>
    </cfRule>
  </conditionalFormatting>
  <conditionalFormatting sqref="B705:E711">
    <cfRule type="expression" dxfId="29" priority="674" stopIfTrue="1">
      <formula>$A705="end group"</formula>
    </cfRule>
  </conditionalFormatting>
  <conditionalFormatting sqref="B705:E711">
    <cfRule type="expression" dxfId="29" priority="675" stopIfTrue="1">
      <formula>$A705="begin group"</formula>
    </cfRule>
  </conditionalFormatting>
  <conditionalFormatting sqref="B705:B711">
    <cfRule type="expression" dxfId="30" priority="676" stopIfTrue="1">
      <formula>$A705="comments"</formula>
    </cfRule>
  </conditionalFormatting>
  <conditionalFormatting sqref="B705:B711">
    <cfRule type="expression" dxfId="36" priority="677" stopIfTrue="1">
      <formula>OR(AND(LEFT($A705, 14)="sensor_stream ", LEN($A705)&gt;14, NOT(ISNUMBER(SEARCH(" ", $A705, 15)))), AND(LEFT($A705, 17)="sensor_statistic ", LEN($A705)&gt;17, NOT(ISNUMBER(SEARCH(" ", $A705, 18)))))</formula>
    </cfRule>
  </conditionalFormatting>
  <conditionalFormatting sqref="B696:C699 D696:E699">
    <cfRule type="expression" dxfId="0" priority="678" stopIfTrue="1">
      <formula>$A696="begin group"</formula>
    </cfRule>
  </conditionalFormatting>
  <conditionalFormatting sqref="B696:C699 D696:E699">
    <cfRule type="expression" dxfId="1" priority="679" stopIfTrue="1">
      <formula>$A696="begin repeat"</formula>
    </cfRule>
  </conditionalFormatting>
  <conditionalFormatting sqref="B696:E699">
    <cfRule type="expression" dxfId="31" priority="680" stopIfTrue="1">
      <formula>$A696="enumerator"</formula>
    </cfRule>
  </conditionalFormatting>
  <conditionalFormatting sqref="B696:E699">
    <cfRule type="expression" dxfId="2" priority="681" stopIfTrue="1">
      <formula>$A696="text"</formula>
    </cfRule>
  </conditionalFormatting>
  <conditionalFormatting sqref="B696:E699">
    <cfRule type="expression" dxfId="3" priority="682" stopIfTrue="1">
      <formula>$A696="integer"</formula>
    </cfRule>
  </conditionalFormatting>
  <conditionalFormatting sqref="B696:E699">
    <cfRule type="expression" dxfId="4" priority="683" stopIfTrue="1">
      <formula>$A696="decimal"</formula>
    </cfRule>
  </conditionalFormatting>
  <conditionalFormatting sqref="B696:C699 D696:E699">
    <cfRule type="expression" dxfId="5" priority="684" stopIfTrue="1">
      <formula>OR(AND(LEFT($A696, 16)="select_multiple ", LEN($A696)&gt;16, NOT(ISNUMBER(SEARCH(" ", $A696, 17)))), AND(LEFT($A696, 11)="select_one ", LEN($A696)&gt;11, NOT(ISNUMBER(SEARCH(" ", $A696, 12)))))</formula>
    </cfRule>
  </conditionalFormatting>
  <conditionalFormatting sqref="B696:B699">
    <cfRule type="expression" dxfId="6" priority="685" stopIfTrue="1">
      <formula>OR($A696="audio audit", $A696="text audit", $A696="speed violations count", $A696="speed violations list", $A696="speed violations audit")</formula>
    </cfRule>
  </conditionalFormatting>
  <conditionalFormatting sqref="B696:C699 D696:E699">
    <cfRule type="expression" dxfId="32" priority="686" stopIfTrue="1">
      <formula>$A696="file"</formula>
    </cfRule>
  </conditionalFormatting>
  <conditionalFormatting sqref="B696:C699 D696:E699">
    <cfRule type="expression" dxfId="7" priority="687" stopIfTrue="1">
      <formula>$A696="note"</formula>
    </cfRule>
  </conditionalFormatting>
  <conditionalFormatting sqref="B696:C699 D696:E699">
    <cfRule type="expression" dxfId="8" priority="688" stopIfTrue="1">
      <formula>$A696="barcode"</formula>
    </cfRule>
  </conditionalFormatting>
  <conditionalFormatting sqref="B696:C699 D696:E699">
    <cfRule type="expression" dxfId="9" priority="689" stopIfTrue="1">
      <formula>OR($A696="geopoint", $A696="geoshape", $A696="geotrace")</formula>
    </cfRule>
  </conditionalFormatting>
  <conditionalFormatting sqref="B696:B699">
    <cfRule type="expression" dxfId="10" priority="690" stopIfTrue="1">
      <formula>OR($A696="calculate", $A696="calculate_here")</formula>
    </cfRule>
  </conditionalFormatting>
  <conditionalFormatting sqref="B696:C699 D696:E699">
    <cfRule type="expression" dxfId="11" priority="691" stopIfTrue="1">
      <formula>OR($A696="date", $A696="datetime", $A696="time")</formula>
    </cfRule>
  </conditionalFormatting>
  <conditionalFormatting sqref="B696:C699 D696:E699">
    <cfRule type="expression" dxfId="12" priority="692" stopIfTrue="1">
      <formula>$A696="image"</formula>
    </cfRule>
  </conditionalFormatting>
  <conditionalFormatting sqref="B696:C699 D696:E699">
    <cfRule type="expression" dxfId="13" priority="693" stopIfTrue="1">
      <formula>OR($A696="audio", $A696="video")</formula>
    </cfRule>
  </conditionalFormatting>
  <conditionalFormatting sqref="B696:E699">
    <cfRule type="expression" dxfId="33" priority="694" stopIfTrue="1">
      <formula>$A696="file"</formula>
    </cfRule>
  </conditionalFormatting>
  <conditionalFormatting sqref="B696:E699">
    <cfRule type="expression" dxfId="34" priority="695" stopIfTrue="1">
      <formula>$A696="enumerator"</formula>
    </cfRule>
  </conditionalFormatting>
  <conditionalFormatting sqref="B696:E699">
    <cfRule type="expression" dxfId="35" priority="696" stopIfTrue="1">
      <formula>OR(AND(LEFT($A696, 14)="sensor_stream ", LEN($A696)&gt;14, NOT(ISNUMBER(SEARCH(" ", $A696, 15)))), AND(LEFT($A696, 17)="sensor_statistic ", LEN($A696)&gt;17, NOT(ISNUMBER(SEARCH(" ", $A696, 18)))))</formula>
    </cfRule>
  </conditionalFormatting>
  <conditionalFormatting sqref="B696:E699">
    <cfRule type="expression" dxfId="14" priority="697" stopIfTrue="1">
      <formula>$A696="comments"</formula>
    </cfRule>
  </conditionalFormatting>
  <conditionalFormatting sqref="B696:E699">
    <cfRule type="expression" dxfId="15" priority="698" stopIfTrue="1">
      <formula>OR($A696="audio", $A696="video")</formula>
    </cfRule>
  </conditionalFormatting>
  <conditionalFormatting sqref="B696:E699">
    <cfRule type="expression" dxfId="16" priority="699" stopIfTrue="1">
      <formula>$A696="image"</formula>
    </cfRule>
  </conditionalFormatting>
  <conditionalFormatting sqref="B696:E699">
    <cfRule type="expression" dxfId="17" priority="700" stopIfTrue="1">
      <formula>OR($A696="date", $A696="datetime", $A696="time")</formula>
    </cfRule>
  </conditionalFormatting>
  <conditionalFormatting sqref="B696:E699">
    <cfRule type="expression" dxfId="18" priority="701" stopIfTrue="1">
      <formula>OR($A696="calculate", $A696="calculate_here")</formula>
    </cfRule>
  </conditionalFormatting>
  <conditionalFormatting sqref="B696:E699">
    <cfRule type="expression" dxfId="19" priority="702" stopIfTrue="1">
      <formula>$A696="note"</formula>
    </cfRule>
  </conditionalFormatting>
  <conditionalFormatting sqref="B696:E699">
    <cfRule type="expression" dxfId="20" priority="703" stopIfTrue="1">
      <formula>$A696="barcode"</formula>
    </cfRule>
  </conditionalFormatting>
  <conditionalFormatting sqref="B696:E699">
    <cfRule type="expression" dxfId="21" priority="704" stopIfTrue="1">
      <formula>OR($A696="geopoint", $A696="geoshape", $A696="geotrace")</formula>
    </cfRule>
  </conditionalFormatting>
  <conditionalFormatting sqref="B696:E699">
    <cfRule type="expression" dxfId="22" priority="705" stopIfTrue="1">
      <formula>OR($A696="audio audit", $A696="text audit", $A696="speed violations count", $A696="speed violations list", $A696="speed violations audit")</formula>
    </cfRule>
  </conditionalFormatting>
  <conditionalFormatting sqref="B696:E699">
    <cfRule type="expression" dxfId="23" priority="706" stopIfTrue="1">
      <formula>OR($A696="username", $A696="phonenumber", $A696="start", $A696="end", $A696="deviceid", $A696="subscriberid", $A696="simserial", $A696="caseid")</formula>
    </cfRule>
  </conditionalFormatting>
  <conditionalFormatting sqref="B696:E699">
    <cfRule type="expression" dxfId="24" priority="707" stopIfTrue="1">
      <formula>OR(AND(LEFT($A696, 16)="select_multiple ", LEN($A696)&gt;16, NOT(ISNUMBER(SEARCH(" ", $A696, 17)))), AND(LEFT($A696, 11)="select_one ", LEN($A696)&gt;11, NOT(ISNUMBER(SEARCH(" ", $A696, 12)))))</formula>
    </cfRule>
  </conditionalFormatting>
  <conditionalFormatting sqref="B696:E699">
    <cfRule type="expression" dxfId="25" priority="708" stopIfTrue="1">
      <formula>$A696="decimal"</formula>
    </cfRule>
  </conditionalFormatting>
  <conditionalFormatting sqref="B696:E699">
    <cfRule type="expression" dxfId="26" priority="709" stopIfTrue="1">
      <formula>$A696="integer"</formula>
    </cfRule>
  </conditionalFormatting>
  <conditionalFormatting sqref="B696:E699">
    <cfRule type="expression" dxfId="27" priority="710" stopIfTrue="1">
      <formula>$A696="text"</formula>
    </cfRule>
  </conditionalFormatting>
  <conditionalFormatting sqref="B696:E699">
    <cfRule type="expression" dxfId="28" priority="711" stopIfTrue="1">
      <formula>$A696="end repeat"</formula>
    </cfRule>
  </conditionalFormatting>
  <conditionalFormatting sqref="B696:E699">
    <cfRule type="expression" dxfId="28" priority="712" stopIfTrue="1">
      <formula>$A696="begin repeat"</formula>
    </cfRule>
  </conditionalFormatting>
  <conditionalFormatting sqref="B696:E699">
    <cfRule type="expression" dxfId="29" priority="713" stopIfTrue="1">
      <formula>$A696="end group"</formula>
    </cfRule>
  </conditionalFormatting>
  <conditionalFormatting sqref="B696:E699">
    <cfRule type="expression" dxfId="29" priority="714" stopIfTrue="1">
      <formula>$A696="begin group"</formula>
    </cfRule>
  </conditionalFormatting>
  <conditionalFormatting sqref="B696:B699">
    <cfRule type="expression" dxfId="30" priority="715" stopIfTrue="1">
      <formula>$A696="comments"</formula>
    </cfRule>
  </conditionalFormatting>
  <conditionalFormatting sqref="B696:B699">
    <cfRule type="expression" dxfId="36" priority="716" stopIfTrue="1">
      <formula>OR(AND(LEFT($A696, 14)="sensor_stream ", LEN($A696)&gt;14, NOT(ISNUMBER(SEARCH(" ", $A696, 15)))), AND(LEFT($A696, 17)="sensor_statistic ", LEN($A696)&gt;17, NOT(ISNUMBER(SEARCH(" ", $A696, 18)))))</formula>
    </cfRule>
  </conditionalFormatting>
  <conditionalFormatting sqref="B689:C693 D689:E693">
    <cfRule type="expression" dxfId="0" priority="717" stopIfTrue="1">
      <formula>$A689="begin group"</formula>
    </cfRule>
  </conditionalFormatting>
  <conditionalFormatting sqref="B689:C693 D689:E693">
    <cfRule type="expression" dxfId="1" priority="718" stopIfTrue="1">
      <formula>$A689="begin repeat"</formula>
    </cfRule>
  </conditionalFormatting>
  <conditionalFormatting sqref="B689:E693">
    <cfRule type="expression" dxfId="31" priority="719" stopIfTrue="1">
      <formula>$A689="enumerator"</formula>
    </cfRule>
  </conditionalFormatting>
  <conditionalFormatting sqref="B689:E693">
    <cfRule type="expression" dxfId="2" priority="720" stopIfTrue="1">
      <formula>$A689="text"</formula>
    </cfRule>
  </conditionalFormatting>
  <conditionalFormatting sqref="B689:E693">
    <cfRule type="expression" dxfId="3" priority="721" stopIfTrue="1">
      <formula>$A689="integer"</formula>
    </cfRule>
  </conditionalFormatting>
  <conditionalFormatting sqref="B689:E693">
    <cfRule type="expression" dxfId="4" priority="722" stopIfTrue="1">
      <formula>$A689="decimal"</formula>
    </cfRule>
  </conditionalFormatting>
  <conditionalFormatting sqref="B689:C693 D689:E693">
    <cfRule type="expression" dxfId="5" priority="723" stopIfTrue="1">
      <formula>OR(AND(LEFT($A689, 16)="select_multiple ", LEN($A689)&gt;16, NOT(ISNUMBER(SEARCH(" ", $A689, 17)))), AND(LEFT($A689, 11)="select_one ", LEN($A689)&gt;11, NOT(ISNUMBER(SEARCH(" ", $A689, 12)))))</formula>
    </cfRule>
  </conditionalFormatting>
  <conditionalFormatting sqref="B689:B693">
    <cfRule type="expression" dxfId="6" priority="724" stopIfTrue="1">
      <formula>OR($A689="audio audit", $A689="text audit", $A689="speed violations count", $A689="speed violations list", $A689="speed violations audit")</formula>
    </cfRule>
  </conditionalFormatting>
  <conditionalFormatting sqref="B689:C693 D689:E693">
    <cfRule type="expression" dxfId="32" priority="725" stopIfTrue="1">
      <formula>$A689="file"</formula>
    </cfRule>
  </conditionalFormatting>
  <conditionalFormatting sqref="B689:C693 D689:E693">
    <cfRule type="expression" dxfId="7" priority="726" stopIfTrue="1">
      <formula>$A689="note"</formula>
    </cfRule>
  </conditionalFormatting>
  <conditionalFormatting sqref="B689:C693 D689:E693">
    <cfRule type="expression" dxfId="8" priority="727" stopIfTrue="1">
      <formula>$A689="barcode"</formula>
    </cfRule>
  </conditionalFormatting>
  <conditionalFormatting sqref="B689:C693 D689:E693">
    <cfRule type="expression" dxfId="9" priority="728" stopIfTrue="1">
      <formula>OR($A689="geopoint", $A689="geoshape", $A689="geotrace")</formula>
    </cfRule>
  </conditionalFormatting>
  <conditionalFormatting sqref="B689:B693">
    <cfRule type="expression" dxfId="10" priority="729" stopIfTrue="1">
      <formula>OR($A689="calculate", $A689="calculate_here")</formula>
    </cfRule>
  </conditionalFormatting>
  <conditionalFormatting sqref="B689:C693 D689:E693">
    <cfRule type="expression" dxfId="11" priority="730" stopIfTrue="1">
      <formula>OR($A689="date", $A689="datetime", $A689="time")</formula>
    </cfRule>
  </conditionalFormatting>
  <conditionalFormatting sqref="B689:C693 D689:E693">
    <cfRule type="expression" dxfId="12" priority="731" stopIfTrue="1">
      <formula>$A689="image"</formula>
    </cfRule>
  </conditionalFormatting>
  <conditionalFormatting sqref="B689:C693 D689:E693">
    <cfRule type="expression" dxfId="13" priority="732" stopIfTrue="1">
      <formula>OR($A689="audio", $A689="video")</formula>
    </cfRule>
  </conditionalFormatting>
  <conditionalFormatting sqref="B689:E693">
    <cfRule type="expression" dxfId="33" priority="733" stopIfTrue="1">
      <formula>$A689="file"</formula>
    </cfRule>
  </conditionalFormatting>
  <conditionalFormatting sqref="B689:E693">
    <cfRule type="expression" dxfId="34" priority="734" stopIfTrue="1">
      <formula>$A689="enumerator"</formula>
    </cfRule>
  </conditionalFormatting>
  <conditionalFormatting sqref="B689:E693">
    <cfRule type="expression" dxfId="35" priority="735" stopIfTrue="1">
      <formula>OR(AND(LEFT($A689, 14)="sensor_stream ", LEN($A689)&gt;14, NOT(ISNUMBER(SEARCH(" ", $A689, 15)))), AND(LEFT($A689, 17)="sensor_statistic ", LEN($A689)&gt;17, NOT(ISNUMBER(SEARCH(" ", $A689, 18)))))</formula>
    </cfRule>
  </conditionalFormatting>
  <conditionalFormatting sqref="B689:E693">
    <cfRule type="expression" dxfId="14" priority="736" stopIfTrue="1">
      <formula>$A689="comments"</formula>
    </cfRule>
  </conditionalFormatting>
  <conditionalFormatting sqref="B689:E693">
    <cfRule type="expression" dxfId="15" priority="737" stopIfTrue="1">
      <formula>OR($A689="audio", $A689="video")</formula>
    </cfRule>
  </conditionalFormatting>
  <conditionalFormatting sqref="B689:E693">
    <cfRule type="expression" dxfId="16" priority="738" stopIfTrue="1">
      <formula>$A689="image"</formula>
    </cfRule>
  </conditionalFormatting>
  <conditionalFormatting sqref="B689:E693">
    <cfRule type="expression" dxfId="17" priority="739" stopIfTrue="1">
      <formula>OR($A689="date", $A689="datetime", $A689="time")</formula>
    </cfRule>
  </conditionalFormatting>
  <conditionalFormatting sqref="B689:E693">
    <cfRule type="expression" dxfId="18" priority="740" stopIfTrue="1">
      <formula>OR($A689="calculate", $A689="calculate_here")</formula>
    </cfRule>
  </conditionalFormatting>
  <conditionalFormatting sqref="B689:E693">
    <cfRule type="expression" dxfId="19" priority="741" stopIfTrue="1">
      <formula>$A689="note"</formula>
    </cfRule>
  </conditionalFormatting>
  <conditionalFormatting sqref="B689:E693">
    <cfRule type="expression" dxfId="20" priority="742" stopIfTrue="1">
      <formula>$A689="barcode"</formula>
    </cfRule>
  </conditionalFormatting>
  <conditionalFormatting sqref="B689:E693">
    <cfRule type="expression" dxfId="21" priority="743" stopIfTrue="1">
      <formula>OR($A689="geopoint", $A689="geoshape", $A689="geotrace")</formula>
    </cfRule>
  </conditionalFormatting>
  <conditionalFormatting sqref="B689:E693">
    <cfRule type="expression" dxfId="22" priority="744" stopIfTrue="1">
      <formula>OR($A689="audio audit", $A689="text audit", $A689="speed violations count", $A689="speed violations list", $A689="speed violations audit")</formula>
    </cfRule>
  </conditionalFormatting>
  <conditionalFormatting sqref="B689:E693">
    <cfRule type="expression" dxfId="23" priority="745" stopIfTrue="1">
      <formula>OR($A689="username", $A689="phonenumber", $A689="start", $A689="end", $A689="deviceid", $A689="subscriberid", $A689="simserial", $A689="caseid")</formula>
    </cfRule>
  </conditionalFormatting>
  <conditionalFormatting sqref="B689:E693">
    <cfRule type="expression" dxfId="24" priority="746" stopIfTrue="1">
      <formula>OR(AND(LEFT($A689, 16)="select_multiple ", LEN($A689)&gt;16, NOT(ISNUMBER(SEARCH(" ", $A689, 17)))), AND(LEFT($A689, 11)="select_one ", LEN($A689)&gt;11, NOT(ISNUMBER(SEARCH(" ", $A689, 12)))))</formula>
    </cfRule>
  </conditionalFormatting>
  <conditionalFormatting sqref="B689:E693">
    <cfRule type="expression" dxfId="25" priority="747" stopIfTrue="1">
      <formula>$A689="decimal"</formula>
    </cfRule>
  </conditionalFormatting>
  <conditionalFormatting sqref="B689:E693">
    <cfRule type="expression" dxfId="26" priority="748" stopIfTrue="1">
      <formula>$A689="integer"</formula>
    </cfRule>
  </conditionalFormatting>
  <conditionalFormatting sqref="B689:E693">
    <cfRule type="expression" dxfId="27" priority="749" stopIfTrue="1">
      <formula>$A689="text"</formula>
    </cfRule>
  </conditionalFormatting>
  <conditionalFormatting sqref="B689:E693">
    <cfRule type="expression" dxfId="28" priority="750" stopIfTrue="1">
      <formula>$A689="end repeat"</formula>
    </cfRule>
  </conditionalFormatting>
  <conditionalFormatting sqref="B689:E693">
    <cfRule type="expression" dxfId="28" priority="751" stopIfTrue="1">
      <formula>$A689="begin repeat"</formula>
    </cfRule>
  </conditionalFormatting>
  <conditionalFormatting sqref="B689:E693">
    <cfRule type="expression" dxfId="29" priority="752" stopIfTrue="1">
      <formula>$A689="end group"</formula>
    </cfRule>
  </conditionalFormatting>
  <conditionalFormatting sqref="B689:E693">
    <cfRule type="expression" dxfId="29" priority="753" stopIfTrue="1">
      <formula>$A689="begin group"</formula>
    </cfRule>
  </conditionalFormatting>
  <conditionalFormatting sqref="B689:B693">
    <cfRule type="expression" dxfId="30" priority="754" stopIfTrue="1">
      <formula>$A689="comments"</formula>
    </cfRule>
  </conditionalFormatting>
  <conditionalFormatting sqref="B689:B693">
    <cfRule type="expression" dxfId="36" priority="755" stopIfTrue="1">
      <formula>OR(AND(LEFT($A689, 14)="sensor_stream ", LEN($A689)&gt;14, NOT(ISNUMBER(SEARCH(" ", $A689, 15)))), AND(LEFT($A689, 17)="sensor_statistic ", LEN($A689)&gt;17, NOT(ISNUMBER(SEARCH(" ", $A689, 18)))))</formula>
    </cfRule>
  </conditionalFormatting>
  <conditionalFormatting sqref="B683:C684 D683:E684">
    <cfRule type="expression" dxfId="0" priority="756" stopIfTrue="1">
      <formula>$A683="begin group"</formula>
    </cfRule>
  </conditionalFormatting>
  <conditionalFormatting sqref="B683:C684 D683:E684">
    <cfRule type="expression" dxfId="1" priority="757" stopIfTrue="1">
      <formula>$A683="begin repeat"</formula>
    </cfRule>
  </conditionalFormatting>
  <conditionalFormatting sqref="B683:E684">
    <cfRule type="expression" dxfId="31" priority="758" stopIfTrue="1">
      <formula>$A683="enumerator"</formula>
    </cfRule>
  </conditionalFormatting>
  <conditionalFormatting sqref="B683:E684">
    <cfRule type="expression" dxfId="2" priority="759" stopIfTrue="1">
      <formula>$A683="text"</formula>
    </cfRule>
  </conditionalFormatting>
  <conditionalFormatting sqref="B683:E684">
    <cfRule type="expression" dxfId="3" priority="760" stopIfTrue="1">
      <formula>$A683="integer"</formula>
    </cfRule>
  </conditionalFormatting>
  <conditionalFormatting sqref="B683:E684">
    <cfRule type="expression" dxfId="4" priority="761" stopIfTrue="1">
      <formula>$A683="decimal"</formula>
    </cfRule>
  </conditionalFormatting>
  <conditionalFormatting sqref="B683:C684 D683:E684">
    <cfRule type="expression" dxfId="5" priority="762" stopIfTrue="1">
      <formula>OR(AND(LEFT($A683, 16)="select_multiple ", LEN($A683)&gt;16, NOT(ISNUMBER(SEARCH(" ", $A683, 17)))), AND(LEFT($A683, 11)="select_one ", LEN($A683)&gt;11, NOT(ISNUMBER(SEARCH(" ", $A683, 12)))))</formula>
    </cfRule>
  </conditionalFormatting>
  <conditionalFormatting sqref="B683:B684">
    <cfRule type="expression" dxfId="6" priority="763" stopIfTrue="1">
      <formula>OR($A683="audio audit", $A683="text audit", $A683="speed violations count", $A683="speed violations list", $A683="speed violations audit")</formula>
    </cfRule>
  </conditionalFormatting>
  <conditionalFormatting sqref="B683:C684 D683:E684">
    <cfRule type="expression" dxfId="32" priority="764" stopIfTrue="1">
      <formula>$A683="file"</formula>
    </cfRule>
  </conditionalFormatting>
  <conditionalFormatting sqref="B683:C684 D683:E684">
    <cfRule type="expression" dxfId="7" priority="765" stopIfTrue="1">
      <formula>$A683="note"</formula>
    </cfRule>
  </conditionalFormatting>
  <conditionalFormatting sqref="B683:C684 D683:E684">
    <cfRule type="expression" dxfId="8" priority="766" stopIfTrue="1">
      <formula>$A683="barcode"</formula>
    </cfRule>
  </conditionalFormatting>
  <conditionalFormatting sqref="B683:C684 D683:E684">
    <cfRule type="expression" dxfId="9" priority="767" stopIfTrue="1">
      <formula>OR($A683="geopoint", $A683="geoshape", $A683="geotrace")</formula>
    </cfRule>
  </conditionalFormatting>
  <conditionalFormatting sqref="B683:B684">
    <cfRule type="expression" dxfId="10" priority="768" stopIfTrue="1">
      <formula>OR($A683="calculate", $A683="calculate_here")</formula>
    </cfRule>
  </conditionalFormatting>
  <conditionalFormatting sqref="B683:C684 D683:E684">
    <cfRule type="expression" dxfId="11" priority="769" stopIfTrue="1">
      <formula>OR($A683="date", $A683="datetime", $A683="time")</formula>
    </cfRule>
  </conditionalFormatting>
  <conditionalFormatting sqref="B683:C684 D683:E684">
    <cfRule type="expression" dxfId="12" priority="770" stopIfTrue="1">
      <formula>$A683="image"</formula>
    </cfRule>
  </conditionalFormatting>
  <conditionalFormatting sqref="B683:C684 D683:E684">
    <cfRule type="expression" dxfId="13" priority="771" stopIfTrue="1">
      <formula>OR($A683="audio", $A683="video")</formula>
    </cfRule>
  </conditionalFormatting>
  <conditionalFormatting sqref="B683:E684">
    <cfRule type="expression" dxfId="33" priority="772" stopIfTrue="1">
      <formula>$A683="file"</formula>
    </cfRule>
  </conditionalFormatting>
  <conditionalFormatting sqref="B683:E684">
    <cfRule type="expression" dxfId="34" priority="773" stopIfTrue="1">
      <formula>$A683="enumerator"</formula>
    </cfRule>
  </conditionalFormatting>
  <conditionalFormatting sqref="B683:E684">
    <cfRule type="expression" dxfId="35" priority="774" stopIfTrue="1">
      <formula>OR(AND(LEFT($A683, 14)="sensor_stream ", LEN($A683)&gt;14, NOT(ISNUMBER(SEARCH(" ", $A683, 15)))), AND(LEFT($A683, 17)="sensor_statistic ", LEN($A683)&gt;17, NOT(ISNUMBER(SEARCH(" ", $A683, 18)))))</formula>
    </cfRule>
  </conditionalFormatting>
  <conditionalFormatting sqref="B683:E684">
    <cfRule type="expression" dxfId="14" priority="775" stopIfTrue="1">
      <formula>$A683="comments"</formula>
    </cfRule>
  </conditionalFormatting>
  <conditionalFormatting sqref="B683:E684">
    <cfRule type="expression" dxfId="15" priority="776" stopIfTrue="1">
      <formula>OR($A683="audio", $A683="video")</formula>
    </cfRule>
  </conditionalFormatting>
  <conditionalFormatting sqref="B683:E684">
    <cfRule type="expression" dxfId="16" priority="777" stopIfTrue="1">
      <formula>$A683="image"</formula>
    </cfRule>
  </conditionalFormatting>
  <conditionalFormatting sqref="B683:E684">
    <cfRule type="expression" dxfId="17" priority="778" stopIfTrue="1">
      <formula>OR($A683="date", $A683="datetime", $A683="time")</formula>
    </cfRule>
  </conditionalFormatting>
  <conditionalFormatting sqref="B683:E684">
    <cfRule type="expression" dxfId="18" priority="779" stopIfTrue="1">
      <formula>OR($A683="calculate", $A683="calculate_here")</formula>
    </cfRule>
  </conditionalFormatting>
  <conditionalFormatting sqref="B683:E684">
    <cfRule type="expression" dxfId="19" priority="780" stopIfTrue="1">
      <formula>$A683="note"</formula>
    </cfRule>
  </conditionalFormatting>
  <conditionalFormatting sqref="B683:E684">
    <cfRule type="expression" dxfId="20" priority="781" stopIfTrue="1">
      <formula>$A683="barcode"</formula>
    </cfRule>
  </conditionalFormatting>
  <conditionalFormatting sqref="B683:E684">
    <cfRule type="expression" dxfId="21" priority="782" stopIfTrue="1">
      <formula>OR($A683="geopoint", $A683="geoshape", $A683="geotrace")</formula>
    </cfRule>
  </conditionalFormatting>
  <conditionalFormatting sqref="B683:E684">
    <cfRule type="expression" dxfId="22" priority="783" stopIfTrue="1">
      <formula>OR($A683="audio audit", $A683="text audit", $A683="speed violations count", $A683="speed violations list", $A683="speed violations audit")</formula>
    </cfRule>
  </conditionalFormatting>
  <conditionalFormatting sqref="B683:E684">
    <cfRule type="expression" dxfId="23" priority="784" stopIfTrue="1">
      <formula>OR($A683="username", $A683="phonenumber", $A683="start", $A683="end", $A683="deviceid", $A683="subscriberid", $A683="simserial", $A683="caseid")</formula>
    </cfRule>
  </conditionalFormatting>
  <conditionalFormatting sqref="B683:E684">
    <cfRule type="expression" dxfId="24" priority="785" stopIfTrue="1">
      <formula>OR(AND(LEFT($A683, 16)="select_multiple ", LEN($A683)&gt;16, NOT(ISNUMBER(SEARCH(" ", $A683, 17)))), AND(LEFT($A683, 11)="select_one ", LEN($A683)&gt;11, NOT(ISNUMBER(SEARCH(" ", $A683, 12)))))</formula>
    </cfRule>
  </conditionalFormatting>
  <conditionalFormatting sqref="B683:E684">
    <cfRule type="expression" dxfId="25" priority="786" stopIfTrue="1">
      <formula>$A683="decimal"</formula>
    </cfRule>
  </conditionalFormatting>
  <conditionalFormatting sqref="B683:E684">
    <cfRule type="expression" dxfId="26" priority="787" stopIfTrue="1">
      <formula>$A683="integer"</formula>
    </cfRule>
  </conditionalFormatting>
  <conditionalFormatting sqref="B683:E684">
    <cfRule type="expression" dxfId="27" priority="788" stopIfTrue="1">
      <formula>$A683="text"</formula>
    </cfRule>
  </conditionalFormatting>
  <conditionalFormatting sqref="B683:E684">
    <cfRule type="expression" dxfId="28" priority="789" stopIfTrue="1">
      <formula>$A683="end repeat"</formula>
    </cfRule>
  </conditionalFormatting>
  <conditionalFormatting sqref="B683:E684">
    <cfRule type="expression" dxfId="28" priority="790" stopIfTrue="1">
      <formula>$A683="begin repeat"</formula>
    </cfRule>
  </conditionalFormatting>
  <conditionalFormatting sqref="B683:E684">
    <cfRule type="expression" dxfId="29" priority="791" stopIfTrue="1">
      <formula>$A683="end group"</formula>
    </cfRule>
  </conditionalFormatting>
  <conditionalFormatting sqref="B683:E684">
    <cfRule type="expression" dxfId="29" priority="792" stopIfTrue="1">
      <formula>$A683="begin group"</formula>
    </cfRule>
  </conditionalFormatting>
  <conditionalFormatting sqref="B683:B684">
    <cfRule type="expression" dxfId="30" priority="793" stopIfTrue="1">
      <formula>$A683="comments"</formula>
    </cfRule>
  </conditionalFormatting>
  <conditionalFormatting sqref="B683:B684">
    <cfRule type="expression" dxfId="36" priority="794" stopIfTrue="1">
      <formula>OR(AND(LEFT($A683, 14)="sensor_stream ", LEN($A683)&gt;14, NOT(ISNUMBER(SEARCH(" ", $A683, 15)))), AND(LEFT($A683, 17)="sensor_statistic ", LEN($A683)&gt;17, NOT(ISNUMBER(SEARCH(" ", $A683, 18)))))</formula>
    </cfRule>
  </conditionalFormatting>
  <conditionalFormatting sqref="B681:C681 D681:E681">
    <cfRule type="expression" dxfId="0" priority="795" stopIfTrue="1">
      <formula>$A681="begin group"</formula>
    </cfRule>
  </conditionalFormatting>
  <conditionalFormatting sqref="B681:C681 D681:E681">
    <cfRule type="expression" dxfId="1" priority="796" stopIfTrue="1">
      <formula>$A681="begin repeat"</formula>
    </cfRule>
  </conditionalFormatting>
  <conditionalFormatting sqref="B681:E681">
    <cfRule type="expression" dxfId="31" priority="797" stopIfTrue="1">
      <formula>$A681="enumerator"</formula>
    </cfRule>
  </conditionalFormatting>
  <conditionalFormatting sqref="B681:E681">
    <cfRule type="expression" dxfId="2" priority="798" stopIfTrue="1">
      <formula>$A681="text"</formula>
    </cfRule>
  </conditionalFormatting>
  <conditionalFormatting sqref="B681:E681">
    <cfRule type="expression" dxfId="3" priority="799" stopIfTrue="1">
      <formula>$A681="integer"</formula>
    </cfRule>
  </conditionalFormatting>
  <conditionalFormatting sqref="B681:E681">
    <cfRule type="expression" dxfId="4" priority="800" stopIfTrue="1">
      <formula>$A681="decimal"</formula>
    </cfRule>
  </conditionalFormatting>
  <conditionalFormatting sqref="B681:C681 D681:E681">
    <cfRule type="expression" dxfId="5" priority="801" stopIfTrue="1">
      <formula>OR(AND(LEFT($A681, 16)="select_multiple ", LEN($A681)&gt;16, NOT(ISNUMBER(SEARCH(" ", $A681, 17)))), AND(LEFT($A681, 11)="select_one ", LEN($A681)&gt;11, NOT(ISNUMBER(SEARCH(" ", $A681, 12)))))</formula>
    </cfRule>
  </conditionalFormatting>
  <conditionalFormatting sqref="B681">
    <cfRule type="expression" dxfId="6" priority="802" stopIfTrue="1">
      <formula>OR($A681="audio audit", $A681="text audit", $A681="speed violations count", $A681="speed violations list", $A681="speed violations audit")</formula>
    </cfRule>
  </conditionalFormatting>
  <conditionalFormatting sqref="B681:C681 D681:E681">
    <cfRule type="expression" dxfId="32" priority="803" stopIfTrue="1">
      <formula>$A681="file"</formula>
    </cfRule>
  </conditionalFormatting>
  <conditionalFormatting sqref="B681:C681 D681:E681">
    <cfRule type="expression" dxfId="7" priority="804" stopIfTrue="1">
      <formula>$A681="note"</formula>
    </cfRule>
  </conditionalFormatting>
  <conditionalFormatting sqref="B681:C681 D681:E681">
    <cfRule type="expression" dxfId="8" priority="805" stopIfTrue="1">
      <formula>$A681="barcode"</formula>
    </cfRule>
  </conditionalFormatting>
  <conditionalFormatting sqref="B681:C681 D681:E681">
    <cfRule type="expression" dxfId="9" priority="806" stopIfTrue="1">
      <formula>OR($A681="geopoint", $A681="geoshape", $A681="geotrace")</formula>
    </cfRule>
  </conditionalFormatting>
  <conditionalFormatting sqref="B681">
    <cfRule type="expression" dxfId="10" priority="807" stopIfTrue="1">
      <formula>OR($A681="calculate", $A681="calculate_here")</formula>
    </cfRule>
  </conditionalFormatting>
  <conditionalFormatting sqref="B681:C681 D681:E681">
    <cfRule type="expression" dxfId="11" priority="808" stopIfTrue="1">
      <formula>OR($A681="date", $A681="datetime", $A681="time")</formula>
    </cfRule>
  </conditionalFormatting>
  <conditionalFormatting sqref="B681:C681 D681:E681">
    <cfRule type="expression" dxfId="12" priority="809" stopIfTrue="1">
      <formula>$A681="image"</formula>
    </cfRule>
  </conditionalFormatting>
  <conditionalFormatting sqref="B681:C681 D681:E681">
    <cfRule type="expression" dxfId="13" priority="810" stopIfTrue="1">
      <formula>OR($A681="audio", $A681="video")</formula>
    </cfRule>
  </conditionalFormatting>
  <conditionalFormatting sqref="B681:E681">
    <cfRule type="expression" dxfId="33" priority="811" stopIfTrue="1">
      <formula>$A681="file"</formula>
    </cfRule>
  </conditionalFormatting>
  <conditionalFormatting sqref="B681:E681">
    <cfRule type="expression" dxfId="34" priority="812" stopIfTrue="1">
      <formula>$A681="enumerator"</formula>
    </cfRule>
  </conditionalFormatting>
  <conditionalFormatting sqref="B681:E681">
    <cfRule type="expression" dxfId="35" priority="813" stopIfTrue="1">
      <formula>OR(AND(LEFT($A681, 14)="sensor_stream ", LEN($A681)&gt;14, NOT(ISNUMBER(SEARCH(" ", $A681, 15)))), AND(LEFT($A681, 17)="sensor_statistic ", LEN($A681)&gt;17, NOT(ISNUMBER(SEARCH(" ", $A681, 18)))))</formula>
    </cfRule>
  </conditionalFormatting>
  <conditionalFormatting sqref="B681:E681">
    <cfRule type="expression" dxfId="14" priority="814" stopIfTrue="1">
      <formula>$A681="comments"</formula>
    </cfRule>
  </conditionalFormatting>
  <conditionalFormatting sqref="B681:E681">
    <cfRule type="expression" dxfId="15" priority="815" stopIfTrue="1">
      <formula>OR($A681="audio", $A681="video")</formula>
    </cfRule>
  </conditionalFormatting>
  <conditionalFormatting sqref="B681:E681">
    <cfRule type="expression" dxfId="16" priority="816" stopIfTrue="1">
      <formula>$A681="image"</formula>
    </cfRule>
  </conditionalFormatting>
  <conditionalFormatting sqref="B681:E681">
    <cfRule type="expression" dxfId="17" priority="817" stopIfTrue="1">
      <formula>OR($A681="date", $A681="datetime", $A681="time")</formula>
    </cfRule>
  </conditionalFormatting>
  <conditionalFormatting sqref="B681:E681">
    <cfRule type="expression" dxfId="18" priority="818" stopIfTrue="1">
      <formula>OR($A681="calculate", $A681="calculate_here")</formula>
    </cfRule>
  </conditionalFormatting>
  <conditionalFormatting sqref="B681:E681">
    <cfRule type="expression" dxfId="19" priority="819" stopIfTrue="1">
      <formula>$A681="note"</formula>
    </cfRule>
  </conditionalFormatting>
  <conditionalFormatting sqref="B681:E681">
    <cfRule type="expression" dxfId="20" priority="820" stopIfTrue="1">
      <formula>$A681="barcode"</formula>
    </cfRule>
  </conditionalFormatting>
  <conditionalFormatting sqref="B681:E681">
    <cfRule type="expression" dxfId="21" priority="821" stopIfTrue="1">
      <formula>OR($A681="geopoint", $A681="geoshape", $A681="geotrace")</formula>
    </cfRule>
  </conditionalFormatting>
  <conditionalFormatting sqref="B681:E681">
    <cfRule type="expression" dxfId="22" priority="822" stopIfTrue="1">
      <formula>OR($A681="audio audit", $A681="text audit", $A681="speed violations count", $A681="speed violations list", $A681="speed violations audit")</formula>
    </cfRule>
  </conditionalFormatting>
  <conditionalFormatting sqref="B681:E681">
    <cfRule type="expression" dxfId="23" priority="823" stopIfTrue="1">
      <formula>OR($A681="username", $A681="phonenumber", $A681="start", $A681="end", $A681="deviceid", $A681="subscriberid", $A681="simserial", $A681="caseid")</formula>
    </cfRule>
  </conditionalFormatting>
  <conditionalFormatting sqref="B681:E681">
    <cfRule type="expression" dxfId="24" priority="824" stopIfTrue="1">
      <formula>OR(AND(LEFT($A681, 16)="select_multiple ", LEN($A681)&gt;16, NOT(ISNUMBER(SEARCH(" ", $A681, 17)))), AND(LEFT($A681, 11)="select_one ", LEN($A681)&gt;11, NOT(ISNUMBER(SEARCH(" ", $A681, 12)))))</formula>
    </cfRule>
  </conditionalFormatting>
  <conditionalFormatting sqref="B681:E681">
    <cfRule type="expression" dxfId="25" priority="825" stopIfTrue="1">
      <formula>$A681="decimal"</formula>
    </cfRule>
  </conditionalFormatting>
  <conditionalFormatting sqref="B681:E681">
    <cfRule type="expression" dxfId="26" priority="826" stopIfTrue="1">
      <formula>$A681="integer"</formula>
    </cfRule>
  </conditionalFormatting>
  <conditionalFormatting sqref="B681:E681">
    <cfRule type="expression" dxfId="27" priority="827" stopIfTrue="1">
      <formula>$A681="text"</formula>
    </cfRule>
  </conditionalFormatting>
  <conditionalFormatting sqref="B681:E681">
    <cfRule type="expression" dxfId="28" priority="828" stopIfTrue="1">
      <formula>$A681="end repeat"</formula>
    </cfRule>
  </conditionalFormatting>
  <conditionalFormatting sqref="B681:E681">
    <cfRule type="expression" dxfId="28" priority="829" stopIfTrue="1">
      <formula>$A681="begin repeat"</formula>
    </cfRule>
  </conditionalFormatting>
  <conditionalFormatting sqref="B681:E681">
    <cfRule type="expression" dxfId="29" priority="830" stopIfTrue="1">
      <formula>$A681="end group"</formula>
    </cfRule>
  </conditionalFormatting>
  <conditionalFormatting sqref="B681:E681">
    <cfRule type="expression" dxfId="29" priority="831" stopIfTrue="1">
      <formula>$A681="begin group"</formula>
    </cfRule>
  </conditionalFormatting>
  <conditionalFormatting sqref="B681">
    <cfRule type="expression" dxfId="30" priority="832" stopIfTrue="1">
      <formula>$A681="comments"</formula>
    </cfRule>
  </conditionalFormatting>
  <conditionalFormatting sqref="B681">
    <cfRule type="expression" dxfId="36" priority="833" stopIfTrue="1">
      <formula>OR(AND(LEFT($A681, 14)="sensor_stream ", LEN($A681)&gt;14, NOT(ISNUMBER(SEARCH(" ", $A681, 15)))), AND(LEFT($A681, 17)="sensor_statistic ", LEN($A681)&gt;17, NOT(ISNUMBER(SEARCH(" ", $A681, 18)))))</formula>
    </cfRule>
  </conditionalFormatting>
  <conditionalFormatting sqref="B675:C676 D675:E676">
    <cfRule type="expression" dxfId="0" priority="834" stopIfTrue="1">
      <formula>$A675="begin group"</formula>
    </cfRule>
  </conditionalFormatting>
  <conditionalFormatting sqref="B675:C676 D675:E676">
    <cfRule type="expression" dxfId="1" priority="835" stopIfTrue="1">
      <formula>$A675="begin repeat"</formula>
    </cfRule>
  </conditionalFormatting>
  <conditionalFormatting sqref="B675:E676">
    <cfRule type="expression" dxfId="31" priority="836" stopIfTrue="1">
      <formula>$A675="enumerator"</formula>
    </cfRule>
  </conditionalFormatting>
  <conditionalFormatting sqref="B675:E676">
    <cfRule type="expression" dxfId="2" priority="837" stopIfTrue="1">
      <formula>$A675="text"</formula>
    </cfRule>
  </conditionalFormatting>
  <conditionalFormatting sqref="B675:E676">
    <cfRule type="expression" dxfId="3" priority="838" stopIfTrue="1">
      <formula>$A675="integer"</formula>
    </cfRule>
  </conditionalFormatting>
  <conditionalFormatting sqref="B675:E676">
    <cfRule type="expression" dxfId="4" priority="839" stopIfTrue="1">
      <formula>$A675="decimal"</formula>
    </cfRule>
  </conditionalFormatting>
  <conditionalFormatting sqref="B675:C676 D675:E676">
    <cfRule type="expression" dxfId="5" priority="840" stopIfTrue="1">
      <formula>OR(AND(LEFT($A675, 16)="select_multiple ", LEN($A675)&gt;16, NOT(ISNUMBER(SEARCH(" ", $A675, 17)))), AND(LEFT($A675, 11)="select_one ", LEN($A675)&gt;11, NOT(ISNUMBER(SEARCH(" ", $A675, 12)))))</formula>
    </cfRule>
  </conditionalFormatting>
  <conditionalFormatting sqref="B675:B676">
    <cfRule type="expression" dxfId="6" priority="841" stopIfTrue="1">
      <formula>OR($A675="audio audit", $A675="text audit", $A675="speed violations count", $A675="speed violations list", $A675="speed violations audit")</formula>
    </cfRule>
  </conditionalFormatting>
  <conditionalFormatting sqref="B675:C676 D675:E676">
    <cfRule type="expression" dxfId="32" priority="842" stopIfTrue="1">
      <formula>$A675="file"</formula>
    </cfRule>
  </conditionalFormatting>
  <conditionalFormatting sqref="B675:C676 D675:E676">
    <cfRule type="expression" dxfId="7" priority="843" stopIfTrue="1">
      <formula>$A675="note"</formula>
    </cfRule>
  </conditionalFormatting>
  <conditionalFormatting sqref="B675:C676 D675:E676">
    <cfRule type="expression" dxfId="8" priority="844" stopIfTrue="1">
      <formula>$A675="barcode"</formula>
    </cfRule>
  </conditionalFormatting>
  <conditionalFormatting sqref="B675:C676 D675:E676">
    <cfRule type="expression" dxfId="9" priority="845" stopIfTrue="1">
      <formula>OR($A675="geopoint", $A675="geoshape", $A675="geotrace")</formula>
    </cfRule>
  </conditionalFormatting>
  <conditionalFormatting sqref="B675:B676">
    <cfRule type="expression" dxfId="10" priority="846" stopIfTrue="1">
      <formula>OR($A675="calculate", $A675="calculate_here")</formula>
    </cfRule>
  </conditionalFormatting>
  <conditionalFormatting sqref="B675:C676 D675:E676">
    <cfRule type="expression" dxfId="11" priority="847" stopIfTrue="1">
      <formula>OR($A675="date", $A675="datetime", $A675="time")</formula>
    </cfRule>
  </conditionalFormatting>
  <conditionalFormatting sqref="B675:C676 D675:E676">
    <cfRule type="expression" dxfId="12" priority="848" stopIfTrue="1">
      <formula>$A675="image"</formula>
    </cfRule>
  </conditionalFormatting>
  <conditionalFormatting sqref="B675:C676 D675:E676">
    <cfRule type="expression" dxfId="13" priority="849" stopIfTrue="1">
      <formula>OR($A675="audio", $A675="video")</formula>
    </cfRule>
  </conditionalFormatting>
  <conditionalFormatting sqref="B675:E676">
    <cfRule type="expression" dxfId="33" priority="850" stopIfTrue="1">
      <formula>$A675="file"</formula>
    </cfRule>
  </conditionalFormatting>
  <conditionalFormatting sqref="B675:E676">
    <cfRule type="expression" dxfId="34" priority="851" stopIfTrue="1">
      <formula>$A675="enumerator"</formula>
    </cfRule>
  </conditionalFormatting>
  <conditionalFormatting sqref="B675:E676">
    <cfRule type="expression" dxfId="35" priority="852" stopIfTrue="1">
      <formula>OR(AND(LEFT($A675, 14)="sensor_stream ", LEN($A675)&gt;14, NOT(ISNUMBER(SEARCH(" ", $A675, 15)))), AND(LEFT($A675, 17)="sensor_statistic ", LEN($A675)&gt;17, NOT(ISNUMBER(SEARCH(" ", $A675, 18)))))</formula>
    </cfRule>
  </conditionalFormatting>
  <conditionalFormatting sqref="B675:E676">
    <cfRule type="expression" dxfId="14" priority="853" stopIfTrue="1">
      <formula>$A675="comments"</formula>
    </cfRule>
  </conditionalFormatting>
  <conditionalFormatting sqref="B675:E676">
    <cfRule type="expression" dxfId="15" priority="854" stopIfTrue="1">
      <formula>OR($A675="audio", $A675="video")</formula>
    </cfRule>
  </conditionalFormatting>
  <conditionalFormatting sqref="B675:E676">
    <cfRule type="expression" dxfId="16" priority="855" stopIfTrue="1">
      <formula>$A675="image"</formula>
    </cfRule>
  </conditionalFormatting>
  <conditionalFormatting sqref="B675:E676">
    <cfRule type="expression" dxfId="17" priority="856" stopIfTrue="1">
      <formula>OR($A675="date", $A675="datetime", $A675="time")</formula>
    </cfRule>
  </conditionalFormatting>
  <conditionalFormatting sqref="B675:E676">
    <cfRule type="expression" dxfId="18" priority="857" stopIfTrue="1">
      <formula>OR($A675="calculate", $A675="calculate_here")</formula>
    </cfRule>
  </conditionalFormatting>
  <conditionalFormatting sqref="B675:E676">
    <cfRule type="expression" dxfId="19" priority="858" stopIfTrue="1">
      <formula>$A675="note"</formula>
    </cfRule>
  </conditionalFormatting>
  <conditionalFormatting sqref="B675:E676">
    <cfRule type="expression" dxfId="20" priority="859" stopIfTrue="1">
      <formula>$A675="barcode"</formula>
    </cfRule>
  </conditionalFormatting>
  <conditionalFormatting sqref="B675:E676">
    <cfRule type="expression" dxfId="21" priority="860" stopIfTrue="1">
      <formula>OR($A675="geopoint", $A675="geoshape", $A675="geotrace")</formula>
    </cfRule>
  </conditionalFormatting>
  <conditionalFormatting sqref="B675:E676">
    <cfRule type="expression" dxfId="22" priority="861" stopIfTrue="1">
      <formula>OR($A675="audio audit", $A675="text audit", $A675="speed violations count", $A675="speed violations list", $A675="speed violations audit")</formula>
    </cfRule>
  </conditionalFormatting>
  <conditionalFormatting sqref="B675:E676">
    <cfRule type="expression" dxfId="23" priority="862" stopIfTrue="1">
      <formula>OR($A675="username", $A675="phonenumber", $A675="start", $A675="end", $A675="deviceid", $A675="subscriberid", $A675="simserial", $A675="caseid")</formula>
    </cfRule>
  </conditionalFormatting>
  <conditionalFormatting sqref="B675:E676">
    <cfRule type="expression" dxfId="24" priority="863" stopIfTrue="1">
      <formula>OR(AND(LEFT($A675, 16)="select_multiple ", LEN($A675)&gt;16, NOT(ISNUMBER(SEARCH(" ", $A675, 17)))), AND(LEFT($A675, 11)="select_one ", LEN($A675)&gt;11, NOT(ISNUMBER(SEARCH(" ", $A675, 12)))))</formula>
    </cfRule>
  </conditionalFormatting>
  <conditionalFormatting sqref="B675:E676">
    <cfRule type="expression" dxfId="25" priority="864" stopIfTrue="1">
      <formula>$A675="decimal"</formula>
    </cfRule>
  </conditionalFormatting>
  <conditionalFormatting sqref="B675:E676">
    <cfRule type="expression" dxfId="26" priority="865" stopIfTrue="1">
      <formula>$A675="integer"</formula>
    </cfRule>
  </conditionalFormatting>
  <conditionalFormatting sqref="B675:E676">
    <cfRule type="expression" dxfId="27" priority="866" stopIfTrue="1">
      <formula>$A675="text"</formula>
    </cfRule>
  </conditionalFormatting>
  <conditionalFormatting sqref="B675:E676">
    <cfRule type="expression" dxfId="28" priority="867" stopIfTrue="1">
      <formula>$A675="end repeat"</formula>
    </cfRule>
  </conditionalFormatting>
  <conditionalFormatting sqref="B675:E676">
    <cfRule type="expression" dxfId="28" priority="868" stopIfTrue="1">
      <formula>$A675="begin repeat"</formula>
    </cfRule>
  </conditionalFormatting>
  <conditionalFormatting sqref="B675:E676">
    <cfRule type="expression" dxfId="29" priority="869" stopIfTrue="1">
      <formula>$A675="end group"</formula>
    </cfRule>
  </conditionalFormatting>
  <conditionalFormatting sqref="B675:E676">
    <cfRule type="expression" dxfId="29" priority="870" stopIfTrue="1">
      <formula>$A675="begin group"</formula>
    </cfRule>
  </conditionalFormatting>
  <conditionalFormatting sqref="B675:B676">
    <cfRule type="expression" dxfId="30" priority="871" stopIfTrue="1">
      <formula>$A675="comments"</formula>
    </cfRule>
  </conditionalFormatting>
  <conditionalFormatting sqref="B675:B676">
    <cfRule type="expression" dxfId="36" priority="872" stopIfTrue="1">
      <formula>OR(AND(LEFT($A675, 14)="sensor_stream ", LEN($A675)&gt;14, NOT(ISNUMBER(SEARCH(" ", $A675, 15)))), AND(LEFT($A675, 17)="sensor_statistic ", LEN($A675)&gt;17, NOT(ISNUMBER(SEARCH(" ", $A675, 18)))))</formula>
    </cfRule>
  </conditionalFormatting>
  <conditionalFormatting sqref="B669:C671 D669:E671">
    <cfRule type="expression" dxfId="0" priority="873" stopIfTrue="1">
      <formula>$A669="begin group"</formula>
    </cfRule>
  </conditionalFormatting>
  <conditionalFormatting sqref="B669:C671 D669:E671">
    <cfRule type="expression" dxfId="1" priority="874" stopIfTrue="1">
      <formula>$A669="begin repeat"</formula>
    </cfRule>
  </conditionalFormatting>
  <conditionalFormatting sqref="B669:E671">
    <cfRule type="expression" dxfId="31" priority="875" stopIfTrue="1">
      <formula>$A669="enumerator"</formula>
    </cfRule>
  </conditionalFormatting>
  <conditionalFormatting sqref="B669:E671">
    <cfRule type="expression" dxfId="2" priority="876" stopIfTrue="1">
      <formula>$A669="text"</formula>
    </cfRule>
  </conditionalFormatting>
  <conditionalFormatting sqref="B669:E671">
    <cfRule type="expression" dxfId="3" priority="877" stopIfTrue="1">
      <formula>$A669="integer"</formula>
    </cfRule>
  </conditionalFormatting>
  <conditionalFormatting sqref="B669:E671">
    <cfRule type="expression" dxfId="4" priority="878" stopIfTrue="1">
      <formula>$A669="decimal"</formula>
    </cfRule>
  </conditionalFormatting>
  <conditionalFormatting sqref="B669:C671 D669:E671">
    <cfRule type="expression" dxfId="5" priority="879" stopIfTrue="1">
      <formula>OR(AND(LEFT($A669, 16)="select_multiple ", LEN($A669)&gt;16, NOT(ISNUMBER(SEARCH(" ", $A669, 17)))), AND(LEFT($A669, 11)="select_one ", LEN($A669)&gt;11, NOT(ISNUMBER(SEARCH(" ", $A669, 12)))))</formula>
    </cfRule>
  </conditionalFormatting>
  <conditionalFormatting sqref="B669:B671">
    <cfRule type="expression" dxfId="6" priority="880" stopIfTrue="1">
      <formula>OR($A669="audio audit", $A669="text audit", $A669="speed violations count", $A669="speed violations list", $A669="speed violations audit")</formula>
    </cfRule>
  </conditionalFormatting>
  <conditionalFormatting sqref="B669:C671 D669:E671">
    <cfRule type="expression" dxfId="32" priority="881" stopIfTrue="1">
      <formula>$A669="file"</formula>
    </cfRule>
  </conditionalFormatting>
  <conditionalFormatting sqref="B669:C671 D669:E671">
    <cfRule type="expression" dxfId="7" priority="882" stopIfTrue="1">
      <formula>$A669="note"</formula>
    </cfRule>
  </conditionalFormatting>
  <conditionalFormatting sqref="B669:C671 D669:E671">
    <cfRule type="expression" dxfId="8" priority="883" stopIfTrue="1">
      <formula>$A669="barcode"</formula>
    </cfRule>
  </conditionalFormatting>
  <conditionalFormatting sqref="B669:C671 D669:E671">
    <cfRule type="expression" dxfId="9" priority="884" stopIfTrue="1">
      <formula>OR($A669="geopoint", $A669="geoshape", $A669="geotrace")</formula>
    </cfRule>
  </conditionalFormatting>
  <conditionalFormatting sqref="B669:B671">
    <cfRule type="expression" dxfId="10" priority="885" stopIfTrue="1">
      <formula>OR($A669="calculate", $A669="calculate_here")</formula>
    </cfRule>
  </conditionalFormatting>
  <conditionalFormatting sqref="B669:C671 D669:E671">
    <cfRule type="expression" dxfId="11" priority="886" stopIfTrue="1">
      <formula>OR($A669="date", $A669="datetime", $A669="time")</formula>
    </cfRule>
  </conditionalFormatting>
  <conditionalFormatting sqref="B669:C671 D669:E671">
    <cfRule type="expression" dxfId="12" priority="887" stopIfTrue="1">
      <formula>$A669="image"</formula>
    </cfRule>
  </conditionalFormatting>
  <conditionalFormatting sqref="B669:C671 D669:E671">
    <cfRule type="expression" dxfId="13" priority="888" stopIfTrue="1">
      <formula>OR($A669="audio", $A669="video")</formula>
    </cfRule>
  </conditionalFormatting>
  <conditionalFormatting sqref="B669:E671">
    <cfRule type="expression" dxfId="33" priority="889" stopIfTrue="1">
      <formula>$A669="file"</formula>
    </cfRule>
  </conditionalFormatting>
  <conditionalFormatting sqref="B669:E671">
    <cfRule type="expression" dxfId="34" priority="890" stopIfTrue="1">
      <formula>$A669="enumerator"</formula>
    </cfRule>
  </conditionalFormatting>
  <conditionalFormatting sqref="B669:E671">
    <cfRule type="expression" dxfId="35" priority="891" stopIfTrue="1">
      <formula>OR(AND(LEFT($A669, 14)="sensor_stream ", LEN($A669)&gt;14, NOT(ISNUMBER(SEARCH(" ", $A669, 15)))), AND(LEFT($A669, 17)="sensor_statistic ", LEN($A669)&gt;17, NOT(ISNUMBER(SEARCH(" ", $A669, 18)))))</formula>
    </cfRule>
  </conditionalFormatting>
  <conditionalFormatting sqref="B669:E671">
    <cfRule type="expression" dxfId="14" priority="892" stopIfTrue="1">
      <formula>$A669="comments"</formula>
    </cfRule>
  </conditionalFormatting>
  <conditionalFormatting sqref="B669:E671">
    <cfRule type="expression" dxfId="15" priority="893" stopIfTrue="1">
      <formula>OR($A669="audio", $A669="video")</formula>
    </cfRule>
  </conditionalFormatting>
  <conditionalFormatting sqref="B669:E671">
    <cfRule type="expression" dxfId="16" priority="894" stopIfTrue="1">
      <formula>$A669="image"</formula>
    </cfRule>
  </conditionalFormatting>
  <conditionalFormatting sqref="B669:E671">
    <cfRule type="expression" dxfId="17" priority="895" stopIfTrue="1">
      <formula>OR($A669="date", $A669="datetime", $A669="time")</formula>
    </cfRule>
  </conditionalFormatting>
  <conditionalFormatting sqref="B669:E671">
    <cfRule type="expression" dxfId="18" priority="896" stopIfTrue="1">
      <formula>OR($A669="calculate", $A669="calculate_here")</formula>
    </cfRule>
  </conditionalFormatting>
  <conditionalFormatting sqref="B669:E671">
    <cfRule type="expression" dxfId="19" priority="897" stopIfTrue="1">
      <formula>$A669="note"</formula>
    </cfRule>
  </conditionalFormatting>
  <conditionalFormatting sqref="B669:E671">
    <cfRule type="expression" dxfId="20" priority="898" stopIfTrue="1">
      <formula>$A669="barcode"</formula>
    </cfRule>
  </conditionalFormatting>
  <conditionalFormatting sqref="B669:E671">
    <cfRule type="expression" dxfId="21" priority="899" stopIfTrue="1">
      <formula>OR($A669="geopoint", $A669="geoshape", $A669="geotrace")</formula>
    </cfRule>
  </conditionalFormatting>
  <conditionalFormatting sqref="B669:E671">
    <cfRule type="expression" dxfId="22" priority="900" stopIfTrue="1">
      <formula>OR($A669="audio audit", $A669="text audit", $A669="speed violations count", $A669="speed violations list", $A669="speed violations audit")</formula>
    </cfRule>
  </conditionalFormatting>
  <conditionalFormatting sqref="B669:E671">
    <cfRule type="expression" dxfId="23" priority="901" stopIfTrue="1">
      <formula>OR($A669="username", $A669="phonenumber", $A669="start", $A669="end", $A669="deviceid", $A669="subscriberid", $A669="simserial", $A669="caseid")</formula>
    </cfRule>
  </conditionalFormatting>
  <conditionalFormatting sqref="B669:E671">
    <cfRule type="expression" dxfId="24" priority="902" stopIfTrue="1">
      <formula>OR(AND(LEFT($A669, 16)="select_multiple ", LEN($A669)&gt;16, NOT(ISNUMBER(SEARCH(" ", $A669, 17)))), AND(LEFT($A669, 11)="select_one ", LEN($A669)&gt;11, NOT(ISNUMBER(SEARCH(" ", $A669, 12)))))</formula>
    </cfRule>
  </conditionalFormatting>
  <conditionalFormatting sqref="B669:E671">
    <cfRule type="expression" dxfId="25" priority="903" stopIfTrue="1">
      <formula>$A669="decimal"</formula>
    </cfRule>
  </conditionalFormatting>
  <conditionalFormatting sqref="B669:E671">
    <cfRule type="expression" dxfId="26" priority="904" stopIfTrue="1">
      <formula>$A669="integer"</formula>
    </cfRule>
  </conditionalFormatting>
  <conditionalFormatting sqref="B669:E671">
    <cfRule type="expression" dxfId="27" priority="905" stopIfTrue="1">
      <formula>$A669="text"</formula>
    </cfRule>
  </conditionalFormatting>
  <conditionalFormatting sqref="B669:E671">
    <cfRule type="expression" dxfId="28" priority="906" stopIfTrue="1">
      <formula>$A669="end repeat"</formula>
    </cfRule>
  </conditionalFormatting>
  <conditionalFormatting sqref="B669:E671">
    <cfRule type="expression" dxfId="28" priority="907" stopIfTrue="1">
      <formula>$A669="begin repeat"</formula>
    </cfRule>
  </conditionalFormatting>
  <conditionalFormatting sqref="B669:E671">
    <cfRule type="expression" dxfId="29" priority="908" stopIfTrue="1">
      <formula>$A669="end group"</formula>
    </cfRule>
  </conditionalFormatting>
  <conditionalFormatting sqref="B669:E671">
    <cfRule type="expression" dxfId="29" priority="909" stopIfTrue="1">
      <formula>$A669="begin group"</formula>
    </cfRule>
  </conditionalFormatting>
  <conditionalFormatting sqref="B669:B671">
    <cfRule type="expression" dxfId="30" priority="910" stopIfTrue="1">
      <formula>$A669="comments"</formula>
    </cfRule>
  </conditionalFormatting>
  <conditionalFormatting sqref="B669:B671">
    <cfRule type="expression" dxfId="36" priority="911" stopIfTrue="1">
      <formula>OR(AND(LEFT($A669, 14)="sensor_stream ", LEN($A669)&gt;14, NOT(ISNUMBER(SEARCH(" ", $A669, 15)))), AND(LEFT($A669, 17)="sensor_statistic ", LEN($A669)&gt;17, NOT(ISNUMBER(SEARCH(" ", $A669, 18)))))</formula>
    </cfRule>
  </conditionalFormatting>
  <conditionalFormatting sqref="B660:C665 D660:E665">
    <cfRule type="expression" dxfId="0" priority="912" stopIfTrue="1">
      <formula>$A660="begin group"</formula>
    </cfRule>
  </conditionalFormatting>
  <conditionalFormatting sqref="B660:C665 D660:E665">
    <cfRule type="expression" dxfId="1" priority="913" stopIfTrue="1">
      <formula>$A660="begin repeat"</formula>
    </cfRule>
  </conditionalFormatting>
  <conditionalFormatting sqref="B660:E665">
    <cfRule type="expression" dxfId="31" priority="914" stopIfTrue="1">
      <formula>$A660="enumerator"</formula>
    </cfRule>
  </conditionalFormatting>
  <conditionalFormatting sqref="B660:E665">
    <cfRule type="expression" dxfId="2" priority="915" stopIfTrue="1">
      <formula>$A660="text"</formula>
    </cfRule>
  </conditionalFormatting>
  <conditionalFormatting sqref="B660:E665">
    <cfRule type="expression" dxfId="3" priority="916" stopIfTrue="1">
      <formula>$A660="integer"</formula>
    </cfRule>
  </conditionalFormatting>
  <conditionalFormatting sqref="B660:E665">
    <cfRule type="expression" dxfId="4" priority="917" stopIfTrue="1">
      <formula>$A660="decimal"</formula>
    </cfRule>
  </conditionalFormatting>
  <conditionalFormatting sqref="B660:C665 D660:E665">
    <cfRule type="expression" dxfId="5" priority="918" stopIfTrue="1">
      <formula>OR(AND(LEFT($A660, 16)="select_multiple ", LEN($A660)&gt;16, NOT(ISNUMBER(SEARCH(" ", $A660, 17)))), AND(LEFT($A660, 11)="select_one ", LEN($A660)&gt;11, NOT(ISNUMBER(SEARCH(" ", $A660, 12)))))</formula>
    </cfRule>
  </conditionalFormatting>
  <conditionalFormatting sqref="B660:B665">
    <cfRule type="expression" dxfId="6" priority="919" stopIfTrue="1">
      <formula>OR($A660="audio audit", $A660="text audit", $A660="speed violations count", $A660="speed violations list", $A660="speed violations audit")</formula>
    </cfRule>
  </conditionalFormatting>
  <conditionalFormatting sqref="B660:C665 D660:E665">
    <cfRule type="expression" dxfId="32" priority="920" stopIfTrue="1">
      <formula>$A660="file"</formula>
    </cfRule>
  </conditionalFormatting>
  <conditionalFormatting sqref="B660:C665 D660:E665">
    <cfRule type="expression" dxfId="7" priority="921" stopIfTrue="1">
      <formula>$A660="note"</formula>
    </cfRule>
  </conditionalFormatting>
  <conditionalFormatting sqref="B660:C665 D660:E665">
    <cfRule type="expression" dxfId="8" priority="922" stopIfTrue="1">
      <formula>$A660="barcode"</formula>
    </cfRule>
  </conditionalFormatting>
  <conditionalFormatting sqref="B660:C665 D660:E665">
    <cfRule type="expression" dxfId="9" priority="923" stopIfTrue="1">
      <formula>OR($A660="geopoint", $A660="geoshape", $A660="geotrace")</formula>
    </cfRule>
  </conditionalFormatting>
  <conditionalFormatting sqref="B660:B665">
    <cfRule type="expression" dxfId="10" priority="924" stopIfTrue="1">
      <formula>OR($A660="calculate", $A660="calculate_here")</formula>
    </cfRule>
  </conditionalFormatting>
  <conditionalFormatting sqref="B660:C665 D660:E665">
    <cfRule type="expression" dxfId="11" priority="925" stopIfTrue="1">
      <formula>OR($A660="date", $A660="datetime", $A660="time")</formula>
    </cfRule>
  </conditionalFormatting>
  <conditionalFormatting sqref="B660:C665 D660:E665">
    <cfRule type="expression" dxfId="12" priority="926" stopIfTrue="1">
      <formula>$A660="image"</formula>
    </cfRule>
  </conditionalFormatting>
  <conditionalFormatting sqref="B660:C665 D660:E665">
    <cfRule type="expression" dxfId="13" priority="927" stopIfTrue="1">
      <formula>OR($A660="audio", $A660="video")</formula>
    </cfRule>
  </conditionalFormatting>
  <conditionalFormatting sqref="B660:E665">
    <cfRule type="expression" dxfId="33" priority="928" stopIfTrue="1">
      <formula>$A660="file"</formula>
    </cfRule>
  </conditionalFormatting>
  <conditionalFormatting sqref="B660:E665">
    <cfRule type="expression" dxfId="34" priority="929" stopIfTrue="1">
      <formula>$A660="enumerator"</formula>
    </cfRule>
  </conditionalFormatting>
  <conditionalFormatting sqref="B660:E665">
    <cfRule type="expression" dxfId="35" priority="930" stopIfTrue="1">
      <formula>OR(AND(LEFT($A660, 14)="sensor_stream ", LEN($A660)&gt;14, NOT(ISNUMBER(SEARCH(" ", $A660, 15)))), AND(LEFT($A660, 17)="sensor_statistic ", LEN($A660)&gt;17, NOT(ISNUMBER(SEARCH(" ", $A660, 18)))))</formula>
    </cfRule>
  </conditionalFormatting>
  <conditionalFormatting sqref="B660:E665">
    <cfRule type="expression" dxfId="14" priority="931" stopIfTrue="1">
      <formula>$A660="comments"</formula>
    </cfRule>
  </conditionalFormatting>
  <conditionalFormatting sqref="B660:E665">
    <cfRule type="expression" dxfId="15" priority="932" stopIfTrue="1">
      <formula>OR($A660="audio", $A660="video")</formula>
    </cfRule>
  </conditionalFormatting>
  <conditionalFormatting sqref="B660:E665">
    <cfRule type="expression" dxfId="16" priority="933" stopIfTrue="1">
      <formula>$A660="image"</formula>
    </cfRule>
  </conditionalFormatting>
  <conditionalFormatting sqref="B660:E665">
    <cfRule type="expression" dxfId="17" priority="934" stopIfTrue="1">
      <formula>OR($A660="date", $A660="datetime", $A660="time")</formula>
    </cfRule>
  </conditionalFormatting>
  <conditionalFormatting sqref="B660:E665">
    <cfRule type="expression" dxfId="18" priority="935" stopIfTrue="1">
      <formula>OR($A660="calculate", $A660="calculate_here")</formula>
    </cfRule>
  </conditionalFormatting>
  <conditionalFormatting sqref="B660:E665">
    <cfRule type="expression" dxfId="19" priority="936" stopIfTrue="1">
      <formula>$A660="note"</formula>
    </cfRule>
  </conditionalFormatting>
  <conditionalFormatting sqref="B660:E665">
    <cfRule type="expression" dxfId="20" priority="937" stopIfTrue="1">
      <formula>$A660="barcode"</formula>
    </cfRule>
  </conditionalFormatting>
  <conditionalFormatting sqref="B660:E665">
    <cfRule type="expression" dxfId="21" priority="938" stopIfTrue="1">
      <formula>OR($A660="geopoint", $A660="geoshape", $A660="geotrace")</formula>
    </cfRule>
  </conditionalFormatting>
  <conditionalFormatting sqref="B660:E665">
    <cfRule type="expression" dxfId="22" priority="939" stopIfTrue="1">
      <formula>OR($A660="audio audit", $A660="text audit", $A660="speed violations count", $A660="speed violations list", $A660="speed violations audit")</formula>
    </cfRule>
  </conditionalFormatting>
  <conditionalFormatting sqref="B660:E665">
    <cfRule type="expression" dxfId="23" priority="940" stopIfTrue="1">
      <formula>OR($A660="username", $A660="phonenumber", $A660="start", $A660="end", $A660="deviceid", $A660="subscriberid", $A660="simserial", $A660="caseid")</formula>
    </cfRule>
  </conditionalFormatting>
  <conditionalFormatting sqref="B660:E665">
    <cfRule type="expression" dxfId="24" priority="941" stopIfTrue="1">
      <formula>OR(AND(LEFT($A660, 16)="select_multiple ", LEN($A660)&gt;16, NOT(ISNUMBER(SEARCH(" ", $A660, 17)))), AND(LEFT($A660, 11)="select_one ", LEN($A660)&gt;11, NOT(ISNUMBER(SEARCH(" ", $A660, 12)))))</formula>
    </cfRule>
  </conditionalFormatting>
  <conditionalFormatting sqref="B660:E665">
    <cfRule type="expression" dxfId="25" priority="942" stopIfTrue="1">
      <formula>$A660="decimal"</formula>
    </cfRule>
  </conditionalFormatting>
  <conditionalFormatting sqref="B660:E665">
    <cfRule type="expression" dxfId="26" priority="943" stopIfTrue="1">
      <formula>$A660="integer"</formula>
    </cfRule>
  </conditionalFormatting>
  <conditionalFormatting sqref="B660:E665">
    <cfRule type="expression" dxfId="27" priority="944" stopIfTrue="1">
      <formula>$A660="text"</formula>
    </cfRule>
  </conditionalFormatting>
  <conditionalFormatting sqref="B660:E665">
    <cfRule type="expression" dxfId="28" priority="945" stopIfTrue="1">
      <formula>$A660="end repeat"</formula>
    </cfRule>
  </conditionalFormatting>
  <conditionalFormatting sqref="B660:E665">
    <cfRule type="expression" dxfId="28" priority="946" stopIfTrue="1">
      <formula>$A660="begin repeat"</formula>
    </cfRule>
  </conditionalFormatting>
  <conditionalFormatting sqref="B660:E665">
    <cfRule type="expression" dxfId="29" priority="947" stopIfTrue="1">
      <formula>$A660="end group"</formula>
    </cfRule>
  </conditionalFormatting>
  <conditionalFormatting sqref="B660:E665">
    <cfRule type="expression" dxfId="29" priority="948" stopIfTrue="1">
      <formula>$A660="begin group"</formula>
    </cfRule>
  </conditionalFormatting>
  <conditionalFormatting sqref="B660:B665">
    <cfRule type="expression" dxfId="30" priority="949" stopIfTrue="1">
      <formula>$A660="comments"</formula>
    </cfRule>
  </conditionalFormatting>
  <conditionalFormatting sqref="B660:B665">
    <cfRule type="expression" dxfId="36" priority="950" stopIfTrue="1">
      <formula>OR(AND(LEFT($A660, 14)="sensor_stream ", LEN($A660)&gt;14, NOT(ISNUMBER(SEARCH(" ", $A660, 15)))), AND(LEFT($A660, 17)="sensor_statistic ", LEN($A660)&gt;17, NOT(ISNUMBER(SEARCH(" ", $A660, 18)))))</formula>
    </cfRule>
  </conditionalFormatting>
  <conditionalFormatting sqref="B653:C658 D653:E658">
    <cfRule type="expression" dxfId="0" priority="951" stopIfTrue="1">
      <formula>$A653="begin group"</formula>
    </cfRule>
  </conditionalFormatting>
  <conditionalFormatting sqref="B653:C658 D653:E658">
    <cfRule type="expression" dxfId="1" priority="952" stopIfTrue="1">
      <formula>$A653="begin repeat"</formula>
    </cfRule>
  </conditionalFormatting>
  <conditionalFormatting sqref="B653:E658">
    <cfRule type="expression" dxfId="31" priority="953" stopIfTrue="1">
      <formula>$A653="enumerator"</formula>
    </cfRule>
  </conditionalFormatting>
  <conditionalFormatting sqref="B653:E658">
    <cfRule type="expression" dxfId="2" priority="954" stopIfTrue="1">
      <formula>$A653="text"</formula>
    </cfRule>
  </conditionalFormatting>
  <conditionalFormatting sqref="B653:E658">
    <cfRule type="expression" dxfId="3" priority="955" stopIfTrue="1">
      <formula>$A653="integer"</formula>
    </cfRule>
  </conditionalFormatting>
  <conditionalFormatting sqref="B653:E658">
    <cfRule type="expression" dxfId="4" priority="956" stopIfTrue="1">
      <formula>$A653="decimal"</formula>
    </cfRule>
  </conditionalFormatting>
  <conditionalFormatting sqref="B653:C658 D653:E658">
    <cfRule type="expression" dxfId="5" priority="957" stopIfTrue="1">
      <formula>OR(AND(LEFT($A653, 16)="select_multiple ", LEN($A653)&gt;16, NOT(ISNUMBER(SEARCH(" ", $A653, 17)))), AND(LEFT($A653, 11)="select_one ", LEN($A653)&gt;11, NOT(ISNUMBER(SEARCH(" ", $A653, 12)))))</formula>
    </cfRule>
  </conditionalFormatting>
  <conditionalFormatting sqref="B653:B658">
    <cfRule type="expression" dxfId="6" priority="958" stopIfTrue="1">
      <formula>OR($A653="audio audit", $A653="text audit", $A653="speed violations count", $A653="speed violations list", $A653="speed violations audit")</formula>
    </cfRule>
  </conditionalFormatting>
  <conditionalFormatting sqref="B653:C658 D653:E658">
    <cfRule type="expression" dxfId="32" priority="959" stopIfTrue="1">
      <formula>$A653="file"</formula>
    </cfRule>
  </conditionalFormatting>
  <conditionalFormatting sqref="B653:C658 D653:E658">
    <cfRule type="expression" dxfId="7" priority="960" stopIfTrue="1">
      <formula>$A653="note"</formula>
    </cfRule>
  </conditionalFormatting>
  <conditionalFormatting sqref="B653:C658 D653:E658">
    <cfRule type="expression" dxfId="8" priority="961" stopIfTrue="1">
      <formula>$A653="barcode"</formula>
    </cfRule>
  </conditionalFormatting>
  <conditionalFormatting sqref="B653:C658 D653:E658">
    <cfRule type="expression" dxfId="9" priority="962" stopIfTrue="1">
      <formula>OR($A653="geopoint", $A653="geoshape", $A653="geotrace")</formula>
    </cfRule>
  </conditionalFormatting>
  <conditionalFormatting sqref="B653:B658">
    <cfRule type="expression" dxfId="10" priority="963" stopIfTrue="1">
      <formula>OR($A653="calculate", $A653="calculate_here")</formula>
    </cfRule>
  </conditionalFormatting>
  <conditionalFormatting sqref="B653:C658 D653:E658">
    <cfRule type="expression" dxfId="11" priority="964" stopIfTrue="1">
      <formula>OR($A653="date", $A653="datetime", $A653="time")</formula>
    </cfRule>
  </conditionalFormatting>
  <conditionalFormatting sqref="B653:C658 D653:E658">
    <cfRule type="expression" dxfId="12" priority="965" stopIfTrue="1">
      <formula>$A653="image"</formula>
    </cfRule>
  </conditionalFormatting>
  <conditionalFormatting sqref="B653:C658 D653:E658">
    <cfRule type="expression" dxfId="13" priority="966" stopIfTrue="1">
      <formula>OR($A653="audio", $A653="video")</formula>
    </cfRule>
  </conditionalFormatting>
  <conditionalFormatting sqref="B653:E658">
    <cfRule type="expression" dxfId="33" priority="967" stopIfTrue="1">
      <formula>$A653="file"</formula>
    </cfRule>
  </conditionalFormatting>
  <conditionalFormatting sqref="B653:E658">
    <cfRule type="expression" dxfId="34" priority="968" stopIfTrue="1">
      <formula>$A653="enumerator"</formula>
    </cfRule>
  </conditionalFormatting>
  <conditionalFormatting sqref="B653:E658">
    <cfRule type="expression" dxfId="35" priority="969" stopIfTrue="1">
      <formula>OR(AND(LEFT($A653, 14)="sensor_stream ", LEN($A653)&gt;14, NOT(ISNUMBER(SEARCH(" ", $A653, 15)))), AND(LEFT($A653, 17)="sensor_statistic ", LEN($A653)&gt;17, NOT(ISNUMBER(SEARCH(" ", $A653, 18)))))</formula>
    </cfRule>
  </conditionalFormatting>
  <conditionalFormatting sqref="B653:E658">
    <cfRule type="expression" dxfId="14" priority="970" stopIfTrue="1">
      <formula>$A653="comments"</formula>
    </cfRule>
  </conditionalFormatting>
  <conditionalFormatting sqref="B653:E658">
    <cfRule type="expression" dxfId="15" priority="971" stopIfTrue="1">
      <formula>OR($A653="audio", $A653="video")</formula>
    </cfRule>
  </conditionalFormatting>
  <conditionalFormatting sqref="B653:E658">
    <cfRule type="expression" dxfId="16" priority="972" stopIfTrue="1">
      <formula>$A653="image"</formula>
    </cfRule>
  </conditionalFormatting>
  <conditionalFormatting sqref="B653:E658">
    <cfRule type="expression" dxfId="17" priority="973" stopIfTrue="1">
      <formula>OR($A653="date", $A653="datetime", $A653="time")</formula>
    </cfRule>
  </conditionalFormatting>
  <conditionalFormatting sqref="B653:E658">
    <cfRule type="expression" dxfId="18" priority="974" stopIfTrue="1">
      <formula>OR($A653="calculate", $A653="calculate_here")</formula>
    </cfRule>
  </conditionalFormatting>
  <conditionalFormatting sqref="B653:E658">
    <cfRule type="expression" dxfId="19" priority="975" stopIfTrue="1">
      <formula>$A653="note"</formula>
    </cfRule>
  </conditionalFormatting>
  <conditionalFormatting sqref="B653:E658">
    <cfRule type="expression" dxfId="20" priority="976" stopIfTrue="1">
      <formula>$A653="barcode"</formula>
    </cfRule>
  </conditionalFormatting>
  <conditionalFormatting sqref="B653:E658">
    <cfRule type="expression" dxfId="21" priority="977" stopIfTrue="1">
      <formula>OR($A653="geopoint", $A653="geoshape", $A653="geotrace")</formula>
    </cfRule>
  </conditionalFormatting>
  <conditionalFormatting sqref="B653:E658">
    <cfRule type="expression" dxfId="22" priority="978" stopIfTrue="1">
      <formula>OR($A653="audio audit", $A653="text audit", $A653="speed violations count", $A653="speed violations list", $A653="speed violations audit")</formula>
    </cfRule>
  </conditionalFormatting>
  <conditionalFormatting sqref="B653:E658">
    <cfRule type="expression" dxfId="23" priority="979" stopIfTrue="1">
      <formula>OR($A653="username", $A653="phonenumber", $A653="start", $A653="end", $A653="deviceid", $A653="subscriberid", $A653="simserial", $A653="caseid")</formula>
    </cfRule>
  </conditionalFormatting>
  <conditionalFormatting sqref="B653:E658">
    <cfRule type="expression" dxfId="24" priority="980" stopIfTrue="1">
      <formula>OR(AND(LEFT($A653, 16)="select_multiple ", LEN($A653)&gt;16, NOT(ISNUMBER(SEARCH(" ", $A653, 17)))), AND(LEFT($A653, 11)="select_one ", LEN($A653)&gt;11, NOT(ISNUMBER(SEARCH(" ", $A653, 12)))))</formula>
    </cfRule>
  </conditionalFormatting>
  <conditionalFormatting sqref="B653:E658">
    <cfRule type="expression" dxfId="25" priority="981" stopIfTrue="1">
      <formula>$A653="decimal"</formula>
    </cfRule>
  </conditionalFormatting>
  <conditionalFormatting sqref="B653:E658">
    <cfRule type="expression" dxfId="26" priority="982" stopIfTrue="1">
      <formula>$A653="integer"</formula>
    </cfRule>
  </conditionalFormatting>
  <conditionalFormatting sqref="B653:E658">
    <cfRule type="expression" dxfId="27" priority="983" stopIfTrue="1">
      <formula>$A653="text"</formula>
    </cfRule>
  </conditionalFormatting>
  <conditionalFormatting sqref="B653:E658">
    <cfRule type="expression" dxfId="28" priority="984" stopIfTrue="1">
      <formula>$A653="end repeat"</formula>
    </cfRule>
  </conditionalFormatting>
  <conditionalFormatting sqref="B653:E658">
    <cfRule type="expression" dxfId="28" priority="985" stopIfTrue="1">
      <formula>$A653="begin repeat"</formula>
    </cfRule>
  </conditionalFormatting>
  <conditionalFormatting sqref="B653:E658">
    <cfRule type="expression" dxfId="29" priority="986" stopIfTrue="1">
      <formula>$A653="end group"</formula>
    </cfRule>
  </conditionalFormatting>
  <conditionalFormatting sqref="B653:E658">
    <cfRule type="expression" dxfId="29" priority="987" stopIfTrue="1">
      <formula>$A653="begin group"</formula>
    </cfRule>
  </conditionalFormatting>
  <conditionalFormatting sqref="B653:B658">
    <cfRule type="expression" dxfId="30" priority="988" stopIfTrue="1">
      <formula>$A653="comments"</formula>
    </cfRule>
  </conditionalFormatting>
  <conditionalFormatting sqref="B653:B658">
    <cfRule type="expression" dxfId="36" priority="989" stopIfTrue="1">
      <formula>OR(AND(LEFT($A653, 14)="sensor_stream ", LEN($A653)&gt;14, NOT(ISNUMBER(SEARCH(" ", $A653, 15)))), AND(LEFT($A653, 17)="sensor_statistic ", LEN($A653)&gt;17, NOT(ISNUMBER(SEARCH(" ", $A653, 18)))))</formula>
    </cfRule>
  </conditionalFormatting>
  <conditionalFormatting sqref="B613:C647 D613:E647">
    <cfRule type="expression" dxfId="0" priority="990" stopIfTrue="1">
      <formula>$A613="begin group"</formula>
    </cfRule>
  </conditionalFormatting>
  <conditionalFormatting sqref="B613:C647 D613:E647">
    <cfRule type="expression" dxfId="1" priority="991" stopIfTrue="1">
      <formula>$A613="begin repeat"</formula>
    </cfRule>
  </conditionalFormatting>
  <conditionalFormatting sqref="B613:E647">
    <cfRule type="expression" dxfId="31" priority="992" stopIfTrue="1">
      <formula>$A613="enumerator"</formula>
    </cfRule>
  </conditionalFormatting>
  <conditionalFormatting sqref="B613:E647">
    <cfRule type="expression" dxfId="2" priority="993" stopIfTrue="1">
      <formula>$A613="text"</formula>
    </cfRule>
  </conditionalFormatting>
  <conditionalFormatting sqref="B613:E647">
    <cfRule type="expression" dxfId="3" priority="994" stopIfTrue="1">
      <formula>$A613="integer"</formula>
    </cfRule>
  </conditionalFormatting>
  <conditionalFormatting sqref="B613:E647">
    <cfRule type="expression" dxfId="4" priority="995" stopIfTrue="1">
      <formula>$A613="decimal"</formula>
    </cfRule>
  </conditionalFormatting>
  <conditionalFormatting sqref="B613:C647 D613:E647">
    <cfRule type="expression" dxfId="5" priority="996" stopIfTrue="1">
      <formula>OR(AND(LEFT($A613, 16)="select_multiple ", LEN($A613)&gt;16, NOT(ISNUMBER(SEARCH(" ", $A613, 17)))), AND(LEFT($A613, 11)="select_one ", LEN($A613)&gt;11, NOT(ISNUMBER(SEARCH(" ", $A613, 12)))))</formula>
    </cfRule>
  </conditionalFormatting>
  <conditionalFormatting sqref="B613:B647">
    <cfRule type="expression" dxfId="6" priority="997" stopIfTrue="1">
      <formula>OR($A613="audio audit", $A613="text audit", $A613="speed violations count", $A613="speed violations list", $A613="speed violations audit")</formula>
    </cfRule>
  </conditionalFormatting>
  <conditionalFormatting sqref="B613:C647 D613:E647">
    <cfRule type="expression" dxfId="32" priority="998" stopIfTrue="1">
      <formula>$A613="file"</formula>
    </cfRule>
  </conditionalFormatting>
  <conditionalFormatting sqref="B613:C647 D613:E647">
    <cfRule type="expression" dxfId="7" priority="999" stopIfTrue="1">
      <formula>$A613="note"</formula>
    </cfRule>
  </conditionalFormatting>
  <conditionalFormatting sqref="B613:C647 D613:E647">
    <cfRule type="expression" dxfId="8" priority="1000" stopIfTrue="1">
      <formula>$A613="barcode"</formula>
    </cfRule>
  </conditionalFormatting>
  <conditionalFormatting sqref="B613:C647 D613:E647">
    <cfRule type="expression" dxfId="9" priority="1001" stopIfTrue="1">
      <formula>OR($A613="geopoint", $A613="geoshape", $A613="geotrace")</formula>
    </cfRule>
  </conditionalFormatting>
  <conditionalFormatting sqref="B613:B647">
    <cfRule type="expression" dxfId="10" priority="1002" stopIfTrue="1">
      <formula>OR($A613="calculate", $A613="calculate_here")</formula>
    </cfRule>
  </conditionalFormatting>
  <conditionalFormatting sqref="B613:C647 D613:E647">
    <cfRule type="expression" dxfId="11" priority="1003" stopIfTrue="1">
      <formula>OR($A613="date", $A613="datetime", $A613="time")</formula>
    </cfRule>
  </conditionalFormatting>
  <conditionalFormatting sqref="B613:C647 D613:E647">
    <cfRule type="expression" dxfId="12" priority="1004" stopIfTrue="1">
      <formula>$A613="image"</formula>
    </cfRule>
  </conditionalFormatting>
  <conditionalFormatting sqref="B613:C647 D613:E647">
    <cfRule type="expression" dxfId="13" priority="1005" stopIfTrue="1">
      <formula>OR($A613="audio", $A613="video")</formula>
    </cfRule>
  </conditionalFormatting>
  <conditionalFormatting sqref="B613:E647">
    <cfRule type="expression" dxfId="33" priority="1006" stopIfTrue="1">
      <formula>$A613="file"</formula>
    </cfRule>
  </conditionalFormatting>
  <conditionalFormatting sqref="B613:E647">
    <cfRule type="expression" dxfId="34" priority="1007" stopIfTrue="1">
      <formula>$A613="enumerator"</formula>
    </cfRule>
  </conditionalFormatting>
  <conditionalFormatting sqref="B613:E647">
    <cfRule type="expression" dxfId="35" priority="1008" stopIfTrue="1">
      <formula>OR(AND(LEFT($A613, 14)="sensor_stream ", LEN($A613)&gt;14, NOT(ISNUMBER(SEARCH(" ", $A613, 15)))), AND(LEFT($A613, 17)="sensor_statistic ", LEN($A613)&gt;17, NOT(ISNUMBER(SEARCH(" ", $A613, 18)))))</formula>
    </cfRule>
  </conditionalFormatting>
  <conditionalFormatting sqref="B613:E647">
    <cfRule type="expression" dxfId="14" priority="1009" stopIfTrue="1">
      <formula>$A613="comments"</formula>
    </cfRule>
  </conditionalFormatting>
  <conditionalFormatting sqref="B613:E647">
    <cfRule type="expression" dxfId="15" priority="1010" stopIfTrue="1">
      <formula>OR($A613="audio", $A613="video")</formula>
    </cfRule>
  </conditionalFormatting>
  <conditionalFormatting sqref="B613:E647">
    <cfRule type="expression" dxfId="16" priority="1011" stopIfTrue="1">
      <formula>$A613="image"</formula>
    </cfRule>
  </conditionalFormatting>
  <conditionalFormatting sqref="B613:E647">
    <cfRule type="expression" dxfId="17" priority="1012" stopIfTrue="1">
      <formula>OR($A613="date", $A613="datetime", $A613="time")</formula>
    </cfRule>
  </conditionalFormatting>
  <conditionalFormatting sqref="B613:E647">
    <cfRule type="expression" dxfId="18" priority="1013" stopIfTrue="1">
      <formula>OR($A613="calculate", $A613="calculate_here")</formula>
    </cfRule>
  </conditionalFormatting>
  <conditionalFormatting sqref="B613:E647">
    <cfRule type="expression" dxfId="19" priority="1014" stopIfTrue="1">
      <formula>$A613="note"</formula>
    </cfRule>
  </conditionalFormatting>
  <conditionalFormatting sqref="B613:E647">
    <cfRule type="expression" dxfId="20" priority="1015" stopIfTrue="1">
      <formula>$A613="barcode"</formula>
    </cfRule>
  </conditionalFormatting>
  <conditionalFormatting sqref="B613:E647">
    <cfRule type="expression" dxfId="21" priority="1016" stopIfTrue="1">
      <formula>OR($A613="geopoint", $A613="geoshape", $A613="geotrace")</formula>
    </cfRule>
  </conditionalFormatting>
  <conditionalFormatting sqref="B613:E647">
    <cfRule type="expression" dxfId="22" priority="1017" stopIfTrue="1">
      <formula>OR($A613="audio audit", $A613="text audit", $A613="speed violations count", $A613="speed violations list", $A613="speed violations audit")</formula>
    </cfRule>
  </conditionalFormatting>
  <conditionalFormatting sqref="B613:E647">
    <cfRule type="expression" dxfId="23" priority="1018" stopIfTrue="1">
      <formula>OR($A613="username", $A613="phonenumber", $A613="start", $A613="end", $A613="deviceid", $A613="subscriberid", $A613="simserial", $A613="caseid")</formula>
    </cfRule>
  </conditionalFormatting>
  <conditionalFormatting sqref="B613:E647">
    <cfRule type="expression" dxfId="24" priority="1019" stopIfTrue="1">
      <formula>OR(AND(LEFT($A613, 16)="select_multiple ", LEN($A613)&gt;16, NOT(ISNUMBER(SEARCH(" ", $A613, 17)))), AND(LEFT($A613, 11)="select_one ", LEN($A613)&gt;11, NOT(ISNUMBER(SEARCH(" ", $A613, 12)))))</formula>
    </cfRule>
  </conditionalFormatting>
  <conditionalFormatting sqref="B613:E647">
    <cfRule type="expression" dxfId="25" priority="1020" stopIfTrue="1">
      <formula>$A613="decimal"</formula>
    </cfRule>
  </conditionalFormatting>
  <conditionalFormatting sqref="B613:E647">
    <cfRule type="expression" dxfId="26" priority="1021" stopIfTrue="1">
      <formula>$A613="integer"</formula>
    </cfRule>
  </conditionalFormatting>
  <conditionalFormatting sqref="B613:E647">
    <cfRule type="expression" dxfId="27" priority="1022" stopIfTrue="1">
      <formula>$A613="text"</formula>
    </cfRule>
  </conditionalFormatting>
  <conditionalFormatting sqref="B613:E647">
    <cfRule type="expression" dxfId="28" priority="1023" stopIfTrue="1">
      <formula>$A613="end repeat"</formula>
    </cfRule>
  </conditionalFormatting>
  <conditionalFormatting sqref="B613:E647">
    <cfRule type="expression" dxfId="28" priority="1024" stopIfTrue="1">
      <formula>$A613="begin repeat"</formula>
    </cfRule>
  </conditionalFormatting>
  <conditionalFormatting sqref="B613:E647">
    <cfRule type="expression" dxfId="29" priority="1025" stopIfTrue="1">
      <formula>$A613="end group"</formula>
    </cfRule>
  </conditionalFormatting>
  <conditionalFormatting sqref="B613:E647">
    <cfRule type="expression" dxfId="29" priority="1026" stopIfTrue="1">
      <formula>$A613="begin group"</formula>
    </cfRule>
  </conditionalFormatting>
  <conditionalFormatting sqref="B613:B647">
    <cfRule type="expression" dxfId="30" priority="1027" stopIfTrue="1">
      <formula>$A613="comments"</formula>
    </cfRule>
  </conditionalFormatting>
  <conditionalFormatting sqref="B613:B647">
    <cfRule type="expression" dxfId="36" priority="1028" stopIfTrue="1">
      <formula>OR(AND(LEFT($A613, 14)="sensor_stream ", LEN($A613)&gt;14, NOT(ISNUMBER(SEARCH(" ", $A613, 15)))), AND(LEFT($A613, 17)="sensor_statistic ", LEN($A613)&gt;17, NOT(ISNUMBER(SEARCH(" ", $A613, 18)))))</formula>
    </cfRule>
  </conditionalFormatting>
  <conditionalFormatting sqref="B604:C606 D604:E606">
    <cfRule type="expression" dxfId="0" priority="1029" stopIfTrue="1">
      <formula>$A604="begin group"</formula>
    </cfRule>
  </conditionalFormatting>
  <conditionalFormatting sqref="B604:C606 D604:E606">
    <cfRule type="expression" dxfId="1" priority="1030" stopIfTrue="1">
      <formula>$A604="begin repeat"</formula>
    </cfRule>
  </conditionalFormatting>
  <conditionalFormatting sqref="B604:E606">
    <cfRule type="expression" dxfId="31" priority="1031" stopIfTrue="1">
      <formula>$A604="enumerator"</formula>
    </cfRule>
  </conditionalFormatting>
  <conditionalFormatting sqref="B604:E606">
    <cfRule type="expression" dxfId="2" priority="1032" stopIfTrue="1">
      <formula>$A604="text"</formula>
    </cfRule>
  </conditionalFormatting>
  <conditionalFormatting sqref="B604:E606">
    <cfRule type="expression" dxfId="3" priority="1033" stopIfTrue="1">
      <formula>$A604="integer"</formula>
    </cfRule>
  </conditionalFormatting>
  <conditionalFormatting sqref="B604:E606">
    <cfRule type="expression" dxfId="4" priority="1034" stopIfTrue="1">
      <formula>$A604="decimal"</formula>
    </cfRule>
  </conditionalFormatting>
  <conditionalFormatting sqref="B604:C606 D604:E606">
    <cfRule type="expression" dxfId="5" priority="1035" stopIfTrue="1">
      <formula>OR(AND(LEFT($A604, 16)="select_multiple ", LEN($A604)&gt;16, NOT(ISNUMBER(SEARCH(" ", $A604, 17)))), AND(LEFT($A604, 11)="select_one ", LEN($A604)&gt;11, NOT(ISNUMBER(SEARCH(" ", $A604, 12)))))</formula>
    </cfRule>
  </conditionalFormatting>
  <conditionalFormatting sqref="B604:B606">
    <cfRule type="expression" dxfId="6" priority="1036" stopIfTrue="1">
      <formula>OR($A604="audio audit", $A604="text audit", $A604="speed violations count", $A604="speed violations list", $A604="speed violations audit")</formula>
    </cfRule>
  </conditionalFormatting>
  <conditionalFormatting sqref="B604:C606 D604:E606">
    <cfRule type="expression" dxfId="32" priority="1037" stopIfTrue="1">
      <formula>$A604="file"</formula>
    </cfRule>
  </conditionalFormatting>
  <conditionalFormatting sqref="B604:C606 D604:E606">
    <cfRule type="expression" dxfId="7" priority="1038" stopIfTrue="1">
      <formula>$A604="note"</formula>
    </cfRule>
  </conditionalFormatting>
  <conditionalFormatting sqref="B604:C606 D604:E606">
    <cfRule type="expression" dxfId="8" priority="1039" stopIfTrue="1">
      <formula>$A604="barcode"</formula>
    </cfRule>
  </conditionalFormatting>
  <conditionalFormatting sqref="B604:C606 D604:E606">
    <cfRule type="expression" dxfId="9" priority="1040" stopIfTrue="1">
      <formula>OR($A604="geopoint", $A604="geoshape", $A604="geotrace")</formula>
    </cfRule>
  </conditionalFormatting>
  <conditionalFormatting sqref="B604:B606">
    <cfRule type="expression" dxfId="10" priority="1041" stopIfTrue="1">
      <formula>OR($A604="calculate", $A604="calculate_here")</formula>
    </cfRule>
  </conditionalFormatting>
  <conditionalFormatting sqref="B604:C606 D604:E606">
    <cfRule type="expression" dxfId="11" priority="1042" stopIfTrue="1">
      <formula>OR($A604="date", $A604="datetime", $A604="time")</formula>
    </cfRule>
  </conditionalFormatting>
  <conditionalFormatting sqref="B604:C606 D604:E606">
    <cfRule type="expression" dxfId="12" priority="1043" stopIfTrue="1">
      <formula>$A604="image"</formula>
    </cfRule>
  </conditionalFormatting>
  <conditionalFormatting sqref="B604:C606 D604:E606">
    <cfRule type="expression" dxfId="13" priority="1044" stopIfTrue="1">
      <formula>OR($A604="audio", $A604="video")</formula>
    </cfRule>
  </conditionalFormatting>
  <conditionalFormatting sqref="B604:E606">
    <cfRule type="expression" dxfId="33" priority="1045" stopIfTrue="1">
      <formula>$A604="file"</formula>
    </cfRule>
  </conditionalFormatting>
  <conditionalFormatting sqref="B604:E606">
    <cfRule type="expression" dxfId="34" priority="1046" stopIfTrue="1">
      <formula>$A604="enumerator"</formula>
    </cfRule>
  </conditionalFormatting>
  <conditionalFormatting sqref="B604:E606">
    <cfRule type="expression" dxfId="35" priority="1047" stopIfTrue="1">
      <formula>OR(AND(LEFT($A604, 14)="sensor_stream ", LEN($A604)&gt;14, NOT(ISNUMBER(SEARCH(" ", $A604, 15)))), AND(LEFT($A604, 17)="sensor_statistic ", LEN($A604)&gt;17, NOT(ISNUMBER(SEARCH(" ", $A604, 18)))))</formula>
    </cfRule>
  </conditionalFormatting>
  <conditionalFormatting sqref="B604:E606">
    <cfRule type="expression" dxfId="14" priority="1048" stopIfTrue="1">
      <formula>$A604="comments"</formula>
    </cfRule>
  </conditionalFormatting>
  <conditionalFormatting sqref="B604:E606">
    <cfRule type="expression" dxfId="15" priority="1049" stopIfTrue="1">
      <formula>OR($A604="audio", $A604="video")</formula>
    </cfRule>
  </conditionalFormatting>
  <conditionalFormatting sqref="B604:E606">
    <cfRule type="expression" dxfId="16" priority="1050" stopIfTrue="1">
      <formula>$A604="image"</formula>
    </cfRule>
  </conditionalFormatting>
  <conditionalFormatting sqref="B604:E606">
    <cfRule type="expression" dxfId="17" priority="1051" stopIfTrue="1">
      <formula>OR($A604="date", $A604="datetime", $A604="time")</formula>
    </cfRule>
  </conditionalFormatting>
  <conditionalFormatting sqref="B604:E606">
    <cfRule type="expression" dxfId="18" priority="1052" stopIfTrue="1">
      <formula>OR($A604="calculate", $A604="calculate_here")</formula>
    </cfRule>
  </conditionalFormatting>
  <conditionalFormatting sqref="B604:E606">
    <cfRule type="expression" dxfId="19" priority="1053" stopIfTrue="1">
      <formula>$A604="note"</formula>
    </cfRule>
  </conditionalFormatting>
  <conditionalFormatting sqref="B604:E606">
    <cfRule type="expression" dxfId="20" priority="1054" stopIfTrue="1">
      <formula>$A604="barcode"</formula>
    </cfRule>
  </conditionalFormatting>
  <conditionalFormatting sqref="B604:E606">
    <cfRule type="expression" dxfId="21" priority="1055" stopIfTrue="1">
      <formula>OR($A604="geopoint", $A604="geoshape", $A604="geotrace")</formula>
    </cfRule>
  </conditionalFormatting>
  <conditionalFormatting sqref="B604:E606">
    <cfRule type="expression" dxfId="22" priority="1056" stopIfTrue="1">
      <formula>OR($A604="audio audit", $A604="text audit", $A604="speed violations count", $A604="speed violations list", $A604="speed violations audit")</formula>
    </cfRule>
  </conditionalFormatting>
  <conditionalFormatting sqref="B604:E606">
    <cfRule type="expression" dxfId="23" priority="1057" stopIfTrue="1">
      <formula>OR($A604="username", $A604="phonenumber", $A604="start", $A604="end", $A604="deviceid", $A604="subscriberid", $A604="simserial", $A604="caseid")</formula>
    </cfRule>
  </conditionalFormatting>
  <conditionalFormatting sqref="B604:E606">
    <cfRule type="expression" dxfId="24" priority="1058" stopIfTrue="1">
      <formula>OR(AND(LEFT($A604, 16)="select_multiple ", LEN($A604)&gt;16, NOT(ISNUMBER(SEARCH(" ", $A604, 17)))), AND(LEFT($A604, 11)="select_one ", LEN($A604)&gt;11, NOT(ISNUMBER(SEARCH(" ", $A604, 12)))))</formula>
    </cfRule>
  </conditionalFormatting>
  <conditionalFormatting sqref="B604:E606">
    <cfRule type="expression" dxfId="25" priority="1059" stopIfTrue="1">
      <formula>$A604="decimal"</formula>
    </cfRule>
  </conditionalFormatting>
  <conditionalFormatting sqref="B604:E606">
    <cfRule type="expression" dxfId="26" priority="1060" stopIfTrue="1">
      <formula>$A604="integer"</formula>
    </cfRule>
  </conditionalFormatting>
  <conditionalFormatting sqref="B604:E606">
    <cfRule type="expression" dxfId="27" priority="1061" stopIfTrue="1">
      <formula>$A604="text"</formula>
    </cfRule>
  </conditionalFormatting>
  <conditionalFormatting sqref="B604:E606">
    <cfRule type="expression" dxfId="28" priority="1062" stopIfTrue="1">
      <formula>$A604="end repeat"</formula>
    </cfRule>
  </conditionalFormatting>
  <conditionalFormatting sqref="B604:E606">
    <cfRule type="expression" dxfId="28" priority="1063" stopIfTrue="1">
      <formula>$A604="begin repeat"</formula>
    </cfRule>
  </conditionalFormatting>
  <conditionalFormatting sqref="B604:E606">
    <cfRule type="expression" dxfId="29" priority="1064" stopIfTrue="1">
      <formula>$A604="end group"</formula>
    </cfRule>
  </conditionalFormatting>
  <conditionalFormatting sqref="B604:E606">
    <cfRule type="expression" dxfId="29" priority="1065" stopIfTrue="1">
      <formula>$A604="begin group"</formula>
    </cfRule>
  </conditionalFormatting>
  <conditionalFormatting sqref="B604:B606">
    <cfRule type="expression" dxfId="30" priority="1066" stopIfTrue="1">
      <formula>$A604="comments"</formula>
    </cfRule>
  </conditionalFormatting>
  <conditionalFormatting sqref="B604:B606">
    <cfRule type="expression" dxfId="36" priority="1067" stopIfTrue="1">
      <formula>OR(AND(LEFT($A604, 14)="sensor_stream ", LEN($A604)&gt;14, NOT(ISNUMBER(SEARCH(" ", $A604, 15)))), AND(LEFT($A604, 17)="sensor_statistic ", LEN($A604)&gt;17, NOT(ISNUMBER(SEARCH(" ", $A604, 18)))))</formula>
    </cfRule>
  </conditionalFormatting>
  <conditionalFormatting sqref="B600:C602 D600:E602">
    <cfRule type="expression" dxfId="0" priority="1068" stopIfTrue="1">
      <formula>$A600="begin group"</formula>
    </cfRule>
  </conditionalFormatting>
  <conditionalFormatting sqref="B600:C602 D600:E602">
    <cfRule type="expression" dxfId="1" priority="1069" stopIfTrue="1">
      <formula>$A600="begin repeat"</formula>
    </cfRule>
  </conditionalFormatting>
  <conditionalFormatting sqref="B600:E602">
    <cfRule type="expression" dxfId="31" priority="1070" stopIfTrue="1">
      <formula>$A600="enumerator"</formula>
    </cfRule>
  </conditionalFormatting>
  <conditionalFormatting sqref="B600:E602">
    <cfRule type="expression" dxfId="2" priority="1071" stopIfTrue="1">
      <formula>$A600="text"</formula>
    </cfRule>
  </conditionalFormatting>
  <conditionalFormatting sqref="B600:E602">
    <cfRule type="expression" dxfId="3" priority="1072" stopIfTrue="1">
      <formula>$A600="integer"</formula>
    </cfRule>
  </conditionalFormatting>
  <conditionalFormatting sqref="B600:E602">
    <cfRule type="expression" dxfId="4" priority="1073" stopIfTrue="1">
      <formula>$A600="decimal"</formula>
    </cfRule>
  </conditionalFormatting>
  <conditionalFormatting sqref="B600:C602 D600:E602">
    <cfRule type="expression" dxfId="5" priority="1074" stopIfTrue="1">
      <formula>OR(AND(LEFT($A600, 16)="select_multiple ", LEN($A600)&gt;16, NOT(ISNUMBER(SEARCH(" ", $A600, 17)))), AND(LEFT($A600, 11)="select_one ", LEN($A600)&gt;11, NOT(ISNUMBER(SEARCH(" ", $A600, 12)))))</formula>
    </cfRule>
  </conditionalFormatting>
  <conditionalFormatting sqref="B600:B602">
    <cfRule type="expression" dxfId="6" priority="1075" stopIfTrue="1">
      <formula>OR($A600="audio audit", $A600="text audit", $A600="speed violations count", $A600="speed violations list", $A600="speed violations audit")</formula>
    </cfRule>
  </conditionalFormatting>
  <conditionalFormatting sqref="B600:C602 D600:E602">
    <cfRule type="expression" dxfId="32" priority="1076" stopIfTrue="1">
      <formula>$A600="file"</formula>
    </cfRule>
  </conditionalFormatting>
  <conditionalFormatting sqref="B600:C602 D600:E602">
    <cfRule type="expression" dxfId="7" priority="1077" stopIfTrue="1">
      <formula>$A600="note"</formula>
    </cfRule>
  </conditionalFormatting>
  <conditionalFormatting sqref="B600:C602 D600:E602">
    <cfRule type="expression" dxfId="8" priority="1078" stopIfTrue="1">
      <formula>$A600="barcode"</formula>
    </cfRule>
  </conditionalFormatting>
  <conditionalFormatting sqref="B600:C602 D600:E602">
    <cfRule type="expression" dxfId="9" priority="1079" stopIfTrue="1">
      <formula>OR($A600="geopoint", $A600="geoshape", $A600="geotrace")</formula>
    </cfRule>
  </conditionalFormatting>
  <conditionalFormatting sqref="B600:B602">
    <cfRule type="expression" dxfId="10" priority="1080" stopIfTrue="1">
      <formula>OR($A600="calculate", $A600="calculate_here")</formula>
    </cfRule>
  </conditionalFormatting>
  <conditionalFormatting sqref="B600:C602 D600:E602">
    <cfRule type="expression" dxfId="11" priority="1081" stopIfTrue="1">
      <formula>OR($A600="date", $A600="datetime", $A600="time")</formula>
    </cfRule>
  </conditionalFormatting>
  <conditionalFormatting sqref="B600:C602 D600:E602">
    <cfRule type="expression" dxfId="12" priority="1082" stopIfTrue="1">
      <formula>$A600="image"</formula>
    </cfRule>
  </conditionalFormatting>
  <conditionalFormatting sqref="B600:C602 D600:E602">
    <cfRule type="expression" dxfId="13" priority="1083" stopIfTrue="1">
      <formula>OR($A600="audio", $A600="video")</formula>
    </cfRule>
  </conditionalFormatting>
  <conditionalFormatting sqref="B600:E602">
    <cfRule type="expression" dxfId="33" priority="1084" stopIfTrue="1">
      <formula>$A600="file"</formula>
    </cfRule>
  </conditionalFormatting>
  <conditionalFormatting sqref="B600:E602">
    <cfRule type="expression" dxfId="34" priority="1085" stopIfTrue="1">
      <formula>$A600="enumerator"</formula>
    </cfRule>
  </conditionalFormatting>
  <conditionalFormatting sqref="B600:E602">
    <cfRule type="expression" dxfId="35" priority="1086" stopIfTrue="1">
      <formula>OR(AND(LEFT($A600, 14)="sensor_stream ", LEN($A600)&gt;14, NOT(ISNUMBER(SEARCH(" ", $A600, 15)))), AND(LEFT($A600, 17)="sensor_statistic ", LEN($A600)&gt;17, NOT(ISNUMBER(SEARCH(" ", $A600, 18)))))</formula>
    </cfRule>
  </conditionalFormatting>
  <conditionalFormatting sqref="B600:E602">
    <cfRule type="expression" dxfId="14" priority="1087" stopIfTrue="1">
      <formula>$A600="comments"</formula>
    </cfRule>
  </conditionalFormatting>
  <conditionalFormatting sqref="B600:E602">
    <cfRule type="expression" dxfId="15" priority="1088" stopIfTrue="1">
      <formula>OR($A600="audio", $A600="video")</formula>
    </cfRule>
  </conditionalFormatting>
  <conditionalFormatting sqref="B600:E602">
    <cfRule type="expression" dxfId="16" priority="1089" stopIfTrue="1">
      <formula>$A600="image"</formula>
    </cfRule>
  </conditionalFormatting>
  <conditionalFormatting sqref="B600:E602">
    <cfRule type="expression" dxfId="17" priority="1090" stopIfTrue="1">
      <formula>OR($A600="date", $A600="datetime", $A600="time")</formula>
    </cfRule>
  </conditionalFormatting>
  <conditionalFormatting sqref="B600:E602">
    <cfRule type="expression" dxfId="18" priority="1091" stopIfTrue="1">
      <formula>OR($A600="calculate", $A600="calculate_here")</formula>
    </cfRule>
  </conditionalFormatting>
  <conditionalFormatting sqref="B600:E602">
    <cfRule type="expression" dxfId="19" priority="1092" stopIfTrue="1">
      <formula>$A600="note"</formula>
    </cfRule>
  </conditionalFormatting>
  <conditionalFormatting sqref="B600:E602">
    <cfRule type="expression" dxfId="20" priority="1093" stopIfTrue="1">
      <formula>$A600="barcode"</formula>
    </cfRule>
  </conditionalFormatting>
  <conditionalFormatting sqref="B600:E602">
    <cfRule type="expression" dxfId="21" priority="1094" stopIfTrue="1">
      <formula>OR($A600="geopoint", $A600="geoshape", $A600="geotrace")</formula>
    </cfRule>
  </conditionalFormatting>
  <conditionalFormatting sqref="B600:E602">
    <cfRule type="expression" dxfId="22" priority="1095" stopIfTrue="1">
      <formula>OR($A600="audio audit", $A600="text audit", $A600="speed violations count", $A600="speed violations list", $A600="speed violations audit")</formula>
    </cfRule>
  </conditionalFormatting>
  <conditionalFormatting sqref="B600:E602">
    <cfRule type="expression" dxfId="23" priority="1096" stopIfTrue="1">
      <formula>OR($A600="username", $A600="phonenumber", $A600="start", $A600="end", $A600="deviceid", $A600="subscriberid", $A600="simserial", $A600="caseid")</formula>
    </cfRule>
  </conditionalFormatting>
  <conditionalFormatting sqref="B600:E602">
    <cfRule type="expression" dxfId="24" priority="1097" stopIfTrue="1">
      <formula>OR(AND(LEFT($A600, 16)="select_multiple ", LEN($A600)&gt;16, NOT(ISNUMBER(SEARCH(" ", $A600, 17)))), AND(LEFT($A600, 11)="select_one ", LEN($A600)&gt;11, NOT(ISNUMBER(SEARCH(" ", $A600, 12)))))</formula>
    </cfRule>
  </conditionalFormatting>
  <conditionalFormatting sqref="B600:E602">
    <cfRule type="expression" dxfId="25" priority="1098" stopIfTrue="1">
      <formula>$A600="decimal"</formula>
    </cfRule>
  </conditionalFormatting>
  <conditionalFormatting sqref="B600:E602">
    <cfRule type="expression" dxfId="26" priority="1099" stopIfTrue="1">
      <formula>$A600="integer"</formula>
    </cfRule>
  </conditionalFormatting>
  <conditionalFormatting sqref="B600:E602">
    <cfRule type="expression" dxfId="27" priority="1100" stopIfTrue="1">
      <formula>$A600="text"</formula>
    </cfRule>
  </conditionalFormatting>
  <conditionalFormatting sqref="B600:E602">
    <cfRule type="expression" dxfId="28" priority="1101" stopIfTrue="1">
      <formula>$A600="end repeat"</formula>
    </cfRule>
  </conditionalFormatting>
  <conditionalFormatting sqref="B600:E602">
    <cfRule type="expression" dxfId="28" priority="1102" stopIfTrue="1">
      <formula>$A600="begin repeat"</formula>
    </cfRule>
  </conditionalFormatting>
  <conditionalFormatting sqref="B600:E602">
    <cfRule type="expression" dxfId="29" priority="1103" stopIfTrue="1">
      <formula>$A600="end group"</formula>
    </cfRule>
  </conditionalFormatting>
  <conditionalFormatting sqref="B600:E602">
    <cfRule type="expression" dxfId="29" priority="1104" stopIfTrue="1">
      <formula>$A600="begin group"</formula>
    </cfRule>
  </conditionalFormatting>
  <conditionalFormatting sqref="B600:B602">
    <cfRule type="expression" dxfId="30" priority="1105" stopIfTrue="1">
      <formula>$A600="comments"</formula>
    </cfRule>
  </conditionalFormatting>
  <conditionalFormatting sqref="B600:B602">
    <cfRule type="expression" dxfId="36" priority="1106" stopIfTrue="1">
      <formula>OR(AND(LEFT($A600, 14)="sensor_stream ", LEN($A600)&gt;14, NOT(ISNUMBER(SEARCH(" ", $A600, 15)))), AND(LEFT($A600, 17)="sensor_statistic ", LEN($A600)&gt;17, NOT(ISNUMBER(SEARCH(" ", $A600, 18)))))</formula>
    </cfRule>
  </conditionalFormatting>
  <conditionalFormatting sqref="B594:C595 D594:E595">
    <cfRule type="expression" dxfId="0" priority="1107" stopIfTrue="1">
      <formula>$A594="begin group"</formula>
    </cfRule>
  </conditionalFormatting>
  <conditionalFormatting sqref="B594:C595 D594:E595">
    <cfRule type="expression" dxfId="1" priority="1108" stopIfTrue="1">
      <formula>$A594="begin repeat"</formula>
    </cfRule>
  </conditionalFormatting>
  <conditionalFormatting sqref="B594:E595">
    <cfRule type="expression" dxfId="31" priority="1109" stopIfTrue="1">
      <formula>$A594="enumerator"</formula>
    </cfRule>
  </conditionalFormatting>
  <conditionalFormatting sqref="B594:E595">
    <cfRule type="expression" dxfId="2" priority="1110" stopIfTrue="1">
      <formula>$A594="text"</formula>
    </cfRule>
  </conditionalFormatting>
  <conditionalFormatting sqref="B594:E595">
    <cfRule type="expression" dxfId="3" priority="1111" stopIfTrue="1">
      <formula>$A594="integer"</formula>
    </cfRule>
  </conditionalFormatting>
  <conditionalFormatting sqref="B594:E595">
    <cfRule type="expression" dxfId="4" priority="1112" stopIfTrue="1">
      <formula>$A594="decimal"</formula>
    </cfRule>
  </conditionalFormatting>
  <conditionalFormatting sqref="B594:C595 D594:E595">
    <cfRule type="expression" dxfId="5" priority="1113" stopIfTrue="1">
      <formula>OR(AND(LEFT($A594, 16)="select_multiple ", LEN($A594)&gt;16, NOT(ISNUMBER(SEARCH(" ", $A594, 17)))), AND(LEFT($A594, 11)="select_one ", LEN($A594)&gt;11, NOT(ISNUMBER(SEARCH(" ", $A594, 12)))))</formula>
    </cfRule>
  </conditionalFormatting>
  <conditionalFormatting sqref="B594:B595">
    <cfRule type="expression" dxfId="6" priority="1114" stopIfTrue="1">
      <formula>OR($A594="audio audit", $A594="text audit", $A594="speed violations count", $A594="speed violations list", $A594="speed violations audit")</formula>
    </cfRule>
  </conditionalFormatting>
  <conditionalFormatting sqref="B594:C595 D594:E595">
    <cfRule type="expression" dxfId="32" priority="1115" stopIfTrue="1">
      <formula>$A594="file"</formula>
    </cfRule>
  </conditionalFormatting>
  <conditionalFormatting sqref="B594:C595 D594:E595">
    <cfRule type="expression" dxfId="7" priority="1116" stopIfTrue="1">
      <formula>$A594="note"</formula>
    </cfRule>
  </conditionalFormatting>
  <conditionalFormatting sqref="B594:C595 D594:E595">
    <cfRule type="expression" dxfId="8" priority="1117" stopIfTrue="1">
      <formula>$A594="barcode"</formula>
    </cfRule>
  </conditionalFormatting>
  <conditionalFormatting sqref="B594:C595 D594:E595">
    <cfRule type="expression" dxfId="9" priority="1118" stopIfTrue="1">
      <formula>OR($A594="geopoint", $A594="geoshape", $A594="geotrace")</formula>
    </cfRule>
  </conditionalFormatting>
  <conditionalFormatting sqref="B594:B595">
    <cfRule type="expression" dxfId="10" priority="1119" stopIfTrue="1">
      <formula>OR($A594="calculate", $A594="calculate_here")</formula>
    </cfRule>
  </conditionalFormatting>
  <conditionalFormatting sqref="B594:C595 D594:E595">
    <cfRule type="expression" dxfId="11" priority="1120" stopIfTrue="1">
      <formula>OR($A594="date", $A594="datetime", $A594="time")</formula>
    </cfRule>
  </conditionalFormatting>
  <conditionalFormatting sqref="B594:C595 D594:E595">
    <cfRule type="expression" dxfId="12" priority="1121" stopIfTrue="1">
      <formula>$A594="image"</formula>
    </cfRule>
  </conditionalFormatting>
  <conditionalFormatting sqref="B594:C595 D594:E595">
    <cfRule type="expression" dxfId="13" priority="1122" stopIfTrue="1">
      <formula>OR($A594="audio", $A594="video")</formula>
    </cfRule>
  </conditionalFormatting>
  <conditionalFormatting sqref="B594:E595">
    <cfRule type="expression" dxfId="33" priority="1123" stopIfTrue="1">
      <formula>$A594="file"</formula>
    </cfRule>
  </conditionalFormatting>
  <conditionalFormatting sqref="B594:E595">
    <cfRule type="expression" dxfId="34" priority="1124" stopIfTrue="1">
      <formula>$A594="enumerator"</formula>
    </cfRule>
  </conditionalFormatting>
  <conditionalFormatting sqref="B594:E595">
    <cfRule type="expression" dxfId="35" priority="1125" stopIfTrue="1">
      <formula>OR(AND(LEFT($A594, 14)="sensor_stream ", LEN($A594)&gt;14, NOT(ISNUMBER(SEARCH(" ", $A594, 15)))), AND(LEFT($A594, 17)="sensor_statistic ", LEN($A594)&gt;17, NOT(ISNUMBER(SEARCH(" ", $A594, 18)))))</formula>
    </cfRule>
  </conditionalFormatting>
  <conditionalFormatting sqref="B594:E595">
    <cfRule type="expression" dxfId="14" priority="1126" stopIfTrue="1">
      <formula>$A594="comments"</formula>
    </cfRule>
  </conditionalFormatting>
  <conditionalFormatting sqref="B594:E595">
    <cfRule type="expression" dxfId="15" priority="1127" stopIfTrue="1">
      <formula>OR($A594="audio", $A594="video")</formula>
    </cfRule>
  </conditionalFormatting>
  <conditionalFormatting sqref="B594:E595">
    <cfRule type="expression" dxfId="16" priority="1128" stopIfTrue="1">
      <formula>$A594="image"</formula>
    </cfRule>
  </conditionalFormatting>
  <conditionalFormatting sqref="B594:E595">
    <cfRule type="expression" dxfId="17" priority="1129" stopIfTrue="1">
      <formula>OR($A594="date", $A594="datetime", $A594="time")</formula>
    </cfRule>
  </conditionalFormatting>
  <conditionalFormatting sqref="B594:E595">
    <cfRule type="expression" dxfId="18" priority="1130" stopIfTrue="1">
      <formula>OR($A594="calculate", $A594="calculate_here")</formula>
    </cfRule>
  </conditionalFormatting>
  <conditionalFormatting sqref="B594:E595">
    <cfRule type="expression" dxfId="19" priority="1131" stopIfTrue="1">
      <formula>$A594="note"</formula>
    </cfRule>
  </conditionalFormatting>
  <conditionalFormatting sqref="B594:E595">
    <cfRule type="expression" dxfId="20" priority="1132" stopIfTrue="1">
      <formula>$A594="barcode"</formula>
    </cfRule>
  </conditionalFormatting>
  <conditionalFormatting sqref="B594:E595">
    <cfRule type="expression" dxfId="21" priority="1133" stopIfTrue="1">
      <formula>OR($A594="geopoint", $A594="geoshape", $A594="geotrace")</formula>
    </cfRule>
  </conditionalFormatting>
  <conditionalFormatting sqref="B594:E595">
    <cfRule type="expression" dxfId="22" priority="1134" stopIfTrue="1">
      <formula>OR($A594="audio audit", $A594="text audit", $A594="speed violations count", $A594="speed violations list", $A594="speed violations audit")</formula>
    </cfRule>
  </conditionalFormatting>
  <conditionalFormatting sqref="B594:E595">
    <cfRule type="expression" dxfId="23" priority="1135" stopIfTrue="1">
      <formula>OR($A594="username", $A594="phonenumber", $A594="start", $A594="end", $A594="deviceid", $A594="subscriberid", $A594="simserial", $A594="caseid")</formula>
    </cfRule>
  </conditionalFormatting>
  <conditionalFormatting sqref="B594:E595">
    <cfRule type="expression" dxfId="24" priority="1136" stopIfTrue="1">
      <formula>OR(AND(LEFT($A594, 16)="select_multiple ", LEN($A594)&gt;16, NOT(ISNUMBER(SEARCH(" ", $A594, 17)))), AND(LEFT($A594, 11)="select_one ", LEN($A594)&gt;11, NOT(ISNUMBER(SEARCH(" ", $A594, 12)))))</formula>
    </cfRule>
  </conditionalFormatting>
  <conditionalFormatting sqref="B594:E595">
    <cfRule type="expression" dxfId="25" priority="1137" stopIfTrue="1">
      <formula>$A594="decimal"</formula>
    </cfRule>
  </conditionalFormatting>
  <conditionalFormatting sqref="B594:E595">
    <cfRule type="expression" dxfId="26" priority="1138" stopIfTrue="1">
      <formula>$A594="integer"</formula>
    </cfRule>
  </conditionalFormatting>
  <conditionalFormatting sqref="B594:E595">
    <cfRule type="expression" dxfId="27" priority="1139" stopIfTrue="1">
      <formula>$A594="text"</formula>
    </cfRule>
  </conditionalFormatting>
  <conditionalFormatting sqref="B594:E595">
    <cfRule type="expression" dxfId="28" priority="1140" stopIfTrue="1">
      <formula>$A594="end repeat"</formula>
    </cfRule>
  </conditionalFormatting>
  <conditionalFormatting sqref="B594:E595">
    <cfRule type="expression" dxfId="28" priority="1141" stopIfTrue="1">
      <formula>$A594="begin repeat"</formula>
    </cfRule>
  </conditionalFormatting>
  <conditionalFormatting sqref="B594:E595">
    <cfRule type="expression" dxfId="29" priority="1142" stopIfTrue="1">
      <formula>$A594="end group"</formula>
    </cfRule>
  </conditionalFormatting>
  <conditionalFormatting sqref="B594:E595">
    <cfRule type="expression" dxfId="29" priority="1143" stopIfTrue="1">
      <formula>$A594="begin group"</formula>
    </cfRule>
  </conditionalFormatting>
  <conditionalFormatting sqref="B594:B595">
    <cfRule type="expression" dxfId="30" priority="1144" stopIfTrue="1">
      <formula>$A594="comments"</formula>
    </cfRule>
  </conditionalFormatting>
  <conditionalFormatting sqref="B594:B595">
    <cfRule type="expression" dxfId="36" priority="1145" stopIfTrue="1">
      <formula>OR(AND(LEFT($A594, 14)="sensor_stream ", LEN($A594)&gt;14, NOT(ISNUMBER(SEARCH(" ", $A594, 15)))), AND(LEFT($A594, 17)="sensor_statistic ", LEN($A594)&gt;17, NOT(ISNUMBER(SEARCH(" ", $A594, 18)))))</formula>
    </cfRule>
  </conditionalFormatting>
  <conditionalFormatting sqref="B591:C592 D591:E592">
    <cfRule type="expression" dxfId="0" priority="1146" stopIfTrue="1">
      <formula>$A591="begin group"</formula>
    </cfRule>
  </conditionalFormatting>
  <conditionalFormatting sqref="B591:C592 D591:E592">
    <cfRule type="expression" dxfId="1" priority="1147" stopIfTrue="1">
      <formula>$A591="begin repeat"</formula>
    </cfRule>
  </conditionalFormatting>
  <conditionalFormatting sqref="B591:E592">
    <cfRule type="expression" dxfId="31" priority="1148" stopIfTrue="1">
      <formula>$A591="enumerator"</formula>
    </cfRule>
  </conditionalFormatting>
  <conditionalFormatting sqref="B591:E592">
    <cfRule type="expression" dxfId="2" priority="1149" stopIfTrue="1">
      <formula>$A591="text"</formula>
    </cfRule>
  </conditionalFormatting>
  <conditionalFormatting sqref="B591:E592">
    <cfRule type="expression" dxfId="3" priority="1150" stopIfTrue="1">
      <formula>$A591="integer"</formula>
    </cfRule>
  </conditionalFormatting>
  <conditionalFormatting sqref="B591:E592">
    <cfRule type="expression" dxfId="4" priority="1151" stopIfTrue="1">
      <formula>$A591="decimal"</formula>
    </cfRule>
  </conditionalFormatting>
  <conditionalFormatting sqref="B591:C592 D591:E592">
    <cfRule type="expression" dxfId="5" priority="1152" stopIfTrue="1">
      <formula>OR(AND(LEFT($A591, 16)="select_multiple ", LEN($A591)&gt;16, NOT(ISNUMBER(SEARCH(" ", $A591, 17)))), AND(LEFT($A591, 11)="select_one ", LEN($A591)&gt;11, NOT(ISNUMBER(SEARCH(" ", $A591, 12)))))</formula>
    </cfRule>
  </conditionalFormatting>
  <conditionalFormatting sqref="B591:B592">
    <cfRule type="expression" dxfId="6" priority="1153" stopIfTrue="1">
      <formula>OR($A591="audio audit", $A591="text audit", $A591="speed violations count", $A591="speed violations list", $A591="speed violations audit")</formula>
    </cfRule>
  </conditionalFormatting>
  <conditionalFormatting sqref="B591:C592 D591:E592">
    <cfRule type="expression" dxfId="32" priority="1154" stopIfTrue="1">
      <formula>$A591="file"</formula>
    </cfRule>
  </conditionalFormatting>
  <conditionalFormatting sqref="B591:C592 D591:E592">
    <cfRule type="expression" dxfId="7" priority="1155" stopIfTrue="1">
      <formula>$A591="note"</formula>
    </cfRule>
  </conditionalFormatting>
  <conditionalFormatting sqref="B591:C592 D591:E592">
    <cfRule type="expression" dxfId="8" priority="1156" stopIfTrue="1">
      <formula>$A591="barcode"</formula>
    </cfRule>
  </conditionalFormatting>
  <conditionalFormatting sqref="B591:C592 D591:E592">
    <cfRule type="expression" dxfId="9" priority="1157" stopIfTrue="1">
      <formula>OR($A591="geopoint", $A591="geoshape", $A591="geotrace")</formula>
    </cfRule>
  </conditionalFormatting>
  <conditionalFormatting sqref="B591:B592">
    <cfRule type="expression" dxfId="10" priority="1158" stopIfTrue="1">
      <formula>OR($A591="calculate", $A591="calculate_here")</formula>
    </cfRule>
  </conditionalFormatting>
  <conditionalFormatting sqref="B591:C592 D591:E592">
    <cfRule type="expression" dxfId="11" priority="1159" stopIfTrue="1">
      <formula>OR($A591="date", $A591="datetime", $A591="time")</formula>
    </cfRule>
  </conditionalFormatting>
  <conditionalFormatting sqref="B591:C592 D591:E592">
    <cfRule type="expression" dxfId="12" priority="1160" stopIfTrue="1">
      <formula>$A591="image"</formula>
    </cfRule>
  </conditionalFormatting>
  <conditionalFormatting sqref="B591:C592 D591:E592">
    <cfRule type="expression" dxfId="13" priority="1161" stopIfTrue="1">
      <formula>OR($A591="audio", $A591="video")</formula>
    </cfRule>
  </conditionalFormatting>
  <conditionalFormatting sqref="B591:E592">
    <cfRule type="expression" dxfId="33" priority="1162" stopIfTrue="1">
      <formula>$A591="file"</formula>
    </cfRule>
  </conditionalFormatting>
  <conditionalFormatting sqref="B591:E592">
    <cfRule type="expression" dxfId="34" priority="1163" stopIfTrue="1">
      <formula>$A591="enumerator"</formula>
    </cfRule>
  </conditionalFormatting>
  <conditionalFormatting sqref="B591:E592">
    <cfRule type="expression" dxfId="35" priority="1164" stopIfTrue="1">
      <formula>OR(AND(LEFT($A591, 14)="sensor_stream ", LEN($A591)&gt;14, NOT(ISNUMBER(SEARCH(" ", $A591, 15)))), AND(LEFT($A591, 17)="sensor_statistic ", LEN($A591)&gt;17, NOT(ISNUMBER(SEARCH(" ", $A591, 18)))))</formula>
    </cfRule>
  </conditionalFormatting>
  <conditionalFormatting sqref="B591:E592">
    <cfRule type="expression" dxfId="14" priority="1165" stopIfTrue="1">
      <formula>$A591="comments"</formula>
    </cfRule>
  </conditionalFormatting>
  <conditionalFormatting sqref="B591:E592">
    <cfRule type="expression" dxfId="15" priority="1166" stopIfTrue="1">
      <formula>OR($A591="audio", $A591="video")</formula>
    </cfRule>
  </conditionalFormatting>
  <conditionalFormatting sqref="B591:E592">
    <cfRule type="expression" dxfId="16" priority="1167" stopIfTrue="1">
      <formula>$A591="image"</formula>
    </cfRule>
  </conditionalFormatting>
  <conditionalFormatting sqref="B591:E592">
    <cfRule type="expression" dxfId="17" priority="1168" stopIfTrue="1">
      <formula>OR($A591="date", $A591="datetime", $A591="time")</formula>
    </cfRule>
  </conditionalFormatting>
  <conditionalFormatting sqref="B591:E592">
    <cfRule type="expression" dxfId="18" priority="1169" stopIfTrue="1">
      <formula>OR($A591="calculate", $A591="calculate_here")</formula>
    </cfRule>
  </conditionalFormatting>
  <conditionalFormatting sqref="B591:E592">
    <cfRule type="expression" dxfId="19" priority="1170" stopIfTrue="1">
      <formula>$A591="note"</formula>
    </cfRule>
  </conditionalFormatting>
  <conditionalFormatting sqref="B591:E592">
    <cfRule type="expression" dxfId="20" priority="1171" stopIfTrue="1">
      <formula>$A591="barcode"</formula>
    </cfRule>
  </conditionalFormatting>
  <conditionalFormatting sqref="B591:E592">
    <cfRule type="expression" dxfId="21" priority="1172" stopIfTrue="1">
      <formula>OR($A591="geopoint", $A591="geoshape", $A591="geotrace")</formula>
    </cfRule>
  </conditionalFormatting>
  <conditionalFormatting sqref="B591:E592">
    <cfRule type="expression" dxfId="22" priority="1173" stopIfTrue="1">
      <formula>OR($A591="audio audit", $A591="text audit", $A591="speed violations count", $A591="speed violations list", $A591="speed violations audit")</formula>
    </cfRule>
  </conditionalFormatting>
  <conditionalFormatting sqref="B591:E592">
    <cfRule type="expression" dxfId="23" priority="1174" stopIfTrue="1">
      <formula>OR($A591="username", $A591="phonenumber", $A591="start", $A591="end", $A591="deviceid", $A591="subscriberid", $A591="simserial", $A591="caseid")</formula>
    </cfRule>
  </conditionalFormatting>
  <conditionalFormatting sqref="B591:E592">
    <cfRule type="expression" dxfId="24" priority="1175" stopIfTrue="1">
      <formula>OR(AND(LEFT($A591, 16)="select_multiple ", LEN($A591)&gt;16, NOT(ISNUMBER(SEARCH(" ", $A591, 17)))), AND(LEFT($A591, 11)="select_one ", LEN($A591)&gt;11, NOT(ISNUMBER(SEARCH(" ", $A591, 12)))))</formula>
    </cfRule>
  </conditionalFormatting>
  <conditionalFormatting sqref="B591:E592">
    <cfRule type="expression" dxfId="25" priority="1176" stopIfTrue="1">
      <formula>$A591="decimal"</formula>
    </cfRule>
  </conditionalFormatting>
  <conditionalFormatting sqref="B591:E592">
    <cfRule type="expression" dxfId="26" priority="1177" stopIfTrue="1">
      <formula>$A591="integer"</formula>
    </cfRule>
  </conditionalFormatting>
  <conditionalFormatting sqref="B591:E592">
    <cfRule type="expression" dxfId="27" priority="1178" stopIfTrue="1">
      <formula>$A591="text"</formula>
    </cfRule>
  </conditionalFormatting>
  <conditionalFormatting sqref="B591:E592">
    <cfRule type="expression" dxfId="28" priority="1179" stopIfTrue="1">
      <formula>$A591="end repeat"</formula>
    </cfRule>
  </conditionalFormatting>
  <conditionalFormatting sqref="B591:E592">
    <cfRule type="expression" dxfId="28" priority="1180" stopIfTrue="1">
      <formula>$A591="begin repeat"</formula>
    </cfRule>
  </conditionalFormatting>
  <conditionalFormatting sqref="B591:E592">
    <cfRule type="expression" dxfId="29" priority="1181" stopIfTrue="1">
      <formula>$A591="end group"</formula>
    </cfRule>
  </conditionalFormatting>
  <conditionalFormatting sqref="B591:E592">
    <cfRule type="expression" dxfId="29" priority="1182" stopIfTrue="1">
      <formula>$A591="begin group"</formula>
    </cfRule>
  </conditionalFormatting>
  <conditionalFormatting sqref="B591:B592">
    <cfRule type="expression" dxfId="30" priority="1183" stopIfTrue="1">
      <formula>$A591="comments"</formula>
    </cfRule>
  </conditionalFormatting>
  <conditionalFormatting sqref="B591:B592">
    <cfRule type="expression" dxfId="36" priority="1184" stopIfTrue="1">
      <formula>OR(AND(LEFT($A591, 14)="sensor_stream ", LEN($A591)&gt;14, NOT(ISNUMBER(SEARCH(" ", $A591, 15)))), AND(LEFT($A591, 17)="sensor_statistic ", LEN($A591)&gt;17, NOT(ISNUMBER(SEARCH(" ", $A591, 18)))))</formula>
    </cfRule>
  </conditionalFormatting>
  <conditionalFormatting sqref="B587:C587 D587:E587">
    <cfRule type="expression" dxfId="0" priority="1185" stopIfTrue="1">
      <formula>$A587="begin group"</formula>
    </cfRule>
  </conditionalFormatting>
  <conditionalFormatting sqref="B587:C587 D587:E587">
    <cfRule type="expression" dxfId="1" priority="1186" stopIfTrue="1">
      <formula>$A587="begin repeat"</formula>
    </cfRule>
  </conditionalFormatting>
  <conditionalFormatting sqref="B587:E587">
    <cfRule type="expression" dxfId="31" priority="1187" stopIfTrue="1">
      <formula>$A587="enumerator"</formula>
    </cfRule>
  </conditionalFormatting>
  <conditionalFormatting sqref="B587:E587">
    <cfRule type="expression" dxfId="2" priority="1188" stopIfTrue="1">
      <formula>$A587="text"</formula>
    </cfRule>
  </conditionalFormatting>
  <conditionalFormatting sqref="B587:E587">
    <cfRule type="expression" dxfId="3" priority="1189" stopIfTrue="1">
      <formula>$A587="integer"</formula>
    </cfRule>
  </conditionalFormatting>
  <conditionalFormatting sqref="B587:E587">
    <cfRule type="expression" dxfId="4" priority="1190" stopIfTrue="1">
      <formula>$A587="decimal"</formula>
    </cfRule>
  </conditionalFormatting>
  <conditionalFormatting sqref="B587:C587 D587:E587">
    <cfRule type="expression" dxfId="5" priority="1191" stopIfTrue="1">
      <formula>OR(AND(LEFT($A587, 16)="select_multiple ", LEN($A587)&gt;16, NOT(ISNUMBER(SEARCH(" ", $A587, 17)))), AND(LEFT($A587, 11)="select_one ", LEN($A587)&gt;11, NOT(ISNUMBER(SEARCH(" ", $A587, 12)))))</formula>
    </cfRule>
  </conditionalFormatting>
  <conditionalFormatting sqref="B587">
    <cfRule type="expression" dxfId="6" priority="1192" stopIfTrue="1">
      <formula>OR($A587="audio audit", $A587="text audit", $A587="speed violations count", $A587="speed violations list", $A587="speed violations audit")</formula>
    </cfRule>
  </conditionalFormatting>
  <conditionalFormatting sqref="B587:C587 D587:E587">
    <cfRule type="expression" dxfId="32" priority="1193" stopIfTrue="1">
      <formula>$A587="file"</formula>
    </cfRule>
  </conditionalFormatting>
  <conditionalFormatting sqref="B587:C587 D587:E587">
    <cfRule type="expression" dxfId="7" priority="1194" stopIfTrue="1">
      <formula>$A587="note"</formula>
    </cfRule>
  </conditionalFormatting>
  <conditionalFormatting sqref="B587:C587 D587:E587">
    <cfRule type="expression" dxfId="8" priority="1195" stopIfTrue="1">
      <formula>$A587="barcode"</formula>
    </cfRule>
  </conditionalFormatting>
  <conditionalFormatting sqref="B587:C587 D587:E587">
    <cfRule type="expression" dxfId="9" priority="1196" stopIfTrue="1">
      <formula>OR($A587="geopoint", $A587="geoshape", $A587="geotrace")</formula>
    </cfRule>
  </conditionalFormatting>
  <conditionalFormatting sqref="B587">
    <cfRule type="expression" dxfId="10" priority="1197" stopIfTrue="1">
      <formula>OR($A587="calculate", $A587="calculate_here")</formula>
    </cfRule>
  </conditionalFormatting>
  <conditionalFormatting sqref="B587:C587 D587:E587">
    <cfRule type="expression" dxfId="11" priority="1198" stopIfTrue="1">
      <formula>OR($A587="date", $A587="datetime", $A587="time")</formula>
    </cfRule>
  </conditionalFormatting>
  <conditionalFormatting sqref="B587:C587 D587:E587">
    <cfRule type="expression" dxfId="12" priority="1199" stopIfTrue="1">
      <formula>$A587="image"</formula>
    </cfRule>
  </conditionalFormatting>
  <conditionalFormatting sqref="B587:C587 D587:E587">
    <cfRule type="expression" dxfId="13" priority="1200" stopIfTrue="1">
      <formula>OR($A587="audio", $A587="video")</formula>
    </cfRule>
  </conditionalFormatting>
  <conditionalFormatting sqref="B587:E587">
    <cfRule type="expression" dxfId="33" priority="1201" stopIfTrue="1">
      <formula>$A587="file"</formula>
    </cfRule>
  </conditionalFormatting>
  <conditionalFormatting sqref="B587:E587">
    <cfRule type="expression" dxfId="34" priority="1202" stopIfTrue="1">
      <formula>$A587="enumerator"</formula>
    </cfRule>
  </conditionalFormatting>
  <conditionalFormatting sqref="B587:E587">
    <cfRule type="expression" dxfId="35" priority="1203" stopIfTrue="1">
      <formula>OR(AND(LEFT($A587, 14)="sensor_stream ", LEN($A587)&gt;14, NOT(ISNUMBER(SEARCH(" ", $A587, 15)))), AND(LEFT($A587, 17)="sensor_statistic ", LEN($A587)&gt;17, NOT(ISNUMBER(SEARCH(" ", $A587, 18)))))</formula>
    </cfRule>
  </conditionalFormatting>
  <conditionalFormatting sqref="B587:E587">
    <cfRule type="expression" dxfId="14" priority="1204" stopIfTrue="1">
      <formula>$A587="comments"</formula>
    </cfRule>
  </conditionalFormatting>
  <conditionalFormatting sqref="B587:E587">
    <cfRule type="expression" dxfId="15" priority="1205" stopIfTrue="1">
      <formula>OR($A587="audio", $A587="video")</formula>
    </cfRule>
  </conditionalFormatting>
  <conditionalFormatting sqref="B587:E587">
    <cfRule type="expression" dxfId="16" priority="1206" stopIfTrue="1">
      <formula>$A587="image"</formula>
    </cfRule>
  </conditionalFormatting>
  <conditionalFormatting sqref="B587:E587">
    <cfRule type="expression" dxfId="17" priority="1207" stopIfTrue="1">
      <formula>OR($A587="date", $A587="datetime", $A587="time")</formula>
    </cfRule>
  </conditionalFormatting>
  <conditionalFormatting sqref="B587:E587">
    <cfRule type="expression" dxfId="18" priority="1208" stopIfTrue="1">
      <formula>OR($A587="calculate", $A587="calculate_here")</formula>
    </cfRule>
  </conditionalFormatting>
  <conditionalFormatting sqref="B587:E587">
    <cfRule type="expression" dxfId="19" priority="1209" stopIfTrue="1">
      <formula>$A587="note"</formula>
    </cfRule>
  </conditionalFormatting>
  <conditionalFormatting sqref="B587:E587">
    <cfRule type="expression" dxfId="20" priority="1210" stopIfTrue="1">
      <formula>$A587="barcode"</formula>
    </cfRule>
  </conditionalFormatting>
  <conditionalFormatting sqref="B587:E587">
    <cfRule type="expression" dxfId="21" priority="1211" stopIfTrue="1">
      <formula>OR($A587="geopoint", $A587="geoshape", $A587="geotrace")</formula>
    </cfRule>
  </conditionalFormatting>
  <conditionalFormatting sqref="B587:E587">
    <cfRule type="expression" dxfId="22" priority="1212" stopIfTrue="1">
      <formula>OR($A587="audio audit", $A587="text audit", $A587="speed violations count", $A587="speed violations list", $A587="speed violations audit")</formula>
    </cfRule>
  </conditionalFormatting>
  <conditionalFormatting sqref="B587:E587">
    <cfRule type="expression" dxfId="23" priority="1213" stopIfTrue="1">
      <formula>OR($A587="username", $A587="phonenumber", $A587="start", $A587="end", $A587="deviceid", $A587="subscriberid", $A587="simserial", $A587="caseid")</formula>
    </cfRule>
  </conditionalFormatting>
  <conditionalFormatting sqref="B587:E587">
    <cfRule type="expression" dxfId="24" priority="1214" stopIfTrue="1">
      <formula>OR(AND(LEFT($A587, 16)="select_multiple ", LEN($A587)&gt;16, NOT(ISNUMBER(SEARCH(" ", $A587, 17)))), AND(LEFT($A587, 11)="select_one ", LEN($A587)&gt;11, NOT(ISNUMBER(SEARCH(" ", $A587, 12)))))</formula>
    </cfRule>
  </conditionalFormatting>
  <conditionalFormatting sqref="B587:E587">
    <cfRule type="expression" dxfId="25" priority="1215" stopIfTrue="1">
      <formula>$A587="decimal"</formula>
    </cfRule>
  </conditionalFormatting>
  <conditionalFormatting sqref="B587:E587">
    <cfRule type="expression" dxfId="26" priority="1216" stopIfTrue="1">
      <formula>$A587="integer"</formula>
    </cfRule>
  </conditionalFormatting>
  <conditionalFormatting sqref="B587:E587">
    <cfRule type="expression" dxfId="27" priority="1217" stopIfTrue="1">
      <formula>$A587="text"</formula>
    </cfRule>
  </conditionalFormatting>
  <conditionalFormatting sqref="B587:E587">
    <cfRule type="expression" dxfId="28" priority="1218" stopIfTrue="1">
      <formula>$A587="end repeat"</formula>
    </cfRule>
  </conditionalFormatting>
  <conditionalFormatting sqref="B587:E587">
    <cfRule type="expression" dxfId="28" priority="1219" stopIfTrue="1">
      <formula>$A587="begin repeat"</formula>
    </cfRule>
  </conditionalFormatting>
  <conditionalFormatting sqref="B587:E587">
    <cfRule type="expression" dxfId="29" priority="1220" stopIfTrue="1">
      <formula>$A587="end group"</formula>
    </cfRule>
  </conditionalFormatting>
  <conditionalFormatting sqref="B587:E587">
    <cfRule type="expression" dxfId="29" priority="1221" stopIfTrue="1">
      <formula>$A587="begin group"</formula>
    </cfRule>
  </conditionalFormatting>
  <conditionalFormatting sqref="B587">
    <cfRule type="expression" dxfId="30" priority="1222" stopIfTrue="1">
      <formula>$A587="comments"</formula>
    </cfRule>
  </conditionalFormatting>
  <conditionalFormatting sqref="B587">
    <cfRule type="expression" dxfId="36" priority="1223" stopIfTrue="1">
      <formula>OR(AND(LEFT($A587, 14)="sensor_stream ", LEN($A587)&gt;14, NOT(ISNUMBER(SEARCH(" ", $A587, 15)))), AND(LEFT($A587, 17)="sensor_statistic ", LEN($A587)&gt;17, NOT(ISNUMBER(SEARCH(" ", $A587, 18)))))</formula>
    </cfRule>
  </conditionalFormatting>
  <conditionalFormatting sqref="B579:C581 D579:E581">
    <cfRule type="expression" dxfId="0" priority="1224" stopIfTrue="1">
      <formula>$A579="begin group"</formula>
    </cfRule>
  </conditionalFormatting>
  <conditionalFormatting sqref="B579:C581 D579:E581">
    <cfRule type="expression" dxfId="1" priority="1225" stopIfTrue="1">
      <formula>$A579="begin repeat"</formula>
    </cfRule>
  </conditionalFormatting>
  <conditionalFormatting sqref="B579:E581">
    <cfRule type="expression" dxfId="31" priority="1226" stopIfTrue="1">
      <formula>$A579="enumerator"</formula>
    </cfRule>
  </conditionalFormatting>
  <conditionalFormatting sqref="B579:E581">
    <cfRule type="expression" dxfId="2" priority="1227" stopIfTrue="1">
      <formula>$A579="text"</formula>
    </cfRule>
  </conditionalFormatting>
  <conditionalFormatting sqref="B579:E581">
    <cfRule type="expression" dxfId="3" priority="1228" stopIfTrue="1">
      <formula>$A579="integer"</formula>
    </cfRule>
  </conditionalFormatting>
  <conditionalFormatting sqref="B579:E581">
    <cfRule type="expression" dxfId="4" priority="1229" stopIfTrue="1">
      <formula>$A579="decimal"</formula>
    </cfRule>
  </conditionalFormatting>
  <conditionalFormatting sqref="B579:C581 D579:E581">
    <cfRule type="expression" dxfId="5" priority="1230" stopIfTrue="1">
      <formula>OR(AND(LEFT($A579, 16)="select_multiple ", LEN($A579)&gt;16, NOT(ISNUMBER(SEARCH(" ", $A579, 17)))), AND(LEFT($A579, 11)="select_one ", LEN($A579)&gt;11, NOT(ISNUMBER(SEARCH(" ", $A579, 12)))))</formula>
    </cfRule>
  </conditionalFormatting>
  <conditionalFormatting sqref="B579:B581">
    <cfRule type="expression" dxfId="6" priority="1231" stopIfTrue="1">
      <formula>OR($A579="audio audit", $A579="text audit", $A579="speed violations count", $A579="speed violations list", $A579="speed violations audit")</formula>
    </cfRule>
  </conditionalFormatting>
  <conditionalFormatting sqref="B579:C581 D579:E581">
    <cfRule type="expression" dxfId="32" priority="1232" stopIfTrue="1">
      <formula>$A579="file"</formula>
    </cfRule>
  </conditionalFormatting>
  <conditionalFormatting sqref="B579:C581 D579:E581">
    <cfRule type="expression" dxfId="7" priority="1233" stopIfTrue="1">
      <formula>$A579="note"</formula>
    </cfRule>
  </conditionalFormatting>
  <conditionalFormatting sqref="B579:C581 D579:E581">
    <cfRule type="expression" dxfId="8" priority="1234" stopIfTrue="1">
      <formula>$A579="barcode"</formula>
    </cfRule>
  </conditionalFormatting>
  <conditionalFormatting sqref="B579:C581 D579:E581">
    <cfRule type="expression" dxfId="9" priority="1235" stopIfTrue="1">
      <formula>OR($A579="geopoint", $A579="geoshape", $A579="geotrace")</formula>
    </cfRule>
  </conditionalFormatting>
  <conditionalFormatting sqref="B579:B581">
    <cfRule type="expression" dxfId="10" priority="1236" stopIfTrue="1">
      <formula>OR($A579="calculate", $A579="calculate_here")</formula>
    </cfRule>
  </conditionalFormatting>
  <conditionalFormatting sqref="B579:C581 D579:E581">
    <cfRule type="expression" dxfId="11" priority="1237" stopIfTrue="1">
      <formula>OR($A579="date", $A579="datetime", $A579="time")</formula>
    </cfRule>
  </conditionalFormatting>
  <conditionalFormatting sqref="B579:C581 D579:E581">
    <cfRule type="expression" dxfId="12" priority="1238" stopIfTrue="1">
      <formula>$A579="image"</formula>
    </cfRule>
  </conditionalFormatting>
  <conditionalFormatting sqref="B579:C581 D579:E581">
    <cfRule type="expression" dxfId="13" priority="1239" stopIfTrue="1">
      <formula>OR($A579="audio", $A579="video")</formula>
    </cfRule>
  </conditionalFormatting>
  <conditionalFormatting sqref="B579:E581">
    <cfRule type="expression" dxfId="33" priority="1240" stopIfTrue="1">
      <formula>$A579="file"</formula>
    </cfRule>
  </conditionalFormatting>
  <conditionalFormatting sqref="B579:E581">
    <cfRule type="expression" dxfId="34" priority="1241" stopIfTrue="1">
      <formula>$A579="enumerator"</formula>
    </cfRule>
  </conditionalFormatting>
  <conditionalFormatting sqref="B579:E581">
    <cfRule type="expression" dxfId="35" priority="1242" stopIfTrue="1">
      <formula>OR(AND(LEFT($A579, 14)="sensor_stream ", LEN($A579)&gt;14, NOT(ISNUMBER(SEARCH(" ", $A579, 15)))), AND(LEFT($A579, 17)="sensor_statistic ", LEN($A579)&gt;17, NOT(ISNUMBER(SEARCH(" ", $A579, 18)))))</formula>
    </cfRule>
  </conditionalFormatting>
  <conditionalFormatting sqref="B579:E581">
    <cfRule type="expression" dxfId="14" priority="1243" stopIfTrue="1">
      <formula>$A579="comments"</formula>
    </cfRule>
  </conditionalFormatting>
  <conditionalFormatting sqref="B579:E581">
    <cfRule type="expression" dxfId="15" priority="1244" stopIfTrue="1">
      <formula>OR($A579="audio", $A579="video")</formula>
    </cfRule>
  </conditionalFormatting>
  <conditionalFormatting sqref="B579:E581">
    <cfRule type="expression" dxfId="16" priority="1245" stopIfTrue="1">
      <formula>$A579="image"</formula>
    </cfRule>
  </conditionalFormatting>
  <conditionalFormatting sqref="B579:E581">
    <cfRule type="expression" dxfId="17" priority="1246" stopIfTrue="1">
      <formula>OR($A579="date", $A579="datetime", $A579="time")</formula>
    </cfRule>
  </conditionalFormatting>
  <conditionalFormatting sqref="B579:E581">
    <cfRule type="expression" dxfId="18" priority="1247" stopIfTrue="1">
      <formula>OR($A579="calculate", $A579="calculate_here")</formula>
    </cfRule>
  </conditionalFormatting>
  <conditionalFormatting sqref="B579:E581">
    <cfRule type="expression" dxfId="19" priority="1248" stopIfTrue="1">
      <formula>$A579="note"</formula>
    </cfRule>
  </conditionalFormatting>
  <conditionalFormatting sqref="B579:E581">
    <cfRule type="expression" dxfId="20" priority="1249" stopIfTrue="1">
      <formula>$A579="barcode"</formula>
    </cfRule>
  </conditionalFormatting>
  <conditionalFormatting sqref="B579:E581">
    <cfRule type="expression" dxfId="21" priority="1250" stopIfTrue="1">
      <formula>OR($A579="geopoint", $A579="geoshape", $A579="geotrace")</formula>
    </cfRule>
  </conditionalFormatting>
  <conditionalFormatting sqref="B579:E581">
    <cfRule type="expression" dxfId="22" priority="1251" stopIfTrue="1">
      <formula>OR($A579="audio audit", $A579="text audit", $A579="speed violations count", $A579="speed violations list", $A579="speed violations audit")</formula>
    </cfRule>
  </conditionalFormatting>
  <conditionalFormatting sqref="B579:E581">
    <cfRule type="expression" dxfId="23" priority="1252" stopIfTrue="1">
      <formula>OR($A579="username", $A579="phonenumber", $A579="start", $A579="end", $A579="deviceid", $A579="subscriberid", $A579="simserial", $A579="caseid")</formula>
    </cfRule>
  </conditionalFormatting>
  <conditionalFormatting sqref="B579:E581">
    <cfRule type="expression" dxfId="24" priority="1253" stopIfTrue="1">
      <formula>OR(AND(LEFT($A579, 16)="select_multiple ", LEN($A579)&gt;16, NOT(ISNUMBER(SEARCH(" ", $A579, 17)))), AND(LEFT($A579, 11)="select_one ", LEN($A579)&gt;11, NOT(ISNUMBER(SEARCH(" ", $A579, 12)))))</formula>
    </cfRule>
  </conditionalFormatting>
  <conditionalFormatting sqref="B579:E581">
    <cfRule type="expression" dxfId="25" priority="1254" stopIfTrue="1">
      <formula>$A579="decimal"</formula>
    </cfRule>
  </conditionalFormatting>
  <conditionalFormatting sqref="B579:E581">
    <cfRule type="expression" dxfId="26" priority="1255" stopIfTrue="1">
      <formula>$A579="integer"</formula>
    </cfRule>
  </conditionalFormatting>
  <conditionalFormatting sqref="B579:E581">
    <cfRule type="expression" dxfId="27" priority="1256" stopIfTrue="1">
      <formula>$A579="text"</formula>
    </cfRule>
  </conditionalFormatting>
  <conditionalFormatting sqref="B579:E581">
    <cfRule type="expression" dxfId="28" priority="1257" stopIfTrue="1">
      <formula>$A579="end repeat"</formula>
    </cfRule>
  </conditionalFormatting>
  <conditionalFormatting sqref="B579:E581">
    <cfRule type="expression" dxfId="28" priority="1258" stopIfTrue="1">
      <formula>$A579="begin repeat"</formula>
    </cfRule>
  </conditionalFormatting>
  <conditionalFormatting sqref="B579:E581">
    <cfRule type="expression" dxfId="29" priority="1259" stopIfTrue="1">
      <formula>$A579="end group"</formula>
    </cfRule>
  </conditionalFormatting>
  <conditionalFormatting sqref="B579:E581">
    <cfRule type="expression" dxfId="29" priority="1260" stopIfTrue="1">
      <formula>$A579="begin group"</formula>
    </cfRule>
  </conditionalFormatting>
  <conditionalFormatting sqref="B579:B581">
    <cfRule type="expression" dxfId="30" priority="1261" stopIfTrue="1">
      <formula>$A579="comments"</formula>
    </cfRule>
  </conditionalFormatting>
  <conditionalFormatting sqref="B579:B581">
    <cfRule type="expression" dxfId="36" priority="1262" stopIfTrue="1">
      <formula>OR(AND(LEFT($A579, 14)="sensor_stream ", LEN($A579)&gt;14, NOT(ISNUMBER(SEARCH(" ", $A579, 15)))), AND(LEFT($A579, 17)="sensor_statistic ", LEN($A579)&gt;17, NOT(ISNUMBER(SEARCH(" ", $A579, 18)))))</formula>
    </cfRule>
  </conditionalFormatting>
  <conditionalFormatting sqref="B575:C577 D575:E577">
    <cfRule type="expression" dxfId="0" priority="1263" stopIfTrue="1">
      <formula>$A575="begin group"</formula>
    </cfRule>
  </conditionalFormatting>
  <conditionalFormatting sqref="B575:C577 D575:E577">
    <cfRule type="expression" dxfId="1" priority="1264" stopIfTrue="1">
      <formula>$A575="begin repeat"</formula>
    </cfRule>
  </conditionalFormatting>
  <conditionalFormatting sqref="B575:E577">
    <cfRule type="expression" dxfId="31" priority="1265" stopIfTrue="1">
      <formula>$A575="enumerator"</formula>
    </cfRule>
  </conditionalFormatting>
  <conditionalFormatting sqref="B575:E577">
    <cfRule type="expression" dxfId="2" priority="1266" stopIfTrue="1">
      <formula>$A575="text"</formula>
    </cfRule>
  </conditionalFormatting>
  <conditionalFormatting sqref="B575:E577">
    <cfRule type="expression" dxfId="3" priority="1267" stopIfTrue="1">
      <formula>$A575="integer"</formula>
    </cfRule>
  </conditionalFormatting>
  <conditionalFormatting sqref="B575:E577">
    <cfRule type="expression" dxfId="4" priority="1268" stopIfTrue="1">
      <formula>$A575="decimal"</formula>
    </cfRule>
  </conditionalFormatting>
  <conditionalFormatting sqref="B575:C577 D575:E577">
    <cfRule type="expression" dxfId="5" priority="1269" stopIfTrue="1">
      <formula>OR(AND(LEFT($A575, 16)="select_multiple ", LEN($A575)&gt;16, NOT(ISNUMBER(SEARCH(" ", $A575, 17)))), AND(LEFT($A575, 11)="select_one ", LEN($A575)&gt;11, NOT(ISNUMBER(SEARCH(" ", $A575, 12)))))</formula>
    </cfRule>
  </conditionalFormatting>
  <conditionalFormatting sqref="B575:B577">
    <cfRule type="expression" dxfId="6" priority="1270" stopIfTrue="1">
      <formula>OR($A575="audio audit", $A575="text audit", $A575="speed violations count", $A575="speed violations list", $A575="speed violations audit")</formula>
    </cfRule>
  </conditionalFormatting>
  <conditionalFormatting sqref="B575:C577 D575:E577">
    <cfRule type="expression" dxfId="32" priority="1271" stopIfTrue="1">
      <formula>$A575="file"</formula>
    </cfRule>
  </conditionalFormatting>
  <conditionalFormatting sqref="B575:C577 D575:E577">
    <cfRule type="expression" dxfId="7" priority="1272" stopIfTrue="1">
      <formula>$A575="note"</formula>
    </cfRule>
  </conditionalFormatting>
  <conditionalFormatting sqref="B575:C577 D575:E577">
    <cfRule type="expression" dxfId="8" priority="1273" stopIfTrue="1">
      <formula>$A575="barcode"</formula>
    </cfRule>
  </conditionalFormatting>
  <conditionalFormatting sqref="B575:C577 D575:E577">
    <cfRule type="expression" dxfId="9" priority="1274" stopIfTrue="1">
      <formula>OR($A575="geopoint", $A575="geoshape", $A575="geotrace")</formula>
    </cfRule>
  </conditionalFormatting>
  <conditionalFormatting sqref="B575:B577">
    <cfRule type="expression" dxfId="10" priority="1275" stopIfTrue="1">
      <formula>OR($A575="calculate", $A575="calculate_here")</formula>
    </cfRule>
  </conditionalFormatting>
  <conditionalFormatting sqref="B575:C577 D575:E577">
    <cfRule type="expression" dxfId="11" priority="1276" stopIfTrue="1">
      <formula>OR($A575="date", $A575="datetime", $A575="time")</formula>
    </cfRule>
  </conditionalFormatting>
  <conditionalFormatting sqref="B575:C577 D575:E577">
    <cfRule type="expression" dxfId="12" priority="1277" stopIfTrue="1">
      <formula>$A575="image"</formula>
    </cfRule>
  </conditionalFormatting>
  <conditionalFormatting sqref="B575:C577 D575:E577">
    <cfRule type="expression" dxfId="13" priority="1278" stopIfTrue="1">
      <formula>OR($A575="audio", $A575="video")</formula>
    </cfRule>
  </conditionalFormatting>
  <conditionalFormatting sqref="B575:E577">
    <cfRule type="expression" dxfId="33" priority="1279" stopIfTrue="1">
      <formula>$A575="file"</formula>
    </cfRule>
  </conditionalFormatting>
  <conditionalFormatting sqref="B575:E577">
    <cfRule type="expression" dxfId="34" priority="1280" stopIfTrue="1">
      <formula>$A575="enumerator"</formula>
    </cfRule>
  </conditionalFormatting>
  <conditionalFormatting sqref="B575:E577">
    <cfRule type="expression" dxfId="35" priority="1281" stopIfTrue="1">
      <formula>OR(AND(LEFT($A575, 14)="sensor_stream ", LEN($A575)&gt;14, NOT(ISNUMBER(SEARCH(" ", $A575, 15)))), AND(LEFT($A575, 17)="sensor_statistic ", LEN($A575)&gt;17, NOT(ISNUMBER(SEARCH(" ", $A575, 18)))))</formula>
    </cfRule>
  </conditionalFormatting>
  <conditionalFormatting sqref="B575:E577">
    <cfRule type="expression" dxfId="14" priority="1282" stopIfTrue="1">
      <formula>$A575="comments"</formula>
    </cfRule>
  </conditionalFormatting>
  <conditionalFormatting sqref="B575:E577">
    <cfRule type="expression" dxfId="15" priority="1283" stopIfTrue="1">
      <formula>OR($A575="audio", $A575="video")</formula>
    </cfRule>
  </conditionalFormatting>
  <conditionalFormatting sqref="B575:E577">
    <cfRule type="expression" dxfId="16" priority="1284" stopIfTrue="1">
      <formula>$A575="image"</formula>
    </cfRule>
  </conditionalFormatting>
  <conditionalFormatting sqref="B575:E577">
    <cfRule type="expression" dxfId="17" priority="1285" stopIfTrue="1">
      <formula>OR($A575="date", $A575="datetime", $A575="time")</formula>
    </cfRule>
  </conditionalFormatting>
  <conditionalFormatting sqref="B575:E577">
    <cfRule type="expression" dxfId="18" priority="1286" stopIfTrue="1">
      <formula>OR($A575="calculate", $A575="calculate_here")</formula>
    </cfRule>
  </conditionalFormatting>
  <conditionalFormatting sqref="B575:E577">
    <cfRule type="expression" dxfId="19" priority="1287" stopIfTrue="1">
      <formula>$A575="note"</formula>
    </cfRule>
  </conditionalFormatting>
  <conditionalFormatting sqref="B575:E577">
    <cfRule type="expression" dxfId="20" priority="1288" stopIfTrue="1">
      <formula>$A575="barcode"</formula>
    </cfRule>
  </conditionalFormatting>
  <conditionalFormatting sqref="B575:E577">
    <cfRule type="expression" dxfId="21" priority="1289" stopIfTrue="1">
      <formula>OR($A575="geopoint", $A575="geoshape", $A575="geotrace")</formula>
    </cfRule>
  </conditionalFormatting>
  <conditionalFormatting sqref="B575:E577">
    <cfRule type="expression" dxfId="22" priority="1290" stopIfTrue="1">
      <formula>OR($A575="audio audit", $A575="text audit", $A575="speed violations count", $A575="speed violations list", $A575="speed violations audit")</formula>
    </cfRule>
  </conditionalFormatting>
  <conditionalFormatting sqref="B575:E577">
    <cfRule type="expression" dxfId="23" priority="1291" stopIfTrue="1">
      <formula>OR($A575="username", $A575="phonenumber", $A575="start", $A575="end", $A575="deviceid", $A575="subscriberid", $A575="simserial", $A575="caseid")</formula>
    </cfRule>
  </conditionalFormatting>
  <conditionalFormatting sqref="B575:E577">
    <cfRule type="expression" dxfId="24" priority="1292" stopIfTrue="1">
      <formula>OR(AND(LEFT($A575, 16)="select_multiple ", LEN($A575)&gt;16, NOT(ISNUMBER(SEARCH(" ", $A575, 17)))), AND(LEFT($A575, 11)="select_one ", LEN($A575)&gt;11, NOT(ISNUMBER(SEARCH(" ", $A575, 12)))))</formula>
    </cfRule>
  </conditionalFormatting>
  <conditionalFormatting sqref="B575:E577">
    <cfRule type="expression" dxfId="25" priority="1293" stopIfTrue="1">
      <formula>$A575="decimal"</formula>
    </cfRule>
  </conditionalFormatting>
  <conditionalFormatting sqref="B575:E577">
    <cfRule type="expression" dxfId="26" priority="1294" stopIfTrue="1">
      <formula>$A575="integer"</formula>
    </cfRule>
  </conditionalFormatting>
  <conditionalFormatting sqref="B575:E577">
    <cfRule type="expression" dxfId="27" priority="1295" stopIfTrue="1">
      <formula>$A575="text"</formula>
    </cfRule>
  </conditionalFormatting>
  <conditionalFormatting sqref="B575:E577">
    <cfRule type="expression" dxfId="28" priority="1296" stopIfTrue="1">
      <formula>$A575="end repeat"</formula>
    </cfRule>
  </conditionalFormatting>
  <conditionalFormatting sqref="B575:E577">
    <cfRule type="expression" dxfId="28" priority="1297" stopIfTrue="1">
      <formula>$A575="begin repeat"</formula>
    </cfRule>
  </conditionalFormatting>
  <conditionalFormatting sqref="B575:E577">
    <cfRule type="expression" dxfId="29" priority="1298" stopIfTrue="1">
      <formula>$A575="end group"</formula>
    </cfRule>
  </conditionalFormatting>
  <conditionalFormatting sqref="B575:E577">
    <cfRule type="expression" dxfId="29" priority="1299" stopIfTrue="1">
      <formula>$A575="begin group"</formula>
    </cfRule>
  </conditionalFormatting>
  <conditionalFormatting sqref="B575:B577">
    <cfRule type="expression" dxfId="30" priority="1300" stopIfTrue="1">
      <formula>$A575="comments"</formula>
    </cfRule>
  </conditionalFormatting>
  <conditionalFormatting sqref="B575:B577">
    <cfRule type="expression" dxfId="36" priority="1301" stopIfTrue="1">
      <formula>OR(AND(LEFT($A575, 14)="sensor_stream ", LEN($A575)&gt;14, NOT(ISNUMBER(SEARCH(" ", $A575, 15)))), AND(LEFT($A575, 17)="sensor_statistic ", LEN($A575)&gt;17, NOT(ISNUMBER(SEARCH(" ", $A575, 18)))))</formula>
    </cfRule>
  </conditionalFormatting>
  <conditionalFormatting sqref="B563:C570 D563:E570">
    <cfRule type="expression" dxfId="0" priority="1302" stopIfTrue="1">
      <formula>$A563="begin group"</formula>
    </cfRule>
  </conditionalFormatting>
  <conditionalFormatting sqref="B563:C570 D563:E570">
    <cfRule type="expression" dxfId="1" priority="1303" stopIfTrue="1">
      <formula>$A563="begin repeat"</formula>
    </cfRule>
  </conditionalFormatting>
  <conditionalFormatting sqref="B563:E570">
    <cfRule type="expression" dxfId="31" priority="1304" stopIfTrue="1">
      <formula>$A563="enumerator"</formula>
    </cfRule>
  </conditionalFormatting>
  <conditionalFormatting sqref="B563:E570">
    <cfRule type="expression" dxfId="2" priority="1305" stopIfTrue="1">
      <formula>$A563="text"</formula>
    </cfRule>
  </conditionalFormatting>
  <conditionalFormatting sqref="B563:E570">
    <cfRule type="expression" dxfId="3" priority="1306" stopIfTrue="1">
      <formula>$A563="integer"</formula>
    </cfRule>
  </conditionalFormatting>
  <conditionalFormatting sqref="B563:E570">
    <cfRule type="expression" dxfId="4" priority="1307" stopIfTrue="1">
      <formula>$A563="decimal"</formula>
    </cfRule>
  </conditionalFormatting>
  <conditionalFormatting sqref="B563:C570 D563:E570">
    <cfRule type="expression" dxfId="5" priority="1308" stopIfTrue="1">
      <formula>OR(AND(LEFT($A563, 16)="select_multiple ", LEN($A563)&gt;16, NOT(ISNUMBER(SEARCH(" ", $A563, 17)))), AND(LEFT($A563, 11)="select_one ", LEN($A563)&gt;11, NOT(ISNUMBER(SEARCH(" ", $A563, 12)))))</formula>
    </cfRule>
  </conditionalFormatting>
  <conditionalFormatting sqref="B563:B570">
    <cfRule type="expression" dxfId="6" priority="1309" stopIfTrue="1">
      <formula>OR($A563="audio audit", $A563="text audit", $A563="speed violations count", $A563="speed violations list", $A563="speed violations audit")</formula>
    </cfRule>
  </conditionalFormatting>
  <conditionalFormatting sqref="B563:C570 D563:E570">
    <cfRule type="expression" dxfId="32" priority="1310" stopIfTrue="1">
      <formula>$A563="file"</formula>
    </cfRule>
  </conditionalFormatting>
  <conditionalFormatting sqref="B563:C570 D563:E570">
    <cfRule type="expression" dxfId="7" priority="1311" stopIfTrue="1">
      <formula>$A563="note"</formula>
    </cfRule>
  </conditionalFormatting>
  <conditionalFormatting sqref="B563:C570 D563:E570">
    <cfRule type="expression" dxfId="8" priority="1312" stopIfTrue="1">
      <formula>$A563="barcode"</formula>
    </cfRule>
  </conditionalFormatting>
  <conditionalFormatting sqref="B563:C570 D563:E570">
    <cfRule type="expression" dxfId="9" priority="1313" stopIfTrue="1">
      <formula>OR($A563="geopoint", $A563="geoshape", $A563="geotrace")</formula>
    </cfRule>
  </conditionalFormatting>
  <conditionalFormatting sqref="B563:B570">
    <cfRule type="expression" dxfId="10" priority="1314" stopIfTrue="1">
      <formula>OR($A563="calculate", $A563="calculate_here")</formula>
    </cfRule>
  </conditionalFormatting>
  <conditionalFormatting sqref="B563:C570 D563:E570">
    <cfRule type="expression" dxfId="11" priority="1315" stopIfTrue="1">
      <formula>OR($A563="date", $A563="datetime", $A563="time")</formula>
    </cfRule>
  </conditionalFormatting>
  <conditionalFormatting sqref="B563:C570 D563:E570">
    <cfRule type="expression" dxfId="12" priority="1316" stopIfTrue="1">
      <formula>$A563="image"</formula>
    </cfRule>
  </conditionalFormatting>
  <conditionalFormatting sqref="B563:C570 D563:E570">
    <cfRule type="expression" dxfId="13" priority="1317" stopIfTrue="1">
      <formula>OR($A563="audio", $A563="video")</formula>
    </cfRule>
  </conditionalFormatting>
  <conditionalFormatting sqref="B563:E570">
    <cfRule type="expression" dxfId="33" priority="1318" stopIfTrue="1">
      <formula>$A563="file"</formula>
    </cfRule>
  </conditionalFormatting>
  <conditionalFormatting sqref="B563:E570">
    <cfRule type="expression" dxfId="34" priority="1319" stopIfTrue="1">
      <formula>$A563="enumerator"</formula>
    </cfRule>
  </conditionalFormatting>
  <conditionalFormatting sqref="B563:E570">
    <cfRule type="expression" dxfId="35" priority="1320" stopIfTrue="1">
      <formula>OR(AND(LEFT($A563, 14)="sensor_stream ", LEN($A563)&gt;14, NOT(ISNUMBER(SEARCH(" ", $A563, 15)))), AND(LEFT($A563, 17)="sensor_statistic ", LEN($A563)&gt;17, NOT(ISNUMBER(SEARCH(" ", $A563, 18)))))</formula>
    </cfRule>
  </conditionalFormatting>
  <conditionalFormatting sqref="B563:E570">
    <cfRule type="expression" dxfId="14" priority="1321" stopIfTrue="1">
      <formula>$A563="comments"</formula>
    </cfRule>
  </conditionalFormatting>
  <conditionalFormatting sqref="B563:E570">
    <cfRule type="expression" dxfId="15" priority="1322" stopIfTrue="1">
      <formula>OR($A563="audio", $A563="video")</formula>
    </cfRule>
  </conditionalFormatting>
  <conditionalFormatting sqref="B563:E570">
    <cfRule type="expression" dxfId="16" priority="1323" stopIfTrue="1">
      <formula>$A563="image"</formula>
    </cfRule>
  </conditionalFormatting>
  <conditionalFormatting sqref="B563:E570">
    <cfRule type="expression" dxfId="17" priority="1324" stopIfTrue="1">
      <formula>OR($A563="date", $A563="datetime", $A563="time")</formula>
    </cfRule>
  </conditionalFormatting>
  <conditionalFormatting sqref="B563:E570">
    <cfRule type="expression" dxfId="18" priority="1325" stopIfTrue="1">
      <formula>OR($A563="calculate", $A563="calculate_here")</formula>
    </cfRule>
  </conditionalFormatting>
  <conditionalFormatting sqref="B563:E570">
    <cfRule type="expression" dxfId="19" priority="1326" stopIfTrue="1">
      <formula>$A563="note"</formula>
    </cfRule>
  </conditionalFormatting>
  <conditionalFormatting sqref="B563:E570">
    <cfRule type="expression" dxfId="20" priority="1327" stopIfTrue="1">
      <formula>$A563="barcode"</formula>
    </cfRule>
  </conditionalFormatting>
  <conditionalFormatting sqref="B563:E570">
    <cfRule type="expression" dxfId="21" priority="1328" stopIfTrue="1">
      <formula>OR($A563="geopoint", $A563="geoshape", $A563="geotrace")</formula>
    </cfRule>
  </conditionalFormatting>
  <conditionalFormatting sqref="B563:E570">
    <cfRule type="expression" dxfId="22" priority="1329" stopIfTrue="1">
      <formula>OR($A563="audio audit", $A563="text audit", $A563="speed violations count", $A563="speed violations list", $A563="speed violations audit")</formula>
    </cfRule>
  </conditionalFormatting>
  <conditionalFormatting sqref="B563:E570">
    <cfRule type="expression" dxfId="23" priority="1330" stopIfTrue="1">
      <formula>OR($A563="username", $A563="phonenumber", $A563="start", $A563="end", $A563="deviceid", $A563="subscriberid", $A563="simserial", $A563="caseid")</formula>
    </cfRule>
  </conditionalFormatting>
  <conditionalFormatting sqref="B563:E570">
    <cfRule type="expression" dxfId="24" priority="1331" stopIfTrue="1">
      <formula>OR(AND(LEFT($A563, 16)="select_multiple ", LEN($A563)&gt;16, NOT(ISNUMBER(SEARCH(" ", $A563, 17)))), AND(LEFT($A563, 11)="select_one ", LEN($A563)&gt;11, NOT(ISNUMBER(SEARCH(" ", $A563, 12)))))</formula>
    </cfRule>
  </conditionalFormatting>
  <conditionalFormatting sqref="B563:E570">
    <cfRule type="expression" dxfId="25" priority="1332" stopIfTrue="1">
      <formula>$A563="decimal"</formula>
    </cfRule>
  </conditionalFormatting>
  <conditionalFormatting sqref="B563:E570">
    <cfRule type="expression" dxfId="26" priority="1333" stopIfTrue="1">
      <formula>$A563="integer"</formula>
    </cfRule>
  </conditionalFormatting>
  <conditionalFormatting sqref="B563:E570">
    <cfRule type="expression" dxfId="27" priority="1334" stopIfTrue="1">
      <formula>$A563="text"</formula>
    </cfRule>
  </conditionalFormatting>
  <conditionalFormatting sqref="B563:E570">
    <cfRule type="expression" dxfId="28" priority="1335" stopIfTrue="1">
      <formula>$A563="end repeat"</formula>
    </cfRule>
  </conditionalFormatting>
  <conditionalFormatting sqref="B563:E570">
    <cfRule type="expression" dxfId="28" priority="1336" stopIfTrue="1">
      <formula>$A563="begin repeat"</formula>
    </cfRule>
  </conditionalFormatting>
  <conditionalFormatting sqref="B563:E570">
    <cfRule type="expression" dxfId="29" priority="1337" stopIfTrue="1">
      <formula>$A563="end group"</formula>
    </cfRule>
  </conditionalFormatting>
  <conditionalFormatting sqref="B563:E570">
    <cfRule type="expression" dxfId="29" priority="1338" stopIfTrue="1">
      <formula>$A563="begin group"</formula>
    </cfRule>
  </conditionalFormatting>
  <conditionalFormatting sqref="B563:B570">
    <cfRule type="expression" dxfId="30" priority="1339" stopIfTrue="1">
      <formula>$A563="comments"</formula>
    </cfRule>
  </conditionalFormatting>
  <conditionalFormatting sqref="B563:B570">
    <cfRule type="expression" dxfId="36" priority="1340" stopIfTrue="1">
      <formula>OR(AND(LEFT($A563, 14)="sensor_stream ", LEN($A563)&gt;14, NOT(ISNUMBER(SEARCH(" ", $A563, 15)))), AND(LEFT($A563, 17)="sensor_statistic ", LEN($A563)&gt;17, NOT(ISNUMBER(SEARCH(" ", $A563, 18)))))</formula>
    </cfRule>
  </conditionalFormatting>
  <conditionalFormatting sqref="B556:C561 D556:E561">
    <cfRule type="expression" dxfId="0" priority="1341" stopIfTrue="1">
      <formula>$A556="begin group"</formula>
    </cfRule>
  </conditionalFormatting>
  <conditionalFormatting sqref="B556:C561 D556:E561">
    <cfRule type="expression" dxfId="1" priority="1342" stopIfTrue="1">
      <formula>$A556="begin repeat"</formula>
    </cfRule>
  </conditionalFormatting>
  <conditionalFormatting sqref="B556:E561">
    <cfRule type="expression" dxfId="31" priority="1343" stopIfTrue="1">
      <formula>$A556="enumerator"</formula>
    </cfRule>
  </conditionalFormatting>
  <conditionalFormatting sqref="B556:E561">
    <cfRule type="expression" dxfId="2" priority="1344" stopIfTrue="1">
      <formula>$A556="text"</formula>
    </cfRule>
  </conditionalFormatting>
  <conditionalFormatting sqref="B556:E561">
    <cfRule type="expression" dxfId="3" priority="1345" stopIfTrue="1">
      <formula>$A556="integer"</formula>
    </cfRule>
  </conditionalFormatting>
  <conditionalFormatting sqref="B556:E561">
    <cfRule type="expression" dxfId="4" priority="1346" stopIfTrue="1">
      <formula>$A556="decimal"</formula>
    </cfRule>
  </conditionalFormatting>
  <conditionalFormatting sqref="B556:C561 D556:E561">
    <cfRule type="expression" dxfId="5" priority="1347" stopIfTrue="1">
      <formula>OR(AND(LEFT($A556, 16)="select_multiple ", LEN($A556)&gt;16, NOT(ISNUMBER(SEARCH(" ", $A556, 17)))), AND(LEFT($A556, 11)="select_one ", LEN($A556)&gt;11, NOT(ISNUMBER(SEARCH(" ", $A556, 12)))))</formula>
    </cfRule>
  </conditionalFormatting>
  <conditionalFormatting sqref="B556:B561">
    <cfRule type="expression" dxfId="6" priority="1348" stopIfTrue="1">
      <formula>OR($A556="audio audit", $A556="text audit", $A556="speed violations count", $A556="speed violations list", $A556="speed violations audit")</formula>
    </cfRule>
  </conditionalFormatting>
  <conditionalFormatting sqref="B556:C561 D556:E561">
    <cfRule type="expression" dxfId="32" priority="1349" stopIfTrue="1">
      <formula>$A556="file"</formula>
    </cfRule>
  </conditionalFormatting>
  <conditionalFormatting sqref="B556:C561 D556:E561">
    <cfRule type="expression" dxfId="7" priority="1350" stopIfTrue="1">
      <formula>$A556="note"</formula>
    </cfRule>
  </conditionalFormatting>
  <conditionalFormatting sqref="B556:C561 D556:E561">
    <cfRule type="expression" dxfId="8" priority="1351" stopIfTrue="1">
      <formula>$A556="barcode"</formula>
    </cfRule>
  </conditionalFormatting>
  <conditionalFormatting sqref="B556:C561 D556:E561">
    <cfRule type="expression" dxfId="9" priority="1352" stopIfTrue="1">
      <formula>OR($A556="geopoint", $A556="geoshape", $A556="geotrace")</formula>
    </cfRule>
  </conditionalFormatting>
  <conditionalFormatting sqref="B556:B561">
    <cfRule type="expression" dxfId="10" priority="1353" stopIfTrue="1">
      <formula>OR($A556="calculate", $A556="calculate_here")</formula>
    </cfRule>
  </conditionalFormatting>
  <conditionalFormatting sqref="B556:C561 D556:E561">
    <cfRule type="expression" dxfId="11" priority="1354" stopIfTrue="1">
      <formula>OR($A556="date", $A556="datetime", $A556="time")</formula>
    </cfRule>
  </conditionalFormatting>
  <conditionalFormatting sqref="B556:C561 D556:E561">
    <cfRule type="expression" dxfId="12" priority="1355" stopIfTrue="1">
      <formula>$A556="image"</formula>
    </cfRule>
  </conditionalFormatting>
  <conditionalFormatting sqref="B556:C561 D556:E561">
    <cfRule type="expression" dxfId="13" priority="1356" stopIfTrue="1">
      <formula>OR($A556="audio", $A556="video")</formula>
    </cfRule>
  </conditionalFormatting>
  <conditionalFormatting sqref="B556:E561">
    <cfRule type="expression" dxfId="33" priority="1357" stopIfTrue="1">
      <formula>$A556="file"</formula>
    </cfRule>
  </conditionalFormatting>
  <conditionalFormatting sqref="B556:E561">
    <cfRule type="expression" dxfId="34" priority="1358" stopIfTrue="1">
      <formula>$A556="enumerator"</formula>
    </cfRule>
  </conditionalFormatting>
  <conditionalFormatting sqref="B556:E561">
    <cfRule type="expression" dxfId="35" priority="1359" stopIfTrue="1">
      <formula>OR(AND(LEFT($A556, 14)="sensor_stream ", LEN($A556)&gt;14, NOT(ISNUMBER(SEARCH(" ", $A556, 15)))), AND(LEFT($A556, 17)="sensor_statistic ", LEN($A556)&gt;17, NOT(ISNUMBER(SEARCH(" ", $A556, 18)))))</formula>
    </cfRule>
  </conditionalFormatting>
  <conditionalFormatting sqref="B556:E561">
    <cfRule type="expression" dxfId="14" priority="1360" stopIfTrue="1">
      <formula>$A556="comments"</formula>
    </cfRule>
  </conditionalFormatting>
  <conditionalFormatting sqref="B556:E561">
    <cfRule type="expression" dxfId="15" priority="1361" stopIfTrue="1">
      <formula>OR($A556="audio", $A556="video")</formula>
    </cfRule>
  </conditionalFormatting>
  <conditionalFormatting sqref="B556:E561">
    <cfRule type="expression" dxfId="16" priority="1362" stopIfTrue="1">
      <formula>$A556="image"</formula>
    </cfRule>
  </conditionalFormatting>
  <conditionalFormatting sqref="B556:E561">
    <cfRule type="expression" dxfId="17" priority="1363" stopIfTrue="1">
      <formula>OR($A556="date", $A556="datetime", $A556="time")</formula>
    </cfRule>
  </conditionalFormatting>
  <conditionalFormatting sqref="B556:E561">
    <cfRule type="expression" dxfId="18" priority="1364" stopIfTrue="1">
      <formula>OR($A556="calculate", $A556="calculate_here")</formula>
    </cfRule>
  </conditionalFormatting>
  <conditionalFormatting sqref="B556:E561">
    <cfRule type="expression" dxfId="19" priority="1365" stopIfTrue="1">
      <formula>$A556="note"</formula>
    </cfRule>
  </conditionalFormatting>
  <conditionalFormatting sqref="B556:E561">
    <cfRule type="expression" dxfId="20" priority="1366" stopIfTrue="1">
      <formula>$A556="barcode"</formula>
    </cfRule>
  </conditionalFormatting>
  <conditionalFormatting sqref="B556:E561">
    <cfRule type="expression" dxfId="21" priority="1367" stopIfTrue="1">
      <formula>OR($A556="geopoint", $A556="geoshape", $A556="geotrace")</formula>
    </cfRule>
  </conditionalFormatting>
  <conditionalFormatting sqref="B556:E561">
    <cfRule type="expression" dxfId="22" priority="1368" stopIfTrue="1">
      <formula>OR($A556="audio audit", $A556="text audit", $A556="speed violations count", $A556="speed violations list", $A556="speed violations audit")</formula>
    </cfRule>
  </conditionalFormatting>
  <conditionalFormatting sqref="B556:E561">
    <cfRule type="expression" dxfId="23" priority="1369" stopIfTrue="1">
      <formula>OR($A556="username", $A556="phonenumber", $A556="start", $A556="end", $A556="deviceid", $A556="subscriberid", $A556="simserial", $A556="caseid")</formula>
    </cfRule>
  </conditionalFormatting>
  <conditionalFormatting sqref="B556:E561">
    <cfRule type="expression" dxfId="24" priority="1370" stopIfTrue="1">
      <formula>OR(AND(LEFT($A556, 16)="select_multiple ", LEN($A556)&gt;16, NOT(ISNUMBER(SEARCH(" ", $A556, 17)))), AND(LEFT($A556, 11)="select_one ", LEN($A556)&gt;11, NOT(ISNUMBER(SEARCH(" ", $A556, 12)))))</formula>
    </cfRule>
  </conditionalFormatting>
  <conditionalFormatting sqref="B556:E561">
    <cfRule type="expression" dxfId="25" priority="1371" stopIfTrue="1">
      <formula>$A556="decimal"</formula>
    </cfRule>
  </conditionalFormatting>
  <conditionalFormatting sqref="B556:E561">
    <cfRule type="expression" dxfId="26" priority="1372" stopIfTrue="1">
      <formula>$A556="integer"</formula>
    </cfRule>
  </conditionalFormatting>
  <conditionalFormatting sqref="B556:E561">
    <cfRule type="expression" dxfId="27" priority="1373" stopIfTrue="1">
      <formula>$A556="text"</formula>
    </cfRule>
  </conditionalFormatting>
  <conditionalFormatting sqref="B556:E561">
    <cfRule type="expression" dxfId="28" priority="1374" stopIfTrue="1">
      <formula>$A556="end repeat"</formula>
    </cfRule>
  </conditionalFormatting>
  <conditionalFormatting sqref="B556:E561">
    <cfRule type="expression" dxfId="28" priority="1375" stopIfTrue="1">
      <formula>$A556="begin repeat"</formula>
    </cfRule>
  </conditionalFormatting>
  <conditionalFormatting sqref="B556:E561">
    <cfRule type="expression" dxfId="29" priority="1376" stopIfTrue="1">
      <formula>$A556="end group"</formula>
    </cfRule>
  </conditionalFormatting>
  <conditionalFormatting sqref="B556:E561">
    <cfRule type="expression" dxfId="29" priority="1377" stopIfTrue="1">
      <formula>$A556="begin group"</formula>
    </cfRule>
  </conditionalFormatting>
  <conditionalFormatting sqref="B556:B561">
    <cfRule type="expression" dxfId="30" priority="1378" stopIfTrue="1">
      <formula>$A556="comments"</formula>
    </cfRule>
  </conditionalFormatting>
  <conditionalFormatting sqref="B556:B561">
    <cfRule type="expression" dxfId="36" priority="1379" stopIfTrue="1">
      <formula>OR(AND(LEFT($A556, 14)="sensor_stream ", LEN($A556)&gt;14, NOT(ISNUMBER(SEARCH(" ", $A556, 15)))), AND(LEFT($A556, 17)="sensor_statistic ", LEN($A556)&gt;17, NOT(ISNUMBER(SEARCH(" ", $A556, 18)))))</formula>
    </cfRule>
  </conditionalFormatting>
  <conditionalFormatting sqref="B550:C552 D550:E552">
    <cfRule type="expression" dxfId="0" priority="1380" stopIfTrue="1">
      <formula>$A550="begin group"</formula>
    </cfRule>
  </conditionalFormatting>
  <conditionalFormatting sqref="B550:C552 D550:E552">
    <cfRule type="expression" dxfId="1" priority="1381" stopIfTrue="1">
      <formula>$A550="begin repeat"</formula>
    </cfRule>
  </conditionalFormatting>
  <conditionalFormatting sqref="B550:E552">
    <cfRule type="expression" dxfId="31" priority="1382" stopIfTrue="1">
      <formula>$A550="enumerator"</formula>
    </cfRule>
  </conditionalFormatting>
  <conditionalFormatting sqref="B550:E552">
    <cfRule type="expression" dxfId="2" priority="1383" stopIfTrue="1">
      <formula>$A550="text"</formula>
    </cfRule>
  </conditionalFormatting>
  <conditionalFormatting sqref="B550:E552">
    <cfRule type="expression" dxfId="3" priority="1384" stopIfTrue="1">
      <formula>$A550="integer"</formula>
    </cfRule>
  </conditionalFormatting>
  <conditionalFormatting sqref="B550:E552">
    <cfRule type="expression" dxfId="4" priority="1385" stopIfTrue="1">
      <formula>$A550="decimal"</formula>
    </cfRule>
  </conditionalFormatting>
  <conditionalFormatting sqref="B550:C552 D550:E552">
    <cfRule type="expression" dxfId="5" priority="1386" stopIfTrue="1">
      <formula>OR(AND(LEFT($A550, 16)="select_multiple ", LEN($A550)&gt;16, NOT(ISNUMBER(SEARCH(" ", $A550, 17)))), AND(LEFT($A550, 11)="select_one ", LEN($A550)&gt;11, NOT(ISNUMBER(SEARCH(" ", $A550, 12)))))</formula>
    </cfRule>
  </conditionalFormatting>
  <conditionalFormatting sqref="B550:B552">
    <cfRule type="expression" dxfId="6" priority="1387" stopIfTrue="1">
      <formula>OR($A550="audio audit", $A550="text audit", $A550="speed violations count", $A550="speed violations list", $A550="speed violations audit")</formula>
    </cfRule>
  </conditionalFormatting>
  <conditionalFormatting sqref="B550:C552 D550:E552">
    <cfRule type="expression" dxfId="32" priority="1388" stopIfTrue="1">
      <formula>$A550="file"</formula>
    </cfRule>
  </conditionalFormatting>
  <conditionalFormatting sqref="B550:C552 D550:E552">
    <cfRule type="expression" dxfId="7" priority="1389" stopIfTrue="1">
      <formula>$A550="note"</formula>
    </cfRule>
  </conditionalFormatting>
  <conditionalFormatting sqref="B550:C552 D550:E552">
    <cfRule type="expression" dxfId="8" priority="1390" stopIfTrue="1">
      <formula>$A550="barcode"</formula>
    </cfRule>
  </conditionalFormatting>
  <conditionalFormatting sqref="B550:C552 D550:E552">
    <cfRule type="expression" dxfId="9" priority="1391" stopIfTrue="1">
      <formula>OR($A550="geopoint", $A550="geoshape", $A550="geotrace")</formula>
    </cfRule>
  </conditionalFormatting>
  <conditionalFormatting sqref="B550:B552">
    <cfRule type="expression" dxfId="10" priority="1392" stopIfTrue="1">
      <formula>OR($A550="calculate", $A550="calculate_here")</formula>
    </cfRule>
  </conditionalFormatting>
  <conditionalFormatting sqref="B550:C552 D550:E552">
    <cfRule type="expression" dxfId="11" priority="1393" stopIfTrue="1">
      <formula>OR($A550="date", $A550="datetime", $A550="time")</formula>
    </cfRule>
  </conditionalFormatting>
  <conditionalFormatting sqref="B550:C552 D550:E552">
    <cfRule type="expression" dxfId="12" priority="1394" stopIfTrue="1">
      <formula>$A550="image"</formula>
    </cfRule>
  </conditionalFormatting>
  <conditionalFormatting sqref="B550:C552 D550:E552">
    <cfRule type="expression" dxfId="13" priority="1395" stopIfTrue="1">
      <formula>OR($A550="audio", $A550="video")</formula>
    </cfRule>
  </conditionalFormatting>
  <conditionalFormatting sqref="B550:E552">
    <cfRule type="expression" dxfId="33" priority="1396" stopIfTrue="1">
      <formula>$A550="file"</formula>
    </cfRule>
  </conditionalFormatting>
  <conditionalFormatting sqref="B550:E552">
    <cfRule type="expression" dxfId="34" priority="1397" stopIfTrue="1">
      <formula>$A550="enumerator"</formula>
    </cfRule>
  </conditionalFormatting>
  <conditionalFormatting sqref="B550:E552">
    <cfRule type="expression" dxfId="35" priority="1398" stopIfTrue="1">
      <formula>OR(AND(LEFT($A550, 14)="sensor_stream ", LEN($A550)&gt;14, NOT(ISNUMBER(SEARCH(" ", $A550, 15)))), AND(LEFT($A550, 17)="sensor_statistic ", LEN($A550)&gt;17, NOT(ISNUMBER(SEARCH(" ", $A550, 18)))))</formula>
    </cfRule>
  </conditionalFormatting>
  <conditionalFormatting sqref="B550:E552">
    <cfRule type="expression" dxfId="14" priority="1399" stopIfTrue="1">
      <formula>$A550="comments"</formula>
    </cfRule>
  </conditionalFormatting>
  <conditionalFormatting sqref="B550:E552">
    <cfRule type="expression" dxfId="15" priority="1400" stopIfTrue="1">
      <formula>OR($A550="audio", $A550="video")</formula>
    </cfRule>
  </conditionalFormatting>
  <conditionalFormatting sqref="B550:E552">
    <cfRule type="expression" dxfId="16" priority="1401" stopIfTrue="1">
      <formula>$A550="image"</formula>
    </cfRule>
  </conditionalFormatting>
  <conditionalFormatting sqref="B550:E552">
    <cfRule type="expression" dxfId="17" priority="1402" stopIfTrue="1">
      <formula>OR($A550="date", $A550="datetime", $A550="time")</formula>
    </cfRule>
  </conditionalFormatting>
  <conditionalFormatting sqref="B550:E552">
    <cfRule type="expression" dxfId="18" priority="1403" stopIfTrue="1">
      <formula>OR($A550="calculate", $A550="calculate_here")</formula>
    </cfRule>
  </conditionalFormatting>
  <conditionalFormatting sqref="B550:E552">
    <cfRule type="expression" dxfId="19" priority="1404" stopIfTrue="1">
      <formula>$A550="note"</formula>
    </cfRule>
  </conditionalFormatting>
  <conditionalFormatting sqref="B550:E552">
    <cfRule type="expression" dxfId="20" priority="1405" stopIfTrue="1">
      <formula>$A550="barcode"</formula>
    </cfRule>
  </conditionalFormatting>
  <conditionalFormatting sqref="B550:E552">
    <cfRule type="expression" dxfId="21" priority="1406" stopIfTrue="1">
      <formula>OR($A550="geopoint", $A550="geoshape", $A550="geotrace")</formula>
    </cfRule>
  </conditionalFormatting>
  <conditionalFormatting sqref="B550:E552">
    <cfRule type="expression" dxfId="22" priority="1407" stopIfTrue="1">
      <formula>OR($A550="audio audit", $A550="text audit", $A550="speed violations count", $A550="speed violations list", $A550="speed violations audit")</formula>
    </cfRule>
  </conditionalFormatting>
  <conditionalFormatting sqref="B550:E552">
    <cfRule type="expression" dxfId="23" priority="1408" stopIfTrue="1">
      <formula>OR($A550="username", $A550="phonenumber", $A550="start", $A550="end", $A550="deviceid", $A550="subscriberid", $A550="simserial", $A550="caseid")</formula>
    </cfRule>
  </conditionalFormatting>
  <conditionalFormatting sqref="B550:E552">
    <cfRule type="expression" dxfId="24" priority="1409" stopIfTrue="1">
      <formula>OR(AND(LEFT($A550, 16)="select_multiple ", LEN($A550)&gt;16, NOT(ISNUMBER(SEARCH(" ", $A550, 17)))), AND(LEFT($A550, 11)="select_one ", LEN($A550)&gt;11, NOT(ISNUMBER(SEARCH(" ", $A550, 12)))))</formula>
    </cfRule>
  </conditionalFormatting>
  <conditionalFormatting sqref="B550:E552">
    <cfRule type="expression" dxfId="25" priority="1410" stopIfTrue="1">
      <formula>$A550="decimal"</formula>
    </cfRule>
  </conditionalFormatting>
  <conditionalFormatting sqref="B550:E552">
    <cfRule type="expression" dxfId="26" priority="1411" stopIfTrue="1">
      <formula>$A550="integer"</formula>
    </cfRule>
  </conditionalFormatting>
  <conditionalFormatting sqref="B550:E552">
    <cfRule type="expression" dxfId="27" priority="1412" stopIfTrue="1">
      <formula>$A550="text"</formula>
    </cfRule>
  </conditionalFormatting>
  <conditionalFormatting sqref="B550:E552">
    <cfRule type="expression" dxfId="28" priority="1413" stopIfTrue="1">
      <formula>$A550="end repeat"</formula>
    </cfRule>
  </conditionalFormatting>
  <conditionalFormatting sqref="B550:E552">
    <cfRule type="expression" dxfId="28" priority="1414" stopIfTrue="1">
      <formula>$A550="begin repeat"</formula>
    </cfRule>
  </conditionalFormatting>
  <conditionalFormatting sqref="B550:E552">
    <cfRule type="expression" dxfId="29" priority="1415" stopIfTrue="1">
      <formula>$A550="end group"</formula>
    </cfRule>
  </conditionalFormatting>
  <conditionalFormatting sqref="B550:E552">
    <cfRule type="expression" dxfId="29" priority="1416" stopIfTrue="1">
      <formula>$A550="begin group"</formula>
    </cfRule>
  </conditionalFormatting>
  <conditionalFormatting sqref="B550:B552">
    <cfRule type="expression" dxfId="30" priority="1417" stopIfTrue="1">
      <formula>$A550="comments"</formula>
    </cfRule>
  </conditionalFormatting>
  <conditionalFormatting sqref="B550:B552">
    <cfRule type="expression" dxfId="36" priority="1418" stopIfTrue="1">
      <formula>OR(AND(LEFT($A550, 14)="sensor_stream ", LEN($A550)&gt;14, NOT(ISNUMBER(SEARCH(" ", $A550, 15)))), AND(LEFT($A550, 17)="sensor_statistic ", LEN($A550)&gt;17, NOT(ISNUMBER(SEARCH(" ", $A550, 18)))))</formula>
    </cfRule>
  </conditionalFormatting>
  <conditionalFormatting sqref="B545:C546 D545:E546">
    <cfRule type="expression" dxfId="0" priority="1419" stopIfTrue="1">
      <formula>$A545="begin group"</formula>
    </cfRule>
  </conditionalFormatting>
  <conditionalFormatting sqref="B545:C546 D545:E546">
    <cfRule type="expression" dxfId="1" priority="1420" stopIfTrue="1">
      <formula>$A545="begin repeat"</formula>
    </cfRule>
  </conditionalFormatting>
  <conditionalFormatting sqref="B545:E546">
    <cfRule type="expression" dxfId="31" priority="1421" stopIfTrue="1">
      <formula>$A545="enumerator"</formula>
    </cfRule>
  </conditionalFormatting>
  <conditionalFormatting sqref="B545:E546">
    <cfRule type="expression" dxfId="2" priority="1422" stopIfTrue="1">
      <formula>$A545="text"</formula>
    </cfRule>
  </conditionalFormatting>
  <conditionalFormatting sqref="B545:E546">
    <cfRule type="expression" dxfId="3" priority="1423" stopIfTrue="1">
      <formula>$A545="integer"</formula>
    </cfRule>
  </conditionalFormatting>
  <conditionalFormatting sqref="B545:E546">
    <cfRule type="expression" dxfId="4" priority="1424" stopIfTrue="1">
      <formula>$A545="decimal"</formula>
    </cfRule>
  </conditionalFormatting>
  <conditionalFormatting sqref="B545:C546 D545:E546">
    <cfRule type="expression" dxfId="5" priority="1425" stopIfTrue="1">
      <formula>OR(AND(LEFT($A545, 16)="select_multiple ", LEN($A545)&gt;16, NOT(ISNUMBER(SEARCH(" ", $A545, 17)))), AND(LEFT($A545, 11)="select_one ", LEN($A545)&gt;11, NOT(ISNUMBER(SEARCH(" ", $A545, 12)))))</formula>
    </cfRule>
  </conditionalFormatting>
  <conditionalFormatting sqref="B545:B546">
    <cfRule type="expression" dxfId="6" priority="1426" stopIfTrue="1">
      <formula>OR($A545="audio audit", $A545="text audit", $A545="speed violations count", $A545="speed violations list", $A545="speed violations audit")</formula>
    </cfRule>
  </conditionalFormatting>
  <conditionalFormatting sqref="B545:C546 D545:E546">
    <cfRule type="expression" dxfId="32" priority="1427" stopIfTrue="1">
      <formula>$A545="file"</formula>
    </cfRule>
  </conditionalFormatting>
  <conditionalFormatting sqref="B545:C546 D545:E546">
    <cfRule type="expression" dxfId="7" priority="1428" stopIfTrue="1">
      <formula>$A545="note"</formula>
    </cfRule>
  </conditionalFormatting>
  <conditionalFormatting sqref="B545:C546 D545:E546">
    <cfRule type="expression" dxfId="8" priority="1429" stopIfTrue="1">
      <formula>$A545="barcode"</formula>
    </cfRule>
  </conditionalFormatting>
  <conditionalFormatting sqref="B545:C546 D545:E546">
    <cfRule type="expression" dxfId="9" priority="1430" stopIfTrue="1">
      <formula>OR($A545="geopoint", $A545="geoshape", $A545="geotrace")</formula>
    </cfRule>
  </conditionalFormatting>
  <conditionalFormatting sqref="B545:B546">
    <cfRule type="expression" dxfId="10" priority="1431" stopIfTrue="1">
      <formula>OR($A545="calculate", $A545="calculate_here")</formula>
    </cfRule>
  </conditionalFormatting>
  <conditionalFormatting sqref="B545:C546 D545:E546">
    <cfRule type="expression" dxfId="11" priority="1432" stopIfTrue="1">
      <formula>OR($A545="date", $A545="datetime", $A545="time")</formula>
    </cfRule>
  </conditionalFormatting>
  <conditionalFormatting sqref="B545:C546 D545:E546">
    <cfRule type="expression" dxfId="12" priority="1433" stopIfTrue="1">
      <formula>$A545="image"</formula>
    </cfRule>
  </conditionalFormatting>
  <conditionalFormatting sqref="B545:C546 D545:E546">
    <cfRule type="expression" dxfId="13" priority="1434" stopIfTrue="1">
      <formula>OR($A545="audio", $A545="video")</formula>
    </cfRule>
  </conditionalFormatting>
  <conditionalFormatting sqref="B545:E546">
    <cfRule type="expression" dxfId="33" priority="1435" stopIfTrue="1">
      <formula>$A545="file"</formula>
    </cfRule>
  </conditionalFormatting>
  <conditionalFormatting sqref="B545:E546">
    <cfRule type="expression" dxfId="34" priority="1436" stopIfTrue="1">
      <formula>$A545="enumerator"</formula>
    </cfRule>
  </conditionalFormatting>
  <conditionalFormatting sqref="B545:E546">
    <cfRule type="expression" dxfId="35" priority="1437" stopIfTrue="1">
      <formula>OR(AND(LEFT($A545, 14)="sensor_stream ", LEN($A545)&gt;14, NOT(ISNUMBER(SEARCH(" ", $A545, 15)))), AND(LEFT($A545, 17)="sensor_statistic ", LEN($A545)&gt;17, NOT(ISNUMBER(SEARCH(" ", $A545, 18)))))</formula>
    </cfRule>
  </conditionalFormatting>
  <conditionalFormatting sqref="B545:E546">
    <cfRule type="expression" dxfId="14" priority="1438" stopIfTrue="1">
      <formula>$A545="comments"</formula>
    </cfRule>
  </conditionalFormatting>
  <conditionalFormatting sqref="B545:E546">
    <cfRule type="expression" dxfId="15" priority="1439" stopIfTrue="1">
      <formula>OR($A545="audio", $A545="video")</formula>
    </cfRule>
  </conditionalFormatting>
  <conditionalFormatting sqref="B545:E546">
    <cfRule type="expression" dxfId="16" priority="1440" stopIfTrue="1">
      <formula>$A545="image"</formula>
    </cfRule>
  </conditionalFormatting>
  <conditionalFormatting sqref="B545:E546">
    <cfRule type="expression" dxfId="17" priority="1441" stopIfTrue="1">
      <formula>OR($A545="date", $A545="datetime", $A545="time")</formula>
    </cfRule>
  </conditionalFormatting>
  <conditionalFormatting sqref="B545:E546">
    <cfRule type="expression" dxfId="18" priority="1442" stopIfTrue="1">
      <formula>OR($A545="calculate", $A545="calculate_here")</formula>
    </cfRule>
  </conditionalFormatting>
  <conditionalFormatting sqref="B545:E546">
    <cfRule type="expression" dxfId="19" priority="1443" stopIfTrue="1">
      <formula>$A545="note"</formula>
    </cfRule>
  </conditionalFormatting>
  <conditionalFormatting sqref="B545:E546">
    <cfRule type="expression" dxfId="20" priority="1444" stopIfTrue="1">
      <formula>$A545="barcode"</formula>
    </cfRule>
  </conditionalFormatting>
  <conditionalFormatting sqref="B545:E546">
    <cfRule type="expression" dxfId="21" priority="1445" stopIfTrue="1">
      <formula>OR($A545="geopoint", $A545="geoshape", $A545="geotrace")</formula>
    </cfRule>
  </conditionalFormatting>
  <conditionalFormatting sqref="B545:E546">
    <cfRule type="expression" dxfId="22" priority="1446" stopIfTrue="1">
      <formula>OR($A545="audio audit", $A545="text audit", $A545="speed violations count", $A545="speed violations list", $A545="speed violations audit")</formula>
    </cfRule>
  </conditionalFormatting>
  <conditionalFormatting sqref="B545:E546">
    <cfRule type="expression" dxfId="23" priority="1447" stopIfTrue="1">
      <formula>OR($A545="username", $A545="phonenumber", $A545="start", $A545="end", $A545="deviceid", $A545="subscriberid", $A545="simserial", $A545="caseid")</formula>
    </cfRule>
  </conditionalFormatting>
  <conditionalFormatting sqref="B545:E546">
    <cfRule type="expression" dxfId="24" priority="1448" stopIfTrue="1">
      <formula>OR(AND(LEFT($A545, 16)="select_multiple ", LEN($A545)&gt;16, NOT(ISNUMBER(SEARCH(" ", $A545, 17)))), AND(LEFT($A545, 11)="select_one ", LEN($A545)&gt;11, NOT(ISNUMBER(SEARCH(" ", $A545, 12)))))</formula>
    </cfRule>
  </conditionalFormatting>
  <conditionalFormatting sqref="B545:E546">
    <cfRule type="expression" dxfId="25" priority="1449" stopIfTrue="1">
      <formula>$A545="decimal"</formula>
    </cfRule>
  </conditionalFormatting>
  <conditionalFormatting sqref="B545:E546">
    <cfRule type="expression" dxfId="26" priority="1450" stopIfTrue="1">
      <formula>$A545="integer"</formula>
    </cfRule>
  </conditionalFormatting>
  <conditionalFormatting sqref="B545:E546">
    <cfRule type="expression" dxfId="27" priority="1451" stopIfTrue="1">
      <formula>$A545="text"</formula>
    </cfRule>
  </conditionalFormatting>
  <conditionalFormatting sqref="B545:E546">
    <cfRule type="expression" dxfId="28" priority="1452" stopIfTrue="1">
      <formula>$A545="end repeat"</formula>
    </cfRule>
  </conditionalFormatting>
  <conditionalFormatting sqref="B545:E546">
    <cfRule type="expression" dxfId="28" priority="1453" stopIfTrue="1">
      <formula>$A545="begin repeat"</formula>
    </cfRule>
  </conditionalFormatting>
  <conditionalFormatting sqref="B545:E546">
    <cfRule type="expression" dxfId="29" priority="1454" stopIfTrue="1">
      <formula>$A545="end group"</formula>
    </cfRule>
  </conditionalFormatting>
  <conditionalFormatting sqref="B545:E546">
    <cfRule type="expression" dxfId="29" priority="1455" stopIfTrue="1">
      <formula>$A545="begin group"</formula>
    </cfRule>
  </conditionalFormatting>
  <conditionalFormatting sqref="B545:B546">
    <cfRule type="expression" dxfId="30" priority="1456" stopIfTrue="1">
      <formula>$A545="comments"</formula>
    </cfRule>
  </conditionalFormatting>
  <conditionalFormatting sqref="B545:B546">
    <cfRule type="expression" dxfId="36" priority="1457" stopIfTrue="1">
      <formula>OR(AND(LEFT($A545, 14)="sensor_stream ", LEN($A545)&gt;14, NOT(ISNUMBER(SEARCH(" ", $A545, 15)))), AND(LEFT($A545, 17)="sensor_statistic ", LEN($A545)&gt;17, NOT(ISNUMBER(SEARCH(" ", $A545, 18)))))</formula>
    </cfRule>
  </conditionalFormatting>
  <conditionalFormatting sqref="B533:C535 D533:E535">
    <cfRule type="expression" dxfId="0" priority="1458" stopIfTrue="1">
      <formula>$A533="begin group"</formula>
    </cfRule>
  </conditionalFormatting>
  <conditionalFormatting sqref="B533:C535 D533:E535">
    <cfRule type="expression" dxfId="1" priority="1459" stopIfTrue="1">
      <formula>$A533="begin repeat"</formula>
    </cfRule>
  </conditionalFormatting>
  <conditionalFormatting sqref="B533:E535">
    <cfRule type="expression" dxfId="31" priority="1460" stopIfTrue="1">
      <formula>$A533="enumerator"</formula>
    </cfRule>
  </conditionalFormatting>
  <conditionalFormatting sqref="B533:E535">
    <cfRule type="expression" dxfId="2" priority="1461" stopIfTrue="1">
      <formula>$A533="text"</formula>
    </cfRule>
  </conditionalFormatting>
  <conditionalFormatting sqref="B533:E535">
    <cfRule type="expression" dxfId="3" priority="1462" stopIfTrue="1">
      <formula>$A533="integer"</formula>
    </cfRule>
  </conditionalFormatting>
  <conditionalFormatting sqref="B533:E535">
    <cfRule type="expression" dxfId="4" priority="1463" stopIfTrue="1">
      <formula>$A533="decimal"</formula>
    </cfRule>
  </conditionalFormatting>
  <conditionalFormatting sqref="B533:C535 D533:E535">
    <cfRule type="expression" dxfId="5" priority="1464" stopIfTrue="1">
      <formula>OR(AND(LEFT($A533, 16)="select_multiple ", LEN($A533)&gt;16, NOT(ISNUMBER(SEARCH(" ", $A533, 17)))), AND(LEFT($A533, 11)="select_one ", LEN($A533)&gt;11, NOT(ISNUMBER(SEARCH(" ", $A533, 12)))))</formula>
    </cfRule>
  </conditionalFormatting>
  <conditionalFormatting sqref="B533:B535">
    <cfRule type="expression" dxfId="6" priority="1465" stopIfTrue="1">
      <formula>OR($A533="audio audit", $A533="text audit", $A533="speed violations count", $A533="speed violations list", $A533="speed violations audit")</formula>
    </cfRule>
  </conditionalFormatting>
  <conditionalFormatting sqref="B533:C535 D533:E535">
    <cfRule type="expression" dxfId="32" priority="1466" stopIfTrue="1">
      <formula>$A533="file"</formula>
    </cfRule>
  </conditionalFormatting>
  <conditionalFormatting sqref="B533:C535 D533:E535">
    <cfRule type="expression" dxfId="7" priority="1467" stopIfTrue="1">
      <formula>$A533="note"</formula>
    </cfRule>
  </conditionalFormatting>
  <conditionalFormatting sqref="B533:C535 D533:E535">
    <cfRule type="expression" dxfId="8" priority="1468" stopIfTrue="1">
      <formula>$A533="barcode"</formula>
    </cfRule>
  </conditionalFormatting>
  <conditionalFormatting sqref="B533:C535 D533:E535">
    <cfRule type="expression" dxfId="9" priority="1469" stopIfTrue="1">
      <formula>OR($A533="geopoint", $A533="geoshape", $A533="geotrace")</formula>
    </cfRule>
  </conditionalFormatting>
  <conditionalFormatting sqref="B533:B535">
    <cfRule type="expression" dxfId="10" priority="1470" stopIfTrue="1">
      <formula>OR($A533="calculate", $A533="calculate_here")</formula>
    </cfRule>
  </conditionalFormatting>
  <conditionalFormatting sqref="B533:C535 D533:E535">
    <cfRule type="expression" dxfId="11" priority="1471" stopIfTrue="1">
      <formula>OR($A533="date", $A533="datetime", $A533="time")</formula>
    </cfRule>
  </conditionalFormatting>
  <conditionalFormatting sqref="B533:C535 D533:E535">
    <cfRule type="expression" dxfId="12" priority="1472" stopIfTrue="1">
      <formula>$A533="image"</formula>
    </cfRule>
  </conditionalFormatting>
  <conditionalFormatting sqref="B533:C535 D533:E535">
    <cfRule type="expression" dxfId="13" priority="1473" stopIfTrue="1">
      <formula>OR($A533="audio", $A533="video")</formula>
    </cfRule>
  </conditionalFormatting>
  <conditionalFormatting sqref="B533:E535">
    <cfRule type="expression" dxfId="33" priority="1474" stopIfTrue="1">
      <formula>$A533="file"</formula>
    </cfRule>
  </conditionalFormatting>
  <conditionalFormatting sqref="B533:E535">
    <cfRule type="expression" dxfId="34" priority="1475" stopIfTrue="1">
      <formula>$A533="enumerator"</formula>
    </cfRule>
  </conditionalFormatting>
  <conditionalFormatting sqref="B533:E535">
    <cfRule type="expression" dxfId="35" priority="1476" stopIfTrue="1">
      <formula>OR(AND(LEFT($A533, 14)="sensor_stream ", LEN($A533)&gt;14, NOT(ISNUMBER(SEARCH(" ", $A533, 15)))), AND(LEFT($A533, 17)="sensor_statistic ", LEN($A533)&gt;17, NOT(ISNUMBER(SEARCH(" ", $A533, 18)))))</formula>
    </cfRule>
  </conditionalFormatting>
  <conditionalFormatting sqref="B533:E535">
    <cfRule type="expression" dxfId="14" priority="1477" stopIfTrue="1">
      <formula>$A533="comments"</formula>
    </cfRule>
  </conditionalFormatting>
  <conditionalFormatting sqref="B533:E535">
    <cfRule type="expression" dxfId="15" priority="1478" stopIfTrue="1">
      <formula>OR($A533="audio", $A533="video")</formula>
    </cfRule>
  </conditionalFormatting>
  <conditionalFormatting sqref="B533:E535">
    <cfRule type="expression" dxfId="16" priority="1479" stopIfTrue="1">
      <formula>$A533="image"</formula>
    </cfRule>
  </conditionalFormatting>
  <conditionalFormatting sqref="B533:E535">
    <cfRule type="expression" dxfId="17" priority="1480" stopIfTrue="1">
      <formula>OR($A533="date", $A533="datetime", $A533="time")</formula>
    </cfRule>
  </conditionalFormatting>
  <conditionalFormatting sqref="B533:E535">
    <cfRule type="expression" dxfId="18" priority="1481" stopIfTrue="1">
      <formula>OR($A533="calculate", $A533="calculate_here")</formula>
    </cfRule>
  </conditionalFormatting>
  <conditionalFormatting sqref="B533:E535">
    <cfRule type="expression" dxfId="19" priority="1482" stopIfTrue="1">
      <formula>$A533="note"</formula>
    </cfRule>
  </conditionalFormatting>
  <conditionalFormatting sqref="B533:E535">
    <cfRule type="expression" dxfId="20" priority="1483" stopIfTrue="1">
      <formula>$A533="barcode"</formula>
    </cfRule>
  </conditionalFormatting>
  <conditionalFormatting sqref="B533:E535">
    <cfRule type="expression" dxfId="21" priority="1484" stopIfTrue="1">
      <formula>OR($A533="geopoint", $A533="geoshape", $A533="geotrace")</formula>
    </cfRule>
  </conditionalFormatting>
  <conditionalFormatting sqref="B533:E535">
    <cfRule type="expression" dxfId="22" priority="1485" stopIfTrue="1">
      <formula>OR($A533="audio audit", $A533="text audit", $A533="speed violations count", $A533="speed violations list", $A533="speed violations audit")</formula>
    </cfRule>
  </conditionalFormatting>
  <conditionalFormatting sqref="B533:E535">
    <cfRule type="expression" dxfId="23" priority="1486" stopIfTrue="1">
      <formula>OR($A533="username", $A533="phonenumber", $A533="start", $A533="end", $A533="deviceid", $A533="subscriberid", $A533="simserial", $A533="caseid")</formula>
    </cfRule>
  </conditionalFormatting>
  <conditionalFormatting sqref="B533:E535">
    <cfRule type="expression" dxfId="24" priority="1487" stopIfTrue="1">
      <formula>OR(AND(LEFT($A533, 16)="select_multiple ", LEN($A533)&gt;16, NOT(ISNUMBER(SEARCH(" ", $A533, 17)))), AND(LEFT($A533, 11)="select_one ", LEN($A533)&gt;11, NOT(ISNUMBER(SEARCH(" ", $A533, 12)))))</formula>
    </cfRule>
  </conditionalFormatting>
  <conditionalFormatting sqref="B533:E535">
    <cfRule type="expression" dxfId="25" priority="1488" stopIfTrue="1">
      <formula>$A533="decimal"</formula>
    </cfRule>
  </conditionalFormatting>
  <conditionalFormatting sqref="B533:E535">
    <cfRule type="expression" dxfId="26" priority="1489" stopIfTrue="1">
      <formula>$A533="integer"</formula>
    </cfRule>
  </conditionalFormatting>
  <conditionalFormatting sqref="B533:E535">
    <cfRule type="expression" dxfId="27" priority="1490" stopIfTrue="1">
      <formula>$A533="text"</formula>
    </cfRule>
  </conditionalFormatting>
  <conditionalFormatting sqref="B533:E535">
    <cfRule type="expression" dxfId="28" priority="1491" stopIfTrue="1">
      <formula>$A533="end repeat"</formula>
    </cfRule>
  </conditionalFormatting>
  <conditionalFormatting sqref="B533:E535">
    <cfRule type="expression" dxfId="28" priority="1492" stopIfTrue="1">
      <formula>$A533="begin repeat"</formula>
    </cfRule>
  </conditionalFormatting>
  <conditionalFormatting sqref="B533:E535">
    <cfRule type="expression" dxfId="29" priority="1493" stopIfTrue="1">
      <formula>$A533="end group"</formula>
    </cfRule>
  </conditionalFormatting>
  <conditionalFormatting sqref="B533:E535">
    <cfRule type="expression" dxfId="29" priority="1494" stopIfTrue="1">
      <formula>$A533="begin group"</formula>
    </cfRule>
  </conditionalFormatting>
  <conditionalFormatting sqref="B533:B535">
    <cfRule type="expression" dxfId="30" priority="1495" stopIfTrue="1">
      <formula>$A533="comments"</formula>
    </cfRule>
  </conditionalFormatting>
  <conditionalFormatting sqref="B533:B535">
    <cfRule type="expression" dxfId="36" priority="1496" stopIfTrue="1">
      <formula>OR(AND(LEFT($A533, 14)="sensor_stream ", LEN($A533)&gt;14, NOT(ISNUMBER(SEARCH(" ", $A533, 15)))), AND(LEFT($A533, 17)="sensor_statistic ", LEN($A533)&gt;17, NOT(ISNUMBER(SEARCH(" ", $A533, 18)))))</formula>
    </cfRule>
  </conditionalFormatting>
  <conditionalFormatting sqref="B527:C528 D527:E528">
    <cfRule type="expression" dxfId="0" priority="1497" stopIfTrue="1">
      <formula>$A527="begin group"</formula>
    </cfRule>
  </conditionalFormatting>
  <conditionalFormatting sqref="B527:C528 D527:E528">
    <cfRule type="expression" dxfId="1" priority="1498" stopIfTrue="1">
      <formula>$A527="begin repeat"</formula>
    </cfRule>
  </conditionalFormatting>
  <conditionalFormatting sqref="B527:E528">
    <cfRule type="expression" dxfId="31" priority="1499" stopIfTrue="1">
      <formula>$A527="enumerator"</formula>
    </cfRule>
  </conditionalFormatting>
  <conditionalFormatting sqref="B527:E528">
    <cfRule type="expression" dxfId="2" priority="1500" stopIfTrue="1">
      <formula>$A527="text"</formula>
    </cfRule>
  </conditionalFormatting>
  <conditionalFormatting sqref="B527:E528">
    <cfRule type="expression" dxfId="3" priority="1501" stopIfTrue="1">
      <formula>$A527="integer"</formula>
    </cfRule>
  </conditionalFormatting>
  <conditionalFormatting sqref="B527:E528">
    <cfRule type="expression" dxfId="4" priority="1502" stopIfTrue="1">
      <formula>$A527="decimal"</formula>
    </cfRule>
  </conditionalFormatting>
  <conditionalFormatting sqref="B527:C528 D527:E528">
    <cfRule type="expression" dxfId="5" priority="1503" stopIfTrue="1">
      <formula>OR(AND(LEFT($A527, 16)="select_multiple ", LEN($A527)&gt;16, NOT(ISNUMBER(SEARCH(" ", $A527, 17)))), AND(LEFT($A527, 11)="select_one ", LEN($A527)&gt;11, NOT(ISNUMBER(SEARCH(" ", $A527, 12)))))</formula>
    </cfRule>
  </conditionalFormatting>
  <conditionalFormatting sqref="B527:B528">
    <cfRule type="expression" dxfId="6" priority="1504" stopIfTrue="1">
      <formula>OR($A527="audio audit", $A527="text audit", $A527="speed violations count", $A527="speed violations list", $A527="speed violations audit")</formula>
    </cfRule>
  </conditionalFormatting>
  <conditionalFormatting sqref="B527:C528 D527:E528">
    <cfRule type="expression" dxfId="32" priority="1505" stopIfTrue="1">
      <formula>$A527="file"</formula>
    </cfRule>
  </conditionalFormatting>
  <conditionalFormatting sqref="B527:C528 D527:E528">
    <cfRule type="expression" dxfId="7" priority="1506" stopIfTrue="1">
      <formula>$A527="note"</formula>
    </cfRule>
  </conditionalFormatting>
  <conditionalFormatting sqref="B527:C528 D527:E528">
    <cfRule type="expression" dxfId="8" priority="1507" stopIfTrue="1">
      <formula>$A527="barcode"</formula>
    </cfRule>
  </conditionalFormatting>
  <conditionalFormatting sqref="B527:C528 D527:E528">
    <cfRule type="expression" dxfId="9" priority="1508" stopIfTrue="1">
      <formula>OR($A527="geopoint", $A527="geoshape", $A527="geotrace")</formula>
    </cfRule>
  </conditionalFormatting>
  <conditionalFormatting sqref="B527:B528">
    <cfRule type="expression" dxfId="10" priority="1509" stopIfTrue="1">
      <formula>OR($A527="calculate", $A527="calculate_here")</formula>
    </cfRule>
  </conditionalFormatting>
  <conditionalFormatting sqref="B527:C528 D527:E528">
    <cfRule type="expression" dxfId="11" priority="1510" stopIfTrue="1">
      <formula>OR($A527="date", $A527="datetime", $A527="time")</formula>
    </cfRule>
  </conditionalFormatting>
  <conditionalFormatting sqref="B527:C528 D527:E528">
    <cfRule type="expression" dxfId="12" priority="1511" stopIfTrue="1">
      <formula>$A527="image"</formula>
    </cfRule>
  </conditionalFormatting>
  <conditionalFormatting sqref="B527:C528 D527:E528">
    <cfRule type="expression" dxfId="13" priority="1512" stopIfTrue="1">
      <formula>OR($A527="audio", $A527="video")</formula>
    </cfRule>
  </conditionalFormatting>
  <conditionalFormatting sqref="B527:E528">
    <cfRule type="expression" dxfId="33" priority="1513" stopIfTrue="1">
      <formula>$A527="file"</formula>
    </cfRule>
  </conditionalFormatting>
  <conditionalFormatting sqref="B527:E528">
    <cfRule type="expression" dxfId="34" priority="1514" stopIfTrue="1">
      <formula>$A527="enumerator"</formula>
    </cfRule>
  </conditionalFormatting>
  <conditionalFormatting sqref="B527:E528">
    <cfRule type="expression" dxfId="35" priority="1515" stopIfTrue="1">
      <formula>OR(AND(LEFT($A527, 14)="sensor_stream ", LEN($A527)&gt;14, NOT(ISNUMBER(SEARCH(" ", $A527, 15)))), AND(LEFT($A527, 17)="sensor_statistic ", LEN($A527)&gt;17, NOT(ISNUMBER(SEARCH(" ", $A527, 18)))))</formula>
    </cfRule>
  </conditionalFormatting>
  <conditionalFormatting sqref="B527:E528">
    <cfRule type="expression" dxfId="14" priority="1516" stopIfTrue="1">
      <formula>$A527="comments"</formula>
    </cfRule>
  </conditionalFormatting>
  <conditionalFormatting sqref="B527:E528">
    <cfRule type="expression" dxfId="15" priority="1517" stopIfTrue="1">
      <formula>OR($A527="audio", $A527="video")</formula>
    </cfRule>
  </conditionalFormatting>
  <conditionalFormatting sqref="B527:E528">
    <cfRule type="expression" dxfId="16" priority="1518" stopIfTrue="1">
      <formula>$A527="image"</formula>
    </cfRule>
  </conditionalFormatting>
  <conditionalFormatting sqref="B527:E528">
    <cfRule type="expression" dxfId="17" priority="1519" stopIfTrue="1">
      <formula>OR($A527="date", $A527="datetime", $A527="time")</formula>
    </cfRule>
  </conditionalFormatting>
  <conditionalFormatting sqref="B527:E528">
    <cfRule type="expression" dxfId="18" priority="1520" stopIfTrue="1">
      <formula>OR($A527="calculate", $A527="calculate_here")</formula>
    </cfRule>
  </conditionalFormatting>
  <conditionalFormatting sqref="B527:E528">
    <cfRule type="expression" dxfId="19" priority="1521" stopIfTrue="1">
      <formula>$A527="note"</formula>
    </cfRule>
  </conditionalFormatting>
  <conditionalFormatting sqref="B527:E528">
    <cfRule type="expression" dxfId="20" priority="1522" stopIfTrue="1">
      <formula>$A527="barcode"</formula>
    </cfRule>
  </conditionalFormatting>
  <conditionalFormatting sqref="B527:E528">
    <cfRule type="expression" dxfId="21" priority="1523" stopIfTrue="1">
      <formula>OR($A527="geopoint", $A527="geoshape", $A527="geotrace")</formula>
    </cfRule>
  </conditionalFormatting>
  <conditionalFormatting sqref="B527:E528">
    <cfRule type="expression" dxfId="22" priority="1524" stopIfTrue="1">
      <formula>OR($A527="audio audit", $A527="text audit", $A527="speed violations count", $A527="speed violations list", $A527="speed violations audit")</formula>
    </cfRule>
  </conditionalFormatting>
  <conditionalFormatting sqref="B527:E528">
    <cfRule type="expression" dxfId="23" priority="1525" stopIfTrue="1">
      <formula>OR($A527="username", $A527="phonenumber", $A527="start", $A527="end", $A527="deviceid", $A527="subscriberid", $A527="simserial", $A527="caseid")</formula>
    </cfRule>
  </conditionalFormatting>
  <conditionalFormatting sqref="B527:E528">
    <cfRule type="expression" dxfId="24" priority="1526" stopIfTrue="1">
      <formula>OR(AND(LEFT($A527, 16)="select_multiple ", LEN($A527)&gt;16, NOT(ISNUMBER(SEARCH(" ", $A527, 17)))), AND(LEFT($A527, 11)="select_one ", LEN($A527)&gt;11, NOT(ISNUMBER(SEARCH(" ", $A527, 12)))))</formula>
    </cfRule>
  </conditionalFormatting>
  <conditionalFormatting sqref="B527:E528">
    <cfRule type="expression" dxfId="25" priority="1527" stopIfTrue="1">
      <formula>$A527="decimal"</formula>
    </cfRule>
  </conditionalFormatting>
  <conditionalFormatting sqref="B527:E528">
    <cfRule type="expression" dxfId="26" priority="1528" stopIfTrue="1">
      <formula>$A527="integer"</formula>
    </cfRule>
  </conditionalFormatting>
  <conditionalFormatting sqref="B527:E528">
    <cfRule type="expression" dxfId="27" priority="1529" stopIfTrue="1">
      <formula>$A527="text"</formula>
    </cfRule>
  </conditionalFormatting>
  <conditionalFormatting sqref="B527:E528">
    <cfRule type="expression" dxfId="28" priority="1530" stopIfTrue="1">
      <formula>$A527="end repeat"</formula>
    </cfRule>
  </conditionalFormatting>
  <conditionalFormatting sqref="B527:E528">
    <cfRule type="expression" dxfId="28" priority="1531" stopIfTrue="1">
      <formula>$A527="begin repeat"</formula>
    </cfRule>
  </conditionalFormatting>
  <conditionalFormatting sqref="B527:E528">
    <cfRule type="expression" dxfId="29" priority="1532" stopIfTrue="1">
      <formula>$A527="end group"</formula>
    </cfRule>
  </conditionalFormatting>
  <conditionalFormatting sqref="B527:E528">
    <cfRule type="expression" dxfId="29" priority="1533" stopIfTrue="1">
      <formula>$A527="begin group"</formula>
    </cfRule>
  </conditionalFormatting>
  <conditionalFormatting sqref="B527:B528">
    <cfRule type="expression" dxfId="30" priority="1534" stopIfTrue="1">
      <formula>$A527="comments"</formula>
    </cfRule>
  </conditionalFormatting>
  <conditionalFormatting sqref="B527:B528">
    <cfRule type="expression" dxfId="36" priority="1535" stopIfTrue="1">
      <formula>OR(AND(LEFT($A527, 14)="sensor_stream ", LEN($A527)&gt;14, NOT(ISNUMBER(SEARCH(" ", $A527, 15)))), AND(LEFT($A527, 17)="sensor_statistic ", LEN($A527)&gt;17, NOT(ISNUMBER(SEARCH(" ", $A527, 18)))))</formula>
    </cfRule>
  </conditionalFormatting>
  <conditionalFormatting sqref="B518:C520 D518:E520">
    <cfRule type="expression" dxfId="0" priority="1536" stopIfTrue="1">
      <formula>$A518="begin group"</formula>
    </cfRule>
  </conditionalFormatting>
  <conditionalFormatting sqref="B518:C520 D518:E520">
    <cfRule type="expression" dxfId="1" priority="1537" stopIfTrue="1">
      <formula>$A518="begin repeat"</formula>
    </cfRule>
  </conditionalFormatting>
  <conditionalFormatting sqref="B518:E520">
    <cfRule type="expression" dxfId="31" priority="1538" stopIfTrue="1">
      <formula>$A518="enumerator"</formula>
    </cfRule>
  </conditionalFormatting>
  <conditionalFormatting sqref="B518:E520">
    <cfRule type="expression" dxfId="2" priority="1539" stopIfTrue="1">
      <formula>$A518="text"</formula>
    </cfRule>
  </conditionalFormatting>
  <conditionalFormatting sqref="B518:E520">
    <cfRule type="expression" dxfId="3" priority="1540" stopIfTrue="1">
      <formula>$A518="integer"</formula>
    </cfRule>
  </conditionalFormatting>
  <conditionalFormatting sqref="B518:E520">
    <cfRule type="expression" dxfId="4" priority="1541" stopIfTrue="1">
      <formula>$A518="decimal"</formula>
    </cfRule>
  </conditionalFormatting>
  <conditionalFormatting sqref="B518:C520 D518:E520">
    <cfRule type="expression" dxfId="5" priority="1542" stopIfTrue="1">
      <formula>OR(AND(LEFT($A518, 16)="select_multiple ", LEN($A518)&gt;16, NOT(ISNUMBER(SEARCH(" ", $A518, 17)))), AND(LEFT($A518, 11)="select_one ", LEN($A518)&gt;11, NOT(ISNUMBER(SEARCH(" ", $A518, 12)))))</formula>
    </cfRule>
  </conditionalFormatting>
  <conditionalFormatting sqref="B518:B520">
    <cfRule type="expression" dxfId="6" priority="1543" stopIfTrue="1">
      <formula>OR($A518="audio audit", $A518="text audit", $A518="speed violations count", $A518="speed violations list", $A518="speed violations audit")</formula>
    </cfRule>
  </conditionalFormatting>
  <conditionalFormatting sqref="B518:C520 D518:E520">
    <cfRule type="expression" dxfId="32" priority="1544" stopIfTrue="1">
      <formula>$A518="file"</formula>
    </cfRule>
  </conditionalFormatting>
  <conditionalFormatting sqref="B518:C520 D518:E520">
    <cfRule type="expression" dxfId="7" priority="1545" stopIfTrue="1">
      <formula>$A518="note"</formula>
    </cfRule>
  </conditionalFormatting>
  <conditionalFormatting sqref="B518:C520 D518:E520">
    <cfRule type="expression" dxfId="8" priority="1546" stopIfTrue="1">
      <formula>$A518="barcode"</formula>
    </cfRule>
  </conditionalFormatting>
  <conditionalFormatting sqref="B518:C520 D518:E520">
    <cfRule type="expression" dxfId="9" priority="1547" stopIfTrue="1">
      <formula>OR($A518="geopoint", $A518="geoshape", $A518="geotrace")</formula>
    </cfRule>
  </conditionalFormatting>
  <conditionalFormatting sqref="B518:B520">
    <cfRule type="expression" dxfId="10" priority="1548" stopIfTrue="1">
      <formula>OR($A518="calculate", $A518="calculate_here")</formula>
    </cfRule>
  </conditionalFormatting>
  <conditionalFormatting sqref="B518:C520 D518:E520">
    <cfRule type="expression" dxfId="11" priority="1549" stopIfTrue="1">
      <formula>OR($A518="date", $A518="datetime", $A518="time")</formula>
    </cfRule>
  </conditionalFormatting>
  <conditionalFormatting sqref="B518:C520 D518:E520">
    <cfRule type="expression" dxfId="12" priority="1550" stopIfTrue="1">
      <formula>$A518="image"</formula>
    </cfRule>
  </conditionalFormatting>
  <conditionalFormatting sqref="B518:C520 D518:E520">
    <cfRule type="expression" dxfId="13" priority="1551" stopIfTrue="1">
      <formula>OR($A518="audio", $A518="video")</formula>
    </cfRule>
  </conditionalFormatting>
  <conditionalFormatting sqref="B518:E520">
    <cfRule type="expression" dxfId="33" priority="1552" stopIfTrue="1">
      <formula>$A518="file"</formula>
    </cfRule>
  </conditionalFormatting>
  <conditionalFormatting sqref="B518:E520">
    <cfRule type="expression" dxfId="34" priority="1553" stopIfTrue="1">
      <formula>$A518="enumerator"</formula>
    </cfRule>
  </conditionalFormatting>
  <conditionalFormatting sqref="B518:E520">
    <cfRule type="expression" dxfId="35" priority="1554" stopIfTrue="1">
      <formula>OR(AND(LEFT($A518, 14)="sensor_stream ", LEN($A518)&gt;14, NOT(ISNUMBER(SEARCH(" ", $A518, 15)))), AND(LEFT($A518, 17)="sensor_statistic ", LEN($A518)&gt;17, NOT(ISNUMBER(SEARCH(" ", $A518, 18)))))</formula>
    </cfRule>
  </conditionalFormatting>
  <conditionalFormatting sqref="B518:E520">
    <cfRule type="expression" dxfId="14" priority="1555" stopIfTrue="1">
      <formula>$A518="comments"</formula>
    </cfRule>
  </conditionalFormatting>
  <conditionalFormatting sqref="B518:E520">
    <cfRule type="expression" dxfId="15" priority="1556" stopIfTrue="1">
      <formula>OR($A518="audio", $A518="video")</formula>
    </cfRule>
  </conditionalFormatting>
  <conditionalFormatting sqref="B518:E520">
    <cfRule type="expression" dxfId="16" priority="1557" stopIfTrue="1">
      <formula>$A518="image"</formula>
    </cfRule>
  </conditionalFormatting>
  <conditionalFormatting sqref="B518:E520">
    <cfRule type="expression" dxfId="17" priority="1558" stopIfTrue="1">
      <formula>OR($A518="date", $A518="datetime", $A518="time")</formula>
    </cfRule>
  </conditionalFormatting>
  <conditionalFormatting sqref="B518:E520">
    <cfRule type="expression" dxfId="18" priority="1559" stopIfTrue="1">
      <formula>OR($A518="calculate", $A518="calculate_here")</formula>
    </cfRule>
  </conditionalFormatting>
  <conditionalFormatting sqref="B518:E520">
    <cfRule type="expression" dxfId="19" priority="1560" stopIfTrue="1">
      <formula>$A518="note"</formula>
    </cfRule>
  </conditionalFormatting>
  <conditionalFormatting sqref="B518:E520">
    <cfRule type="expression" dxfId="20" priority="1561" stopIfTrue="1">
      <formula>$A518="barcode"</formula>
    </cfRule>
  </conditionalFormatting>
  <conditionalFormatting sqref="B518:E520">
    <cfRule type="expression" dxfId="21" priority="1562" stopIfTrue="1">
      <formula>OR($A518="geopoint", $A518="geoshape", $A518="geotrace")</formula>
    </cfRule>
  </conditionalFormatting>
  <conditionalFormatting sqref="B518:E520">
    <cfRule type="expression" dxfId="22" priority="1563" stopIfTrue="1">
      <formula>OR($A518="audio audit", $A518="text audit", $A518="speed violations count", $A518="speed violations list", $A518="speed violations audit")</formula>
    </cfRule>
  </conditionalFormatting>
  <conditionalFormatting sqref="B518:E520">
    <cfRule type="expression" dxfId="23" priority="1564" stopIfTrue="1">
      <formula>OR($A518="username", $A518="phonenumber", $A518="start", $A518="end", $A518="deviceid", $A518="subscriberid", $A518="simserial", $A518="caseid")</formula>
    </cfRule>
  </conditionalFormatting>
  <conditionalFormatting sqref="B518:E520">
    <cfRule type="expression" dxfId="24" priority="1565" stopIfTrue="1">
      <formula>OR(AND(LEFT($A518, 16)="select_multiple ", LEN($A518)&gt;16, NOT(ISNUMBER(SEARCH(" ", $A518, 17)))), AND(LEFT($A518, 11)="select_one ", LEN($A518)&gt;11, NOT(ISNUMBER(SEARCH(" ", $A518, 12)))))</formula>
    </cfRule>
  </conditionalFormatting>
  <conditionalFormatting sqref="B518:E520">
    <cfRule type="expression" dxfId="25" priority="1566" stopIfTrue="1">
      <formula>$A518="decimal"</formula>
    </cfRule>
  </conditionalFormatting>
  <conditionalFormatting sqref="B518:E520">
    <cfRule type="expression" dxfId="26" priority="1567" stopIfTrue="1">
      <formula>$A518="integer"</formula>
    </cfRule>
  </conditionalFormatting>
  <conditionalFormatting sqref="B518:E520">
    <cfRule type="expression" dxfId="27" priority="1568" stopIfTrue="1">
      <formula>$A518="text"</formula>
    </cfRule>
  </conditionalFormatting>
  <conditionalFormatting sqref="B518:E520">
    <cfRule type="expression" dxfId="28" priority="1569" stopIfTrue="1">
      <formula>$A518="end repeat"</formula>
    </cfRule>
  </conditionalFormatting>
  <conditionalFormatting sqref="B518:E520">
    <cfRule type="expression" dxfId="28" priority="1570" stopIfTrue="1">
      <formula>$A518="begin repeat"</formula>
    </cfRule>
  </conditionalFormatting>
  <conditionalFormatting sqref="B518:E520">
    <cfRule type="expression" dxfId="29" priority="1571" stopIfTrue="1">
      <formula>$A518="end group"</formula>
    </cfRule>
  </conditionalFormatting>
  <conditionalFormatting sqref="B518:E520">
    <cfRule type="expression" dxfId="29" priority="1572" stopIfTrue="1">
      <formula>$A518="begin group"</formula>
    </cfRule>
  </conditionalFormatting>
  <conditionalFormatting sqref="B518:B520">
    <cfRule type="expression" dxfId="30" priority="1573" stopIfTrue="1">
      <formula>$A518="comments"</formula>
    </cfRule>
  </conditionalFormatting>
  <conditionalFormatting sqref="B518:B520">
    <cfRule type="expression" dxfId="36" priority="1574" stopIfTrue="1">
      <formula>OR(AND(LEFT($A518, 14)="sensor_stream ", LEN($A518)&gt;14, NOT(ISNUMBER(SEARCH(" ", $A518, 15)))), AND(LEFT($A518, 17)="sensor_statistic ", LEN($A518)&gt;17, NOT(ISNUMBER(SEARCH(" ", $A518, 18)))))</formula>
    </cfRule>
  </conditionalFormatting>
  <conditionalFormatting sqref="B512:C516 D512:E516">
    <cfRule type="expression" dxfId="0" priority="1575" stopIfTrue="1">
      <formula>$A512="begin group"</formula>
    </cfRule>
  </conditionalFormatting>
  <conditionalFormatting sqref="B512:C516 D512:E516">
    <cfRule type="expression" dxfId="1" priority="1576" stopIfTrue="1">
      <formula>$A512="begin repeat"</formula>
    </cfRule>
  </conditionalFormatting>
  <conditionalFormatting sqref="B512:E516">
    <cfRule type="expression" dxfId="31" priority="1577" stopIfTrue="1">
      <formula>$A512="enumerator"</formula>
    </cfRule>
  </conditionalFormatting>
  <conditionalFormatting sqref="B512:E516">
    <cfRule type="expression" dxfId="2" priority="1578" stopIfTrue="1">
      <formula>$A512="text"</formula>
    </cfRule>
  </conditionalFormatting>
  <conditionalFormatting sqref="B512:E516">
    <cfRule type="expression" dxfId="3" priority="1579" stopIfTrue="1">
      <formula>$A512="integer"</formula>
    </cfRule>
  </conditionalFormatting>
  <conditionalFormatting sqref="B512:E516">
    <cfRule type="expression" dxfId="4" priority="1580" stopIfTrue="1">
      <formula>$A512="decimal"</formula>
    </cfRule>
  </conditionalFormatting>
  <conditionalFormatting sqref="B512:C516 D512:E516">
    <cfRule type="expression" dxfId="5" priority="1581" stopIfTrue="1">
      <formula>OR(AND(LEFT($A512, 16)="select_multiple ", LEN($A512)&gt;16, NOT(ISNUMBER(SEARCH(" ", $A512, 17)))), AND(LEFT($A512, 11)="select_one ", LEN($A512)&gt;11, NOT(ISNUMBER(SEARCH(" ", $A512, 12)))))</formula>
    </cfRule>
  </conditionalFormatting>
  <conditionalFormatting sqref="B512:B516">
    <cfRule type="expression" dxfId="6" priority="1582" stopIfTrue="1">
      <formula>OR($A512="audio audit", $A512="text audit", $A512="speed violations count", $A512="speed violations list", $A512="speed violations audit")</formula>
    </cfRule>
  </conditionalFormatting>
  <conditionalFormatting sqref="B512:C516 D512:E516">
    <cfRule type="expression" dxfId="32" priority="1583" stopIfTrue="1">
      <formula>$A512="file"</formula>
    </cfRule>
  </conditionalFormatting>
  <conditionalFormatting sqref="B512:C516 D512:E516">
    <cfRule type="expression" dxfId="7" priority="1584" stopIfTrue="1">
      <formula>$A512="note"</formula>
    </cfRule>
  </conditionalFormatting>
  <conditionalFormatting sqref="B512:C516 D512:E516">
    <cfRule type="expression" dxfId="8" priority="1585" stopIfTrue="1">
      <formula>$A512="barcode"</formula>
    </cfRule>
  </conditionalFormatting>
  <conditionalFormatting sqref="B512:C516 D512:E516">
    <cfRule type="expression" dxfId="9" priority="1586" stopIfTrue="1">
      <formula>OR($A512="geopoint", $A512="geoshape", $A512="geotrace")</formula>
    </cfRule>
  </conditionalFormatting>
  <conditionalFormatting sqref="B512:B516">
    <cfRule type="expression" dxfId="10" priority="1587" stopIfTrue="1">
      <formula>OR($A512="calculate", $A512="calculate_here")</formula>
    </cfRule>
  </conditionalFormatting>
  <conditionalFormatting sqref="B512:C516 D512:E516">
    <cfRule type="expression" dxfId="11" priority="1588" stopIfTrue="1">
      <formula>OR($A512="date", $A512="datetime", $A512="time")</formula>
    </cfRule>
  </conditionalFormatting>
  <conditionalFormatting sqref="B512:C516 D512:E516">
    <cfRule type="expression" dxfId="12" priority="1589" stopIfTrue="1">
      <formula>$A512="image"</formula>
    </cfRule>
  </conditionalFormatting>
  <conditionalFormatting sqref="B512:C516 D512:E516">
    <cfRule type="expression" dxfId="13" priority="1590" stopIfTrue="1">
      <formula>OR($A512="audio", $A512="video")</formula>
    </cfRule>
  </conditionalFormatting>
  <conditionalFormatting sqref="B512:E516">
    <cfRule type="expression" dxfId="33" priority="1591" stopIfTrue="1">
      <formula>$A512="file"</formula>
    </cfRule>
  </conditionalFormatting>
  <conditionalFormatting sqref="B512:E516">
    <cfRule type="expression" dxfId="34" priority="1592" stopIfTrue="1">
      <formula>$A512="enumerator"</formula>
    </cfRule>
  </conditionalFormatting>
  <conditionalFormatting sqref="B512:E516">
    <cfRule type="expression" dxfId="35" priority="1593" stopIfTrue="1">
      <formula>OR(AND(LEFT($A512, 14)="sensor_stream ", LEN($A512)&gt;14, NOT(ISNUMBER(SEARCH(" ", $A512, 15)))), AND(LEFT($A512, 17)="sensor_statistic ", LEN($A512)&gt;17, NOT(ISNUMBER(SEARCH(" ", $A512, 18)))))</formula>
    </cfRule>
  </conditionalFormatting>
  <conditionalFormatting sqref="B512:E516">
    <cfRule type="expression" dxfId="14" priority="1594" stopIfTrue="1">
      <formula>$A512="comments"</formula>
    </cfRule>
  </conditionalFormatting>
  <conditionalFormatting sqref="B512:E516">
    <cfRule type="expression" dxfId="15" priority="1595" stopIfTrue="1">
      <formula>OR($A512="audio", $A512="video")</formula>
    </cfRule>
  </conditionalFormatting>
  <conditionalFormatting sqref="B512:E516">
    <cfRule type="expression" dxfId="16" priority="1596" stopIfTrue="1">
      <formula>$A512="image"</formula>
    </cfRule>
  </conditionalFormatting>
  <conditionalFormatting sqref="B512:E516">
    <cfRule type="expression" dxfId="17" priority="1597" stopIfTrue="1">
      <formula>OR($A512="date", $A512="datetime", $A512="time")</formula>
    </cfRule>
  </conditionalFormatting>
  <conditionalFormatting sqref="B512:E516">
    <cfRule type="expression" dxfId="18" priority="1598" stopIfTrue="1">
      <formula>OR($A512="calculate", $A512="calculate_here")</formula>
    </cfRule>
  </conditionalFormatting>
  <conditionalFormatting sqref="B512:E516">
    <cfRule type="expression" dxfId="19" priority="1599" stopIfTrue="1">
      <formula>$A512="note"</formula>
    </cfRule>
  </conditionalFormatting>
  <conditionalFormatting sqref="B512:E516">
    <cfRule type="expression" dxfId="20" priority="1600" stopIfTrue="1">
      <formula>$A512="barcode"</formula>
    </cfRule>
  </conditionalFormatting>
  <conditionalFormatting sqref="B512:E516">
    <cfRule type="expression" dxfId="21" priority="1601" stopIfTrue="1">
      <formula>OR($A512="geopoint", $A512="geoshape", $A512="geotrace")</formula>
    </cfRule>
  </conditionalFormatting>
  <conditionalFormatting sqref="B512:E516">
    <cfRule type="expression" dxfId="22" priority="1602" stopIfTrue="1">
      <formula>OR($A512="audio audit", $A512="text audit", $A512="speed violations count", $A512="speed violations list", $A512="speed violations audit")</formula>
    </cfRule>
  </conditionalFormatting>
  <conditionalFormatting sqref="B512:E516">
    <cfRule type="expression" dxfId="23" priority="1603" stopIfTrue="1">
      <formula>OR($A512="username", $A512="phonenumber", $A512="start", $A512="end", $A512="deviceid", $A512="subscriberid", $A512="simserial", $A512="caseid")</formula>
    </cfRule>
  </conditionalFormatting>
  <conditionalFormatting sqref="B512:E516">
    <cfRule type="expression" dxfId="24" priority="1604" stopIfTrue="1">
      <formula>OR(AND(LEFT($A512, 16)="select_multiple ", LEN($A512)&gt;16, NOT(ISNUMBER(SEARCH(" ", $A512, 17)))), AND(LEFT($A512, 11)="select_one ", LEN($A512)&gt;11, NOT(ISNUMBER(SEARCH(" ", $A512, 12)))))</formula>
    </cfRule>
  </conditionalFormatting>
  <conditionalFormatting sqref="B512:E516">
    <cfRule type="expression" dxfId="25" priority="1605" stopIfTrue="1">
      <formula>$A512="decimal"</formula>
    </cfRule>
  </conditionalFormatting>
  <conditionalFormatting sqref="B512:E516">
    <cfRule type="expression" dxfId="26" priority="1606" stopIfTrue="1">
      <formula>$A512="integer"</formula>
    </cfRule>
  </conditionalFormatting>
  <conditionalFormatting sqref="B512:E516">
    <cfRule type="expression" dxfId="27" priority="1607" stopIfTrue="1">
      <formula>$A512="text"</formula>
    </cfRule>
  </conditionalFormatting>
  <conditionalFormatting sqref="B512:E516">
    <cfRule type="expression" dxfId="28" priority="1608" stopIfTrue="1">
      <formula>$A512="end repeat"</formula>
    </cfRule>
  </conditionalFormatting>
  <conditionalFormatting sqref="B512:E516">
    <cfRule type="expression" dxfId="28" priority="1609" stopIfTrue="1">
      <formula>$A512="begin repeat"</formula>
    </cfRule>
  </conditionalFormatting>
  <conditionalFormatting sqref="B512:E516">
    <cfRule type="expression" dxfId="29" priority="1610" stopIfTrue="1">
      <formula>$A512="end group"</formula>
    </cfRule>
  </conditionalFormatting>
  <conditionalFormatting sqref="B512:E516">
    <cfRule type="expression" dxfId="29" priority="1611" stopIfTrue="1">
      <formula>$A512="begin group"</formula>
    </cfRule>
  </conditionalFormatting>
  <conditionalFormatting sqref="B512:B516">
    <cfRule type="expression" dxfId="30" priority="1612" stopIfTrue="1">
      <formula>$A512="comments"</formula>
    </cfRule>
  </conditionalFormatting>
  <conditionalFormatting sqref="B512:B516">
    <cfRule type="expression" dxfId="36" priority="1613" stopIfTrue="1">
      <formula>OR(AND(LEFT($A512, 14)="sensor_stream ", LEN($A512)&gt;14, NOT(ISNUMBER(SEARCH(" ", $A512, 15)))), AND(LEFT($A512, 17)="sensor_statistic ", LEN($A512)&gt;17, NOT(ISNUMBER(SEARCH(" ", $A512, 18)))))</formula>
    </cfRule>
  </conditionalFormatting>
  <conditionalFormatting sqref="B510:C510 D510:E510">
    <cfRule type="expression" dxfId="0" priority="1614" stopIfTrue="1">
      <formula>$A510="begin group"</formula>
    </cfRule>
  </conditionalFormatting>
  <conditionalFormatting sqref="B510:C510 D510:E510">
    <cfRule type="expression" dxfId="1" priority="1615" stopIfTrue="1">
      <formula>$A510="begin repeat"</formula>
    </cfRule>
  </conditionalFormatting>
  <conditionalFormatting sqref="B510:E510">
    <cfRule type="expression" dxfId="31" priority="1616" stopIfTrue="1">
      <formula>$A510="enumerator"</formula>
    </cfRule>
  </conditionalFormatting>
  <conditionalFormatting sqref="B510:E510">
    <cfRule type="expression" dxfId="2" priority="1617" stopIfTrue="1">
      <formula>$A510="text"</formula>
    </cfRule>
  </conditionalFormatting>
  <conditionalFormatting sqref="B510:E510">
    <cfRule type="expression" dxfId="3" priority="1618" stopIfTrue="1">
      <formula>$A510="integer"</formula>
    </cfRule>
  </conditionalFormatting>
  <conditionalFormatting sqref="B510:E510">
    <cfRule type="expression" dxfId="4" priority="1619" stopIfTrue="1">
      <formula>$A510="decimal"</formula>
    </cfRule>
  </conditionalFormatting>
  <conditionalFormatting sqref="B510:C510 D510:E510">
    <cfRule type="expression" dxfId="5" priority="1620" stopIfTrue="1">
      <formula>OR(AND(LEFT($A510, 16)="select_multiple ", LEN($A510)&gt;16, NOT(ISNUMBER(SEARCH(" ", $A510, 17)))), AND(LEFT($A510, 11)="select_one ", LEN($A510)&gt;11, NOT(ISNUMBER(SEARCH(" ", $A510, 12)))))</formula>
    </cfRule>
  </conditionalFormatting>
  <conditionalFormatting sqref="B510">
    <cfRule type="expression" dxfId="6" priority="1621" stopIfTrue="1">
      <formula>OR($A510="audio audit", $A510="text audit", $A510="speed violations count", $A510="speed violations list", $A510="speed violations audit")</formula>
    </cfRule>
  </conditionalFormatting>
  <conditionalFormatting sqref="B510:C510 D510:E510">
    <cfRule type="expression" dxfId="32" priority="1622" stopIfTrue="1">
      <formula>$A510="file"</formula>
    </cfRule>
  </conditionalFormatting>
  <conditionalFormatting sqref="B510:C510 D510:E510">
    <cfRule type="expression" dxfId="7" priority="1623" stopIfTrue="1">
      <formula>$A510="note"</formula>
    </cfRule>
  </conditionalFormatting>
  <conditionalFormatting sqref="B510:C510 D510:E510">
    <cfRule type="expression" dxfId="8" priority="1624" stopIfTrue="1">
      <formula>$A510="barcode"</formula>
    </cfRule>
  </conditionalFormatting>
  <conditionalFormatting sqref="B510:C510 D510:E510">
    <cfRule type="expression" dxfId="9" priority="1625" stopIfTrue="1">
      <formula>OR($A510="geopoint", $A510="geoshape", $A510="geotrace")</formula>
    </cfRule>
  </conditionalFormatting>
  <conditionalFormatting sqref="B510">
    <cfRule type="expression" dxfId="10" priority="1626" stopIfTrue="1">
      <formula>OR($A510="calculate", $A510="calculate_here")</formula>
    </cfRule>
  </conditionalFormatting>
  <conditionalFormatting sqref="B510:C510 D510:E510">
    <cfRule type="expression" dxfId="11" priority="1627" stopIfTrue="1">
      <formula>OR($A510="date", $A510="datetime", $A510="time")</formula>
    </cfRule>
  </conditionalFormatting>
  <conditionalFormatting sqref="B510:C510 D510:E510">
    <cfRule type="expression" dxfId="12" priority="1628" stopIfTrue="1">
      <formula>$A510="image"</formula>
    </cfRule>
  </conditionalFormatting>
  <conditionalFormatting sqref="B510:C510 D510:E510">
    <cfRule type="expression" dxfId="13" priority="1629" stopIfTrue="1">
      <formula>OR($A510="audio", $A510="video")</formula>
    </cfRule>
  </conditionalFormatting>
  <conditionalFormatting sqref="B510:E510">
    <cfRule type="expression" dxfId="33" priority="1630" stopIfTrue="1">
      <formula>$A510="file"</formula>
    </cfRule>
  </conditionalFormatting>
  <conditionalFormatting sqref="B510:E510">
    <cfRule type="expression" dxfId="34" priority="1631" stopIfTrue="1">
      <formula>$A510="enumerator"</formula>
    </cfRule>
  </conditionalFormatting>
  <conditionalFormatting sqref="B510:E510">
    <cfRule type="expression" dxfId="35" priority="1632" stopIfTrue="1">
      <formula>OR(AND(LEFT($A510, 14)="sensor_stream ", LEN($A510)&gt;14, NOT(ISNUMBER(SEARCH(" ", $A510, 15)))), AND(LEFT($A510, 17)="sensor_statistic ", LEN($A510)&gt;17, NOT(ISNUMBER(SEARCH(" ", $A510, 18)))))</formula>
    </cfRule>
  </conditionalFormatting>
  <conditionalFormatting sqref="B510:E510">
    <cfRule type="expression" dxfId="14" priority="1633" stopIfTrue="1">
      <formula>$A510="comments"</formula>
    </cfRule>
  </conditionalFormatting>
  <conditionalFormatting sqref="B510:E510">
    <cfRule type="expression" dxfId="15" priority="1634" stopIfTrue="1">
      <formula>OR($A510="audio", $A510="video")</formula>
    </cfRule>
  </conditionalFormatting>
  <conditionalFormatting sqref="B510:E510">
    <cfRule type="expression" dxfId="16" priority="1635" stopIfTrue="1">
      <formula>$A510="image"</formula>
    </cfRule>
  </conditionalFormatting>
  <conditionalFormatting sqref="B510:E510">
    <cfRule type="expression" dxfId="17" priority="1636" stopIfTrue="1">
      <formula>OR($A510="date", $A510="datetime", $A510="time")</formula>
    </cfRule>
  </conditionalFormatting>
  <conditionalFormatting sqref="B510:E510">
    <cfRule type="expression" dxfId="18" priority="1637" stopIfTrue="1">
      <formula>OR($A510="calculate", $A510="calculate_here")</formula>
    </cfRule>
  </conditionalFormatting>
  <conditionalFormatting sqref="B510:E510">
    <cfRule type="expression" dxfId="19" priority="1638" stopIfTrue="1">
      <formula>$A510="note"</formula>
    </cfRule>
  </conditionalFormatting>
  <conditionalFormatting sqref="B510:E510">
    <cfRule type="expression" dxfId="20" priority="1639" stopIfTrue="1">
      <formula>$A510="barcode"</formula>
    </cfRule>
  </conditionalFormatting>
  <conditionalFormatting sqref="B510:E510">
    <cfRule type="expression" dxfId="21" priority="1640" stopIfTrue="1">
      <formula>OR($A510="geopoint", $A510="geoshape", $A510="geotrace")</formula>
    </cfRule>
  </conditionalFormatting>
  <conditionalFormatting sqref="B510:E510">
    <cfRule type="expression" dxfId="22" priority="1641" stopIfTrue="1">
      <formula>OR($A510="audio audit", $A510="text audit", $A510="speed violations count", $A510="speed violations list", $A510="speed violations audit")</formula>
    </cfRule>
  </conditionalFormatting>
  <conditionalFormatting sqref="B510:E510">
    <cfRule type="expression" dxfId="23" priority="1642" stopIfTrue="1">
      <formula>OR($A510="username", $A510="phonenumber", $A510="start", $A510="end", $A510="deviceid", $A510="subscriberid", $A510="simserial", $A510="caseid")</formula>
    </cfRule>
  </conditionalFormatting>
  <conditionalFormatting sqref="B510:E510">
    <cfRule type="expression" dxfId="24" priority="1643" stopIfTrue="1">
      <formula>OR(AND(LEFT($A510, 16)="select_multiple ", LEN($A510)&gt;16, NOT(ISNUMBER(SEARCH(" ", $A510, 17)))), AND(LEFT($A510, 11)="select_one ", LEN($A510)&gt;11, NOT(ISNUMBER(SEARCH(" ", $A510, 12)))))</formula>
    </cfRule>
  </conditionalFormatting>
  <conditionalFormatting sqref="B510:E510">
    <cfRule type="expression" dxfId="25" priority="1644" stopIfTrue="1">
      <formula>$A510="decimal"</formula>
    </cfRule>
  </conditionalFormatting>
  <conditionalFormatting sqref="B510:E510">
    <cfRule type="expression" dxfId="26" priority="1645" stopIfTrue="1">
      <formula>$A510="integer"</formula>
    </cfRule>
  </conditionalFormatting>
  <conditionalFormatting sqref="B510:E510">
    <cfRule type="expression" dxfId="27" priority="1646" stopIfTrue="1">
      <formula>$A510="text"</formula>
    </cfRule>
  </conditionalFormatting>
  <conditionalFormatting sqref="B510:E510">
    <cfRule type="expression" dxfId="28" priority="1647" stopIfTrue="1">
      <formula>$A510="end repeat"</formula>
    </cfRule>
  </conditionalFormatting>
  <conditionalFormatting sqref="B510:E510">
    <cfRule type="expression" dxfId="28" priority="1648" stopIfTrue="1">
      <formula>$A510="begin repeat"</formula>
    </cfRule>
  </conditionalFormatting>
  <conditionalFormatting sqref="B510:E510">
    <cfRule type="expression" dxfId="29" priority="1649" stopIfTrue="1">
      <formula>$A510="end group"</formula>
    </cfRule>
  </conditionalFormatting>
  <conditionalFormatting sqref="B510:E510">
    <cfRule type="expression" dxfId="29" priority="1650" stopIfTrue="1">
      <formula>$A510="begin group"</formula>
    </cfRule>
  </conditionalFormatting>
  <conditionalFormatting sqref="B510">
    <cfRule type="expression" dxfId="30" priority="1651" stopIfTrue="1">
      <formula>$A510="comments"</formula>
    </cfRule>
  </conditionalFormatting>
  <conditionalFormatting sqref="B510">
    <cfRule type="expression" dxfId="36" priority="1652" stopIfTrue="1">
      <formula>OR(AND(LEFT($A510, 14)="sensor_stream ", LEN($A510)&gt;14, NOT(ISNUMBER(SEARCH(" ", $A510, 15)))), AND(LEFT($A510, 17)="sensor_statistic ", LEN($A510)&gt;17, NOT(ISNUMBER(SEARCH(" ", $A510, 18)))))</formula>
    </cfRule>
  </conditionalFormatting>
  <conditionalFormatting sqref="B503:C505 D503:E505">
    <cfRule type="expression" dxfId="0" priority="1653" stopIfTrue="1">
      <formula>$A503="begin group"</formula>
    </cfRule>
  </conditionalFormatting>
  <conditionalFormatting sqref="B503:C505 D503:E505">
    <cfRule type="expression" dxfId="1" priority="1654" stopIfTrue="1">
      <formula>$A503="begin repeat"</formula>
    </cfRule>
  </conditionalFormatting>
  <conditionalFormatting sqref="B503:E505">
    <cfRule type="expression" dxfId="31" priority="1655" stopIfTrue="1">
      <formula>$A503="enumerator"</formula>
    </cfRule>
  </conditionalFormatting>
  <conditionalFormatting sqref="B503:E505">
    <cfRule type="expression" dxfId="2" priority="1656" stopIfTrue="1">
      <formula>$A503="text"</formula>
    </cfRule>
  </conditionalFormatting>
  <conditionalFormatting sqref="B503:E505">
    <cfRule type="expression" dxfId="3" priority="1657" stopIfTrue="1">
      <formula>$A503="integer"</formula>
    </cfRule>
  </conditionalFormatting>
  <conditionalFormatting sqref="B503:E505">
    <cfRule type="expression" dxfId="4" priority="1658" stopIfTrue="1">
      <formula>$A503="decimal"</formula>
    </cfRule>
  </conditionalFormatting>
  <conditionalFormatting sqref="B503:C505 D503:E505">
    <cfRule type="expression" dxfId="5" priority="1659" stopIfTrue="1">
      <formula>OR(AND(LEFT($A503, 16)="select_multiple ", LEN($A503)&gt;16, NOT(ISNUMBER(SEARCH(" ", $A503, 17)))), AND(LEFT($A503, 11)="select_one ", LEN($A503)&gt;11, NOT(ISNUMBER(SEARCH(" ", $A503, 12)))))</formula>
    </cfRule>
  </conditionalFormatting>
  <conditionalFormatting sqref="B503:B505">
    <cfRule type="expression" dxfId="6" priority="1660" stopIfTrue="1">
      <formula>OR($A503="audio audit", $A503="text audit", $A503="speed violations count", $A503="speed violations list", $A503="speed violations audit")</formula>
    </cfRule>
  </conditionalFormatting>
  <conditionalFormatting sqref="B503:C505 D503:E505">
    <cfRule type="expression" dxfId="32" priority="1661" stopIfTrue="1">
      <formula>$A503="file"</formula>
    </cfRule>
  </conditionalFormatting>
  <conditionalFormatting sqref="B503:C505 D503:E505">
    <cfRule type="expression" dxfId="7" priority="1662" stopIfTrue="1">
      <formula>$A503="note"</formula>
    </cfRule>
  </conditionalFormatting>
  <conditionalFormatting sqref="B503:C505 D503:E505">
    <cfRule type="expression" dxfId="8" priority="1663" stopIfTrue="1">
      <formula>$A503="barcode"</formula>
    </cfRule>
  </conditionalFormatting>
  <conditionalFormatting sqref="B503:C505 D503:E505">
    <cfRule type="expression" dxfId="9" priority="1664" stopIfTrue="1">
      <formula>OR($A503="geopoint", $A503="geoshape", $A503="geotrace")</formula>
    </cfRule>
  </conditionalFormatting>
  <conditionalFormatting sqref="B503:B505">
    <cfRule type="expression" dxfId="10" priority="1665" stopIfTrue="1">
      <formula>OR($A503="calculate", $A503="calculate_here")</formula>
    </cfRule>
  </conditionalFormatting>
  <conditionalFormatting sqref="B503:C505 D503:E505">
    <cfRule type="expression" dxfId="11" priority="1666" stopIfTrue="1">
      <formula>OR($A503="date", $A503="datetime", $A503="time")</formula>
    </cfRule>
  </conditionalFormatting>
  <conditionalFormatting sqref="B503:C505 D503:E505">
    <cfRule type="expression" dxfId="12" priority="1667" stopIfTrue="1">
      <formula>$A503="image"</formula>
    </cfRule>
  </conditionalFormatting>
  <conditionalFormatting sqref="B503:C505 D503:E505">
    <cfRule type="expression" dxfId="13" priority="1668" stopIfTrue="1">
      <formula>OR($A503="audio", $A503="video")</formula>
    </cfRule>
  </conditionalFormatting>
  <conditionalFormatting sqref="B503:E505">
    <cfRule type="expression" dxfId="33" priority="1669" stopIfTrue="1">
      <formula>$A503="file"</formula>
    </cfRule>
  </conditionalFormatting>
  <conditionalFormatting sqref="B503:E505">
    <cfRule type="expression" dxfId="34" priority="1670" stopIfTrue="1">
      <formula>$A503="enumerator"</formula>
    </cfRule>
  </conditionalFormatting>
  <conditionalFormatting sqref="B503:E505">
    <cfRule type="expression" dxfId="35" priority="1671" stopIfTrue="1">
      <formula>OR(AND(LEFT($A503, 14)="sensor_stream ", LEN($A503)&gt;14, NOT(ISNUMBER(SEARCH(" ", $A503, 15)))), AND(LEFT($A503, 17)="sensor_statistic ", LEN($A503)&gt;17, NOT(ISNUMBER(SEARCH(" ", $A503, 18)))))</formula>
    </cfRule>
  </conditionalFormatting>
  <conditionalFormatting sqref="B503:E505">
    <cfRule type="expression" dxfId="14" priority="1672" stopIfTrue="1">
      <formula>$A503="comments"</formula>
    </cfRule>
  </conditionalFormatting>
  <conditionalFormatting sqref="B503:E505">
    <cfRule type="expression" dxfId="15" priority="1673" stopIfTrue="1">
      <formula>OR($A503="audio", $A503="video")</formula>
    </cfRule>
  </conditionalFormatting>
  <conditionalFormatting sqref="B503:E505">
    <cfRule type="expression" dxfId="16" priority="1674" stopIfTrue="1">
      <formula>$A503="image"</formula>
    </cfRule>
  </conditionalFormatting>
  <conditionalFormatting sqref="B503:E505">
    <cfRule type="expression" dxfId="17" priority="1675" stopIfTrue="1">
      <formula>OR($A503="date", $A503="datetime", $A503="time")</formula>
    </cfRule>
  </conditionalFormatting>
  <conditionalFormatting sqref="B503:E505">
    <cfRule type="expression" dxfId="18" priority="1676" stopIfTrue="1">
      <formula>OR($A503="calculate", $A503="calculate_here")</formula>
    </cfRule>
  </conditionalFormatting>
  <conditionalFormatting sqref="B503:E505">
    <cfRule type="expression" dxfId="19" priority="1677" stopIfTrue="1">
      <formula>$A503="note"</formula>
    </cfRule>
  </conditionalFormatting>
  <conditionalFormatting sqref="B503:E505">
    <cfRule type="expression" dxfId="20" priority="1678" stopIfTrue="1">
      <formula>$A503="barcode"</formula>
    </cfRule>
  </conditionalFormatting>
  <conditionalFormatting sqref="B503:E505">
    <cfRule type="expression" dxfId="21" priority="1679" stopIfTrue="1">
      <formula>OR($A503="geopoint", $A503="geoshape", $A503="geotrace")</formula>
    </cfRule>
  </conditionalFormatting>
  <conditionalFormatting sqref="B503:E505">
    <cfRule type="expression" dxfId="22" priority="1680" stopIfTrue="1">
      <formula>OR($A503="audio audit", $A503="text audit", $A503="speed violations count", $A503="speed violations list", $A503="speed violations audit")</formula>
    </cfRule>
  </conditionalFormatting>
  <conditionalFormatting sqref="B503:E505">
    <cfRule type="expression" dxfId="23" priority="1681" stopIfTrue="1">
      <formula>OR($A503="username", $A503="phonenumber", $A503="start", $A503="end", $A503="deviceid", $A503="subscriberid", $A503="simserial", $A503="caseid")</formula>
    </cfRule>
  </conditionalFormatting>
  <conditionalFormatting sqref="B503:E505">
    <cfRule type="expression" dxfId="24" priority="1682" stopIfTrue="1">
      <formula>OR(AND(LEFT($A503, 16)="select_multiple ", LEN($A503)&gt;16, NOT(ISNUMBER(SEARCH(" ", $A503, 17)))), AND(LEFT($A503, 11)="select_one ", LEN($A503)&gt;11, NOT(ISNUMBER(SEARCH(" ", $A503, 12)))))</formula>
    </cfRule>
  </conditionalFormatting>
  <conditionalFormatting sqref="B503:E505">
    <cfRule type="expression" dxfId="25" priority="1683" stopIfTrue="1">
      <formula>$A503="decimal"</formula>
    </cfRule>
  </conditionalFormatting>
  <conditionalFormatting sqref="B503:E505">
    <cfRule type="expression" dxfId="26" priority="1684" stopIfTrue="1">
      <formula>$A503="integer"</formula>
    </cfRule>
  </conditionalFormatting>
  <conditionalFormatting sqref="B503:E505">
    <cfRule type="expression" dxfId="27" priority="1685" stopIfTrue="1">
      <formula>$A503="text"</formula>
    </cfRule>
  </conditionalFormatting>
  <conditionalFormatting sqref="B503:E505">
    <cfRule type="expression" dxfId="28" priority="1686" stopIfTrue="1">
      <formula>$A503="end repeat"</formula>
    </cfRule>
  </conditionalFormatting>
  <conditionalFormatting sqref="B503:E505">
    <cfRule type="expression" dxfId="28" priority="1687" stopIfTrue="1">
      <formula>$A503="begin repeat"</formula>
    </cfRule>
  </conditionalFormatting>
  <conditionalFormatting sqref="B503:E505">
    <cfRule type="expression" dxfId="29" priority="1688" stopIfTrue="1">
      <formula>$A503="end group"</formula>
    </cfRule>
  </conditionalFormatting>
  <conditionalFormatting sqref="B503:E505">
    <cfRule type="expression" dxfId="29" priority="1689" stopIfTrue="1">
      <formula>$A503="begin group"</formula>
    </cfRule>
  </conditionalFormatting>
  <conditionalFormatting sqref="B503:B505">
    <cfRule type="expression" dxfId="30" priority="1690" stopIfTrue="1">
      <formula>$A503="comments"</formula>
    </cfRule>
  </conditionalFormatting>
  <conditionalFormatting sqref="B503:B505">
    <cfRule type="expression" dxfId="36" priority="1691" stopIfTrue="1">
      <formula>OR(AND(LEFT($A503, 14)="sensor_stream ", LEN($A503)&gt;14, NOT(ISNUMBER(SEARCH(" ", $A503, 15)))), AND(LEFT($A503, 17)="sensor_statistic ", LEN($A503)&gt;17, NOT(ISNUMBER(SEARCH(" ", $A503, 18)))))</formula>
    </cfRule>
  </conditionalFormatting>
  <conditionalFormatting sqref="B493:C497 D493:E497">
    <cfRule type="expression" dxfId="0" priority="1692" stopIfTrue="1">
      <formula>$A493="begin group"</formula>
    </cfRule>
  </conditionalFormatting>
  <conditionalFormatting sqref="B493:C497 D493:E497">
    <cfRule type="expression" dxfId="1" priority="1693" stopIfTrue="1">
      <formula>$A493="begin repeat"</formula>
    </cfRule>
  </conditionalFormatting>
  <conditionalFormatting sqref="B493:E497">
    <cfRule type="expression" dxfId="31" priority="1694" stopIfTrue="1">
      <formula>$A493="enumerator"</formula>
    </cfRule>
  </conditionalFormatting>
  <conditionalFormatting sqref="B493:E497">
    <cfRule type="expression" dxfId="2" priority="1695" stopIfTrue="1">
      <formula>$A493="text"</formula>
    </cfRule>
  </conditionalFormatting>
  <conditionalFormatting sqref="B493:E497">
    <cfRule type="expression" dxfId="3" priority="1696" stopIfTrue="1">
      <formula>$A493="integer"</formula>
    </cfRule>
  </conditionalFormatting>
  <conditionalFormatting sqref="B493:E497">
    <cfRule type="expression" dxfId="4" priority="1697" stopIfTrue="1">
      <formula>$A493="decimal"</formula>
    </cfRule>
  </conditionalFormatting>
  <conditionalFormatting sqref="B493:C497 D493:E497">
    <cfRule type="expression" dxfId="5" priority="1698" stopIfTrue="1">
      <formula>OR(AND(LEFT($A493, 16)="select_multiple ", LEN($A493)&gt;16, NOT(ISNUMBER(SEARCH(" ", $A493, 17)))), AND(LEFT($A493, 11)="select_one ", LEN($A493)&gt;11, NOT(ISNUMBER(SEARCH(" ", $A493, 12)))))</formula>
    </cfRule>
  </conditionalFormatting>
  <conditionalFormatting sqref="B493:B497">
    <cfRule type="expression" dxfId="6" priority="1699" stopIfTrue="1">
      <formula>OR($A493="audio audit", $A493="text audit", $A493="speed violations count", $A493="speed violations list", $A493="speed violations audit")</formula>
    </cfRule>
  </conditionalFormatting>
  <conditionalFormatting sqref="B493:C497 D493:E497">
    <cfRule type="expression" dxfId="32" priority="1700" stopIfTrue="1">
      <formula>$A493="file"</formula>
    </cfRule>
  </conditionalFormatting>
  <conditionalFormatting sqref="B493:C497 D493:E497">
    <cfRule type="expression" dxfId="7" priority="1701" stopIfTrue="1">
      <formula>$A493="note"</formula>
    </cfRule>
  </conditionalFormatting>
  <conditionalFormatting sqref="B493:C497 D493:E497">
    <cfRule type="expression" dxfId="8" priority="1702" stopIfTrue="1">
      <formula>$A493="barcode"</formula>
    </cfRule>
  </conditionalFormatting>
  <conditionalFormatting sqref="B493:C497 D493:E497">
    <cfRule type="expression" dxfId="9" priority="1703" stopIfTrue="1">
      <formula>OR($A493="geopoint", $A493="geoshape", $A493="geotrace")</formula>
    </cfRule>
  </conditionalFormatting>
  <conditionalFormatting sqref="B493:B497">
    <cfRule type="expression" dxfId="10" priority="1704" stopIfTrue="1">
      <formula>OR($A493="calculate", $A493="calculate_here")</formula>
    </cfRule>
  </conditionalFormatting>
  <conditionalFormatting sqref="B493:C497 D493:E497">
    <cfRule type="expression" dxfId="11" priority="1705" stopIfTrue="1">
      <formula>OR($A493="date", $A493="datetime", $A493="time")</formula>
    </cfRule>
  </conditionalFormatting>
  <conditionalFormatting sqref="B493:C497 D493:E497">
    <cfRule type="expression" dxfId="12" priority="1706" stopIfTrue="1">
      <formula>$A493="image"</formula>
    </cfRule>
  </conditionalFormatting>
  <conditionalFormatting sqref="B493:C497 D493:E497">
    <cfRule type="expression" dxfId="13" priority="1707" stopIfTrue="1">
      <formula>OR($A493="audio", $A493="video")</formula>
    </cfRule>
  </conditionalFormatting>
  <conditionalFormatting sqref="B493:E497">
    <cfRule type="expression" dxfId="33" priority="1708" stopIfTrue="1">
      <formula>$A493="file"</formula>
    </cfRule>
  </conditionalFormatting>
  <conditionalFormatting sqref="B493:E497">
    <cfRule type="expression" dxfId="34" priority="1709" stopIfTrue="1">
      <formula>$A493="enumerator"</formula>
    </cfRule>
  </conditionalFormatting>
  <conditionalFormatting sqref="B493:E497">
    <cfRule type="expression" dxfId="35" priority="1710" stopIfTrue="1">
      <formula>OR(AND(LEFT($A493, 14)="sensor_stream ", LEN($A493)&gt;14, NOT(ISNUMBER(SEARCH(" ", $A493, 15)))), AND(LEFT($A493, 17)="sensor_statistic ", LEN($A493)&gt;17, NOT(ISNUMBER(SEARCH(" ", $A493, 18)))))</formula>
    </cfRule>
  </conditionalFormatting>
  <conditionalFormatting sqref="B493:E497">
    <cfRule type="expression" dxfId="14" priority="1711" stopIfTrue="1">
      <formula>$A493="comments"</formula>
    </cfRule>
  </conditionalFormatting>
  <conditionalFormatting sqref="B493:E497">
    <cfRule type="expression" dxfId="15" priority="1712" stopIfTrue="1">
      <formula>OR($A493="audio", $A493="video")</formula>
    </cfRule>
  </conditionalFormatting>
  <conditionalFormatting sqref="B493:E497">
    <cfRule type="expression" dxfId="16" priority="1713" stopIfTrue="1">
      <formula>$A493="image"</formula>
    </cfRule>
  </conditionalFormatting>
  <conditionalFormatting sqref="B493:E497">
    <cfRule type="expression" dxfId="17" priority="1714" stopIfTrue="1">
      <formula>OR($A493="date", $A493="datetime", $A493="time")</formula>
    </cfRule>
  </conditionalFormatting>
  <conditionalFormatting sqref="B493:E497">
    <cfRule type="expression" dxfId="18" priority="1715" stopIfTrue="1">
      <formula>OR($A493="calculate", $A493="calculate_here")</formula>
    </cfRule>
  </conditionalFormatting>
  <conditionalFormatting sqref="B493:E497">
    <cfRule type="expression" dxfId="19" priority="1716" stopIfTrue="1">
      <formula>$A493="note"</formula>
    </cfRule>
  </conditionalFormatting>
  <conditionalFormatting sqref="B493:E497">
    <cfRule type="expression" dxfId="20" priority="1717" stopIfTrue="1">
      <formula>$A493="barcode"</formula>
    </cfRule>
  </conditionalFormatting>
  <conditionalFormatting sqref="B493:E497">
    <cfRule type="expression" dxfId="21" priority="1718" stopIfTrue="1">
      <formula>OR($A493="geopoint", $A493="geoshape", $A493="geotrace")</formula>
    </cfRule>
  </conditionalFormatting>
  <conditionalFormatting sqref="B493:E497">
    <cfRule type="expression" dxfId="22" priority="1719" stopIfTrue="1">
      <formula>OR($A493="audio audit", $A493="text audit", $A493="speed violations count", $A493="speed violations list", $A493="speed violations audit")</formula>
    </cfRule>
  </conditionalFormatting>
  <conditionalFormatting sqref="B493:E497">
    <cfRule type="expression" dxfId="23" priority="1720" stopIfTrue="1">
      <formula>OR($A493="username", $A493="phonenumber", $A493="start", $A493="end", $A493="deviceid", $A493="subscriberid", $A493="simserial", $A493="caseid")</formula>
    </cfRule>
  </conditionalFormatting>
  <conditionalFormatting sqref="B493:E497">
    <cfRule type="expression" dxfId="24" priority="1721" stopIfTrue="1">
      <formula>OR(AND(LEFT($A493, 16)="select_multiple ", LEN($A493)&gt;16, NOT(ISNUMBER(SEARCH(" ", $A493, 17)))), AND(LEFT($A493, 11)="select_one ", LEN($A493)&gt;11, NOT(ISNUMBER(SEARCH(" ", $A493, 12)))))</formula>
    </cfRule>
  </conditionalFormatting>
  <conditionalFormatting sqref="B493:E497">
    <cfRule type="expression" dxfId="25" priority="1722" stopIfTrue="1">
      <formula>$A493="decimal"</formula>
    </cfRule>
  </conditionalFormatting>
  <conditionalFormatting sqref="B493:E497">
    <cfRule type="expression" dxfId="26" priority="1723" stopIfTrue="1">
      <formula>$A493="integer"</formula>
    </cfRule>
  </conditionalFormatting>
  <conditionalFormatting sqref="B493:E497">
    <cfRule type="expression" dxfId="27" priority="1724" stopIfTrue="1">
      <formula>$A493="text"</formula>
    </cfRule>
  </conditionalFormatting>
  <conditionalFormatting sqref="B493:E497">
    <cfRule type="expression" dxfId="28" priority="1725" stopIfTrue="1">
      <formula>$A493="end repeat"</formula>
    </cfRule>
  </conditionalFormatting>
  <conditionalFormatting sqref="B493:E497">
    <cfRule type="expression" dxfId="28" priority="1726" stopIfTrue="1">
      <formula>$A493="begin repeat"</formula>
    </cfRule>
  </conditionalFormatting>
  <conditionalFormatting sqref="B493:E497">
    <cfRule type="expression" dxfId="29" priority="1727" stopIfTrue="1">
      <formula>$A493="end group"</formula>
    </cfRule>
  </conditionalFormatting>
  <conditionalFormatting sqref="B493:E497">
    <cfRule type="expression" dxfId="29" priority="1728" stopIfTrue="1">
      <formula>$A493="begin group"</formula>
    </cfRule>
  </conditionalFormatting>
  <conditionalFormatting sqref="B493:B497">
    <cfRule type="expression" dxfId="30" priority="1729" stopIfTrue="1">
      <formula>$A493="comments"</formula>
    </cfRule>
  </conditionalFormatting>
  <conditionalFormatting sqref="B493:B497">
    <cfRule type="expression" dxfId="36" priority="1730" stopIfTrue="1">
      <formula>OR(AND(LEFT($A493, 14)="sensor_stream ", LEN($A493)&gt;14, NOT(ISNUMBER(SEARCH(" ", $A493, 15)))), AND(LEFT($A493, 17)="sensor_statistic ", LEN($A493)&gt;17, NOT(ISNUMBER(SEARCH(" ", $A493, 18)))))</formula>
    </cfRule>
  </conditionalFormatting>
  <conditionalFormatting sqref="B487:C488 D487:E488">
    <cfRule type="expression" dxfId="0" priority="1731" stopIfTrue="1">
      <formula>$A487="begin group"</formula>
    </cfRule>
  </conditionalFormatting>
  <conditionalFormatting sqref="B487:C488 D487:E488">
    <cfRule type="expression" dxfId="1" priority="1732" stopIfTrue="1">
      <formula>$A487="begin repeat"</formula>
    </cfRule>
  </conditionalFormatting>
  <conditionalFormatting sqref="B487:E488">
    <cfRule type="expression" dxfId="31" priority="1733" stopIfTrue="1">
      <formula>$A487="enumerator"</formula>
    </cfRule>
  </conditionalFormatting>
  <conditionalFormatting sqref="B487:E488">
    <cfRule type="expression" dxfId="2" priority="1734" stopIfTrue="1">
      <formula>$A487="text"</formula>
    </cfRule>
  </conditionalFormatting>
  <conditionalFormatting sqref="B487:E488">
    <cfRule type="expression" dxfId="3" priority="1735" stopIfTrue="1">
      <formula>$A487="integer"</formula>
    </cfRule>
  </conditionalFormatting>
  <conditionalFormatting sqref="B487:E488">
    <cfRule type="expression" dxfId="4" priority="1736" stopIfTrue="1">
      <formula>$A487="decimal"</formula>
    </cfRule>
  </conditionalFormatting>
  <conditionalFormatting sqref="B487:C488 D487:E488">
    <cfRule type="expression" dxfId="5" priority="1737" stopIfTrue="1">
      <formula>OR(AND(LEFT($A487, 16)="select_multiple ", LEN($A487)&gt;16, NOT(ISNUMBER(SEARCH(" ", $A487, 17)))), AND(LEFT($A487, 11)="select_one ", LEN($A487)&gt;11, NOT(ISNUMBER(SEARCH(" ", $A487, 12)))))</formula>
    </cfRule>
  </conditionalFormatting>
  <conditionalFormatting sqref="B487:B488">
    <cfRule type="expression" dxfId="6" priority="1738" stopIfTrue="1">
      <formula>OR($A487="audio audit", $A487="text audit", $A487="speed violations count", $A487="speed violations list", $A487="speed violations audit")</formula>
    </cfRule>
  </conditionalFormatting>
  <conditionalFormatting sqref="B487:C488 D487:E488">
    <cfRule type="expression" dxfId="32" priority="1739" stopIfTrue="1">
      <formula>$A487="file"</formula>
    </cfRule>
  </conditionalFormatting>
  <conditionalFormatting sqref="B487:C488 D487:E488">
    <cfRule type="expression" dxfId="7" priority="1740" stopIfTrue="1">
      <formula>$A487="note"</formula>
    </cfRule>
  </conditionalFormatting>
  <conditionalFormatting sqref="B487:C488 D487:E488">
    <cfRule type="expression" dxfId="8" priority="1741" stopIfTrue="1">
      <formula>$A487="barcode"</formula>
    </cfRule>
  </conditionalFormatting>
  <conditionalFormatting sqref="B487:C488 D487:E488">
    <cfRule type="expression" dxfId="9" priority="1742" stopIfTrue="1">
      <formula>OR($A487="geopoint", $A487="geoshape", $A487="geotrace")</formula>
    </cfRule>
  </conditionalFormatting>
  <conditionalFormatting sqref="B487:B488">
    <cfRule type="expression" dxfId="10" priority="1743" stopIfTrue="1">
      <formula>OR($A487="calculate", $A487="calculate_here")</formula>
    </cfRule>
  </conditionalFormatting>
  <conditionalFormatting sqref="B487:C488 D487:E488">
    <cfRule type="expression" dxfId="11" priority="1744" stopIfTrue="1">
      <formula>OR($A487="date", $A487="datetime", $A487="time")</formula>
    </cfRule>
  </conditionalFormatting>
  <conditionalFormatting sqref="B487:C488 D487:E488">
    <cfRule type="expression" dxfId="12" priority="1745" stopIfTrue="1">
      <formula>$A487="image"</formula>
    </cfRule>
  </conditionalFormatting>
  <conditionalFormatting sqref="B487:C488 D487:E488">
    <cfRule type="expression" dxfId="13" priority="1746" stopIfTrue="1">
      <formula>OR($A487="audio", $A487="video")</formula>
    </cfRule>
  </conditionalFormatting>
  <conditionalFormatting sqref="B487:E488">
    <cfRule type="expression" dxfId="33" priority="1747" stopIfTrue="1">
      <formula>$A487="file"</formula>
    </cfRule>
  </conditionalFormatting>
  <conditionalFormatting sqref="B487:E488">
    <cfRule type="expression" dxfId="34" priority="1748" stopIfTrue="1">
      <formula>$A487="enumerator"</formula>
    </cfRule>
  </conditionalFormatting>
  <conditionalFormatting sqref="B487:E488">
    <cfRule type="expression" dxfId="35" priority="1749" stopIfTrue="1">
      <formula>OR(AND(LEFT($A487, 14)="sensor_stream ", LEN($A487)&gt;14, NOT(ISNUMBER(SEARCH(" ", $A487, 15)))), AND(LEFT($A487, 17)="sensor_statistic ", LEN($A487)&gt;17, NOT(ISNUMBER(SEARCH(" ", $A487, 18)))))</formula>
    </cfRule>
  </conditionalFormatting>
  <conditionalFormatting sqref="B487:E488">
    <cfRule type="expression" dxfId="14" priority="1750" stopIfTrue="1">
      <formula>$A487="comments"</formula>
    </cfRule>
  </conditionalFormatting>
  <conditionalFormatting sqref="B487:E488">
    <cfRule type="expression" dxfId="15" priority="1751" stopIfTrue="1">
      <formula>OR($A487="audio", $A487="video")</formula>
    </cfRule>
  </conditionalFormatting>
  <conditionalFormatting sqref="B487:E488">
    <cfRule type="expression" dxfId="16" priority="1752" stopIfTrue="1">
      <formula>$A487="image"</formula>
    </cfRule>
  </conditionalFormatting>
  <conditionalFormatting sqref="B487:E488">
    <cfRule type="expression" dxfId="17" priority="1753" stopIfTrue="1">
      <formula>OR($A487="date", $A487="datetime", $A487="time")</formula>
    </cfRule>
  </conditionalFormatting>
  <conditionalFormatting sqref="B487:E488">
    <cfRule type="expression" dxfId="18" priority="1754" stopIfTrue="1">
      <formula>OR($A487="calculate", $A487="calculate_here")</formula>
    </cfRule>
  </conditionalFormatting>
  <conditionalFormatting sqref="B487:E488">
    <cfRule type="expression" dxfId="19" priority="1755" stopIfTrue="1">
      <formula>$A487="note"</formula>
    </cfRule>
  </conditionalFormatting>
  <conditionalFormatting sqref="B487:E488">
    <cfRule type="expression" dxfId="20" priority="1756" stopIfTrue="1">
      <formula>$A487="barcode"</formula>
    </cfRule>
  </conditionalFormatting>
  <conditionalFormatting sqref="B487:E488">
    <cfRule type="expression" dxfId="21" priority="1757" stopIfTrue="1">
      <formula>OR($A487="geopoint", $A487="geoshape", $A487="geotrace")</formula>
    </cfRule>
  </conditionalFormatting>
  <conditionalFormatting sqref="B487:E488">
    <cfRule type="expression" dxfId="22" priority="1758" stopIfTrue="1">
      <formula>OR($A487="audio audit", $A487="text audit", $A487="speed violations count", $A487="speed violations list", $A487="speed violations audit")</formula>
    </cfRule>
  </conditionalFormatting>
  <conditionalFormatting sqref="B487:E488">
    <cfRule type="expression" dxfId="23" priority="1759" stopIfTrue="1">
      <formula>OR($A487="username", $A487="phonenumber", $A487="start", $A487="end", $A487="deviceid", $A487="subscriberid", $A487="simserial", $A487="caseid")</formula>
    </cfRule>
  </conditionalFormatting>
  <conditionalFormatting sqref="B487:E488">
    <cfRule type="expression" dxfId="24" priority="1760" stopIfTrue="1">
      <formula>OR(AND(LEFT($A487, 16)="select_multiple ", LEN($A487)&gt;16, NOT(ISNUMBER(SEARCH(" ", $A487, 17)))), AND(LEFT($A487, 11)="select_one ", LEN($A487)&gt;11, NOT(ISNUMBER(SEARCH(" ", $A487, 12)))))</formula>
    </cfRule>
  </conditionalFormatting>
  <conditionalFormatting sqref="B487:E488">
    <cfRule type="expression" dxfId="25" priority="1761" stopIfTrue="1">
      <formula>$A487="decimal"</formula>
    </cfRule>
  </conditionalFormatting>
  <conditionalFormatting sqref="B487:E488">
    <cfRule type="expression" dxfId="26" priority="1762" stopIfTrue="1">
      <formula>$A487="integer"</formula>
    </cfRule>
  </conditionalFormatting>
  <conditionalFormatting sqref="B487:E488">
    <cfRule type="expression" dxfId="27" priority="1763" stopIfTrue="1">
      <formula>$A487="text"</formula>
    </cfRule>
  </conditionalFormatting>
  <conditionalFormatting sqref="B487:E488">
    <cfRule type="expression" dxfId="28" priority="1764" stopIfTrue="1">
      <formula>$A487="end repeat"</formula>
    </cfRule>
  </conditionalFormatting>
  <conditionalFormatting sqref="B487:E488">
    <cfRule type="expression" dxfId="28" priority="1765" stopIfTrue="1">
      <formula>$A487="begin repeat"</formula>
    </cfRule>
  </conditionalFormatting>
  <conditionalFormatting sqref="B487:E488">
    <cfRule type="expression" dxfId="29" priority="1766" stopIfTrue="1">
      <formula>$A487="end group"</formula>
    </cfRule>
  </conditionalFormatting>
  <conditionalFormatting sqref="B487:E488">
    <cfRule type="expression" dxfId="29" priority="1767" stopIfTrue="1">
      <formula>$A487="begin group"</formula>
    </cfRule>
  </conditionalFormatting>
  <conditionalFormatting sqref="B487:B488">
    <cfRule type="expression" dxfId="30" priority="1768" stopIfTrue="1">
      <formula>$A487="comments"</formula>
    </cfRule>
  </conditionalFormatting>
  <conditionalFormatting sqref="B487:B488">
    <cfRule type="expression" dxfId="36" priority="1769" stopIfTrue="1">
      <formula>OR(AND(LEFT($A487, 14)="sensor_stream ", LEN($A487)&gt;14, NOT(ISNUMBER(SEARCH(" ", $A487, 15)))), AND(LEFT($A487, 17)="sensor_statistic ", LEN($A487)&gt;17, NOT(ISNUMBER(SEARCH(" ", $A487, 18)))))</formula>
    </cfRule>
  </conditionalFormatting>
  <conditionalFormatting sqref="B483:C485 D483:E485">
    <cfRule type="expression" dxfId="0" priority="1770" stopIfTrue="1">
      <formula>$A483="begin group"</formula>
    </cfRule>
  </conditionalFormatting>
  <conditionalFormatting sqref="B483:C485 D483:E485">
    <cfRule type="expression" dxfId="1" priority="1771" stopIfTrue="1">
      <formula>$A483="begin repeat"</formula>
    </cfRule>
  </conditionalFormatting>
  <conditionalFormatting sqref="B483:E485">
    <cfRule type="expression" dxfId="31" priority="1772" stopIfTrue="1">
      <formula>$A483="enumerator"</formula>
    </cfRule>
  </conditionalFormatting>
  <conditionalFormatting sqref="B483:E485">
    <cfRule type="expression" dxfId="2" priority="1773" stopIfTrue="1">
      <formula>$A483="text"</formula>
    </cfRule>
  </conditionalFormatting>
  <conditionalFormatting sqref="B483:E485">
    <cfRule type="expression" dxfId="3" priority="1774" stopIfTrue="1">
      <formula>$A483="integer"</formula>
    </cfRule>
  </conditionalFormatting>
  <conditionalFormatting sqref="B483:E485">
    <cfRule type="expression" dxfId="4" priority="1775" stopIfTrue="1">
      <formula>$A483="decimal"</formula>
    </cfRule>
  </conditionalFormatting>
  <conditionalFormatting sqref="B483:C485 D483:E485">
    <cfRule type="expression" dxfId="5" priority="1776" stopIfTrue="1">
      <formula>OR(AND(LEFT($A483, 16)="select_multiple ", LEN($A483)&gt;16, NOT(ISNUMBER(SEARCH(" ", $A483, 17)))), AND(LEFT($A483, 11)="select_one ", LEN($A483)&gt;11, NOT(ISNUMBER(SEARCH(" ", $A483, 12)))))</formula>
    </cfRule>
  </conditionalFormatting>
  <conditionalFormatting sqref="B483:B485">
    <cfRule type="expression" dxfId="6" priority="1777" stopIfTrue="1">
      <formula>OR($A483="audio audit", $A483="text audit", $A483="speed violations count", $A483="speed violations list", $A483="speed violations audit")</formula>
    </cfRule>
  </conditionalFormatting>
  <conditionalFormatting sqref="B483:C485 D483:E485">
    <cfRule type="expression" dxfId="32" priority="1778" stopIfTrue="1">
      <formula>$A483="file"</formula>
    </cfRule>
  </conditionalFormatting>
  <conditionalFormatting sqref="B483:C485 D483:E485">
    <cfRule type="expression" dxfId="7" priority="1779" stopIfTrue="1">
      <formula>$A483="note"</formula>
    </cfRule>
  </conditionalFormatting>
  <conditionalFormatting sqref="B483:C485 D483:E485">
    <cfRule type="expression" dxfId="8" priority="1780" stopIfTrue="1">
      <formula>$A483="barcode"</formula>
    </cfRule>
  </conditionalFormatting>
  <conditionalFormatting sqref="B483:C485 D483:E485">
    <cfRule type="expression" dxfId="9" priority="1781" stopIfTrue="1">
      <formula>OR($A483="geopoint", $A483="geoshape", $A483="geotrace")</formula>
    </cfRule>
  </conditionalFormatting>
  <conditionalFormatting sqref="B483:B485">
    <cfRule type="expression" dxfId="10" priority="1782" stopIfTrue="1">
      <formula>OR($A483="calculate", $A483="calculate_here")</formula>
    </cfRule>
  </conditionalFormatting>
  <conditionalFormatting sqref="B483:C485 D483:E485">
    <cfRule type="expression" dxfId="11" priority="1783" stopIfTrue="1">
      <formula>OR($A483="date", $A483="datetime", $A483="time")</formula>
    </cfRule>
  </conditionalFormatting>
  <conditionalFormatting sqref="B483:C485 D483:E485">
    <cfRule type="expression" dxfId="12" priority="1784" stopIfTrue="1">
      <formula>$A483="image"</formula>
    </cfRule>
  </conditionalFormatting>
  <conditionalFormatting sqref="B483:C485 D483:E485">
    <cfRule type="expression" dxfId="13" priority="1785" stopIfTrue="1">
      <formula>OR($A483="audio", $A483="video")</formula>
    </cfRule>
  </conditionalFormatting>
  <conditionalFormatting sqref="B483:E485">
    <cfRule type="expression" dxfId="33" priority="1786" stopIfTrue="1">
      <formula>$A483="file"</formula>
    </cfRule>
  </conditionalFormatting>
  <conditionalFormatting sqref="B483:E485">
    <cfRule type="expression" dxfId="34" priority="1787" stopIfTrue="1">
      <formula>$A483="enumerator"</formula>
    </cfRule>
  </conditionalFormatting>
  <conditionalFormatting sqref="B483:E485">
    <cfRule type="expression" dxfId="35" priority="1788" stopIfTrue="1">
      <formula>OR(AND(LEFT($A483, 14)="sensor_stream ", LEN($A483)&gt;14, NOT(ISNUMBER(SEARCH(" ", $A483, 15)))), AND(LEFT($A483, 17)="sensor_statistic ", LEN($A483)&gt;17, NOT(ISNUMBER(SEARCH(" ", $A483, 18)))))</formula>
    </cfRule>
  </conditionalFormatting>
  <conditionalFormatting sqref="B483:E485">
    <cfRule type="expression" dxfId="14" priority="1789" stopIfTrue="1">
      <formula>$A483="comments"</formula>
    </cfRule>
  </conditionalFormatting>
  <conditionalFormatting sqref="B483:E485">
    <cfRule type="expression" dxfId="15" priority="1790" stopIfTrue="1">
      <formula>OR($A483="audio", $A483="video")</formula>
    </cfRule>
  </conditionalFormatting>
  <conditionalFormatting sqref="B483:E485">
    <cfRule type="expression" dxfId="16" priority="1791" stopIfTrue="1">
      <formula>$A483="image"</formula>
    </cfRule>
  </conditionalFormatting>
  <conditionalFormatting sqref="B483:E485">
    <cfRule type="expression" dxfId="17" priority="1792" stopIfTrue="1">
      <formula>OR($A483="date", $A483="datetime", $A483="time")</formula>
    </cfRule>
  </conditionalFormatting>
  <conditionalFormatting sqref="B483:E485">
    <cfRule type="expression" dxfId="18" priority="1793" stopIfTrue="1">
      <formula>OR($A483="calculate", $A483="calculate_here")</formula>
    </cfRule>
  </conditionalFormatting>
  <conditionalFormatting sqref="B483:E485">
    <cfRule type="expression" dxfId="19" priority="1794" stopIfTrue="1">
      <formula>$A483="note"</formula>
    </cfRule>
  </conditionalFormatting>
  <conditionalFormatting sqref="B483:E485">
    <cfRule type="expression" dxfId="20" priority="1795" stopIfTrue="1">
      <formula>$A483="barcode"</formula>
    </cfRule>
  </conditionalFormatting>
  <conditionalFormatting sqref="B483:E485">
    <cfRule type="expression" dxfId="21" priority="1796" stopIfTrue="1">
      <formula>OR($A483="geopoint", $A483="geoshape", $A483="geotrace")</formula>
    </cfRule>
  </conditionalFormatting>
  <conditionalFormatting sqref="B483:E485">
    <cfRule type="expression" dxfId="22" priority="1797" stopIfTrue="1">
      <formula>OR($A483="audio audit", $A483="text audit", $A483="speed violations count", $A483="speed violations list", $A483="speed violations audit")</formula>
    </cfRule>
  </conditionalFormatting>
  <conditionalFormatting sqref="B483:E485">
    <cfRule type="expression" dxfId="23" priority="1798" stopIfTrue="1">
      <formula>OR($A483="username", $A483="phonenumber", $A483="start", $A483="end", $A483="deviceid", $A483="subscriberid", $A483="simserial", $A483="caseid")</formula>
    </cfRule>
  </conditionalFormatting>
  <conditionalFormatting sqref="B483:E485">
    <cfRule type="expression" dxfId="24" priority="1799" stopIfTrue="1">
      <formula>OR(AND(LEFT($A483, 16)="select_multiple ", LEN($A483)&gt;16, NOT(ISNUMBER(SEARCH(" ", $A483, 17)))), AND(LEFT($A483, 11)="select_one ", LEN($A483)&gt;11, NOT(ISNUMBER(SEARCH(" ", $A483, 12)))))</formula>
    </cfRule>
  </conditionalFormatting>
  <conditionalFormatting sqref="B483:E485">
    <cfRule type="expression" dxfId="25" priority="1800" stopIfTrue="1">
      <formula>$A483="decimal"</formula>
    </cfRule>
  </conditionalFormatting>
  <conditionalFormatting sqref="B483:E485">
    <cfRule type="expression" dxfId="26" priority="1801" stopIfTrue="1">
      <formula>$A483="integer"</formula>
    </cfRule>
  </conditionalFormatting>
  <conditionalFormatting sqref="B483:E485">
    <cfRule type="expression" dxfId="27" priority="1802" stopIfTrue="1">
      <formula>$A483="text"</formula>
    </cfRule>
  </conditionalFormatting>
  <conditionalFormatting sqref="B483:E485">
    <cfRule type="expression" dxfId="28" priority="1803" stopIfTrue="1">
      <formula>$A483="end repeat"</formula>
    </cfRule>
  </conditionalFormatting>
  <conditionalFormatting sqref="B483:E485">
    <cfRule type="expression" dxfId="28" priority="1804" stopIfTrue="1">
      <formula>$A483="begin repeat"</formula>
    </cfRule>
  </conditionalFormatting>
  <conditionalFormatting sqref="B483:E485">
    <cfRule type="expression" dxfId="29" priority="1805" stopIfTrue="1">
      <formula>$A483="end group"</formula>
    </cfRule>
  </conditionalFormatting>
  <conditionalFormatting sqref="B483:E485">
    <cfRule type="expression" dxfId="29" priority="1806" stopIfTrue="1">
      <formula>$A483="begin group"</formula>
    </cfRule>
  </conditionalFormatting>
  <conditionalFormatting sqref="B483:B485">
    <cfRule type="expression" dxfId="30" priority="1807" stopIfTrue="1">
      <formula>$A483="comments"</formula>
    </cfRule>
  </conditionalFormatting>
  <conditionalFormatting sqref="B483:B485">
    <cfRule type="expression" dxfId="36" priority="1808" stopIfTrue="1">
      <formula>OR(AND(LEFT($A483, 14)="sensor_stream ", LEN($A483)&gt;14, NOT(ISNUMBER(SEARCH(" ", $A483, 15)))), AND(LEFT($A483, 17)="sensor_statistic ", LEN($A483)&gt;17, NOT(ISNUMBER(SEARCH(" ", $A483, 18)))))</formula>
    </cfRule>
  </conditionalFormatting>
  <conditionalFormatting sqref="B481:C481 D481:E481">
    <cfRule type="expression" dxfId="0" priority="1809" stopIfTrue="1">
      <formula>$A481="begin group"</formula>
    </cfRule>
  </conditionalFormatting>
  <conditionalFormatting sqref="B481:C481 D481:E481">
    <cfRule type="expression" dxfId="1" priority="1810" stopIfTrue="1">
      <formula>$A481="begin repeat"</formula>
    </cfRule>
  </conditionalFormatting>
  <conditionalFormatting sqref="B481:E481">
    <cfRule type="expression" dxfId="31" priority="1811" stopIfTrue="1">
      <formula>$A481="enumerator"</formula>
    </cfRule>
  </conditionalFormatting>
  <conditionalFormatting sqref="B481:E481">
    <cfRule type="expression" dxfId="2" priority="1812" stopIfTrue="1">
      <formula>$A481="text"</formula>
    </cfRule>
  </conditionalFormatting>
  <conditionalFormatting sqref="B481:E481">
    <cfRule type="expression" dxfId="3" priority="1813" stopIfTrue="1">
      <formula>$A481="integer"</formula>
    </cfRule>
  </conditionalFormatting>
  <conditionalFormatting sqref="B481:E481">
    <cfRule type="expression" dxfId="4" priority="1814" stopIfTrue="1">
      <formula>$A481="decimal"</formula>
    </cfRule>
  </conditionalFormatting>
  <conditionalFormatting sqref="B481:C481 D481:E481">
    <cfRule type="expression" dxfId="5" priority="1815" stopIfTrue="1">
      <formula>OR(AND(LEFT($A481, 16)="select_multiple ", LEN($A481)&gt;16, NOT(ISNUMBER(SEARCH(" ", $A481, 17)))), AND(LEFT($A481, 11)="select_one ", LEN($A481)&gt;11, NOT(ISNUMBER(SEARCH(" ", $A481, 12)))))</formula>
    </cfRule>
  </conditionalFormatting>
  <conditionalFormatting sqref="B481">
    <cfRule type="expression" dxfId="6" priority="1816" stopIfTrue="1">
      <formula>OR($A481="audio audit", $A481="text audit", $A481="speed violations count", $A481="speed violations list", $A481="speed violations audit")</formula>
    </cfRule>
  </conditionalFormatting>
  <conditionalFormatting sqref="B481:C481 D481:E481">
    <cfRule type="expression" dxfId="32" priority="1817" stopIfTrue="1">
      <formula>$A481="file"</formula>
    </cfRule>
  </conditionalFormatting>
  <conditionalFormatting sqref="B481:C481 D481:E481">
    <cfRule type="expression" dxfId="7" priority="1818" stopIfTrue="1">
      <formula>$A481="note"</formula>
    </cfRule>
  </conditionalFormatting>
  <conditionalFormatting sqref="B481:C481 D481:E481">
    <cfRule type="expression" dxfId="8" priority="1819" stopIfTrue="1">
      <formula>$A481="barcode"</formula>
    </cfRule>
  </conditionalFormatting>
  <conditionalFormatting sqref="B481:C481 D481:E481">
    <cfRule type="expression" dxfId="9" priority="1820" stopIfTrue="1">
      <formula>OR($A481="geopoint", $A481="geoshape", $A481="geotrace")</formula>
    </cfRule>
  </conditionalFormatting>
  <conditionalFormatting sqref="B481">
    <cfRule type="expression" dxfId="10" priority="1821" stopIfTrue="1">
      <formula>OR($A481="calculate", $A481="calculate_here")</formula>
    </cfRule>
  </conditionalFormatting>
  <conditionalFormatting sqref="B481:C481 D481:E481">
    <cfRule type="expression" dxfId="11" priority="1822" stopIfTrue="1">
      <formula>OR($A481="date", $A481="datetime", $A481="time")</formula>
    </cfRule>
  </conditionalFormatting>
  <conditionalFormatting sqref="B481:C481 D481:E481">
    <cfRule type="expression" dxfId="12" priority="1823" stopIfTrue="1">
      <formula>$A481="image"</formula>
    </cfRule>
  </conditionalFormatting>
  <conditionalFormatting sqref="B481:C481 D481:E481">
    <cfRule type="expression" dxfId="13" priority="1824" stopIfTrue="1">
      <formula>OR($A481="audio", $A481="video")</formula>
    </cfRule>
  </conditionalFormatting>
  <conditionalFormatting sqref="B481:E481">
    <cfRule type="expression" dxfId="33" priority="1825" stopIfTrue="1">
      <formula>$A481="file"</formula>
    </cfRule>
  </conditionalFormatting>
  <conditionalFormatting sqref="B481:E481">
    <cfRule type="expression" dxfId="34" priority="1826" stopIfTrue="1">
      <formula>$A481="enumerator"</formula>
    </cfRule>
  </conditionalFormatting>
  <conditionalFormatting sqref="B481:E481">
    <cfRule type="expression" dxfId="35" priority="1827" stopIfTrue="1">
      <formula>OR(AND(LEFT($A481, 14)="sensor_stream ", LEN($A481)&gt;14, NOT(ISNUMBER(SEARCH(" ", $A481, 15)))), AND(LEFT($A481, 17)="sensor_statistic ", LEN($A481)&gt;17, NOT(ISNUMBER(SEARCH(" ", $A481, 18)))))</formula>
    </cfRule>
  </conditionalFormatting>
  <conditionalFormatting sqref="B481:E481">
    <cfRule type="expression" dxfId="14" priority="1828" stopIfTrue="1">
      <formula>$A481="comments"</formula>
    </cfRule>
  </conditionalFormatting>
  <conditionalFormatting sqref="B481:E481">
    <cfRule type="expression" dxfId="15" priority="1829" stopIfTrue="1">
      <formula>OR($A481="audio", $A481="video")</formula>
    </cfRule>
  </conditionalFormatting>
  <conditionalFormatting sqref="B481:E481">
    <cfRule type="expression" dxfId="16" priority="1830" stopIfTrue="1">
      <formula>$A481="image"</formula>
    </cfRule>
  </conditionalFormatting>
  <conditionalFormatting sqref="B481:E481">
    <cfRule type="expression" dxfId="17" priority="1831" stopIfTrue="1">
      <formula>OR($A481="date", $A481="datetime", $A481="time")</formula>
    </cfRule>
  </conditionalFormatting>
  <conditionalFormatting sqref="B481:E481">
    <cfRule type="expression" dxfId="18" priority="1832" stopIfTrue="1">
      <formula>OR($A481="calculate", $A481="calculate_here")</formula>
    </cfRule>
  </conditionalFormatting>
  <conditionalFormatting sqref="B481:E481">
    <cfRule type="expression" dxfId="19" priority="1833" stopIfTrue="1">
      <formula>$A481="note"</formula>
    </cfRule>
  </conditionalFormatting>
  <conditionalFormatting sqref="B481:E481">
    <cfRule type="expression" dxfId="20" priority="1834" stopIfTrue="1">
      <formula>$A481="barcode"</formula>
    </cfRule>
  </conditionalFormatting>
  <conditionalFormatting sqref="B481:E481">
    <cfRule type="expression" dxfId="21" priority="1835" stopIfTrue="1">
      <formula>OR($A481="geopoint", $A481="geoshape", $A481="geotrace")</formula>
    </cfRule>
  </conditionalFormatting>
  <conditionalFormatting sqref="B481:E481">
    <cfRule type="expression" dxfId="22" priority="1836" stopIfTrue="1">
      <formula>OR($A481="audio audit", $A481="text audit", $A481="speed violations count", $A481="speed violations list", $A481="speed violations audit")</formula>
    </cfRule>
  </conditionalFormatting>
  <conditionalFormatting sqref="B481:E481">
    <cfRule type="expression" dxfId="23" priority="1837" stopIfTrue="1">
      <formula>OR($A481="username", $A481="phonenumber", $A481="start", $A481="end", $A481="deviceid", $A481="subscriberid", $A481="simserial", $A481="caseid")</formula>
    </cfRule>
  </conditionalFormatting>
  <conditionalFormatting sqref="B481:E481">
    <cfRule type="expression" dxfId="24" priority="1838" stopIfTrue="1">
      <formula>OR(AND(LEFT($A481, 16)="select_multiple ", LEN($A481)&gt;16, NOT(ISNUMBER(SEARCH(" ", $A481, 17)))), AND(LEFT($A481, 11)="select_one ", LEN($A481)&gt;11, NOT(ISNUMBER(SEARCH(" ", $A481, 12)))))</formula>
    </cfRule>
  </conditionalFormatting>
  <conditionalFormatting sqref="B481:E481">
    <cfRule type="expression" dxfId="25" priority="1839" stopIfTrue="1">
      <formula>$A481="decimal"</formula>
    </cfRule>
  </conditionalFormatting>
  <conditionalFormatting sqref="B481:E481">
    <cfRule type="expression" dxfId="26" priority="1840" stopIfTrue="1">
      <formula>$A481="integer"</formula>
    </cfRule>
  </conditionalFormatting>
  <conditionalFormatting sqref="B481:E481">
    <cfRule type="expression" dxfId="27" priority="1841" stopIfTrue="1">
      <formula>$A481="text"</formula>
    </cfRule>
  </conditionalFormatting>
  <conditionalFormatting sqref="B481:E481">
    <cfRule type="expression" dxfId="28" priority="1842" stopIfTrue="1">
      <formula>$A481="end repeat"</formula>
    </cfRule>
  </conditionalFormatting>
  <conditionalFormatting sqref="B481:E481">
    <cfRule type="expression" dxfId="28" priority="1843" stopIfTrue="1">
      <formula>$A481="begin repeat"</formula>
    </cfRule>
  </conditionalFormatting>
  <conditionalFormatting sqref="B481:E481">
    <cfRule type="expression" dxfId="29" priority="1844" stopIfTrue="1">
      <formula>$A481="end group"</formula>
    </cfRule>
  </conditionalFormatting>
  <conditionalFormatting sqref="B481:E481">
    <cfRule type="expression" dxfId="29" priority="1845" stopIfTrue="1">
      <formula>$A481="begin group"</formula>
    </cfRule>
  </conditionalFormatting>
  <conditionalFormatting sqref="B481">
    <cfRule type="expression" dxfId="30" priority="1846" stopIfTrue="1">
      <formula>$A481="comments"</formula>
    </cfRule>
  </conditionalFormatting>
  <conditionalFormatting sqref="B481">
    <cfRule type="expression" dxfId="36" priority="1847" stopIfTrue="1">
      <formula>OR(AND(LEFT($A481, 14)="sensor_stream ", LEN($A481)&gt;14, NOT(ISNUMBER(SEARCH(" ", $A481, 15)))), AND(LEFT($A481, 17)="sensor_statistic ", LEN($A481)&gt;17, NOT(ISNUMBER(SEARCH(" ", $A481, 18)))))</formula>
    </cfRule>
  </conditionalFormatting>
  <conditionalFormatting sqref="B478:C479 D478:E479">
    <cfRule type="expression" dxfId="0" priority="1848" stopIfTrue="1">
      <formula>$A478="begin group"</formula>
    </cfRule>
  </conditionalFormatting>
  <conditionalFormatting sqref="B478:C479 D478:E479">
    <cfRule type="expression" dxfId="1" priority="1849" stopIfTrue="1">
      <formula>$A478="begin repeat"</formula>
    </cfRule>
  </conditionalFormatting>
  <conditionalFormatting sqref="B478:E479">
    <cfRule type="expression" dxfId="31" priority="1850" stopIfTrue="1">
      <formula>$A478="enumerator"</formula>
    </cfRule>
  </conditionalFormatting>
  <conditionalFormatting sqref="B478:E479">
    <cfRule type="expression" dxfId="2" priority="1851" stopIfTrue="1">
      <formula>$A478="text"</formula>
    </cfRule>
  </conditionalFormatting>
  <conditionalFormatting sqref="B478:E479">
    <cfRule type="expression" dxfId="3" priority="1852" stopIfTrue="1">
      <formula>$A478="integer"</formula>
    </cfRule>
  </conditionalFormatting>
  <conditionalFormatting sqref="B478:E479">
    <cfRule type="expression" dxfId="4" priority="1853" stopIfTrue="1">
      <formula>$A478="decimal"</formula>
    </cfRule>
  </conditionalFormatting>
  <conditionalFormatting sqref="B478:C479 D478:E479">
    <cfRule type="expression" dxfId="5" priority="1854" stopIfTrue="1">
      <formula>OR(AND(LEFT($A478, 16)="select_multiple ", LEN($A478)&gt;16, NOT(ISNUMBER(SEARCH(" ", $A478, 17)))), AND(LEFT($A478, 11)="select_one ", LEN($A478)&gt;11, NOT(ISNUMBER(SEARCH(" ", $A478, 12)))))</formula>
    </cfRule>
  </conditionalFormatting>
  <conditionalFormatting sqref="B478:B479">
    <cfRule type="expression" dxfId="6" priority="1855" stopIfTrue="1">
      <formula>OR($A478="audio audit", $A478="text audit", $A478="speed violations count", $A478="speed violations list", $A478="speed violations audit")</formula>
    </cfRule>
  </conditionalFormatting>
  <conditionalFormatting sqref="B478:C479 D478:E479">
    <cfRule type="expression" dxfId="32" priority="1856" stopIfTrue="1">
      <formula>$A478="file"</formula>
    </cfRule>
  </conditionalFormatting>
  <conditionalFormatting sqref="B478:C479 D478:E479">
    <cfRule type="expression" dxfId="7" priority="1857" stopIfTrue="1">
      <formula>$A478="note"</formula>
    </cfRule>
  </conditionalFormatting>
  <conditionalFormatting sqref="B478:C479 D478:E479">
    <cfRule type="expression" dxfId="8" priority="1858" stopIfTrue="1">
      <formula>$A478="barcode"</formula>
    </cfRule>
  </conditionalFormatting>
  <conditionalFormatting sqref="B478:C479 D478:E479">
    <cfRule type="expression" dxfId="9" priority="1859" stopIfTrue="1">
      <formula>OR($A478="geopoint", $A478="geoshape", $A478="geotrace")</formula>
    </cfRule>
  </conditionalFormatting>
  <conditionalFormatting sqref="B478:B479">
    <cfRule type="expression" dxfId="10" priority="1860" stopIfTrue="1">
      <formula>OR($A478="calculate", $A478="calculate_here")</formula>
    </cfRule>
  </conditionalFormatting>
  <conditionalFormatting sqref="B478:C479 D478:E479">
    <cfRule type="expression" dxfId="11" priority="1861" stopIfTrue="1">
      <formula>OR($A478="date", $A478="datetime", $A478="time")</formula>
    </cfRule>
  </conditionalFormatting>
  <conditionalFormatting sqref="B478:C479 D478:E479">
    <cfRule type="expression" dxfId="12" priority="1862" stopIfTrue="1">
      <formula>$A478="image"</formula>
    </cfRule>
  </conditionalFormatting>
  <conditionalFormatting sqref="B478:C479 D478:E479">
    <cfRule type="expression" dxfId="13" priority="1863" stopIfTrue="1">
      <formula>OR($A478="audio", $A478="video")</formula>
    </cfRule>
  </conditionalFormatting>
  <conditionalFormatting sqref="B478:E479">
    <cfRule type="expression" dxfId="33" priority="1864" stopIfTrue="1">
      <formula>$A478="file"</formula>
    </cfRule>
  </conditionalFormatting>
  <conditionalFormatting sqref="B478:E479">
    <cfRule type="expression" dxfId="34" priority="1865" stopIfTrue="1">
      <formula>$A478="enumerator"</formula>
    </cfRule>
  </conditionalFormatting>
  <conditionalFormatting sqref="B478:E479">
    <cfRule type="expression" dxfId="35" priority="1866" stopIfTrue="1">
      <formula>OR(AND(LEFT($A478, 14)="sensor_stream ", LEN($A478)&gt;14, NOT(ISNUMBER(SEARCH(" ", $A478, 15)))), AND(LEFT($A478, 17)="sensor_statistic ", LEN($A478)&gt;17, NOT(ISNUMBER(SEARCH(" ", $A478, 18)))))</formula>
    </cfRule>
  </conditionalFormatting>
  <conditionalFormatting sqref="B478:E479">
    <cfRule type="expression" dxfId="14" priority="1867" stopIfTrue="1">
      <formula>$A478="comments"</formula>
    </cfRule>
  </conditionalFormatting>
  <conditionalFormatting sqref="B478:E479">
    <cfRule type="expression" dxfId="15" priority="1868" stopIfTrue="1">
      <formula>OR($A478="audio", $A478="video")</formula>
    </cfRule>
  </conditionalFormatting>
  <conditionalFormatting sqref="B478:E479">
    <cfRule type="expression" dxfId="16" priority="1869" stopIfTrue="1">
      <formula>$A478="image"</formula>
    </cfRule>
  </conditionalFormatting>
  <conditionalFormatting sqref="B478:E479">
    <cfRule type="expression" dxfId="17" priority="1870" stopIfTrue="1">
      <formula>OR($A478="date", $A478="datetime", $A478="time")</formula>
    </cfRule>
  </conditionalFormatting>
  <conditionalFormatting sqref="B478:E479">
    <cfRule type="expression" dxfId="18" priority="1871" stopIfTrue="1">
      <formula>OR($A478="calculate", $A478="calculate_here")</formula>
    </cfRule>
  </conditionalFormatting>
  <conditionalFormatting sqref="B478:E479">
    <cfRule type="expression" dxfId="19" priority="1872" stopIfTrue="1">
      <formula>$A478="note"</formula>
    </cfRule>
  </conditionalFormatting>
  <conditionalFormatting sqref="B478:E479">
    <cfRule type="expression" dxfId="20" priority="1873" stopIfTrue="1">
      <formula>$A478="barcode"</formula>
    </cfRule>
  </conditionalFormatting>
  <conditionalFormatting sqref="B478:E479">
    <cfRule type="expression" dxfId="21" priority="1874" stopIfTrue="1">
      <formula>OR($A478="geopoint", $A478="geoshape", $A478="geotrace")</formula>
    </cfRule>
  </conditionalFormatting>
  <conditionalFormatting sqref="B478:E479">
    <cfRule type="expression" dxfId="22" priority="1875" stopIfTrue="1">
      <formula>OR($A478="audio audit", $A478="text audit", $A478="speed violations count", $A478="speed violations list", $A478="speed violations audit")</formula>
    </cfRule>
  </conditionalFormatting>
  <conditionalFormatting sqref="B478:E479">
    <cfRule type="expression" dxfId="23" priority="1876" stopIfTrue="1">
      <formula>OR($A478="username", $A478="phonenumber", $A478="start", $A478="end", $A478="deviceid", $A478="subscriberid", $A478="simserial", $A478="caseid")</formula>
    </cfRule>
  </conditionalFormatting>
  <conditionalFormatting sqref="B478:E479">
    <cfRule type="expression" dxfId="24" priority="1877" stopIfTrue="1">
      <formula>OR(AND(LEFT($A478, 16)="select_multiple ", LEN($A478)&gt;16, NOT(ISNUMBER(SEARCH(" ", $A478, 17)))), AND(LEFT($A478, 11)="select_one ", LEN($A478)&gt;11, NOT(ISNUMBER(SEARCH(" ", $A478, 12)))))</formula>
    </cfRule>
  </conditionalFormatting>
  <conditionalFormatting sqref="B478:E479">
    <cfRule type="expression" dxfId="25" priority="1878" stopIfTrue="1">
      <formula>$A478="decimal"</formula>
    </cfRule>
  </conditionalFormatting>
  <conditionalFormatting sqref="B478:E479">
    <cfRule type="expression" dxfId="26" priority="1879" stopIfTrue="1">
      <formula>$A478="integer"</formula>
    </cfRule>
  </conditionalFormatting>
  <conditionalFormatting sqref="B478:E479">
    <cfRule type="expression" dxfId="27" priority="1880" stopIfTrue="1">
      <formula>$A478="text"</formula>
    </cfRule>
  </conditionalFormatting>
  <conditionalFormatting sqref="B478:E479">
    <cfRule type="expression" dxfId="28" priority="1881" stopIfTrue="1">
      <formula>$A478="end repeat"</formula>
    </cfRule>
  </conditionalFormatting>
  <conditionalFormatting sqref="B478:E479">
    <cfRule type="expression" dxfId="28" priority="1882" stopIfTrue="1">
      <formula>$A478="begin repeat"</formula>
    </cfRule>
  </conditionalFormatting>
  <conditionalFormatting sqref="B478:E479">
    <cfRule type="expression" dxfId="29" priority="1883" stopIfTrue="1">
      <formula>$A478="end group"</formula>
    </cfRule>
  </conditionalFormatting>
  <conditionalFormatting sqref="B478:E479">
    <cfRule type="expression" dxfId="29" priority="1884" stopIfTrue="1">
      <formula>$A478="begin group"</formula>
    </cfRule>
  </conditionalFormatting>
  <conditionalFormatting sqref="B478:B479">
    <cfRule type="expression" dxfId="30" priority="1885" stopIfTrue="1">
      <formula>$A478="comments"</formula>
    </cfRule>
  </conditionalFormatting>
  <conditionalFormatting sqref="B478:B479">
    <cfRule type="expression" dxfId="36" priority="1886" stopIfTrue="1">
      <formula>OR(AND(LEFT($A478, 14)="sensor_stream ", LEN($A478)&gt;14, NOT(ISNUMBER(SEARCH(" ", $A478, 15)))), AND(LEFT($A478, 17)="sensor_statistic ", LEN($A478)&gt;17, NOT(ISNUMBER(SEARCH(" ", $A478, 18)))))</formula>
    </cfRule>
  </conditionalFormatting>
  <conditionalFormatting sqref="B471:C473 D471:E473">
    <cfRule type="expression" dxfId="0" priority="1887" stopIfTrue="1">
      <formula>$A471="begin group"</formula>
    </cfRule>
  </conditionalFormatting>
  <conditionalFormatting sqref="B471:C473 D471:E473">
    <cfRule type="expression" dxfId="1" priority="1888" stopIfTrue="1">
      <formula>$A471="begin repeat"</formula>
    </cfRule>
  </conditionalFormatting>
  <conditionalFormatting sqref="B471:E473">
    <cfRule type="expression" dxfId="31" priority="1889" stopIfTrue="1">
      <formula>$A471="enumerator"</formula>
    </cfRule>
  </conditionalFormatting>
  <conditionalFormatting sqref="B471:E473">
    <cfRule type="expression" dxfId="2" priority="1890" stopIfTrue="1">
      <formula>$A471="text"</formula>
    </cfRule>
  </conditionalFormatting>
  <conditionalFormatting sqref="B471:E473">
    <cfRule type="expression" dxfId="3" priority="1891" stopIfTrue="1">
      <formula>$A471="integer"</formula>
    </cfRule>
  </conditionalFormatting>
  <conditionalFormatting sqref="B471:E473">
    <cfRule type="expression" dxfId="4" priority="1892" stopIfTrue="1">
      <formula>$A471="decimal"</formula>
    </cfRule>
  </conditionalFormatting>
  <conditionalFormatting sqref="B471:C473 D471:E473">
    <cfRule type="expression" dxfId="5" priority="1893" stopIfTrue="1">
      <formula>OR(AND(LEFT($A471, 16)="select_multiple ", LEN($A471)&gt;16, NOT(ISNUMBER(SEARCH(" ", $A471, 17)))), AND(LEFT($A471, 11)="select_one ", LEN($A471)&gt;11, NOT(ISNUMBER(SEARCH(" ", $A471, 12)))))</formula>
    </cfRule>
  </conditionalFormatting>
  <conditionalFormatting sqref="B471:B473">
    <cfRule type="expression" dxfId="6" priority="1894" stopIfTrue="1">
      <formula>OR($A471="audio audit", $A471="text audit", $A471="speed violations count", $A471="speed violations list", $A471="speed violations audit")</formula>
    </cfRule>
  </conditionalFormatting>
  <conditionalFormatting sqref="B471:C473 D471:E473">
    <cfRule type="expression" dxfId="32" priority="1895" stopIfTrue="1">
      <formula>$A471="file"</formula>
    </cfRule>
  </conditionalFormatting>
  <conditionalFormatting sqref="B471:C473 D471:E473">
    <cfRule type="expression" dxfId="7" priority="1896" stopIfTrue="1">
      <formula>$A471="note"</formula>
    </cfRule>
  </conditionalFormatting>
  <conditionalFormatting sqref="B471:C473 D471:E473">
    <cfRule type="expression" dxfId="8" priority="1897" stopIfTrue="1">
      <formula>$A471="barcode"</formula>
    </cfRule>
  </conditionalFormatting>
  <conditionalFormatting sqref="B471:C473 D471:E473">
    <cfRule type="expression" dxfId="9" priority="1898" stopIfTrue="1">
      <formula>OR($A471="geopoint", $A471="geoshape", $A471="geotrace")</formula>
    </cfRule>
  </conditionalFormatting>
  <conditionalFormatting sqref="B471:B473">
    <cfRule type="expression" dxfId="10" priority="1899" stopIfTrue="1">
      <formula>OR($A471="calculate", $A471="calculate_here")</formula>
    </cfRule>
  </conditionalFormatting>
  <conditionalFormatting sqref="B471:C473 D471:E473">
    <cfRule type="expression" dxfId="11" priority="1900" stopIfTrue="1">
      <formula>OR($A471="date", $A471="datetime", $A471="time")</formula>
    </cfRule>
  </conditionalFormatting>
  <conditionalFormatting sqref="B471:C473 D471:E473">
    <cfRule type="expression" dxfId="12" priority="1901" stopIfTrue="1">
      <formula>$A471="image"</formula>
    </cfRule>
  </conditionalFormatting>
  <conditionalFormatting sqref="B471:C473 D471:E473">
    <cfRule type="expression" dxfId="13" priority="1902" stopIfTrue="1">
      <formula>OR($A471="audio", $A471="video")</formula>
    </cfRule>
  </conditionalFormatting>
  <conditionalFormatting sqref="B471:E473">
    <cfRule type="expression" dxfId="33" priority="1903" stopIfTrue="1">
      <formula>$A471="file"</formula>
    </cfRule>
  </conditionalFormatting>
  <conditionalFormatting sqref="B471:E473">
    <cfRule type="expression" dxfId="34" priority="1904" stopIfTrue="1">
      <formula>$A471="enumerator"</formula>
    </cfRule>
  </conditionalFormatting>
  <conditionalFormatting sqref="B471:E473">
    <cfRule type="expression" dxfId="35" priority="1905" stopIfTrue="1">
      <formula>OR(AND(LEFT($A471, 14)="sensor_stream ", LEN($A471)&gt;14, NOT(ISNUMBER(SEARCH(" ", $A471, 15)))), AND(LEFT($A471, 17)="sensor_statistic ", LEN($A471)&gt;17, NOT(ISNUMBER(SEARCH(" ", $A471, 18)))))</formula>
    </cfRule>
  </conditionalFormatting>
  <conditionalFormatting sqref="B471:E473">
    <cfRule type="expression" dxfId="14" priority="1906" stopIfTrue="1">
      <formula>$A471="comments"</formula>
    </cfRule>
  </conditionalFormatting>
  <conditionalFormatting sqref="B471:E473">
    <cfRule type="expression" dxfId="15" priority="1907" stopIfTrue="1">
      <formula>OR($A471="audio", $A471="video")</formula>
    </cfRule>
  </conditionalFormatting>
  <conditionalFormatting sqref="B471:E473">
    <cfRule type="expression" dxfId="16" priority="1908" stopIfTrue="1">
      <formula>$A471="image"</formula>
    </cfRule>
  </conditionalFormatting>
  <conditionalFormatting sqref="B471:E473">
    <cfRule type="expression" dxfId="17" priority="1909" stopIfTrue="1">
      <formula>OR($A471="date", $A471="datetime", $A471="time")</formula>
    </cfRule>
  </conditionalFormatting>
  <conditionalFormatting sqref="B471:E473">
    <cfRule type="expression" dxfId="18" priority="1910" stopIfTrue="1">
      <formula>OR($A471="calculate", $A471="calculate_here")</formula>
    </cfRule>
  </conditionalFormatting>
  <conditionalFormatting sqref="B471:E473">
    <cfRule type="expression" dxfId="19" priority="1911" stopIfTrue="1">
      <formula>$A471="note"</formula>
    </cfRule>
  </conditionalFormatting>
  <conditionalFormatting sqref="B471:E473">
    <cfRule type="expression" dxfId="20" priority="1912" stopIfTrue="1">
      <formula>$A471="barcode"</formula>
    </cfRule>
  </conditionalFormatting>
  <conditionalFormatting sqref="B471:E473">
    <cfRule type="expression" dxfId="21" priority="1913" stopIfTrue="1">
      <formula>OR($A471="geopoint", $A471="geoshape", $A471="geotrace")</formula>
    </cfRule>
  </conditionalFormatting>
  <conditionalFormatting sqref="B471:E473">
    <cfRule type="expression" dxfId="22" priority="1914" stopIfTrue="1">
      <formula>OR($A471="audio audit", $A471="text audit", $A471="speed violations count", $A471="speed violations list", $A471="speed violations audit")</formula>
    </cfRule>
  </conditionalFormatting>
  <conditionalFormatting sqref="B471:E473">
    <cfRule type="expression" dxfId="23" priority="1915" stopIfTrue="1">
      <formula>OR($A471="username", $A471="phonenumber", $A471="start", $A471="end", $A471="deviceid", $A471="subscriberid", $A471="simserial", $A471="caseid")</formula>
    </cfRule>
  </conditionalFormatting>
  <conditionalFormatting sqref="B471:E473">
    <cfRule type="expression" dxfId="24" priority="1916" stopIfTrue="1">
      <formula>OR(AND(LEFT($A471, 16)="select_multiple ", LEN($A471)&gt;16, NOT(ISNUMBER(SEARCH(" ", $A471, 17)))), AND(LEFT($A471, 11)="select_one ", LEN($A471)&gt;11, NOT(ISNUMBER(SEARCH(" ", $A471, 12)))))</formula>
    </cfRule>
  </conditionalFormatting>
  <conditionalFormatting sqref="B471:E473">
    <cfRule type="expression" dxfId="25" priority="1917" stopIfTrue="1">
      <formula>$A471="decimal"</formula>
    </cfRule>
  </conditionalFormatting>
  <conditionalFormatting sqref="B471:E473">
    <cfRule type="expression" dxfId="26" priority="1918" stopIfTrue="1">
      <formula>$A471="integer"</formula>
    </cfRule>
  </conditionalFormatting>
  <conditionalFormatting sqref="B471:E473">
    <cfRule type="expression" dxfId="27" priority="1919" stopIfTrue="1">
      <formula>$A471="text"</formula>
    </cfRule>
  </conditionalFormatting>
  <conditionalFormatting sqref="B471:E473">
    <cfRule type="expression" dxfId="28" priority="1920" stopIfTrue="1">
      <formula>$A471="end repeat"</formula>
    </cfRule>
  </conditionalFormatting>
  <conditionalFormatting sqref="B471:E473">
    <cfRule type="expression" dxfId="28" priority="1921" stopIfTrue="1">
      <formula>$A471="begin repeat"</formula>
    </cfRule>
  </conditionalFormatting>
  <conditionalFormatting sqref="B471:E473">
    <cfRule type="expression" dxfId="29" priority="1922" stopIfTrue="1">
      <formula>$A471="end group"</formula>
    </cfRule>
  </conditionalFormatting>
  <conditionalFormatting sqref="B471:E473">
    <cfRule type="expression" dxfId="29" priority="1923" stopIfTrue="1">
      <formula>$A471="begin group"</formula>
    </cfRule>
  </conditionalFormatting>
  <conditionalFormatting sqref="B471:B473">
    <cfRule type="expression" dxfId="30" priority="1924" stopIfTrue="1">
      <formula>$A471="comments"</formula>
    </cfRule>
  </conditionalFormatting>
  <conditionalFormatting sqref="B471:B473">
    <cfRule type="expression" dxfId="36" priority="1925" stopIfTrue="1">
      <formula>OR(AND(LEFT($A471, 14)="sensor_stream ", LEN($A471)&gt;14, NOT(ISNUMBER(SEARCH(" ", $A471, 15)))), AND(LEFT($A471, 17)="sensor_statistic ", LEN($A471)&gt;17, NOT(ISNUMBER(SEARCH(" ", $A471, 18)))))</formula>
    </cfRule>
  </conditionalFormatting>
  <conditionalFormatting sqref="B462:C468 D462:E468">
    <cfRule type="expression" dxfId="0" priority="1926" stopIfTrue="1">
      <formula>$A462="begin group"</formula>
    </cfRule>
  </conditionalFormatting>
  <conditionalFormatting sqref="B462:C468 D462:E468">
    <cfRule type="expression" dxfId="1" priority="1927" stopIfTrue="1">
      <formula>$A462="begin repeat"</formula>
    </cfRule>
  </conditionalFormatting>
  <conditionalFormatting sqref="B462:E468">
    <cfRule type="expression" dxfId="31" priority="1928" stopIfTrue="1">
      <formula>$A462="enumerator"</formula>
    </cfRule>
  </conditionalFormatting>
  <conditionalFormatting sqref="B462:E468">
    <cfRule type="expression" dxfId="2" priority="1929" stopIfTrue="1">
      <formula>$A462="text"</formula>
    </cfRule>
  </conditionalFormatting>
  <conditionalFormatting sqref="B462:E468">
    <cfRule type="expression" dxfId="3" priority="1930" stopIfTrue="1">
      <formula>$A462="integer"</formula>
    </cfRule>
  </conditionalFormatting>
  <conditionalFormatting sqref="B462:E468">
    <cfRule type="expression" dxfId="4" priority="1931" stopIfTrue="1">
      <formula>$A462="decimal"</formula>
    </cfRule>
  </conditionalFormatting>
  <conditionalFormatting sqref="B462:C468 D462:E468">
    <cfRule type="expression" dxfId="5" priority="1932" stopIfTrue="1">
      <formula>OR(AND(LEFT($A462, 16)="select_multiple ", LEN($A462)&gt;16, NOT(ISNUMBER(SEARCH(" ", $A462, 17)))), AND(LEFT($A462, 11)="select_one ", LEN($A462)&gt;11, NOT(ISNUMBER(SEARCH(" ", $A462, 12)))))</formula>
    </cfRule>
  </conditionalFormatting>
  <conditionalFormatting sqref="B462:B468 C464">
    <cfRule type="expression" dxfId="6" priority="1933" stopIfTrue="1">
      <formula>OR($A462="audio audit", $A462="text audit", $A462="speed violations count", $A462="speed violations list", $A462="speed violations audit")</formula>
    </cfRule>
  </conditionalFormatting>
  <conditionalFormatting sqref="B462:C468 D462:E468">
    <cfRule type="expression" dxfId="32" priority="1934" stopIfTrue="1">
      <formula>$A462="file"</formula>
    </cfRule>
  </conditionalFormatting>
  <conditionalFormatting sqref="B462:C468 D462:E468">
    <cfRule type="expression" dxfId="7" priority="1935" stopIfTrue="1">
      <formula>$A462="note"</formula>
    </cfRule>
  </conditionalFormatting>
  <conditionalFormatting sqref="B462:C468 D462:E468">
    <cfRule type="expression" dxfId="8" priority="1936" stopIfTrue="1">
      <formula>$A462="barcode"</formula>
    </cfRule>
  </conditionalFormatting>
  <conditionalFormatting sqref="B462:C468 D462:E468">
    <cfRule type="expression" dxfId="9" priority="1937" stopIfTrue="1">
      <formula>OR($A462="geopoint", $A462="geoshape", $A462="geotrace")</formula>
    </cfRule>
  </conditionalFormatting>
  <conditionalFormatting sqref="B462:B468 C464">
    <cfRule type="expression" dxfId="10" priority="1938" stopIfTrue="1">
      <formula>OR($A462="calculate", $A462="calculate_here")</formula>
    </cfRule>
  </conditionalFormatting>
  <conditionalFormatting sqref="B462:C468 D462:E468">
    <cfRule type="expression" dxfId="11" priority="1939" stopIfTrue="1">
      <formula>OR($A462="date", $A462="datetime", $A462="time")</formula>
    </cfRule>
  </conditionalFormatting>
  <conditionalFormatting sqref="B462:C468 D462:E468">
    <cfRule type="expression" dxfId="12" priority="1940" stopIfTrue="1">
      <formula>$A462="image"</formula>
    </cfRule>
  </conditionalFormatting>
  <conditionalFormatting sqref="B462:C468 D462:E468">
    <cfRule type="expression" dxfId="13" priority="1941" stopIfTrue="1">
      <formula>OR($A462="audio", $A462="video")</formula>
    </cfRule>
  </conditionalFormatting>
  <conditionalFormatting sqref="B462:E468">
    <cfRule type="expression" dxfId="33" priority="1942" stopIfTrue="1">
      <formula>$A462="file"</formula>
    </cfRule>
  </conditionalFormatting>
  <conditionalFormatting sqref="B462:E468">
    <cfRule type="expression" dxfId="34" priority="1943" stopIfTrue="1">
      <formula>$A462="enumerator"</formula>
    </cfRule>
  </conditionalFormatting>
  <conditionalFormatting sqref="B462:E468">
    <cfRule type="expression" dxfId="35" priority="1944" stopIfTrue="1">
      <formula>OR(AND(LEFT($A462, 14)="sensor_stream ", LEN($A462)&gt;14, NOT(ISNUMBER(SEARCH(" ", $A462, 15)))), AND(LEFT($A462, 17)="sensor_statistic ", LEN($A462)&gt;17, NOT(ISNUMBER(SEARCH(" ", $A462, 18)))))</formula>
    </cfRule>
  </conditionalFormatting>
  <conditionalFormatting sqref="B462:E468">
    <cfRule type="expression" dxfId="14" priority="1945" stopIfTrue="1">
      <formula>$A462="comments"</formula>
    </cfRule>
  </conditionalFormatting>
  <conditionalFormatting sqref="B462:E468">
    <cfRule type="expression" dxfId="15" priority="1946" stopIfTrue="1">
      <formula>OR($A462="audio", $A462="video")</formula>
    </cfRule>
  </conditionalFormatting>
  <conditionalFormatting sqref="B462:E468">
    <cfRule type="expression" dxfId="16" priority="1947" stopIfTrue="1">
      <formula>$A462="image"</formula>
    </cfRule>
  </conditionalFormatting>
  <conditionalFormatting sqref="B462:E468">
    <cfRule type="expression" dxfId="17" priority="1948" stopIfTrue="1">
      <formula>OR($A462="date", $A462="datetime", $A462="time")</formula>
    </cfRule>
  </conditionalFormatting>
  <conditionalFormatting sqref="B462:E468">
    <cfRule type="expression" dxfId="18" priority="1949" stopIfTrue="1">
      <formula>OR($A462="calculate", $A462="calculate_here")</formula>
    </cfRule>
  </conditionalFormatting>
  <conditionalFormatting sqref="B462:E468">
    <cfRule type="expression" dxfId="19" priority="1950" stopIfTrue="1">
      <formula>$A462="note"</formula>
    </cfRule>
  </conditionalFormatting>
  <conditionalFormatting sqref="B462:E468">
    <cfRule type="expression" dxfId="20" priority="1951" stopIfTrue="1">
      <formula>$A462="barcode"</formula>
    </cfRule>
  </conditionalFormatting>
  <conditionalFormatting sqref="B462:E468">
    <cfRule type="expression" dxfId="21" priority="1952" stopIfTrue="1">
      <formula>OR($A462="geopoint", $A462="geoshape", $A462="geotrace")</formula>
    </cfRule>
  </conditionalFormatting>
  <conditionalFormatting sqref="B462:E468">
    <cfRule type="expression" dxfId="22" priority="1953" stopIfTrue="1">
      <formula>OR($A462="audio audit", $A462="text audit", $A462="speed violations count", $A462="speed violations list", $A462="speed violations audit")</formula>
    </cfRule>
  </conditionalFormatting>
  <conditionalFormatting sqref="B462:E468">
    <cfRule type="expression" dxfId="23" priority="1954" stopIfTrue="1">
      <formula>OR($A462="username", $A462="phonenumber", $A462="start", $A462="end", $A462="deviceid", $A462="subscriberid", $A462="simserial", $A462="caseid")</formula>
    </cfRule>
  </conditionalFormatting>
  <conditionalFormatting sqref="B462:E468">
    <cfRule type="expression" dxfId="24" priority="1955" stopIfTrue="1">
      <formula>OR(AND(LEFT($A462, 16)="select_multiple ", LEN($A462)&gt;16, NOT(ISNUMBER(SEARCH(" ", $A462, 17)))), AND(LEFT($A462, 11)="select_one ", LEN($A462)&gt;11, NOT(ISNUMBER(SEARCH(" ", $A462, 12)))))</formula>
    </cfRule>
  </conditionalFormatting>
  <conditionalFormatting sqref="B462:E468">
    <cfRule type="expression" dxfId="25" priority="1956" stopIfTrue="1">
      <formula>$A462="decimal"</formula>
    </cfRule>
  </conditionalFormatting>
  <conditionalFormatting sqref="B462:E468">
    <cfRule type="expression" dxfId="26" priority="1957" stopIfTrue="1">
      <formula>$A462="integer"</formula>
    </cfRule>
  </conditionalFormatting>
  <conditionalFormatting sqref="B462:E468">
    <cfRule type="expression" dxfId="27" priority="1958" stopIfTrue="1">
      <formula>$A462="text"</formula>
    </cfRule>
  </conditionalFormatting>
  <conditionalFormatting sqref="B462:E468">
    <cfRule type="expression" dxfId="28" priority="1959" stopIfTrue="1">
      <formula>$A462="end repeat"</formula>
    </cfRule>
  </conditionalFormatting>
  <conditionalFormatting sqref="B462:E468">
    <cfRule type="expression" dxfId="28" priority="1960" stopIfTrue="1">
      <formula>$A462="begin repeat"</formula>
    </cfRule>
  </conditionalFormatting>
  <conditionalFormatting sqref="B462:E468">
    <cfRule type="expression" dxfId="29" priority="1961" stopIfTrue="1">
      <formula>$A462="end group"</formula>
    </cfRule>
  </conditionalFormatting>
  <conditionalFormatting sqref="B462:E468">
    <cfRule type="expression" dxfId="29" priority="1962" stopIfTrue="1">
      <formula>$A462="begin group"</formula>
    </cfRule>
  </conditionalFormatting>
  <conditionalFormatting sqref="B462:B468 C464">
    <cfRule type="expression" dxfId="30" priority="1963" stopIfTrue="1">
      <formula>$A462="comments"</formula>
    </cfRule>
  </conditionalFormatting>
  <conditionalFormatting sqref="B462:B468 C464">
    <cfRule type="expression" dxfId="36" priority="1964" stopIfTrue="1">
      <formula>OR(AND(LEFT($A462, 14)="sensor_stream ", LEN($A462)&gt;14, NOT(ISNUMBER(SEARCH(" ", $A462, 15)))), AND(LEFT($A462, 17)="sensor_statistic ", LEN($A462)&gt;17, NOT(ISNUMBER(SEARCH(" ", $A462, 18)))))</formula>
    </cfRule>
  </conditionalFormatting>
  <conditionalFormatting sqref="B456:C457 D456:E457">
    <cfRule type="expression" dxfId="0" priority="1965" stopIfTrue="1">
      <formula>$A456="begin group"</formula>
    </cfRule>
  </conditionalFormatting>
  <conditionalFormatting sqref="B456:C457 D456:E457">
    <cfRule type="expression" dxfId="1" priority="1966" stopIfTrue="1">
      <formula>$A456="begin repeat"</formula>
    </cfRule>
  </conditionalFormatting>
  <conditionalFormatting sqref="B456:E457">
    <cfRule type="expression" dxfId="31" priority="1967" stopIfTrue="1">
      <formula>$A456="enumerator"</formula>
    </cfRule>
  </conditionalFormatting>
  <conditionalFormatting sqref="B456:E457">
    <cfRule type="expression" dxfId="2" priority="1968" stopIfTrue="1">
      <formula>$A456="text"</formula>
    </cfRule>
  </conditionalFormatting>
  <conditionalFormatting sqref="B456:E457">
    <cfRule type="expression" dxfId="3" priority="1969" stopIfTrue="1">
      <formula>$A456="integer"</formula>
    </cfRule>
  </conditionalFormatting>
  <conditionalFormatting sqref="B456:E457">
    <cfRule type="expression" dxfId="4" priority="1970" stopIfTrue="1">
      <formula>$A456="decimal"</formula>
    </cfRule>
  </conditionalFormatting>
  <conditionalFormatting sqref="B456:C457 D456:E457">
    <cfRule type="expression" dxfId="5" priority="1971" stopIfTrue="1">
      <formula>OR(AND(LEFT($A456, 16)="select_multiple ", LEN($A456)&gt;16, NOT(ISNUMBER(SEARCH(" ", $A456, 17)))), AND(LEFT($A456, 11)="select_one ", LEN($A456)&gt;11, NOT(ISNUMBER(SEARCH(" ", $A456, 12)))))</formula>
    </cfRule>
  </conditionalFormatting>
  <conditionalFormatting sqref="B456:B457">
    <cfRule type="expression" dxfId="6" priority="1972" stopIfTrue="1">
      <formula>OR($A456="audio audit", $A456="text audit", $A456="speed violations count", $A456="speed violations list", $A456="speed violations audit")</formula>
    </cfRule>
  </conditionalFormatting>
  <conditionalFormatting sqref="B456:C457 D456:E457">
    <cfRule type="expression" dxfId="32" priority="1973" stopIfTrue="1">
      <formula>$A456="file"</formula>
    </cfRule>
  </conditionalFormatting>
  <conditionalFormatting sqref="B456:C457 D456:E457">
    <cfRule type="expression" dxfId="7" priority="1974" stopIfTrue="1">
      <formula>$A456="note"</formula>
    </cfRule>
  </conditionalFormatting>
  <conditionalFormatting sqref="B456:C457 D456:E457">
    <cfRule type="expression" dxfId="8" priority="1975" stopIfTrue="1">
      <formula>$A456="barcode"</formula>
    </cfRule>
  </conditionalFormatting>
  <conditionalFormatting sqref="B456:C457 D456:E457">
    <cfRule type="expression" dxfId="9" priority="1976" stopIfTrue="1">
      <formula>OR($A456="geopoint", $A456="geoshape", $A456="geotrace")</formula>
    </cfRule>
  </conditionalFormatting>
  <conditionalFormatting sqref="B456:B457">
    <cfRule type="expression" dxfId="10" priority="1977" stopIfTrue="1">
      <formula>OR($A456="calculate", $A456="calculate_here")</formula>
    </cfRule>
  </conditionalFormatting>
  <conditionalFormatting sqref="B456:C457 D456:E457">
    <cfRule type="expression" dxfId="11" priority="1978" stopIfTrue="1">
      <formula>OR($A456="date", $A456="datetime", $A456="time")</formula>
    </cfRule>
  </conditionalFormatting>
  <conditionalFormatting sqref="B456:C457 D456:E457">
    <cfRule type="expression" dxfId="12" priority="1979" stopIfTrue="1">
      <formula>$A456="image"</formula>
    </cfRule>
  </conditionalFormatting>
  <conditionalFormatting sqref="B456:C457 D456:E457">
    <cfRule type="expression" dxfId="13" priority="1980" stopIfTrue="1">
      <formula>OR($A456="audio", $A456="video")</formula>
    </cfRule>
  </conditionalFormatting>
  <conditionalFormatting sqref="B456:E457">
    <cfRule type="expression" dxfId="33" priority="1981" stopIfTrue="1">
      <formula>$A456="file"</formula>
    </cfRule>
  </conditionalFormatting>
  <conditionalFormatting sqref="B456:E457">
    <cfRule type="expression" dxfId="34" priority="1982" stopIfTrue="1">
      <formula>$A456="enumerator"</formula>
    </cfRule>
  </conditionalFormatting>
  <conditionalFormatting sqref="B456:E457">
    <cfRule type="expression" dxfId="35" priority="1983" stopIfTrue="1">
      <formula>OR(AND(LEFT($A456, 14)="sensor_stream ", LEN($A456)&gt;14, NOT(ISNUMBER(SEARCH(" ", $A456, 15)))), AND(LEFT($A456, 17)="sensor_statistic ", LEN($A456)&gt;17, NOT(ISNUMBER(SEARCH(" ", $A456, 18)))))</formula>
    </cfRule>
  </conditionalFormatting>
  <conditionalFormatting sqref="B456:E457">
    <cfRule type="expression" dxfId="14" priority="1984" stopIfTrue="1">
      <formula>$A456="comments"</formula>
    </cfRule>
  </conditionalFormatting>
  <conditionalFormatting sqref="B456:E457">
    <cfRule type="expression" dxfId="15" priority="1985" stopIfTrue="1">
      <formula>OR($A456="audio", $A456="video")</formula>
    </cfRule>
  </conditionalFormatting>
  <conditionalFormatting sqref="B456:E457">
    <cfRule type="expression" dxfId="16" priority="1986" stopIfTrue="1">
      <formula>$A456="image"</formula>
    </cfRule>
  </conditionalFormatting>
  <conditionalFormatting sqref="B456:E457">
    <cfRule type="expression" dxfId="17" priority="1987" stopIfTrue="1">
      <formula>OR($A456="date", $A456="datetime", $A456="time")</formula>
    </cfRule>
  </conditionalFormatting>
  <conditionalFormatting sqref="B456:E457">
    <cfRule type="expression" dxfId="18" priority="1988" stopIfTrue="1">
      <formula>OR($A456="calculate", $A456="calculate_here")</formula>
    </cfRule>
  </conditionalFormatting>
  <conditionalFormatting sqref="B456:E457">
    <cfRule type="expression" dxfId="19" priority="1989" stopIfTrue="1">
      <formula>$A456="note"</formula>
    </cfRule>
  </conditionalFormatting>
  <conditionalFormatting sqref="B456:E457">
    <cfRule type="expression" dxfId="20" priority="1990" stopIfTrue="1">
      <formula>$A456="barcode"</formula>
    </cfRule>
  </conditionalFormatting>
  <conditionalFormatting sqref="B456:E457">
    <cfRule type="expression" dxfId="21" priority="1991" stopIfTrue="1">
      <formula>OR($A456="geopoint", $A456="geoshape", $A456="geotrace")</formula>
    </cfRule>
  </conditionalFormatting>
  <conditionalFormatting sqref="B456:E457">
    <cfRule type="expression" dxfId="22" priority="1992" stopIfTrue="1">
      <formula>OR($A456="audio audit", $A456="text audit", $A456="speed violations count", $A456="speed violations list", $A456="speed violations audit")</formula>
    </cfRule>
  </conditionalFormatting>
  <conditionalFormatting sqref="B456:E457">
    <cfRule type="expression" dxfId="23" priority="1993" stopIfTrue="1">
      <formula>OR($A456="username", $A456="phonenumber", $A456="start", $A456="end", $A456="deviceid", $A456="subscriberid", $A456="simserial", $A456="caseid")</formula>
    </cfRule>
  </conditionalFormatting>
  <conditionalFormatting sqref="B456:E457">
    <cfRule type="expression" dxfId="24" priority="1994" stopIfTrue="1">
      <formula>OR(AND(LEFT($A456, 16)="select_multiple ", LEN($A456)&gt;16, NOT(ISNUMBER(SEARCH(" ", $A456, 17)))), AND(LEFT($A456, 11)="select_one ", LEN($A456)&gt;11, NOT(ISNUMBER(SEARCH(" ", $A456, 12)))))</formula>
    </cfRule>
  </conditionalFormatting>
  <conditionalFormatting sqref="B456:E457">
    <cfRule type="expression" dxfId="25" priority="1995" stopIfTrue="1">
      <formula>$A456="decimal"</formula>
    </cfRule>
  </conditionalFormatting>
  <conditionalFormatting sqref="B456:E457">
    <cfRule type="expression" dxfId="26" priority="1996" stopIfTrue="1">
      <formula>$A456="integer"</formula>
    </cfRule>
  </conditionalFormatting>
  <conditionalFormatting sqref="B456:E457">
    <cfRule type="expression" dxfId="27" priority="1997" stopIfTrue="1">
      <formula>$A456="text"</formula>
    </cfRule>
  </conditionalFormatting>
  <conditionalFormatting sqref="B456:E457">
    <cfRule type="expression" dxfId="28" priority="1998" stopIfTrue="1">
      <formula>$A456="end repeat"</formula>
    </cfRule>
  </conditionalFormatting>
  <conditionalFormatting sqref="B456:E457">
    <cfRule type="expression" dxfId="28" priority="1999" stopIfTrue="1">
      <formula>$A456="begin repeat"</formula>
    </cfRule>
  </conditionalFormatting>
  <conditionalFormatting sqref="B456:E457">
    <cfRule type="expression" dxfId="29" priority="2000" stopIfTrue="1">
      <formula>$A456="end group"</formula>
    </cfRule>
  </conditionalFormatting>
  <conditionalFormatting sqref="B456:E457">
    <cfRule type="expression" dxfId="29" priority="2001" stopIfTrue="1">
      <formula>$A456="begin group"</formula>
    </cfRule>
  </conditionalFormatting>
  <conditionalFormatting sqref="B456:B457">
    <cfRule type="expression" dxfId="30" priority="2002" stopIfTrue="1">
      <formula>$A456="comments"</formula>
    </cfRule>
  </conditionalFormatting>
  <conditionalFormatting sqref="B456:B457">
    <cfRule type="expression" dxfId="36" priority="2003" stopIfTrue="1">
      <formula>OR(AND(LEFT($A456, 14)="sensor_stream ", LEN($A456)&gt;14, NOT(ISNUMBER(SEARCH(" ", $A456, 15)))), AND(LEFT($A456, 17)="sensor_statistic ", LEN($A456)&gt;17, NOT(ISNUMBER(SEARCH(" ", $A456, 18)))))</formula>
    </cfRule>
  </conditionalFormatting>
  <conditionalFormatting sqref="B448:C452 D448:E452">
    <cfRule type="expression" dxfId="0" priority="2004" stopIfTrue="1">
      <formula>$A448="begin group"</formula>
    </cfRule>
  </conditionalFormatting>
  <conditionalFormatting sqref="B448:C452 D448:E452">
    <cfRule type="expression" dxfId="1" priority="2005" stopIfTrue="1">
      <formula>$A448="begin repeat"</formula>
    </cfRule>
  </conditionalFormatting>
  <conditionalFormatting sqref="B448:E452">
    <cfRule type="expression" dxfId="31" priority="2006" stopIfTrue="1">
      <formula>$A448="enumerator"</formula>
    </cfRule>
  </conditionalFormatting>
  <conditionalFormatting sqref="B448:E452">
    <cfRule type="expression" dxfId="2" priority="2007" stopIfTrue="1">
      <formula>$A448="text"</formula>
    </cfRule>
  </conditionalFormatting>
  <conditionalFormatting sqref="B448:E452">
    <cfRule type="expression" dxfId="3" priority="2008" stopIfTrue="1">
      <formula>$A448="integer"</formula>
    </cfRule>
  </conditionalFormatting>
  <conditionalFormatting sqref="B448:E452">
    <cfRule type="expression" dxfId="4" priority="2009" stopIfTrue="1">
      <formula>$A448="decimal"</formula>
    </cfRule>
  </conditionalFormatting>
  <conditionalFormatting sqref="B448:C452 D448:E452">
    <cfRule type="expression" dxfId="5" priority="2010" stopIfTrue="1">
      <formula>OR(AND(LEFT($A448, 16)="select_multiple ", LEN($A448)&gt;16, NOT(ISNUMBER(SEARCH(" ", $A448, 17)))), AND(LEFT($A448, 11)="select_one ", LEN($A448)&gt;11, NOT(ISNUMBER(SEARCH(" ", $A448, 12)))))</formula>
    </cfRule>
  </conditionalFormatting>
  <conditionalFormatting sqref="B448:B452">
    <cfRule type="expression" dxfId="6" priority="2011" stopIfTrue="1">
      <formula>OR($A448="audio audit", $A448="text audit", $A448="speed violations count", $A448="speed violations list", $A448="speed violations audit")</formula>
    </cfRule>
  </conditionalFormatting>
  <conditionalFormatting sqref="B448:C452 D448:E452">
    <cfRule type="expression" dxfId="32" priority="2012" stopIfTrue="1">
      <formula>$A448="file"</formula>
    </cfRule>
  </conditionalFormatting>
  <conditionalFormatting sqref="B448:C452 D448:E452">
    <cfRule type="expression" dxfId="7" priority="2013" stopIfTrue="1">
      <formula>$A448="note"</formula>
    </cfRule>
  </conditionalFormatting>
  <conditionalFormatting sqref="B448:C452 D448:E452">
    <cfRule type="expression" dxfId="8" priority="2014" stopIfTrue="1">
      <formula>$A448="barcode"</formula>
    </cfRule>
  </conditionalFormatting>
  <conditionalFormatting sqref="B448:C452 D448:E452">
    <cfRule type="expression" dxfId="9" priority="2015" stopIfTrue="1">
      <formula>OR($A448="geopoint", $A448="geoshape", $A448="geotrace")</formula>
    </cfRule>
  </conditionalFormatting>
  <conditionalFormatting sqref="B448:B452">
    <cfRule type="expression" dxfId="10" priority="2016" stopIfTrue="1">
      <formula>OR($A448="calculate", $A448="calculate_here")</formula>
    </cfRule>
  </conditionalFormatting>
  <conditionalFormatting sqref="B448:C452 D448:E452">
    <cfRule type="expression" dxfId="11" priority="2017" stopIfTrue="1">
      <formula>OR($A448="date", $A448="datetime", $A448="time")</formula>
    </cfRule>
  </conditionalFormatting>
  <conditionalFormatting sqref="B448:C452 D448:E452">
    <cfRule type="expression" dxfId="12" priority="2018" stopIfTrue="1">
      <formula>$A448="image"</formula>
    </cfRule>
  </conditionalFormatting>
  <conditionalFormatting sqref="B448:C452 D448:E452">
    <cfRule type="expression" dxfId="13" priority="2019" stopIfTrue="1">
      <formula>OR($A448="audio", $A448="video")</formula>
    </cfRule>
  </conditionalFormatting>
  <conditionalFormatting sqref="B448:E452">
    <cfRule type="expression" dxfId="33" priority="2020" stopIfTrue="1">
      <formula>$A448="file"</formula>
    </cfRule>
  </conditionalFormatting>
  <conditionalFormatting sqref="B448:E452">
    <cfRule type="expression" dxfId="34" priority="2021" stopIfTrue="1">
      <formula>$A448="enumerator"</formula>
    </cfRule>
  </conditionalFormatting>
  <conditionalFormatting sqref="B448:E452">
    <cfRule type="expression" dxfId="35" priority="2022" stopIfTrue="1">
      <formula>OR(AND(LEFT($A448, 14)="sensor_stream ", LEN($A448)&gt;14, NOT(ISNUMBER(SEARCH(" ", $A448, 15)))), AND(LEFT($A448, 17)="sensor_statistic ", LEN($A448)&gt;17, NOT(ISNUMBER(SEARCH(" ", $A448, 18)))))</formula>
    </cfRule>
  </conditionalFormatting>
  <conditionalFormatting sqref="B448:E452">
    <cfRule type="expression" dxfId="14" priority="2023" stopIfTrue="1">
      <formula>$A448="comments"</formula>
    </cfRule>
  </conditionalFormatting>
  <conditionalFormatting sqref="B448:E452">
    <cfRule type="expression" dxfId="15" priority="2024" stopIfTrue="1">
      <formula>OR($A448="audio", $A448="video")</formula>
    </cfRule>
  </conditionalFormatting>
  <conditionalFormatting sqref="B448:E452">
    <cfRule type="expression" dxfId="16" priority="2025" stopIfTrue="1">
      <formula>$A448="image"</formula>
    </cfRule>
  </conditionalFormatting>
  <conditionalFormatting sqref="B448:E452">
    <cfRule type="expression" dxfId="17" priority="2026" stopIfTrue="1">
      <formula>OR($A448="date", $A448="datetime", $A448="time")</formula>
    </cfRule>
  </conditionalFormatting>
  <conditionalFormatting sqref="B448:E452">
    <cfRule type="expression" dxfId="18" priority="2027" stopIfTrue="1">
      <formula>OR($A448="calculate", $A448="calculate_here")</formula>
    </cfRule>
  </conditionalFormatting>
  <conditionalFormatting sqref="B448:E452">
    <cfRule type="expression" dxfId="19" priority="2028" stopIfTrue="1">
      <formula>$A448="note"</formula>
    </cfRule>
  </conditionalFormatting>
  <conditionalFormatting sqref="B448:E452">
    <cfRule type="expression" dxfId="20" priority="2029" stopIfTrue="1">
      <formula>$A448="barcode"</formula>
    </cfRule>
  </conditionalFormatting>
  <conditionalFormatting sqref="B448:E452">
    <cfRule type="expression" dxfId="21" priority="2030" stopIfTrue="1">
      <formula>OR($A448="geopoint", $A448="geoshape", $A448="geotrace")</formula>
    </cfRule>
  </conditionalFormatting>
  <conditionalFormatting sqref="B448:E452">
    <cfRule type="expression" dxfId="22" priority="2031" stopIfTrue="1">
      <formula>OR($A448="audio audit", $A448="text audit", $A448="speed violations count", $A448="speed violations list", $A448="speed violations audit")</formula>
    </cfRule>
  </conditionalFormatting>
  <conditionalFormatting sqref="B448:E452">
    <cfRule type="expression" dxfId="23" priority="2032" stopIfTrue="1">
      <formula>OR($A448="username", $A448="phonenumber", $A448="start", $A448="end", $A448="deviceid", $A448="subscriberid", $A448="simserial", $A448="caseid")</formula>
    </cfRule>
  </conditionalFormatting>
  <conditionalFormatting sqref="B448:E452">
    <cfRule type="expression" dxfId="24" priority="2033" stopIfTrue="1">
      <formula>OR(AND(LEFT($A448, 16)="select_multiple ", LEN($A448)&gt;16, NOT(ISNUMBER(SEARCH(" ", $A448, 17)))), AND(LEFT($A448, 11)="select_one ", LEN($A448)&gt;11, NOT(ISNUMBER(SEARCH(" ", $A448, 12)))))</formula>
    </cfRule>
  </conditionalFormatting>
  <conditionalFormatting sqref="B448:E452">
    <cfRule type="expression" dxfId="25" priority="2034" stopIfTrue="1">
      <formula>$A448="decimal"</formula>
    </cfRule>
  </conditionalFormatting>
  <conditionalFormatting sqref="B448:E452">
    <cfRule type="expression" dxfId="26" priority="2035" stopIfTrue="1">
      <formula>$A448="integer"</formula>
    </cfRule>
  </conditionalFormatting>
  <conditionalFormatting sqref="B448:E452">
    <cfRule type="expression" dxfId="27" priority="2036" stopIfTrue="1">
      <formula>$A448="text"</formula>
    </cfRule>
  </conditionalFormatting>
  <conditionalFormatting sqref="B448:E452">
    <cfRule type="expression" dxfId="28" priority="2037" stopIfTrue="1">
      <formula>$A448="end repeat"</formula>
    </cfRule>
  </conditionalFormatting>
  <conditionalFormatting sqref="B448:E452">
    <cfRule type="expression" dxfId="28" priority="2038" stopIfTrue="1">
      <formula>$A448="begin repeat"</formula>
    </cfRule>
  </conditionalFormatting>
  <conditionalFormatting sqref="B448:E452">
    <cfRule type="expression" dxfId="29" priority="2039" stopIfTrue="1">
      <formula>$A448="end group"</formula>
    </cfRule>
  </conditionalFormatting>
  <conditionalFormatting sqref="B448:E452">
    <cfRule type="expression" dxfId="29" priority="2040" stopIfTrue="1">
      <formula>$A448="begin group"</formula>
    </cfRule>
  </conditionalFormatting>
  <conditionalFormatting sqref="B448:B452">
    <cfRule type="expression" dxfId="30" priority="2041" stopIfTrue="1">
      <formula>$A448="comments"</formula>
    </cfRule>
  </conditionalFormatting>
  <conditionalFormatting sqref="B448:B452">
    <cfRule type="expression" dxfId="36" priority="2042" stopIfTrue="1">
      <formula>OR(AND(LEFT($A448, 14)="sensor_stream ", LEN($A448)&gt;14, NOT(ISNUMBER(SEARCH(" ", $A448, 15)))), AND(LEFT($A448, 17)="sensor_statistic ", LEN($A448)&gt;17, NOT(ISNUMBER(SEARCH(" ", $A448, 18)))))</formula>
    </cfRule>
  </conditionalFormatting>
  <conditionalFormatting sqref="B426:C432 D426:E432">
    <cfRule type="expression" dxfId="0" priority="2043" stopIfTrue="1">
      <formula>$A426="begin group"</formula>
    </cfRule>
  </conditionalFormatting>
  <conditionalFormatting sqref="B426:C432 D426:E432">
    <cfRule type="expression" dxfId="1" priority="2044" stopIfTrue="1">
      <formula>$A426="begin repeat"</formula>
    </cfRule>
  </conditionalFormatting>
  <conditionalFormatting sqref="B426:E432">
    <cfRule type="expression" dxfId="31" priority="2045" stopIfTrue="1">
      <formula>$A426="enumerator"</formula>
    </cfRule>
  </conditionalFormatting>
  <conditionalFormatting sqref="B426:E432">
    <cfRule type="expression" dxfId="2" priority="2046" stopIfTrue="1">
      <formula>$A426="text"</formula>
    </cfRule>
  </conditionalFormatting>
  <conditionalFormatting sqref="B426:E432">
    <cfRule type="expression" dxfId="3" priority="2047" stopIfTrue="1">
      <formula>$A426="integer"</formula>
    </cfRule>
  </conditionalFormatting>
  <conditionalFormatting sqref="B426:E432">
    <cfRule type="expression" dxfId="4" priority="2048" stopIfTrue="1">
      <formula>$A426="decimal"</formula>
    </cfRule>
  </conditionalFormatting>
  <conditionalFormatting sqref="B426:C432 D426:E432">
    <cfRule type="expression" dxfId="5" priority="2049" stopIfTrue="1">
      <formula>OR(AND(LEFT($A426, 16)="select_multiple ", LEN($A426)&gt;16, NOT(ISNUMBER(SEARCH(" ", $A426, 17)))), AND(LEFT($A426, 11)="select_one ", LEN($A426)&gt;11, NOT(ISNUMBER(SEARCH(" ", $A426, 12)))))</formula>
    </cfRule>
  </conditionalFormatting>
  <conditionalFormatting sqref="B426:B432">
    <cfRule type="expression" dxfId="6" priority="2050" stopIfTrue="1">
      <formula>OR($A426="audio audit", $A426="text audit", $A426="speed violations count", $A426="speed violations list", $A426="speed violations audit")</formula>
    </cfRule>
  </conditionalFormatting>
  <conditionalFormatting sqref="B426:C432 D426:E432">
    <cfRule type="expression" dxfId="32" priority="2051" stopIfTrue="1">
      <formula>$A426="file"</formula>
    </cfRule>
  </conditionalFormatting>
  <conditionalFormatting sqref="B426:C432 D426:E432">
    <cfRule type="expression" dxfId="7" priority="2052" stopIfTrue="1">
      <formula>$A426="note"</formula>
    </cfRule>
  </conditionalFormatting>
  <conditionalFormatting sqref="B426:C432 D426:E432">
    <cfRule type="expression" dxfId="8" priority="2053" stopIfTrue="1">
      <formula>$A426="barcode"</formula>
    </cfRule>
  </conditionalFormatting>
  <conditionalFormatting sqref="B426:C432 D426:E432">
    <cfRule type="expression" dxfId="9" priority="2054" stopIfTrue="1">
      <formula>OR($A426="geopoint", $A426="geoshape", $A426="geotrace")</formula>
    </cfRule>
  </conditionalFormatting>
  <conditionalFormatting sqref="B426:B432">
    <cfRule type="expression" dxfId="10" priority="2055" stopIfTrue="1">
      <formula>OR($A426="calculate", $A426="calculate_here")</formula>
    </cfRule>
  </conditionalFormatting>
  <conditionalFormatting sqref="B426:C432 D426:E432">
    <cfRule type="expression" dxfId="11" priority="2056" stopIfTrue="1">
      <formula>OR($A426="date", $A426="datetime", $A426="time")</formula>
    </cfRule>
  </conditionalFormatting>
  <conditionalFormatting sqref="B426:C432 D426:E432">
    <cfRule type="expression" dxfId="12" priority="2057" stopIfTrue="1">
      <formula>$A426="image"</formula>
    </cfRule>
  </conditionalFormatting>
  <conditionalFormatting sqref="B426:C432 D426:E432">
    <cfRule type="expression" dxfId="13" priority="2058" stopIfTrue="1">
      <formula>OR($A426="audio", $A426="video")</formula>
    </cfRule>
  </conditionalFormatting>
  <conditionalFormatting sqref="B426:E432">
    <cfRule type="expression" dxfId="33" priority="2059" stopIfTrue="1">
      <formula>$A426="file"</formula>
    </cfRule>
  </conditionalFormatting>
  <conditionalFormatting sqref="B426:E432">
    <cfRule type="expression" dxfId="34" priority="2060" stopIfTrue="1">
      <formula>$A426="enumerator"</formula>
    </cfRule>
  </conditionalFormatting>
  <conditionalFormatting sqref="B426:E432">
    <cfRule type="expression" dxfId="35" priority="2061" stopIfTrue="1">
      <formula>OR(AND(LEFT($A426, 14)="sensor_stream ", LEN($A426)&gt;14, NOT(ISNUMBER(SEARCH(" ", $A426, 15)))), AND(LEFT($A426, 17)="sensor_statistic ", LEN($A426)&gt;17, NOT(ISNUMBER(SEARCH(" ", $A426, 18)))))</formula>
    </cfRule>
  </conditionalFormatting>
  <conditionalFormatting sqref="B426:E432">
    <cfRule type="expression" dxfId="14" priority="2062" stopIfTrue="1">
      <formula>$A426="comments"</formula>
    </cfRule>
  </conditionalFormatting>
  <conditionalFormatting sqref="B426:E432">
    <cfRule type="expression" dxfId="15" priority="2063" stopIfTrue="1">
      <formula>OR($A426="audio", $A426="video")</formula>
    </cfRule>
  </conditionalFormatting>
  <conditionalFormatting sqref="B426:E432">
    <cfRule type="expression" dxfId="16" priority="2064" stopIfTrue="1">
      <formula>$A426="image"</formula>
    </cfRule>
  </conditionalFormatting>
  <conditionalFormatting sqref="B426:E432">
    <cfRule type="expression" dxfId="17" priority="2065" stopIfTrue="1">
      <formula>OR($A426="date", $A426="datetime", $A426="time")</formula>
    </cfRule>
  </conditionalFormatting>
  <conditionalFormatting sqref="B426:E432">
    <cfRule type="expression" dxfId="18" priority="2066" stopIfTrue="1">
      <formula>OR($A426="calculate", $A426="calculate_here")</formula>
    </cfRule>
  </conditionalFormatting>
  <conditionalFormatting sqref="B426:E432">
    <cfRule type="expression" dxfId="19" priority="2067" stopIfTrue="1">
      <formula>$A426="note"</formula>
    </cfRule>
  </conditionalFormatting>
  <conditionalFormatting sqref="B426:E432">
    <cfRule type="expression" dxfId="20" priority="2068" stopIfTrue="1">
      <formula>$A426="barcode"</formula>
    </cfRule>
  </conditionalFormatting>
  <conditionalFormatting sqref="B426:E432">
    <cfRule type="expression" dxfId="21" priority="2069" stopIfTrue="1">
      <formula>OR($A426="geopoint", $A426="geoshape", $A426="geotrace")</formula>
    </cfRule>
  </conditionalFormatting>
  <conditionalFormatting sqref="B426:E432">
    <cfRule type="expression" dxfId="22" priority="2070" stopIfTrue="1">
      <formula>OR($A426="audio audit", $A426="text audit", $A426="speed violations count", $A426="speed violations list", $A426="speed violations audit")</formula>
    </cfRule>
  </conditionalFormatting>
  <conditionalFormatting sqref="B426:E432">
    <cfRule type="expression" dxfId="23" priority="2071" stopIfTrue="1">
      <formula>OR($A426="username", $A426="phonenumber", $A426="start", $A426="end", $A426="deviceid", $A426="subscriberid", $A426="simserial", $A426="caseid")</formula>
    </cfRule>
  </conditionalFormatting>
  <conditionalFormatting sqref="B426:E432">
    <cfRule type="expression" dxfId="24" priority="2072" stopIfTrue="1">
      <formula>OR(AND(LEFT($A426, 16)="select_multiple ", LEN($A426)&gt;16, NOT(ISNUMBER(SEARCH(" ", $A426, 17)))), AND(LEFT($A426, 11)="select_one ", LEN($A426)&gt;11, NOT(ISNUMBER(SEARCH(" ", $A426, 12)))))</formula>
    </cfRule>
  </conditionalFormatting>
  <conditionalFormatting sqref="B426:E432">
    <cfRule type="expression" dxfId="25" priority="2073" stopIfTrue="1">
      <formula>$A426="decimal"</formula>
    </cfRule>
  </conditionalFormatting>
  <conditionalFormatting sqref="B426:E432">
    <cfRule type="expression" dxfId="26" priority="2074" stopIfTrue="1">
      <formula>$A426="integer"</formula>
    </cfRule>
  </conditionalFormatting>
  <conditionalFormatting sqref="B426:E432">
    <cfRule type="expression" dxfId="27" priority="2075" stopIfTrue="1">
      <formula>$A426="text"</formula>
    </cfRule>
  </conditionalFormatting>
  <conditionalFormatting sqref="B426:E432">
    <cfRule type="expression" dxfId="28" priority="2076" stopIfTrue="1">
      <formula>$A426="end repeat"</formula>
    </cfRule>
  </conditionalFormatting>
  <conditionalFormatting sqref="B426:E432">
    <cfRule type="expression" dxfId="28" priority="2077" stopIfTrue="1">
      <formula>$A426="begin repeat"</formula>
    </cfRule>
  </conditionalFormatting>
  <conditionalFormatting sqref="B426:E432">
    <cfRule type="expression" dxfId="29" priority="2078" stopIfTrue="1">
      <formula>$A426="end group"</formula>
    </cfRule>
  </conditionalFormatting>
  <conditionalFormatting sqref="B426:E432">
    <cfRule type="expression" dxfId="29" priority="2079" stopIfTrue="1">
      <formula>$A426="begin group"</formula>
    </cfRule>
  </conditionalFormatting>
  <conditionalFormatting sqref="B426:B432">
    <cfRule type="expression" dxfId="30" priority="2080" stopIfTrue="1">
      <formula>$A426="comments"</formula>
    </cfRule>
  </conditionalFormatting>
  <conditionalFormatting sqref="B426:B432">
    <cfRule type="expression" dxfId="36" priority="2081" stopIfTrue="1">
      <formula>OR(AND(LEFT($A426, 14)="sensor_stream ", LEN($A426)&gt;14, NOT(ISNUMBER(SEARCH(" ", $A426, 15)))), AND(LEFT($A426, 17)="sensor_statistic ", LEN($A426)&gt;17, NOT(ISNUMBER(SEARCH(" ", $A426, 18)))))</formula>
    </cfRule>
  </conditionalFormatting>
  <conditionalFormatting sqref="B419:C421 D419:E421">
    <cfRule type="expression" dxfId="0" priority="2082" stopIfTrue="1">
      <formula>$A419="begin group"</formula>
    </cfRule>
  </conditionalFormatting>
  <conditionalFormatting sqref="B419:C421 D419:E421">
    <cfRule type="expression" dxfId="1" priority="2083" stopIfTrue="1">
      <formula>$A419="begin repeat"</formula>
    </cfRule>
  </conditionalFormatting>
  <conditionalFormatting sqref="B419:E421">
    <cfRule type="expression" dxfId="31" priority="2084" stopIfTrue="1">
      <formula>$A419="enumerator"</formula>
    </cfRule>
  </conditionalFormatting>
  <conditionalFormatting sqref="B419:E421">
    <cfRule type="expression" dxfId="2" priority="2085" stopIfTrue="1">
      <formula>$A419="text"</formula>
    </cfRule>
  </conditionalFormatting>
  <conditionalFormatting sqref="B419:E421">
    <cfRule type="expression" dxfId="3" priority="2086" stopIfTrue="1">
      <formula>$A419="integer"</formula>
    </cfRule>
  </conditionalFormatting>
  <conditionalFormatting sqref="B419:E421">
    <cfRule type="expression" dxfId="4" priority="2087" stopIfTrue="1">
      <formula>$A419="decimal"</formula>
    </cfRule>
  </conditionalFormatting>
  <conditionalFormatting sqref="B419:C421 D419:E421">
    <cfRule type="expression" dxfId="5" priority="2088" stopIfTrue="1">
      <formula>OR(AND(LEFT($A419, 16)="select_multiple ", LEN($A419)&gt;16, NOT(ISNUMBER(SEARCH(" ", $A419, 17)))), AND(LEFT($A419, 11)="select_one ", LEN($A419)&gt;11, NOT(ISNUMBER(SEARCH(" ", $A419, 12)))))</formula>
    </cfRule>
  </conditionalFormatting>
  <conditionalFormatting sqref="B419:B421">
    <cfRule type="expression" dxfId="6" priority="2089" stopIfTrue="1">
      <formula>OR($A419="audio audit", $A419="text audit", $A419="speed violations count", $A419="speed violations list", $A419="speed violations audit")</formula>
    </cfRule>
  </conditionalFormatting>
  <conditionalFormatting sqref="B419:C421 D419:E421">
    <cfRule type="expression" dxfId="32" priority="2090" stopIfTrue="1">
      <formula>$A419="file"</formula>
    </cfRule>
  </conditionalFormatting>
  <conditionalFormatting sqref="B419:C421 D419:E421">
    <cfRule type="expression" dxfId="7" priority="2091" stopIfTrue="1">
      <formula>$A419="note"</formula>
    </cfRule>
  </conditionalFormatting>
  <conditionalFormatting sqref="B419:C421 D419:E421">
    <cfRule type="expression" dxfId="8" priority="2092" stopIfTrue="1">
      <formula>$A419="barcode"</formula>
    </cfRule>
  </conditionalFormatting>
  <conditionalFormatting sqref="B419:C421 D419:E421">
    <cfRule type="expression" dxfId="9" priority="2093" stopIfTrue="1">
      <formula>OR($A419="geopoint", $A419="geoshape", $A419="geotrace")</formula>
    </cfRule>
  </conditionalFormatting>
  <conditionalFormatting sqref="B419:B421">
    <cfRule type="expression" dxfId="10" priority="2094" stopIfTrue="1">
      <formula>OR($A419="calculate", $A419="calculate_here")</formula>
    </cfRule>
  </conditionalFormatting>
  <conditionalFormatting sqref="B419:C421 D419:E421">
    <cfRule type="expression" dxfId="11" priority="2095" stopIfTrue="1">
      <formula>OR($A419="date", $A419="datetime", $A419="time")</formula>
    </cfRule>
  </conditionalFormatting>
  <conditionalFormatting sqref="B419:C421 D419:E421">
    <cfRule type="expression" dxfId="12" priority="2096" stopIfTrue="1">
      <formula>$A419="image"</formula>
    </cfRule>
  </conditionalFormatting>
  <conditionalFormatting sqref="B419:C421 D419:E421">
    <cfRule type="expression" dxfId="13" priority="2097" stopIfTrue="1">
      <formula>OR($A419="audio", $A419="video")</formula>
    </cfRule>
  </conditionalFormatting>
  <conditionalFormatting sqref="B419:E421">
    <cfRule type="expression" dxfId="33" priority="2098" stopIfTrue="1">
      <formula>$A419="file"</formula>
    </cfRule>
  </conditionalFormatting>
  <conditionalFormatting sqref="B419:E421">
    <cfRule type="expression" dxfId="34" priority="2099" stopIfTrue="1">
      <formula>$A419="enumerator"</formula>
    </cfRule>
  </conditionalFormatting>
  <conditionalFormatting sqref="B419:E421">
    <cfRule type="expression" dxfId="35" priority="2100" stopIfTrue="1">
      <formula>OR(AND(LEFT($A419, 14)="sensor_stream ", LEN($A419)&gt;14, NOT(ISNUMBER(SEARCH(" ", $A419, 15)))), AND(LEFT($A419, 17)="sensor_statistic ", LEN($A419)&gt;17, NOT(ISNUMBER(SEARCH(" ", $A419, 18)))))</formula>
    </cfRule>
  </conditionalFormatting>
  <conditionalFormatting sqref="B419:E421">
    <cfRule type="expression" dxfId="14" priority="2101" stopIfTrue="1">
      <formula>$A419="comments"</formula>
    </cfRule>
  </conditionalFormatting>
  <conditionalFormatting sqref="B419:E421">
    <cfRule type="expression" dxfId="15" priority="2102" stopIfTrue="1">
      <formula>OR($A419="audio", $A419="video")</formula>
    </cfRule>
  </conditionalFormatting>
  <conditionalFormatting sqref="B419:E421">
    <cfRule type="expression" dxfId="16" priority="2103" stopIfTrue="1">
      <formula>$A419="image"</formula>
    </cfRule>
  </conditionalFormatting>
  <conditionalFormatting sqref="B419:E421">
    <cfRule type="expression" dxfId="17" priority="2104" stopIfTrue="1">
      <formula>OR($A419="date", $A419="datetime", $A419="time")</formula>
    </cfRule>
  </conditionalFormatting>
  <conditionalFormatting sqref="B419:E421">
    <cfRule type="expression" dxfId="18" priority="2105" stopIfTrue="1">
      <formula>OR($A419="calculate", $A419="calculate_here")</formula>
    </cfRule>
  </conditionalFormatting>
  <conditionalFormatting sqref="B419:E421">
    <cfRule type="expression" dxfId="19" priority="2106" stopIfTrue="1">
      <formula>$A419="note"</formula>
    </cfRule>
  </conditionalFormatting>
  <conditionalFormatting sqref="B419:E421">
    <cfRule type="expression" dxfId="20" priority="2107" stopIfTrue="1">
      <formula>$A419="barcode"</formula>
    </cfRule>
  </conditionalFormatting>
  <conditionalFormatting sqref="B419:E421">
    <cfRule type="expression" dxfId="21" priority="2108" stopIfTrue="1">
      <formula>OR($A419="geopoint", $A419="geoshape", $A419="geotrace")</formula>
    </cfRule>
  </conditionalFormatting>
  <conditionalFormatting sqref="B419:E421">
    <cfRule type="expression" dxfId="22" priority="2109" stopIfTrue="1">
      <formula>OR($A419="audio audit", $A419="text audit", $A419="speed violations count", $A419="speed violations list", $A419="speed violations audit")</formula>
    </cfRule>
  </conditionalFormatting>
  <conditionalFormatting sqref="B419:E421">
    <cfRule type="expression" dxfId="23" priority="2110" stopIfTrue="1">
      <formula>OR($A419="username", $A419="phonenumber", $A419="start", $A419="end", $A419="deviceid", $A419="subscriberid", $A419="simserial", $A419="caseid")</formula>
    </cfRule>
  </conditionalFormatting>
  <conditionalFormatting sqref="B419:E421">
    <cfRule type="expression" dxfId="24" priority="2111" stopIfTrue="1">
      <formula>OR(AND(LEFT($A419, 16)="select_multiple ", LEN($A419)&gt;16, NOT(ISNUMBER(SEARCH(" ", $A419, 17)))), AND(LEFT($A419, 11)="select_one ", LEN($A419)&gt;11, NOT(ISNUMBER(SEARCH(" ", $A419, 12)))))</formula>
    </cfRule>
  </conditionalFormatting>
  <conditionalFormatting sqref="B419:E421">
    <cfRule type="expression" dxfId="25" priority="2112" stopIfTrue="1">
      <formula>$A419="decimal"</formula>
    </cfRule>
  </conditionalFormatting>
  <conditionalFormatting sqref="B419:E421">
    <cfRule type="expression" dxfId="26" priority="2113" stopIfTrue="1">
      <formula>$A419="integer"</formula>
    </cfRule>
  </conditionalFormatting>
  <conditionalFormatting sqref="B419:E421">
    <cfRule type="expression" dxfId="27" priority="2114" stopIfTrue="1">
      <formula>$A419="text"</formula>
    </cfRule>
  </conditionalFormatting>
  <conditionalFormatting sqref="B419:E421">
    <cfRule type="expression" dxfId="28" priority="2115" stopIfTrue="1">
      <formula>$A419="end repeat"</formula>
    </cfRule>
  </conditionalFormatting>
  <conditionalFormatting sqref="B419:E421">
    <cfRule type="expression" dxfId="28" priority="2116" stopIfTrue="1">
      <formula>$A419="begin repeat"</formula>
    </cfRule>
  </conditionalFormatting>
  <conditionalFormatting sqref="B419:E421">
    <cfRule type="expression" dxfId="29" priority="2117" stopIfTrue="1">
      <formula>$A419="end group"</formula>
    </cfRule>
  </conditionalFormatting>
  <conditionalFormatting sqref="B419:E421">
    <cfRule type="expression" dxfId="29" priority="2118" stopIfTrue="1">
      <formula>$A419="begin group"</formula>
    </cfRule>
  </conditionalFormatting>
  <conditionalFormatting sqref="B419:B421">
    <cfRule type="expression" dxfId="30" priority="2119" stopIfTrue="1">
      <formula>$A419="comments"</formula>
    </cfRule>
  </conditionalFormatting>
  <conditionalFormatting sqref="B419:B421">
    <cfRule type="expression" dxfId="36" priority="2120" stopIfTrue="1">
      <formula>OR(AND(LEFT($A419, 14)="sensor_stream ", LEN($A419)&gt;14, NOT(ISNUMBER(SEARCH(" ", $A419, 15)))), AND(LEFT($A419, 17)="sensor_statistic ", LEN($A419)&gt;17, NOT(ISNUMBER(SEARCH(" ", $A419, 18)))))</formula>
    </cfRule>
  </conditionalFormatting>
  <conditionalFormatting sqref="B411:C415 D411:E415">
    <cfRule type="expression" dxfId="0" priority="2121" stopIfTrue="1">
      <formula>$A411="begin group"</formula>
    </cfRule>
  </conditionalFormatting>
  <conditionalFormatting sqref="B411:C415 D411:E415">
    <cfRule type="expression" dxfId="1" priority="2122" stopIfTrue="1">
      <formula>$A411="begin repeat"</formula>
    </cfRule>
  </conditionalFormatting>
  <conditionalFormatting sqref="B411:E415">
    <cfRule type="expression" dxfId="31" priority="2123" stopIfTrue="1">
      <formula>$A411="enumerator"</formula>
    </cfRule>
  </conditionalFormatting>
  <conditionalFormatting sqref="B411:E415">
    <cfRule type="expression" dxfId="2" priority="2124" stopIfTrue="1">
      <formula>$A411="text"</formula>
    </cfRule>
  </conditionalFormatting>
  <conditionalFormatting sqref="B411:E415">
    <cfRule type="expression" dxfId="3" priority="2125" stopIfTrue="1">
      <formula>$A411="integer"</formula>
    </cfRule>
  </conditionalFormatting>
  <conditionalFormatting sqref="B411:E415">
    <cfRule type="expression" dxfId="4" priority="2126" stopIfTrue="1">
      <formula>$A411="decimal"</formula>
    </cfRule>
  </conditionalFormatting>
  <conditionalFormatting sqref="B411:C415 D411:E415">
    <cfRule type="expression" dxfId="5" priority="2127" stopIfTrue="1">
      <formula>OR(AND(LEFT($A411, 16)="select_multiple ", LEN($A411)&gt;16, NOT(ISNUMBER(SEARCH(" ", $A411, 17)))), AND(LEFT($A411, 11)="select_one ", LEN($A411)&gt;11, NOT(ISNUMBER(SEARCH(" ", $A411, 12)))))</formula>
    </cfRule>
  </conditionalFormatting>
  <conditionalFormatting sqref="B411:B415">
    <cfRule type="expression" dxfId="6" priority="2128" stopIfTrue="1">
      <formula>OR($A411="audio audit", $A411="text audit", $A411="speed violations count", $A411="speed violations list", $A411="speed violations audit")</formula>
    </cfRule>
  </conditionalFormatting>
  <conditionalFormatting sqref="B411:C415 D411:E415">
    <cfRule type="expression" dxfId="32" priority="2129" stopIfTrue="1">
      <formula>$A411="file"</formula>
    </cfRule>
  </conditionalFormatting>
  <conditionalFormatting sqref="B411:C415 D411:E415">
    <cfRule type="expression" dxfId="7" priority="2130" stopIfTrue="1">
      <formula>$A411="note"</formula>
    </cfRule>
  </conditionalFormatting>
  <conditionalFormatting sqref="B411:C415 D411:E415">
    <cfRule type="expression" dxfId="8" priority="2131" stopIfTrue="1">
      <formula>$A411="barcode"</formula>
    </cfRule>
  </conditionalFormatting>
  <conditionalFormatting sqref="B411:C415 D411:E415">
    <cfRule type="expression" dxfId="9" priority="2132" stopIfTrue="1">
      <formula>OR($A411="geopoint", $A411="geoshape", $A411="geotrace")</formula>
    </cfRule>
  </conditionalFormatting>
  <conditionalFormatting sqref="B411:B415">
    <cfRule type="expression" dxfId="10" priority="2133" stopIfTrue="1">
      <formula>OR($A411="calculate", $A411="calculate_here")</formula>
    </cfRule>
  </conditionalFormatting>
  <conditionalFormatting sqref="B411:C415 D411:E415">
    <cfRule type="expression" dxfId="11" priority="2134" stopIfTrue="1">
      <formula>OR($A411="date", $A411="datetime", $A411="time")</formula>
    </cfRule>
  </conditionalFormatting>
  <conditionalFormatting sqref="B411:C415 D411:E415">
    <cfRule type="expression" dxfId="12" priority="2135" stopIfTrue="1">
      <formula>$A411="image"</formula>
    </cfRule>
  </conditionalFormatting>
  <conditionalFormatting sqref="B411:C415 D411:E415">
    <cfRule type="expression" dxfId="13" priority="2136" stopIfTrue="1">
      <formula>OR($A411="audio", $A411="video")</formula>
    </cfRule>
  </conditionalFormatting>
  <conditionalFormatting sqref="B411:E415">
    <cfRule type="expression" dxfId="33" priority="2137" stopIfTrue="1">
      <formula>$A411="file"</formula>
    </cfRule>
  </conditionalFormatting>
  <conditionalFormatting sqref="B411:E415">
    <cfRule type="expression" dxfId="34" priority="2138" stopIfTrue="1">
      <formula>$A411="enumerator"</formula>
    </cfRule>
  </conditionalFormatting>
  <conditionalFormatting sqref="B411:E415">
    <cfRule type="expression" dxfId="35" priority="2139" stopIfTrue="1">
      <formula>OR(AND(LEFT($A411, 14)="sensor_stream ", LEN($A411)&gt;14, NOT(ISNUMBER(SEARCH(" ", $A411, 15)))), AND(LEFT($A411, 17)="sensor_statistic ", LEN($A411)&gt;17, NOT(ISNUMBER(SEARCH(" ", $A411, 18)))))</formula>
    </cfRule>
  </conditionalFormatting>
  <conditionalFormatting sqref="B411:E415">
    <cfRule type="expression" dxfId="14" priority="2140" stopIfTrue="1">
      <formula>$A411="comments"</formula>
    </cfRule>
  </conditionalFormatting>
  <conditionalFormatting sqref="B411:E415">
    <cfRule type="expression" dxfId="15" priority="2141" stopIfTrue="1">
      <formula>OR($A411="audio", $A411="video")</formula>
    </cfRule>
  </conditionalFormatting>
  <conditionalFormatting sqref="B411:E415">
    <cfRule type="expression" dxfId="16" priority="2142" stopIfTrue="1">
      <formula>$A411="image"</formula>
    </cfRule>
  </conditionalFormatting>
  <conditionalFormatting sqref="B411:E415">
    <cfRule type="expression" dxfId="17" priority="2143" stopIfTrue="1">
      <formula>OR($A411="date", $A411="datetime", $A411="time")</formula>
    </cfRule>
  </conditionalFormatting>
  <conditionalFormatting sqref="B411:E415">
    <cfRule type="expression" dxfId="18" priority="2144" stopIfTrue="1">
      <formula>OR($A411="calculate", $A411="calculate_here")</formula>
    </cfRule>
  </conditionalFormatting>
  <conditionalFormatting sqref="B411:E415">
    <cfRule type="expression" dxfId="19" priority="2145" stopIfTrue="1">
      <formula>$A411="note"</formula>
    </cfRule>
  </conditionalFormatting>
  <conditionalFormatting sqref="B411:E415">
    <cfRule type="expression" dxfId="20" priority="2146" stopIfTrue="1">
      <formula>$A411="barcode"</formula>
    </cfRule>
  </conditionalFormatting>
  <conditionalFormatting sqref="B411:E415">
    <cfRule type="expression" dxfId="21" priority="2147" stopIfTrue="1">
      <formula>OR($A411="geopoint", $A411="geoshape", $A411="geotrace")</formula>
    </cfRule>
  </conditionalFormatting>
  <conditionalFormatting sqref="B411:E415">
    <cfRule type="expression" dxfId="22" priority="2148" stopIfTrue="1">
      <formula>OR($A411="audio audit", $A411="text audit", $A411="speed violations count", $A411="speed violations list", $A411="speed violations audit")</formula>
    </cfRule>
  </conditionalFormatting>
  <conditionalFormatting sqref="B411:E415">
    <cfRule type="expression" dxfId="23" priority="2149" stopIfTrue="1">
      <formula>OR($A411="username", $A411="phonenumber", $A411="start", $A411="end", $A411="deviceid", $A411="subscriberid", $A411="simserial", $A411="caseid")</formula>
    </cfRule>
  </conditionalFormatting>
  <conditionalFormatting sqref="B411:E415">
    <cfRule type="expression" dxfId="24" priority="2150" stopIfTrue="1">
      <formula>OR(AND(LEFT($A411, 16)="select_multiple ", LEN($A411)&gt;16, NOT(ISNUMBER(SEARCH(" ", $A411, 17)))), AND(LEFT($A411, 11)="select_one ", LEN($A411)&gt;11, NOT(ISNUMBER(SEARCH(" ", $A411, 12)))))</formula>
    </cfRule>
  </conditionalFormatting>
  <conditionalFormatting sqref="B411:E415">
    <cfRule type="expression" dxfId="25" priority="2151" stopIfTrue="1">
      <formula>$A411="decimal"</formula>
    </cfRule>
  </conditionalFormatting>
  <conditionalFormatting sqref="B411:E415">
    <cfRule type="expression" dxfId="26" priority="2152" stopIfTrue="1">
      <formula>$A411="integer"</formula>
    </cfRule>
  </conditionalFormatting>
  <conditionalFormatting sqref="B411:E415">
    <cfRule type="expression" dxfId="27" priority="2153" stopIfTrue="1">
      <formula>$A411="text"</formula>
    </cfRule>
  </conditionalFormatting>
  <conditionalFormatting sqref="B411:E415">
    <cfRule type="expression" dxfId="28" priority="2154" stopIfTrue="1">
      <formula>$A411="end repeat"</formula>
    </cfRule>
  </conditionalFormatting>
  <conditionalFormatting sqref="B411:E415">
    <cfRule type="expression" dxfId="28" priority="2155" stopIfTrue="1">
      <formula>$A411="begin repeat"</formula>
    </cfRule>
  </conditionalFormatting>
  <conditionalFormatting sqref="B411:E415">
    <cfRule type="expression" dxfId="29" priority="2156" stopIfTrue="1">
      <formula>$A411="end group"</formula>
    </cfRule>
  </conditionalFormatting>
  <conditionalFormatting sqref="B411:E415">
    <cfRule type="expression" dxfId="29" priority="2157" stopIfTrue="1">
      <formula>$A411="begin group"</formula>
    </cfRule>
  </conditionalFormatting>
  <conditionalFormatting sqref="B411:B415">
    <cfRule type="expression" dxfId="30" priority="2158" stopIfTrue="1">
      <formula>$A411="comments"</formula>
    </cfRule>
  </conditionalFormatting>
  <conditionalFormatting sqref="B411:B415">
    <cfRule type="expression" dxfId="36" priority="2159" stopIfTrue="1">
      <formula>OR(AND(LEFT($A411, 14)="sensor_stream ", LEN($A411)&gt;14, NOT(ISNUMBER(SEARCH(" ", $A411, 15)))), AND(LEFT($A411, 17)="sensor_statistic ", LEN($A411)&gt;17, NOT(ISNUMBER(SEARCH(" ", $A411, 18)))))</formula>
    </cfRule>
  </conditionalFormatting>
  <conditionalFormatting sqref="B398:C401 D398:E401">
    <cfRule type="expression" dxfId="0" priority="2160" stopIfTrue="1">
      <formula>$A398="begin group"</formula>
    </cfRule>
  </conditionalFormatting>
  <conditionalFormatting sqref="B398:C401 D398:E401">
    <cfRule type="expression" dxfId="1" priority="2161" stopIfTrue="1">
      <formula>$A398="begin repeat"</formula>
    </cfRule>
  </conditionalFormatting>
  <conditionalFormatting sqref="B398:E401">
    <cfRule type="expression" dxfId="31" priority="2162" stopIfTrue="1">
      <formula>$A398="enumerator"</formula>
    </cfRule>
  </conditionalFormatting>
  <conditionalFormatting sqref="B398:E401">
    <cfRule type="expression" dxfId="2" priority="2163" stopIfTrue="1">
      <formula>$A398="text"</formula>
    </cfRule>
  </conditionalFormatting>
  <conditionalFormatting sqref="B398:E401">
    <cfRule type="expression" dxfId="3" priority="2164" stopIfTrue="1">
      <formula>$A398="integer"</formula>
    </cfRule>
  </conditionalFormatting>
  <conditionalFormatting sqref="B398:E401">
    <cfRule type="expression" dxfId="4" priority="2165" stopIfTrue="1">
      <formula>$A398="decimal"</formula>
    </cfRule>
  </conditionalFormatting>
  <conditionalFormatting sqref="B398:C401 D398:E401">
    <cfRule type="expression" dxfId="5" priority="2166" stopIfTrue="1">
      <formula>OR(AND(LEFT($A398, 16)="select_multiple ", LEN($A398)&gt;16, NOT(ISNUMBER(SEARCH(" ", $A398, 17)))), AND(LEFT($A398, 11)="select_one ", LEN($A398)&gt;11, NOT(ISNUMBER(SEARCH(" ", $A398, 12)))))</formula>
    </cfRule>
  </conditionalFormatting>
  <conditionalFormatting sqref="B398:B401">
    <cfRule type="expression" dxfId="6" priority="2167" stopIfTrue="1">
      <formula>OR($A398="audio audit", $A398="text audit", $A398="speed violations count", $A398="speed violations list", $A398="speed violations audit")</formula>
    </cfRule>
  </conditionalFormatting>
  <conditionalFormatting sqref="B398:C401 D398:E401">
    <cfRule type="expression" dxfId="32" priority="2168" stopIfTrue="1">
      <formula>$A398="file"</formula>
    </cfRule>
  </conditionalFormatting>
  <conditionalFormatting sqref="B398:C401 D398:E401">
    <cfRule type="expression" dxfId="7" priority="2169" stopIfTrue="1">
      <formula>$A398="note"</formula>
    </cfRule>
  </conditionalFormatting>
  <conditionalFormatting sqref="B398:C401 D398:E401">
    <cfRule type="expression" dxfId="8" priority="2170" stopIfTrue="1">
      <formula>$A398="barcode"</formula>
    </cfRule>
  </conditionalFormatting>
  <conditionalFormatting sqref="B398:C401 D398:E401">
    <cfRule type="expression" dxfId="9" priority="2171" stopIfTrue="1">
      <formula>OR($A398="geopoint", $A398="geoshape", $A398="geotrace")</formula>
    </cfRule>
  </conditionalFormatting>
  <conditionalFormatting sqref="B398:B401">
    <cfRule type="expression" dxfId="10" priority="2172" stopIfTrue="1">
      <formula>OR($A398="calculate", $A398="calculate_here")</formula>
    </cfRule>
  </conditionalFormatting>
  <conditionalFormatting sqref="B398:C401 D398:E401">
    <cfRule type="expression" dxfId="11" priority="2173" stopIfTrue="1">
      <formula>OR($A398="date", $A398="datetime", $A398="time")</formula>
    </cfRule>
  </conditionalFormatting>
  <conditionalFormatting sqref="B398:C401 D398:E401">
    <cfRule type="expression" dxfId="12" priority="2174" stopIfTrue="1">
      <formula>$A398="image"</formula>
    </cfRule>
  </conditionalFormatting>
  <conditionalFormatting sqref="B398:C401 D398:E401">
    <cfRule type="expression" dxfId="13" priority="2175" stopIfTrue="1">
      <formula>OR($A398="audio", $A398="video")</formula>
    </cfRule>
  </conditionalFormatting>
  <conditionalFormatting sqref="B398:E401">
    <cfRule type="expression" dxfId="33" priority="2176" stopIfTrue="1">
      <formula>$A398="file"</formula>
    </cfRule>
  </conditionalFormatting>
  <conditionalFormatting sqref="B398:E401">
    <cfRule type="expression" dxfId="34" priority="2177" stopIfTrue="1">
      <formula>$A398="enumerator"</formula>
    </cfRule>
  </conditionalFormatting>
  <conditionalFormatting sqref="B398:E401">
    <cfRule type="expression" dxfId="35" priority="2178" stopIfTrue="1">
      <formula>OR(AND(LEFT($A398, 14)="sensor_stream ", LEN($A398)&gt;14, NOT(ISNUMBER(SEARCH(" ", $A398, 15)))), AND(LEFT($A398, 17)="sensor_statistic ", LEN($A398)&gt;17, NOT(ISNUMBER(SEARCH(" ", $A398, 18)))))</formula>
    </cfRule>
  </conditionalFormatting>
  <conditionalFormatting sqref="B398:E401">
    <cfRule type="expression" dxfId="14" priority="2179" stopIfTrue="1">
      <formula>$A398="comments"</formula>
    </cfRule>
  </conditionalFormatting>
  <conditionalFormatting sqref="B398:E401">
    <cfRule type="expression" dxfId="15" priority="2180" stopIfTrue="1">
      <formula>OR($A398="audio", $A398="video")</formula>
    </cfRule>
  </conditionalFormatting>
  <conditionalFormatting sqref="B398:E401">
    <cfRule type="expression" dxfId="16" priority="2181" stopIfTrue="1">
      <formula>$A398="image"</formula>
    </cfRule>
  </conditionalFormatting>
  <conditionalFormatting sqref="B398:E401">
    <cfRule type="expression" dxfId="17" priority="2182" stopIfTrue="1">
      <formula>OR($A398="date", $A398="datetime", $A398="time")</formula>
    </cfRule>
  </conditionalFormatting>
  <conditionalFormatting sqref="B398:E401">
    <cfRule type="expression" dxfId="18" priority="2183" stopIfTrue="1">
      <formula>OR($A398="calculate", $A398="calculate_here")</formula>
    </cfRule>
  </conditionalFormatting>
  <conditionalFormatting sqref="B398:E401">
    <cfRule type="expression" dxfId="19" priority="2184" stopIfTrue="1">
      <formula>$A398="note"</formula>
    </cfRule>
  </conditionalFormatting>
  <conditionalFormatting sqref="B398:E401">
    <cfRule type="expression" dxfId="20" priority="2185" stopIfTrue="1">
      <formula>$A398="barcode"</formula>
    </cfRule>
  </conditionalFormatting>
  <conditionalFormatting sqref="B398:E401">
    <cfRule type="expression" dxfId="21" priority="2186" stopIfTrue="1">
      <formula>OR($A398="geopoint", $A398="geoshape", $A398="geotrace")</formula>
    </cfRule>
  </conditionalFormatting>
  <conditionalFormatting sqref="B398:E401">
    <cfRule type="expression" dxfId="22" priority="2187" stopIfTrue="1">
      <formula>OR($A398="audio audit", $A398="text audit", $A398="speed violations count", $A398="speed violations list", $A398="speed violations audit")</formula>
    </cfRule>
  </conditionalFormatting>
  <conditionalFormatting sqref="B398:E401">
    <cfRule type="expression" dxfId="23" priority="2188" stopIfTrue="1">
      <formula>OR($A398="username", $A398="phonenumber", $A398="start", $A398="end", $A398="deviceid", $A398="subscriberid", $A398="simserial", $A398="caseid")</formula>
    </cfRule>
  </conditionalFormatting>
  <conditionalFormatting sqref="B398:E401">
    <cfRule type="expression" dxfId="24" priority="2189" stopIfTrue="1">
      <formula>OR(AND(LEFT($A398, 16)="select_multiple ", LEN($A398)&gt;16, NOT(ISNUMBER(SEARCH(" ", $A398, 17)))), AND(LEFT($A398, 11)="select_one ", LEN($A398)&gt;11, NOT(ISNUMBER(SEARCH(" ", $A398, 12)))))</formula>
    </cfRule>
  </conditionalFormatting>
  <conditionalFormatting sqref="B398:E401">
    <cfRule type="expression" dxfId="25" priority="2190" stopIfTrue="1">
      <formula>$A398="decimal"</formula>
    </cfRule>
  </conditionalFormatting>
  <conditionalFormatting sqref="B398:E401">
    <cfRule type="expression" dxfId="26" priority="2191" stopIfTrue="1">
      <formula>$A398="integer"</formula>
    </cfRule>
  </conditionalFormatting>
  <conditionalFormatting sqref="B398:E401">
    <cfRule type="expression" dxfId="27" priority="2192" stopIfTrue="1">
      <formula>$A398="text"</formula>
    </cfRule>
  </conditionalFormatting>
  <conditionalFormatting sqref="B398:E401">
    <cfRule type="expression" dxfId="28" priority="2193" stopIfTrue="1">
      <formula>$A398="end repeat"</formula>
    </cfRule>
  </conditionalFormatting>
  <conditionalFormatting sqref="B398:E401">
    <cfRule type="expression" dxfId="28" priority="2194" stopIfTrue="1">
      <formula>$A398="begin repeat"</formula>
    </cfRule>
  </conditionalFormatting>
  <conditionalFormatting sqref="B398:E401">
    <cfRule type="expression" dxfId="29" priority="2195" stopIfTrue="1">
      <formula>$A398="end group"</formula>
    </cfRule>
  </conditionalFormatting>
  <conditionalFormatting sqref="B398:E401">
    <cfRule type="expression" dxfId="29" priority="2196" stopIfTrue="1">
      <formula>$A398="begin group"</formula>
    </cfRule>
  </conditionalFormatting>
  <conditionalFormatting sqref="B398:B401">
    <cfRule type="expression" dxfId="30" priority="2197" stopIfTrue="1">
      <formula>$A398="comments"</formula>
    </cfRule>
  </conditionalFormatting>
  <conditionalFormatting sqref="B398:B401">
    <cfRule type="expression" dxfId="36" priority="2198" stopIfTrue="1">
      <formula>OR(AND(LEFT($A398, 14)="sensor_stream ", LEN($A398)&gt;14, NOT(ISNUMBER(SEARCH(" ", $A398, 15)))), AND(LEFT($A398, 17)="sensor_statistic ", LEN($A398)&gt;17, NOT(ISNUMBER(SEARCH(" ", $A398, 18)))))</formula>
    </cfRule>
  </conditionalFormatting>
  <conditionalFormatting sqref="B382:C394 D382:E394">
    <cfRule type="expression" dxfId="0" priority="2199" stopIfTrue="1">
      <formula>$A382="begin group"</formula>
    </cfRule>
  </conditionalFormatting>
  <conditionalFormatting sqref="B382:C394 D382:E394">
    <cfRule type="expression" dxfId="1" priority="2200" stopIfTrue="1">
      <formula>$A382="begin repeat"</formula>
    </cfRule>
  </conditionalFormatting>
  <conditionalFormatting sqref="B382:E394">
    <cfRule type="expression" dxfId="31" priority="2201" stopIfTrue="1">
      <formula>$A382="enumerator"</formula>
    </cfRule>
  </conditionalFormatting>
  <conditionalFormatting sqref="B382:E394">
    <cfRule type="expression" dxfId="2" priority="2202" stopIfTrue="1">
      <formula>$A382="text"</formula>
    </cfRule>
  </conditionalFormatting>
  <conditionalFormatting sqref="B382:E394">
    <cfRule type="expression" dxfId="3" priority="2203" stopIfTrue="1">
      <formula>$A382="integer"</formula>
    </cfRule>
  </conditionalFormatting>
  <conditionalFormatting sqref="B382:E394">
    <cfRule type="expression" dxfId="4" priority="2204" stopIfTrue="1">
      <formula>$A382="decimal"</formula>
    </cfRule>
  </conditionalFormatting>
  <conditionalFormatting sqref="B382:C394 D382:E394">
    <cfRule type="expression" dxfId="5" priority="2205" stopIfTrue="1">
      <formula>OR(AND(LEFT($A382, 16)="select_multiple ", LEN($A382)&gt;16, NOT(ISNUMBER(SEARCH(" ", $A382, 17)))), AND(LEFT($A382, 11)="select_one ", LEN($A382)&gt;11, NOT(ISNUMBER(SEARCH(" ", $A382, 12)))))</formula>
    </cfRule>
  </conditionalFormatting>
  <conditionalFormatting sqref="B382:B394">
    <cfRule type="expression" dxfId="6" priority="2206" stopIfTrue="1">
      <formula>OR($A382="audio audit", $A382="text audit", $A382="speed violations count", $A382="speed violations list", $A382="speed violations audit")</formula>
    </cfRule>
  </conditionalFormatting>
  <conditionalFormatting sqref="B382:C394 D382:E394">
    <cfRule type="expression" dxfId="32" priority="2207" stopIfTrue="1">
      <formula>$A382="file"</formula>
    </cfRule>
  </conditionalFormatting>
  <conditionalFormatting sqref="B382:C394 D382:E394">
    <cfRule type="expression" dxfId="7" priority="2208" stopIfTrue="1">
      <formula>$A382="note"</formula>
    </cfRule>
  </conditionalFormatting>
  <conditionalFormatting sqref="B382:C394 D382:E394">
    <cfRule type="expression" dxfId="8" priority="2209" stopIfTrue="1">
      <formula>$A382="barcode"</formula>
    </cfRule>
  </conditionalFormatting>
  <conditionalFormatting sqref="B382:C394 D382:E394">
    <cfRule type="expression" dxfId="9" priority="2210" stopIfTrue="1">
      <formula>OR($A382="geopoint", $A382="geoshape", $A382="geotrace")</formula>
    </cfRule>
  </conditionalFormatting>
  <conditionalFormatting sqref="B382:B394">
    <cfRule type="expression" dxfId="10" priority="2211" stopIfTrue="1">
      <formula>OR($A382="calculate", $A382="calculate_here")</formula>
    </cfRule>
  </conditionalFormatting>
  <conditionalFormatting sqref="B382:C394 D382:E394">
    <cfRule type="expression" dxfId="11" priority="2212" stopIfTrue="1">
      <formula>OR($A382="date", $A382="datetime", $A382="time")</formula>
    </cfRule>
  </conditionalFormatting>
  <conditionalFormatting sqref="B382:C394 D382:E394">
    <cfRule type="expression" dxfId="12" priority="2213" stopIfTrue="1">
      <formula>$A382="image"</formula>
    </cfRule>
  </conditionalFormatting>
  <conditionalFormatting sqref="B382:C394 D382:E394">
    <cfRule type="expression" dxfId="13" priority="2214" stopIfTrue="1">
      <formula>OR($A382="audio", $A382="video")</formula>
    </cfRule>
  </conditionalFormatting>
  <conditionalFormatting sqref="B382:E394">
    <cfRule type="expression" dxfId="33" priority="2215" stopIfTrue="1">
      <formula>$A382="file"</formula>
    </cfRule>
  </conditionalFormatting>
  <conditionalFormatting sqref="B382:E394">
    <cfRule type="expression" dxfId="34" priority="2216" stopIfTrue="1">
      <formula>$A382="enumerator"</formula>
    </cfRule>
  </conditionalFormatting>
  <conditionalFormatting sqref="B382:E394">
    <cfRule type="expression" dxfId="35" priority="2217" stopIfTrue="1">
      <formula>OR(AND(LEFT($A382, 14)="sensor_stream ", LEN($A382)&gt;14, NOT(ISNUMBER(SEARCH(" ", $A382, 15)))), AND(LEFT($A382, 17)="sensor_statistic ", LEN($A382)&gt;17, NOT(ISNUMBER(SEARCH(" ", $A382, 18)))))</formula>
    </cfRule>
  </conditionalFormatting>
  <conditionalFormatting sqref="B382:E394">
    <cfRule type="expression" dxfId="14" priority="2218" stopIfTrue="1">
      <formula>$A382="comments"</formula>
    </cfRule>
  </conditionalFormatting>
  <conditionalFormatting sqref="B382:E394">
    <cfRule type="expression" dxfId="15" priority="2219" stopIfTrue="1">
      <formula>OR($A382="audio", $A382="video")</formula>
    </cfRule>
  </conditionalFormatting>
  <conditionalFormatting sqref="B382:E394">
    <cfRule type="expression" dxfId="16" priority="2220" stopIfTrue="1">
      <formula>$A382="image"</formula>
    </cfRule>
  </conditionalFormatting>
  <conditionalFormatting sqref="B382:E394">
    <cfRule type="expression" dxfId="17" priority="2221" stopIfTrue="1">
      <formula>OR($A382="date", $A382="datetime", $A382="time")</formula>
    </cfRule>
  </conditionalFormatting>
  <conditionalFormatting sqref="B382:E394">
    <cfRule type="expression" dxfId="18" priority="2222" stopIfTrue="1">
      <formula>OR($A382="calculate", $A382="calculate_here")</formula>
    </cfRule>
  </conditionalFormatting>
  <conditionalFormatting sqref="B382:E394">
    <cfRule type="expression" dxfId="19" priority="2223" stopIfTrue="1">
      <formula>$A382="note"</formula>
    </cfRule>
  </conditionalFormatting>
  <conditionalFormatting sqref="B382:E394">
    <cfRule type="expression" dxfId="20" priority="2224" stopIfTrue="1">
      <formula>$A382="barcode"</formula>
    </cfRule>
  </conditionalFormatting>
  <conditionalFormatting sqref="B382:E394">
    <cfRule type="expression" dxfId="21" priority="2225" stopIfTrue="1">
      <formula>OR($A382="geopoint", $A382="geoshape", $A382="geotrace")</formula>
    </cfRule>
  </conditionalFormatting>
  <conditionalFormatting sqref="B382:E394">
    <cfRule type="expression" dxfId="22" priority="2226" stopIfTrue="1">
      <formula>OR($A382="audio audit", $A382="text audit", $A382="speed violations count", $A382="speed violations list", $A382="speed violations audit")</formula>
    </cfRule>
  </conditionalFormatting>
  <conditionalFormatting sqref="B382:E394">
    <cfRule type="expression" dxfId="23" priority="2227" stopIfTrue="1">
      <formula>OR($A382="username", $A382="phonenumber", $A382="start", $A382="end", $A382="deviceid", $A382="subscriberid", $A382="simserial", $A382="caseid")</formula>
    </cfRule>
  </conditionalFormatting>
  <conditionalFormatting sqref="B382:E394">
    <cfRule type="expression" dxfId="24" priority="2228" stopIfTrue="1">
      <formula>OR(AND(LEFT($A382, 16)="select_multiple ", LEN($A382)&gt;16, NOT(ISNUMBER(SEARCH(" ", $A382, 17)))), AND(LEFT($A382, 11)="select_one ", LEN($A382)&gt;11, NOT(ISNUMBER(SEARCH(" ", $A382, 12)))))</formula>
    </cfRule>
  </conditionalFormatting>
  <conditionalFormatting sqref="B382:E394">
    <cfRule type="expression" dxfId="25" priority="2229" stopIfTrue="1">
      <formula>$A382="decimal"</formula>
    </cfRule>
  </conditionalFormatting>
  <conditionalFormatting sqref="B382:E394">
    <cfRule type="expression" dxfId="26" priority="2230" stopIfTrue="1">
      <formula>$A382="integer"</formula>
    </cfRule>
  </conditionalFormatting>
  <conditionalFormatting sqref="B382:E394">
    <cfRule type="expression" dxfId="27" priority="2231" stopIfTrue="1">
      <formula>$A382="text"</formula>
    </cfRule>
  </conditionalFormatting>
  <conditionalFormatting sqref="B382:E394">
    <cfRule type="expression" dxfId="28" priority="2232" stopIfTrue="1">
      <formula>$A382="end repeat"</formula>
    </cfRule>
  </conditionalFormatting>
  <conditionalFormatting sqref="B382:E394">
    <cfRule type="expression" dxfId="28" priority="2233" stopIfTrue="1">
      <formula>$A382="begin repeat"</formula>
    </cfRule>
  </conditionalFormatting>
  <conditionalFormatting sqref="B382:E394">
    <cfRule type="expression" dxfId="29" priority="2234" stopIfTrue="1">
      <formula>$A382="end group"</formula>
    </cfRule>
  </conditionalFormatting>
  <conditionalFormatting sqref="B382:E394">
    <cfRule type="expression" dxfId="29" priority="2235" stopIfTrue="1">
      <formula>$A382="begin group"</formula>
    </cfRule>
  </conditionalFormatting>
  <conditionalFormatting sqref="B382:B394">
    <cfRule type="expression" dxfId="30" priority="2236" stopIfTrue="1">
      <formula>$A382="comments"</formula>
    </cfRule>
  </conditionalFormatting>
  <conditionalFormatting sqref="B382:B394">
    <cfRule type="expression" dxfId="36" priority="2237" stopIfTrue="1">
      <formula>OR(AND(LEFT($A382, 14)="sensor_stream ", LEN($A382)&gt;14, NOT(ISNUMBER(SEARCH(" ", $A382, 15)))), AND(LEFT($A382, 17)="sensor_statistic ", LEN($A382)&gt;17, NOT(ISNUMBER(SEARCH(" ", $A382, 18)))))</formula>
    </cfRule>
  </conditionalFormatting>
  <conditionalFormatting sqref="B366:C380 D366:E380">
    <cfRule type="expression" dxfId="0" priority="2238" stopIfTrue="1">
      <formula>$A366="begin group"</formula>
    </cfRule>
  </conditionalFormatting>
  <conditionalFormatting sqref="B366:C380 D366:E380">
    <cfRule type="expression" dxfId="1" priority="2239" stopIfTrue="1">
      <formula>$A366="begin repeat"</formula>
    </cfRule>
  </conditionalFormatting>
  <conditionalFormatting sqref="B366:E380">
    <cfRule type="expression" dxfId="31" priority="2240" stopIfTrue="1">
      <formula>$A366="enumerator"</formula>
    </cfRule>
  </conditionalFormatting>
  <conditionalFormatting sqref="B366:E380">
    <cfRule type="expression" dxfId="2" priority="2241" stopIfTrue="1">
      <formula>$A366="text"</formula>
    </cfRule>
  </conditionalFormatting>
  <conditionalFormatting sqref="B366:E380">
    <cfRule type="expression" dxfId="3" priority="2242" stopIfTrue="1">
      <formula>$A366="integer"</formula>
    </cfRule>
  </conditionalFormatting>
  <conditionalFormatting sqref="B366:E380">
    <cfRule type="expression" dxfId="4" priority="2243" stopIfTrue="1">
      <formula>$A366="decimal"</formula>
    </cfRule>
  </conditionalFormatting>
  <conditionalFormatting sqref="B366:C380 D366:E380">
    <cfRule type="expression" dxfId="5" priority="2244" stopIfTrue="1">
      <formula>OR(AND(LEFT($A366, 16)="select_multiple ", LEN($A366)&gt;16, NOT(ISNUMBER(SEARCH(" ", $A366, 17)))), AND(LEFT($A366, 11)="select_one ", LEN($A366)&gt;11, NOT(ISNUMBER(SEARCH(" ", $A366, 12)))))</formula>
    </cfRule>
  </conditionalFormatting>
  <conditionalFormatting sqref="B366:B380">
    <cfRule type="expression" dxfId="6" priority="2245" stopIfTrue="1">
      <formula>OR($A366="audio audit", $A366="text audit", $A366="speed violations count", $A366="speed violations list", $A366="speed violations audit")</formula>
    </cfRule>
  </conditionalFormatting>
  <conditionalFormatting sqref="B366:C380 D366:E380">
    <cfRule type="expression" dxfId="32" priority="2246" stopIfTrue="1">
      <formula>$A366="file"</formula>
    </cfRule>
  </conditionalFormatting>
  <conditionalFormatting sqref="B366:C380 D366:E380">
    <cfRule type="expression" dxfId="7" priority="2247" stopIfTrue="1">
      <formula>$A366="note"</formula>
    </cfRule>
  </conditionalFormatting>
  <conditionalFormatting sqref="B366:C380 D366:E380">
    <cfRule type="expression" dxfId="8" priority="2248" stopIfTrue="1">
      <formula>$A366="barcode"</formula>
    </cfRule>
  </conditionalFormatting>
  <conditionalFormatting sqref="B366:C380 D366:E380">
    <cfRule type="expression" dxfId="9" priority="2249" stopIfTrue="1">
      <formula>OR($A366="geopoint", $A366="geoshape", $A366="geotrace")</formula>
    </cfRule>
  </conditionalFormatting>
  <conditionalFormatting sqref="B366:B380">
    <cfRule type="expression" dxfId="10" priority="2250" stopIfTrue="1">
      <formula>OR($A366="calculate", $A366="calculate_here")</formula>
    </cfRule>
  </conditionalFormatting>
  <conditionalFormatting sqref="B366:C380 D366:E380">
    <cfRule type="expression" dxfId="11" priority="2251" stopIfTrue="1">
      <formula>OR($A366="date", $A366="datetime", $A366="time")</formula>
    </cfRule>
  </conditionalFormatting>
  <conditionalFormatting sqref="B366:C380 D366:E380">
    <cfRule type="expression" dxfId="12" priority="2252" stopIfTrue="1">
      <formula>$A366="image"</formula>
    </cfRule>
  </conditionalFormatting>
  <conditionalFormatting sqref="B366:C380 D366:E380">
    <cfRule type="expression" dxfId="13" priority="2253" stopIfTrue="1">
      <formula>OR($A366="audio", $A366="video")</formula>
    </cfRule>
  </conditionalFormatting>
  <conditionalFormatting sqref="B366:E380">
    <cfRule type="expression" dxfId="33" priority="2254" stopIfTrue="1">
      <formula>$A366="file"</formula>
    </cfRule>
  </conditionalFormatting>
  <conditionalFormatting sqref="B366:E380">
    <cfRule type="expression" dxfId="34" priority="2255" stopIfTrue="1">
      <formula>$A366="enumerator"</formula>
    </cfRule>
  </conditionalFormatting>
  <conditionalFormatting sqref="B366:E380">
    <cfRule type="expression" dxfId="35" priority="2256" stopIfTrue="1">
      <formula>OR(AND(LEFT($A366, 14)="sensor_stream ", LEN($A366)&gt;14, NOT(ISNUMBER(SEARCH(" ", $A366, 15)))), AND(LEFT($A366, 17)="sensor_statistic ", LEN($A366)&gt;17, NOT(ISNUMBER(SEARCH(" ", $A366, 18)))))</formula>
    </cfRule>
  </conditionalFormatting>
  <conditionalFormatting sqref="B366:E380">
    <cfRule type="expression" dxfId="14" priority="2257" stopIfTrue="1">
      <formula>$A366="comments"</formula>
    </cfRule>
  </conditionalFormatting>
  <conditionalFormatting sqref="B366:E380">
    <cfRule type="expression" dxfId="15" priority="2258" stopIfTrue="1">
      <formula>OR($A366="audio", $A366="video")</formula>
    </cfRule>
  </conditionalFormatting>
  <conditionalFormatting sqref="B366:E380">
    <cfRule type="expression" dxfId="16" priority="2259" stopIfTrue="1">
      <formula>$A366="image"</formula>
    </cfRule>
  </conditionalFormatting>
  <conditionalFormatting sqref="B366:E380">
    <cfRule type="expression" dxfId="17" priority="2260" stopIfTrue="1">
      <formula>OR($A366="date", $A366="datetime", $A366="time")</formula>
    </cfRule>
  </conditionalFormatting>
  <conditionalFormatting sqref="B366:E380">
    <cfRule type="expression" dxfId="18" priority="2261" stopIfTrue="1">
      <formula>OR($A366="calculate", $A366="calculate_here")</formula>
    </cfRule>
  </conditionalFormatting>
  <conditionalFormatting sqref="B366:E380">
    <cfRule type="expression" dxfId="19" priority="2262" stopIfTrue="1">
      <formula>$A366="note"</formula>
    </cfRule>
  </conditionalFormatting>
  <conditionalFormatting sqref="B366:E380">
    <cfRule type="expression" dxfId="20" priority="2263" stopIfTrue="1">
      <formula>$A366="barcode"</formula>
    </cfRule>
  </conditionalFormatting>
  <conditionalFormatting sqref="B366:E380">
    <cfRule type="expression" dxfId="21" priority="2264" stopIfTrue="1">
      <formula>OR($A366="geopoint", $A366="geoshape", $A366="geotrace")</formula>
    </cfRule>
  </conditionalFormatting>
  <conditionalFormatting sqref="B366:E380">
    <cfRule type="expression" dxfId="22" priority="2265" stopIfTrue="1">
      <formula>OR($A366="audio audit", $A366="text audit", $A366="speed violations count", $A366="speed violations list", $A366="speed violations audit")</formula>
    </cfRule>
  </conditionalFormatting>
  <conditionalFormatting sqref="B366:E380">
    <cfRule type="expression" dxfId="23" priority="2266" stopIfTrue="1">
      <formula>OR($A366="username", $A366="phonenumber", $A366="start", $A366="end", $A366="deviceid", $A366="subscriberid", $A366="simserial", $A366="caseid")</formula>
    </cfRule>
  </conditionalFormatting>
  <conditionalFormatting sqref="B366:E380">
    <cfRule type="expression" dxfId="24" priority="2267" stopIfTrue="1">
      <formula>OR(AND(LEFT($A366, 16)="select_multiple ", LEN($A366)&gt;16, NOT(ISNUMBER(SEARCH(" ", $A366, 17)))), AND(LEFT($A366, 11)="select_one ", LEN($A366)&gt;11, NOT(ISNUMBER(SEARCH(" ", $A366, 12)))))</formula>
    </cfRule>
  </conditionalFormatting>
  <conditionalFormatting sqref="B366:E380">
    <cfRule type="expression" dxfId="25" priority="2268" stopIfTrue="1">
      <formula>$A366="decimal"</formula>
    </cfRule>
  </conditionalFormatting>
  <conditionalFormatting sqref="B366:E380">
    <cfRule type="expression" dxfId="26" priority="2269" stopIfTrue="1">
      <formula>$A366="integer"</formula>
    </cfRule>
  </conditionalFormatting>
  <conditionalFormatting sqref="B366:E380">
    <cfRule type="expression" dxfId="27" priority="2270" stopIfTrue="1">
      <formula>$A366="text"</formula>
    </cfRule>
  </conditionalFormatting>
  <conditionalFormatting sqref="B366:E380">
    <cfRule type="expression" dxfId="28" priority="2271" stopIfTrue="1">
      <formula>$A366="end repeat"</formula>
    </cfRule>
  </conditionalFormatting>
  <conditionalFormatting sqref="B366:E380">
    <cfRule type="expression" dxfId="28" priority="2272" stopIfTrue="1">
      <formula>$A366="begin repeat"</formula>
    </cfRule>
  </conditionalFormatting>
  <conditionalFormatting sqref="B366:E380">
    <cfRule type="expression" dxfId="29" priority="2273" stopIfTrue="1">
      <formula>$A366="end group"</formula>
    </cfRule>
  </conditionalFormatting>
  <conditionalFormatting sqref="B366:E380">
    <cfRule type="expression" dxfId="29" priority="2274" stopIfTrue="1">
      <formula>$A366="begin group"</formula>
    </cfRule>
  </conditionalFormatting>
  <conditionalFormatting sqref="B366:B380">
    <cfRule type="expression" dxfId="30" priority="2275" stopIfTrue="1">
      <formula>$A366="comments"</formula>
    </cfRule>
  </conditionalFormatting>
  <conditionalFormatting sqref="B366:B380">
    <cfRule type="expression" dxfId="36" priority="2276" stopIfTrue="1">
      <formula>OR(AND(LEFT($A366, 14)="sensor_stream ", LEN($A366)&gt;14, NOT(ISNUMBER(SEARCH(" ", $A366, 15)))), AND(LEFT($A366, 17)="sensor_statistic ", LEN($A366)&gt;17, NOT(ISNUMBER(SEARCH(" ", $A366, 18)))))</formula>
    </cfRule>
  </conditionalFormatting>
  <conditionalFormatting sqref="B352:C352 D352:E352">
    <cfRule type="expression" dxfId="0" priority="2277" stopIfTrue="1">
      <formula>$A352="begin group"</formula>
    </cfRule>
  </conditionalFormatting>
  <conditionalFormatting sqref="B352:C352 D352:E352">
    <cfRule type="expression" dxfId="1" priority="2278" stopIfTrue="1">
      <formula>$A352="begin repeat"</formula>
    </cfRule>
  </conditionalFormatting>
  <conditionalFormatting sqref="B352:E352">
    <cfRule type="expression" dxfId="31" priority="2279" stopIfTrue="1">
      <formula>$A352="enumerator"</formula>
    </cfRule>
  </conditionalFormatting>
  <conditionalFormatting sqref="B352:E352">
    <cfRule type="expression" dxfId="2" priority="2280" stopIfTrue="1">
      <formula>$A352="text"</formula>
    </cfRule>
  </conditionalFormatting>
  <conditionalFormatting sqref="B352:E352">
    <cfRule type="expression" dxfId="3" priority="2281" stopIfTrue="1">
      <formula>$A352="integer"</formula>
    </cfRule>
  </conditionalFormatting>
  <conditionalFormatting sqref="B352:E352">
    <cfRule type="expression" dxfId="4" priority="2282" stopIfTrue="1">
      <formula>$A352="decimal"</formula>
    </cfRule>
  </conditionalFormatting>
  <conditionalFormatting sqref="B352:C352 D352:E352">
    <cfRule type="expression" dxfId="5" priority="2283" stopIfTrue="1">
      <formula>OR(AND(LEFT($A352, 16)="select_multiple ", LEN($A352)&gt;16, NOT(ISNUMBER(SEARCH(" ", $A352, 17)))), AND(LEFT($A352, 11)="select_one ", LEN($A352)&gt;11, NOT(ISNUMBER(SEARCH(" ", $A352, 12)))))</formula>
    </cfRule>
  </conditionalFormatting>
  <conditionalFormatting sqref="B352">
    <cfRule type="expression" dxfId="6" priority="2284" stopIfTrue="1">
      <formula>OR($A352="audio audit", $A352="text audit", $A352="speed violations count", $A352="speed violations list", $A352="speed violations audit")</formula>
    </cfRule>
  </conditionalFormatting>
  <conditionalFormatting sqref="B352:C352 D352:E352">
    <cfRule type="expression" dxfId="32" priority="2285" stopIfTrue="1">
      <formula>$A352="file"</formula>
    </cfRule>
  </conditionalFormatting>
  <conditionalFormatting sqref="B352:C352 D352:E352">
    <cfRule type="expression" dxfId="7" priority="2286" stopIfTrue="1">
      <formula>$A352="note"</formula>
    </cfRule>
  </conditionalFormatting>
  <conditionalFormatting sqref="B352:C352 D352:E352">
    <cfRule type="expression" dxfId="8" priority="2287" stopIfTrue="1">
      <formula>$A352="barcode"</formula>
    </cfRule>
  </conditionalFormatting>
  <conditionalFormatting sqref="B352:C352 D352:E352">
    <cfRule type="expression" dxfId="9" priority="2288" stopIfTrue="1">
      <formula>OR($A352="geopoint", $A352="geoshape", $A352="geotrace")</formula>
    </cfRule>
  </conditionalFormatting>
  <conditionalFormatting sqref="B352">
    <cfRule type="expression" dxfId="10" priority="2289" stopIfTrue="1">
      <formula>OR($A352="calculate", $A352="calculate_here")</formula>
    </cfRule>
  </conditionalFormatting>
  <conditionalFormatting sqref="B352:C352 D352:E352">
    <cfRule type="expression" dxfId="11" priority="2290" stopIfTrue="1">
      <formula>OR($A352="date", $A352="datetime", $A352="time")</formula>
    </cfRule>
  </conditionalFormatting>
  <conditionalFormatting sqref="B352:C352 D352:E352">
    <cfRule type="expression" dxfId="12" priority="2291" stopIfTrue="1">
      <formula>$A352="image"</formula>
    </cfRule>
  </conditionalFormatting>
  <conditionalFormatting sqref="B352:C352 D352:E352">
    <cfRule type="expression" dxfId="13" priority="2292" stopIfTrue="1">
      <formula>OR($A352="audio", $A352="video")</formula>
    </cfRule>
  </conditionalFormatting>
  <conditionalFormatting sqref="B352:E352">
    <cfRule type="expression" dxfId="33" priority="2293" stopIfTrue="1">
      <formula>$A352="file"</formula>
    </cfRule>
  </conditionalFormatting>
  <conditionalFormatting sqref="B352:E352">
    <cfRule type="expression" dxfId="34" priority="2294" stopIfTrue="1">
      <formula>$A352="enumerator"</formula>
    </cfRule>
  </conditionalFormatting>
  <conditionalFormatting sqref="B352:E352">
    <cfRule type="expression" dxfId="35" priority="2295" stopIfTrue="1">
      <formula>OR(AND(LEFT($A352, 14)="sensor_stream ", LEN($A352)&gt;14, NOT(ISNUMBER(SEARCH(" ", $A352, 15)))), AND(LEFT($A352, 17)="sensor_statistic ", LEN($A352)&gt;17, NOT(ISNUMBER(SEARCH(" ", $A352, 18)))))</formula>
    </cfRule>
  </conditionalFormatting>
  <conditionalFormatting sqref="B352:E352">
    <cfRule type="expression" dxfId="14" priority="2296" stopIfTrue="1">
      <formula>$A352="comments"</formula>
    </cfRule>
  </conditionalFormatting>
  <conditionalFormatting sqref="B352:E352">
    <cfRule type="expression" dxfId="15" priority="2297" stopIfTrue="1">
      <formula>OR($A352="audio", $A352="video")</formula>
    </cfRule>
  </conditionalFormatting>
  <conditionalFormatting sqref="B352:E352">
    <cfRule type="expression" dxfId="16" priority="2298" stopIfTrue="1">
      <formula>$A352="image"</formula>
    </cfRule>
  </conditionalFormatting>
  <conditionalFormatting sqref="B352:E352">
    <cfRule type="expression" dxfId="17" priority="2299" stopIfTrue="1">
      <formula>OR($A352="date", $A352="datetime", $A352="time")</formula>
    </cfRule>
  </conditionalFormatting>
  <conditionalFormatting sqref="B352:E352">
    <cfRule type="expression" dxfId="18" priority="2300" stopIfTrue="1">
      <formula>OR($A352="calculate", $A352="calculate_here")</formula>
    </cfRule>
  </conditionalFormatting>
  <conditionalFormatting sqref="B352:E352">
    <cfRule type="expression" dxfId="19" priority="2301" stopIfTrue="1">
      <formula>$A352="note"</formula>
    </cfRule>
  </conditionalFormatting>
  <conditionalFormatting sqref="B352:E352">
    <cfRule type="expression" dxfId="20" priority="2302" stopIfTrue="1">
      <formula>$A352="barcode"</formula>
    </cfRule>
  </conditionalFormatting>
  <conditionalFormatting sqref="B352:E352">
    <cfRule type="expression" dxfId="21" priority="2303" stopIfTrue="1">
      <formula>OR($A352="geopoint", $A352="geoshape", $A352="geotrace")</formula>
    </cfRule>
  </conditionalFormatting>
  <conditionalFormatting sqref="B352:E352">
    <cfRule type="expression" dxfId="22" priority="2304" stopIfTrue="1">
      <formula>OR($A352="audio audit", $A352="text audit", $A352="speed violations count", $A352="speed violations list", $A352="speed violations audit")</formula>
    </cfRule>
  </conditionalFormatting>
  <conditionalFormatting sqref="B352:E352">
    <cfRule type="expression" dxfId="23" priority="2305" stopIfTrue="1">
      <formula>OR($A352="username", $A352="phonenumber", $A352="start", $A352="end", $A352="deviceid", $A352="subscriberid", $A352="simserial", $A352="caseid")</formula>
    </cfRule>
  </conditionalFormatting>
  <conditionalFormatting sqref="B352:E352">
    <cfRule type="expression" dxfId="24" priority="2306" stopIfTrue="1">
      <formula>OR(AND(LEFT($A352, 16)="select_multiple ", LEN($A352)&gt;16, NOT(ISNUMBER(SEARCH(" ", $A352, 17)))), AND(LEFT($A352, 11)="select_one ", LEN($A352)&gt;11, NOT(ISNUMBER(SEARCH(" ", $A352, 12)))))</formula>
    </cfRule>
  </conditionalFormatting>
  <conditionalFormatting sqref="B352:E352">
    <cfRule type="expression" dxfId="25" priority="2307" stopIfTrue="1">
      <formula>$A352="decimal"</formula>
    </cfRule>
  </conditionalFormatting>
  <conditionalFormatting sqref="B352:E352">
    <cfRule type="expression" dxfId="26" priority="2308" stopIfTrue="1">
      <formula>$A352="integer"</formula>
    </cfRule>
  </conditionalFormatting>
  <conditionalFormatting sqref="B352:E352">
    <cfRule type="expression" dxfId="27" priority="2309" stopIfTrue="1">
      <formula>$A352="text"</formula>
    </cfRule>
  </conditionalFormatting>
  <conditionalFormatting sqref="B352:E352">
    <cfRule type="expression" dxfId="28" priority="2310" stopIfTrue="1">
      <formula>$A352="end repeat"</formula>
    </cfRule>
  </conditionalFormatting>
  <conditionalFormatting sqref="B352:E352">
    <cfRule type="expression" dxfId="28" priority="2311" stopIfTrue="1">
      <formula>$A352="begin repeat"</formula>
    </cfRule>
  </conditionalFormatting>
  <conditionalFormatting sqref="B352:E352">
    <cfRule type="expression" dxfId="29" priority="2312" stopIfTrue="1">
      <formula>$A352="end group"</formula>
    </cfRule>
  </conditionalFormatting>
  <conditionalFormatting sqref="B352:E352">
    <cfRule type="expression" dxfId="29" priority="2313" stopIfTrue="1">
      <formula>$A352="begin group"</formula>
    </cfRule>
  </conditionalFormatting>
  <conditionalFormatting sqref="B352">
    <cfRule type="expression" dxfId="30" priority="2314" stopIfTrue="1">
      <formula>$A352="comments"</formula>
    </cfRule>
  </conditionalFormatting>
  <conditionalFormatting sqref="B352">
    <cfRule type="expression" dxfId="36" priority="2315" stopIfTrue="1">
      <formula>OR(AND(LEFT($A352, 14)="sensor_stream ", LEN($A352)&gt;14, NOT(ISNUMBER(SEARCH(" ", $A352, 15)))), AND(LEFT($A352, 17)="sensor_statistic ", LEN($A352)&gt;17, NOT(ISNUMBER(SEARCH(" ", $A352, 18)))))</formula>
    </cfRule>
  </conditionalFormatting>
  <conditionalFormatting sqref="B344:C346 D344:E346">
    <cfRule type="expression" dxfId="0" priority="2316" stopIfTrue="1">
      <formula>$A344="begin group"</formula>
    </cfRule>
  </conditionalFormatting>
  <conditionalFormatting sqref="B344:C346 D344:E346">
    <cfRule type="expression" dxfId="1" priority="2317" stopIfTrue="1">
      <formula>$A344="begin repeat"</formula>
    </cfRule>
  </conditionalFormatting>
  <conditionalFormatting sqref="B344:E346">
    <cfRule type="expression" dxfId="31" priority="2318" stopIfTrue="1">
      <formula>$A344="enumerator"</formula>
    </cfRule>
  </conditionalFormatting>
  <conditionalFormatting sqref="B344:E346">
    <cfRule type="expression" dxfId="2" priority="2319" stopIfTrue="1">
      <formula>$A344="text"</formula>
    </cfRule>
  </conditionalFormatting>
  <conditionalFormatting sqref="B344:E346">
    <cfRule type="expression" dxfId="3" priority="2320" stopIfTrue="1">
      <formula>$A344="integer"</formula>
    </cfRule>
  </conditionalFormatting>
  <conditionalFormatting sqref="B344:E346">
    <cfRule type="expression" dxfId="4" priority="2321" stopIfTrue="1">
      <formula>$A344="decimal"</formula>
    </cfRule>
  </conditionalFormatting>
  <conditionalFormatting sqref="B344:C346 D344:E346">
    <cfRule type="expression" dxfId="5" priority="2322" stopIfTrue="1">
      <formula>OR(AND(LEFT($A344, 16)="select_multiple ", LEN($A344)&gt;16, NOT(ISNUMBER(SEARCH(" ", $A344, 17)))), AND(LEFT($A344, 11)="select_one ", LEN($A344)&gt;11, NOT(ISNUMBER(SEARCH(" ", $A344, 12)))))</formula>
    </cfRule>
  </conditionalFormatting>
  <conditionalFormatting sqref="B344:B346">
    <cfRule type="expression" dxfId="6" priority="2323" stopIfTrue="1">
      <formula>OR($A344="audio audit", $A344="text audit", $A344="speed violations count", $A344="speed violations list", $A344="speed violations audit")</formula>
    </cfRule>
  </conditionalFormatting>
  <conditionalFormatting sqref="B344:C346 D344:E346">
    <cfRule type="expression" dxfId="32" priority="2324" stopIfTrue="1">
      <formula>$A344="file"</formula>
    </cfRule>
  </conditionalFormatting>
  <conditionalFormatting sqref="B344:C346 D344:E346">
    <cfRule type="expression" dxfId="7" priority="2325" stopIfTrue="1">
      <formula>$A344="note"</formula>
    </cfRule>
  </conditionalFormatting>
  <conditionalFormatting sqref="B344:C346 D344:E346">
    <cfRule type="expression" dxfId="8" priority="2326" stopIfTrue="1">
      <formula>$A344="barcode"</formula>
    </cfRule>
  </conditionalFormatting>
  <conditionalFormatting sqref="B344:C346 D344:E346">
    <cfRule type="expression" dxfId="9" priority="2327" stopIfTrue="1">
      <formula>OR($A344="geopoint", $A344="geoshape", $A344="geotrace")</formula>
    </cfRule>
  </conditionalFormatting>
  <conditionalFormatting sqref="B344:B346">
    <cfRule type="expression" dxfId="10" priority="2328" stopIfTrue="1">
      <formula>OR($A344="calculate", $A344="calculate_here")</formula>
    </cfRule>
  </conditionalFormatting>
  <conditionalFormatting sqref="B344:C346 D344:E346">
    <cfRule type="expression" dxfId="11" priority="2329" stopIfTrue="1">
      <formula>OR($A344="date", $A344="datetime", $A344="time")</formula>
    </cfRule>
  </conditionalFormatting>
  <conditionalFormatting sqref="B344:C346 D344:E346">
    <cfRule type="expression" dxfId="12" priority="2330" stopIfTrue="1">
      <formula>$A344="image"</formula>
    </cfRule>
  </conditionalFormatting>
  <conditionalFormatting sqref="B344:C346 D344:E346">
    <cfRule type="expression" dxfId="13" priority="2331" stopIfTrue="1">
      <formula>OR($A344="audio", $A344="video")</formula>
    </cfRule>
  </conditionalFormatting>
  <conditionalFormatting sqref="B344:E346">
    <cfRule type="expression" dxfId="33" priority="2332" stopIfTrue="1">
      <formula>$A344="file"</formula>
    </cfRule>
  </conditionalFormatting>
  <conditionalFormatting sqref="B344:E346">
    <cfRule type="expression" dxfId="34" priority="2333" stopIfTrue="1">
      <formula>$A344="enumerator"</formula>
    </cfRule>
  </conditionalFormatting>
  <conditionalFormatting sqref="B344:E346">
    <cfRule type="expression" dxfId="35" priority="2334" stopIfTrue="1">
      <formula>OR(AND(LEFT($A344, 14)="sensor_stream ", LEN($A344)&gt;14, NOT(ISNUMBER(SEARCH(" ", $A344, 15)))), AND(LEFT($A344, 17)="sensor_statistic ", LEN($A344)&gt;17, NOT(ISNUMBER(SEARCH(" ", $A344, 18)))))</formula>
    </cfRule>
  </conditionalFormatting>
  <conditionalFormatting sqref="B344:E346">
    <cfRule type="expression" dxfId="14" priority="2335" stopIfTrue="1">
      <formula>$A344="comments"</formula>
    </cfRule>
  </conditionalFormatting>
  <conditionalFormatting sqref="B344:E346">
    <cfRule type="expression" dxfId="15" priority="2336" stopIfTrue="1">
      <formula>OR($A344="audio", $A344="video")</formula>
    </cfRule>
  </conditionalFormatting>
  <conditionalFormatting sqref="B344:E346">
    <cfRule type="expression" dxfId="16" priority="2337" stopIfTrue="1">
      <formula>$A344="image"</formula>
    </cfRule>
  </conditionalFormatting>
  <conditionalFormatting sqref="B344:E346">
    <cfRule type="expression" dxfId="17" priority="2338" stopIfTrue="1">
      <formula>OR($A344="date", $A344="datetime", $A344="time")</formula>
    </cfRule>
  </conditionalFormatting>
  <conditionalFormatting sqref="B344:E346">
    <cfRule type="expression" dxfId="18" priority="2339" stopIfTrue="1">
      <formula>OR($A344="calculate", $A344="calculate_here")</formula>
    </cfRule>
  </conditionalFormatting>
  <conditionalFormatting sqref="B344:E346">
    <cfRule type="expression" dxfId="19" priority="2340" stopIfTrue="1">
      <formula>$A344="note"</formula>
    </cfRule>
  </conditionalFormatting>
  <conditionalFormatting sqref="B344:E346">
    <cfRule type="expression" dxfId="20" priority="2341" stopIfTrue="1">
      <formula>$A344="barcode"</formula>
    </cfRule>
  </conditionalFormatting>
  <conditionalFormatting sqref="B344:E346">
    <cfRule type="expression" dxfId="21" priority="2342" stopIfTrue="1">
      <formula>OR($A344="geopoint", $A344="geoshape", $A344="geotrace")</formula>
    </cfRule>
  </conditionalFormatting>
  <conditionalFormatting sqref="B344:E346">
    <cfRule type="expression" dxfId="22" priority="2343" stopIfTrue="1">
      <formula>OR($A344="audio audit", $A344="text audit", $A344="speed violations count", $A344="speed violations list", $A344="speed violations audit")</formula>
    </cfRule>
  </conditionalFormatting>
  <conditionalFormatting sqref="B344:E346">
    <cfRule type="expression" dxfId="23" priority="2344" stopIfTrue="1">
      <formula>OR($A344="username", $A344="phonenumber", $A344="start", $A344="end", $A344="deviceid", $A344="subscriberid", $A344="simserial", $A344="caseid")</formula>
    </cfRule>
  </conditionalFormatting>
  <conditionalFormatting sqref="B344:E346">
    <cfRule type="expression" dxfId="24" priority="2345" stopIfTrue="1">
      <formula>OR(AND(LEFT($A344, 16)="select_multiple ", LEN($A344)&gt;16, NOT(ISNUMBER(SEARCH(" ", $A344, 17)))), AND(LEFT($A344, 11)="select_one ", LEN($A344)&gt;11, NOT(ISNUMBER(SEARCH(" ", $A344, 12)))))</formula>
    </cfRule>
  </conditionalFormatting>
  <conditionalFormatting sqref="B344:E346">
    <cfRule type="expression" dxfId="25" priority="2346" stopIfTrue="1">
      <formula>$A344="decimal"</formula>
    </cfRule>
  </conditionalFormatting>
  <conditionalFormatting sqref="B344:E346">
    <cfRule type="expression" dxfId="26" priority="2347" stopIfTrue="1">
      <formula>$A344="integer"</formula>
    </cfRule>
  </conditionalFormatting>
  <conditionalFormatting sqref="B344:E346">
    <cfRule type="expression" dxfId="27" priority="2348" stopIfTrue="1">
      <formula>$A344="text"</formula>
    </cfRule>
  </conditionalFormatting>
  <conditionalFormatting sqref="B344:E346">
    <cfRule type="expression" dxfId="28" priority="2349" stopIfTrue="1">
      <formula>$A344="end repeat"</formula>
    </cfRule>
  </conditionalFormatting>
  <conditionalFormatting sqref="B344:E346">
    <cfRule type="expression" dxfId="28" priority="2350" stopIfTrue="1">
      <formula>$A344="begin repeat"</formula>
    </cfRule>
  </conditionalFormatting>
  <conditionalFormatting sqref="B344:E346">
    <cfRule type="expression" dxfId="29" priority="2351" stopIfTrue="1">
      <formula>$A344="end group"</formula>
    </cfRule>
  </conditionalFormatting>
  <conditionalFormatting sqref="B344:E346">
    <cfRule type="expression" dxfId="29" priority="2352" stopIfTrue="1">
      <formula>$A344="begin group"</formula>
    </cfRule>
  </conditionalFormatting>
  <conditionalFormatting sqref="B344:B346">
    <cfRule type="expression" dxfId="30" priority="2353" stopIfTrue="1">
      <formula>$A344="comments"</formula>
    </cfRule>
  </conditionalFormatting>
  <conditionalFormatting sqref="B344:B346">
    <cfRule type="expression" dxfId="36" priority="2354" stopIfTrue="1">
      <formula>OR(AND(LEFT($A344, 14)="sensor_stream ", LEN($A344)&gt;14, NOT(ISNUMBER(SEARCH(" ", $A344, 15)))), AND(LEFT($A344, 17)="sensor_statistic ", LEN($A344)&gt;17, NOT(ISNUMBER(SEARCH(" ", $A344, 18)))))</formula>
    </cfRule>
  </conditionalFormatting>
  <conditionalFormatting sqref="B340:C341 D340:E341">
    <cfRule type="expression" dxfId="0" priority="2355" stopIfTrue="1">
      <formula>$A340="begin group"</formula>
    </cfRule>
  </conditionalFormatting>
  <conditionalFormatting sqref="B340:C341 D340:E341">
    <cfRule type="expression" dxfId="1" priority="2356" stopIfTrue="1">
      <formula>$A340="begin repeat"</formula>
    </cfRule>
  </conditionalFormatting>
  <conditionalFormatting sqref="B340:E341">
    <cfRule type="expression" dxfId="31" priority="2357" stopIfTrue="1">
      <formula>$A340="enumerator"</formula>
    </cfRule>
  </conditionalFormatting>
  <conditionalFormatting sqref="B340:E341">
    <cfRule type="expression" dxfId="2" priority="2358" stopIfTrue="1">
      <formula>$A340="text"</formula>
    </cfRule>
  </conditionalFormatting>
  <conditionalFormatting sqref="B340:E341">
    <cfRule type="expression" dxfId="3" priority="2359" stopIfTrue="1">
      <formula>$A340="integer"</formula>
    </cfRule>
  </conditionalFormatting>
  <conditionalFormatting sqref="B340:E341">
    <cfRule type="expression" dxfId="4" priority="2360" stopIfTrue="1">
      <formula>$A340="decimal"</formula>
    </cfRule>
  </conditionalFormatting>
  <conditionalFormatting sqref="B340:C341 D340:E341">
    <cfRule type="expression" dxfId="5" priority="2361" stopIfTrue="1">
      <formula>OR(AND(LEFT($A340, 16)="select_multiple ", LEN($A340)&gt;16, NOT(ISNUMBER(SEARCH(" ", $A340, 17)))), AND(LEFT($A340, 11)="select_one ", LEN($A340)&gt;11, NOT(ISNUMBER(SEARCH(" ", $A340, 12)))))</formula>
    </cfRule>
  </conditionalFormatting>
  <conditionalFormatting sqref="B340:B341">
    <cfRule type="expression" dxfId="6" priority="2362" stopIfTrue="1">
      <formula>OR($A340="audio audit", $A340="text audit", $A340="speed violations count", $A340="speed violations list", $A340="speed violations audit")</formula>
    </cfRule>
  </conditionalFormatting>
  <conditionalFormatting sqref="B340:C341 D340:E341">
    <cfRule type="expression" dxfId="32" priority="2363" stopIfTrue="1">
      <formula>$A340="file"</formula>
    </cfRule>
  </conditionalFormatting>
  <conditionalFormatting sqref="B340:C341 D340:E341">
    <cfRule type="expression" dxfId="7" priority="2364" stopIfTrue="1">
      <formula>$A340="note"</formula>
    </cfRule>
  </conditionalFormatting>
  <conditionalFormatting sqref="B340:C341 D340:E341">
    <cfRule type="expression" dxfId="8" priority="2365" stopIfTrue="1">
      <formula>$A340="barcode"</formula>
    </cfRule>
  </conditionalFormatting>
  <conditionalFormatting sqref="B340:C341 D340:E341">
    <cfRule type="expression" dxfId="9" priority="2366" stopIfTrue="1">
      <formula>OR($A340="geopoint", $A340="geoshape", $A340="geotrace")</formula>
    </cfRule>
  </conditionalFormatting>
  <conditionalFormatting sqref="B340:B341">
    <cfRule type="expression" dxfId="10" priority="2367" stopIfTrue="1">
      <formula>OR($A340="calculate", $A340="calculate_here")</formula>
    </cfRule>
  </conditionalFormatting>
  <conditionalFormatting sqref="B340:C341 D340:E341">
    <cfRule type="expression" dxfId="11" priority="2368" stopIfTrue="1">
      <formula>OR($A340="date", $A340="datetime", $A340="time")</formula>
    </cfRule>
  </conditionalFormatting>
  <conditionalFormatting sqref="B340:C341 D340:E341">
    <cfRule type="expression" dxfId="12" priority="2369" stopIfTrue="1">
      <formula>$A340="image"</formula>
    </cfRule>
  </conditionalFormatting>
  <conditionalFormatting sqref="B340:C341 D340:E341">
    <cfRule type="expression" dxfId="13" priority="2370" stopIfTrue="1">
      <formula>OR($A340="audio", $A340="video")</formula>
    </cfRule>
  </conditionalFormatting>
  <conditionalFormatting sqref="B340:E341">
    <cfRule type="expression" dxfId="33" priority="2371" stopIfTrue="1">
      <formula>$A340="file"</formula>
    </cfRule>
  </conditionalFormatting>
  <conditionalFormatting sqref="B340:E341">
    <cfRule type="expression" dxfId="34" priority="2372" stopIfTrue="1">
      <formula>$A340="enumerator"</formula>
    </cfRule>
  </conditionalFormatting>
  <conditionalFormatting sqref="B340:E341">
    <cfRule type="expression" dxfId="35" priority="2373" stopIfTrue="1">
      <formula>OR(AND(LEFT($A340, 14)="sensor_stream ", LEN($A340)&gt;14, NOT(ISNUMBER(SEARCH(" ", $A340, 15)))), AND(LEFT($A340, 17)="sensor_statistic ", LEN($A340)&gt;17, NOT(ISNUMBER(SEARCH(" ", $A340, 18)))))</formula>
    </cfRule>
  </conditionalFormatting>
  <conditionalFormatting sqref="B340:E341">
    <cfRule type="expression" dxfId="14" priority="2374" stopIfTrue="1">
      <formula>$A340="comments"</formula>
    </cfRule>
  </conditionalFormatting>
  <conditionalFormatting sqref="B340:E341">
    <cfRule type="expression" dxfId="15" priority="2375" stopIfTrue="1">
      <formula>OR($A340="audio", $A340="video")</formula>
    </cfRule>
  </conditionalFormatting>
  <conditionalFormatting sqref="B340:E341">
    <cfRule type="expression" dxfId="16" priority="2376" stopIfTrue="1">
      <formula>$A340="image"</formula>
    </cfRule>
  </conditionalFormatting>
  <conditionalFormatting sqref="B340:E341">
    <cfRule type="expression" dxfId="17" priority="2377" stopIfTrue="1">
      <formula>OR($A340="date", $A340="datetime", $A340="time")</formula>
    </cfRule>
  </conditionalFormatting>
  <conditionalFormatting sqref="B340:E341">
    <cfRule type="expression" dxfId="18" priority="2378" stopIfTrue="1">
      <formula>OR($A340="calculate", $A340="calculate_here")</formula>
    </cfRule>
  </conditionalFormatting>
  <conditionalFormatting sqref="B340:E341">
    <cfRule type="expression" dxfId="19" priority="2379" stopIfTrue="1">
      <formula>$A340="note"</formula>
    </cfRule>
  </conditionalFormatting>
  <conditionalFormatting sqref="B340:E341">
    <cfRule type="expression" dxfId="20" priority="2380" stopIfTrue="1">
      <formula>$A340="barcode"</formula>
    </cfRule>
  </conditionalFormatting>
  <conditionalFormatting sqref="B340:E341">
    <cfRule type="expression" dxfId="21" priority="2381" stopIfTrue="1">
      <formula>OR($A340="geopoint", $A340="geoshape", $A340="geotrace")</formula>
    </cfRule>
  </conditionalFormatting>
  <conditionalFormatting sqref="B340:E341">
    <cfRule type="expression" dxfId="22" priority="2382" stopIfTrue="1">
      <formula>OR($A340="audio audit", $A340="text audit", $A340="speed violations count", $A340="speed violations list", $A340="speed violations audit")</formula>
    </cfRule>
  </conditionalFormatting>
  <conditionalFormatting sqref="B340:E341">
    <cfRule type="expression" dxfId="23" priority="2383" stopIfTrue="1">
      <formula>OR($A340="username", $A340="phonenumber", $A340="start", $A340="end", $A340="deviceid", $A340="subscriberid", $A340="simserial", $A340="caseid")</formula>
    </cfRule>
  </conditionalFormatting>
  <conditionalFormatting sqref="B340:E341">
    <cfRule type="expression" dxfId="24" priority="2384" stopIfTrue="1">
      <formula>OR(AND(LEFT($A340, 16)="select_multiple ", LEN($A340)&gt;16, NOT(ISNUMBER(SEARCH(" ", $A340, 17)))), AND(LEFT($A340, 11)="select_one ", LEN($A340)&gt;11, NOT(ISNUMBER(SEARCH(" ", $A340, 12)))))</formula>
    </cfRule>
  </conditionalFormatting>
  <conditionalFormatting sqref="B340:E341">
    <cfRule type="expression" dxfId="25" priority="2385" stopIfTrue="1">
      <formula>$A340="decimal"</formula>
    </cfRule>
  </conditionalFormatting>
  <conditionalFormatting sqref="B340:E341">
    <cfRule type="expression" dxfId="26" priority="2386" stopIfTrue="1">
      <formula>$A340="integer"</formula>
    </cfRule>
  </conditionalFormatting>
  <conditionalFormatting sqref="B340:E341">
    <cfRule type="expression" dxfId="27" priority="2387" stopIfTrue="1">
      <formula>$A340="text"</formula>
    </cfRule>
  </conditionalFormatting>
  <conditionalFormatting sqref="B340:E341">
    <cfRule type="expression" dxfId="28" priority="2388" stopIfTrue="1">
      <formula>$A340="end repeat"</formula>
    </cfRule>
  </conditionalFormatting>
  <conditionalFormatting sqref="B340:E341">
    <cfRule type="expression" dxfId="28" priority="2389" stopIfTrue="1">
      <formula>$A340="begin repeat"</formula>
    </cfRule>
  </conditionalFormatting>
  <conditionalFormatting sqref="B340:E341">
    <cfRule type="expression" dxfId="29" priority="2390" stopIfTrue="1">
      <formula>$A340="end group"</formula>
    </cfRule>
  </conditionalFormatting>
  <conditionalFormatting sqref="B340:E341">
    <cfRule type="expression" dxfId="29" priority="2391" stopIfTrue="1">
      <formula>$A340="begin group"</formula>
    </cfRule>
  </conditionalFormatting>
  <conditionalFormatting sqref="B340:B341">
    <cfRule type="expression" dxfId="30" priority="2392" stopIfTrue="1">
      <formula>$A340="comments"</formula>
    </cfRule>
  </conditionalFormatting>
  <conditionalFormatting sqref="B340:B341">
    <cfRule type="expression" dxfId="36" priority="2393" stopIfTrue="1">
      <formula>OR(AND(LEFT($A340, 14)="sensor_stream ", LEN($A340)&gt;14, NOT(ISNUMBER(SEARCH(" ", $A340, 15)))), AND(LEFT($A340, 17)="sensor_statistic ", LEN($A340)&gt;17, NOT(ISNUMBER(SEARCH(" ", $A340, 18)))))</formula>
    </cfRule>
  </conditionalFormatting>
  <conditionalFormatting sqref="B330:C332 D330:E332">
    <cfRule type="expression" dxfId="0" priority="2394" stopIfTrue="1">
      <formula>$A330="begin group"</formula>
    </cfRule>
  </conditionalFormatting>
  <conditionalFormatting sqref="B330:C332 D330:E332">
    <cfRule type="expression" dxfId="1" priority="2395" stopIfTrue="1">
      <formula>$A330="begin repeat"</formula>
    </cfRule>
  </conditionalFormatting>
  <conditionalFormatting sqref="B330:E332">
    <cfRule type="expression" dxfId="31" priority="2396" stopIfTrue="1">
      <formula>$A330="enumerator"</formula>
    </cfRule>
  </conditionalFormatting>
  <conditionalFormatting sqref="B330:E332">
    <cfRule type="expression" dxfId="2" priority="2397" stopIfTrue="1">
      <formula>$A330="text"</formula>
    </cfRule>
  </conditionalFormatting>
  <conditionalFormatting sqref="B330:E332">
    <cfRule type="expression" dxfId="3" priority="2398" stopIfTrue="1">
      <formula>$A330="integer"</formula>
    </cfRule>
  </conditionalFormatting>
  <conditionalFormatting sqref="B330:E332">
    <cfRule type="expression" dxfId="4" priority="2399" stopIfTrue="1">
      <formula>$A330="decimal"</formula>
    </cfRule>
  </conditionalFormatting>
  <conditionalFormatting sqref="B330:C332 D330:E332">
    <cfRule type="expression" dxfId="5" priority="2400" stopIfTrue="1">
      <formula>OR(AND(LEFT($A330, 16)="select_multiple ", LEN($A330)&gt;16, NOT(ISNUMBER(SEARCH(" ", $A330, 17)))), AND(LEFT($A330, 11)="select_one ", LEN($A330)&gt;11, NOT(ISNUMBER(SEARCH(" ", $A330, 12)))))</formula>
    </cfRule>
  </conditionalFormatting>
  <conditionalFormatting sqref="B330:B332">
    <cfRule type="expression" dxfId="6" priority="2401" stopIfTrue="1">
      <formula>OR($A330="audio audit", $A330="text audit", $A330="speed violations count", $A330="speed violations list", $A330="speed violations audit")</formula>
    </cfRule>
  </conditionalFormatting>
  <conditionalFormatting sqref="B330:C332 D330:E332">
    <cfRule type="expression" dxfId="32" priority="2402" stopIfTrue="1">
      <formula>$A330="file"</formula>
    </cfRule>
  </conditionalFormatting>
  <conditionalFormatting sqref="B330:C332 D330:E332">
    <cfRule type="expression" dxfId="7" priority="2403" stopIfTrue="1">
      <formula>$A330="note"</formula>
    </cfRule>
  </conditionalFormatting>
  <conditionalFormatting sqref="B330:C332 D330:E332">
    <cfRule type="expression" dxfId="8" priority="2404" stopIfTrue="1">
      <formula>$A330="barcode"</formula>
    </cfRule>
  </conditionalFormatting>
  <conditionalFormatting sqref="B330:C332 D330:E332">
    <cfRule type="expression" dxfId="9" priority="2405" stopIfTrue="1">
      <formula>OR($A330="geopoint", $A330="geoshape", $A330="geotrace")</formula>
    </cfRule>
  </conditionalFormatting>
  <conditionalFormatting sqref="B330:B332">
    <cfRule type="expression" dxfId="10" priority="2406" stopIfTrue="1">
      <formula>OR($A330="calculate", $A330="calculate_here")</formula>
    </cfRule>
  </conditionalFormatting>
  <conditionalFormatting sqref="B330:C332 D330:E332">
    <cfRule type="expression" dxfId="11" priority="2407" stopIfTrue="1">
      <formula>OR($A330="date", $A330="datetime", $A330="time")</formula>
    </cfRule>
  </conditionalFormatting>
  <conditionalFormatting sqref="B330:C332 D330:E332">
    <cfRule type="expression" dxfId="12" priority="2408" stopIfTrue="1">
      <formula>$A330="image"</formula>
    </cfRule>
  </conditionalFormatting>
  <conditionalFormatting sqref="B330:C332 D330:E332">
    <cfRule type="expression" dxfId="13" priority="2409" stopIfTrue="1">
      <formula>OR($A330="audio", $A330="video")</formula>
    </cfRule>
  </conditionalFormatting>
  <conditionalFormatting sqref="B330:E332">
    <cfRule type="expression" dxfId="33" priority="2410" stopIfTrue="1">
      <formula>$A330="file"</formula>
    </cfRule>
  </conditionalFormatting>
  <conditionalFormatting sqref="B330:E332">
    <cfRule type="expression" dxfId="34" priority="2411" stopIfTrue="1">
      <formula>$A330="enumerator"</formula>
    </cfRule>
  </conditionalFormatting>
  <conditionalFormatting sqref="B330:E332">
    <cfRule type="expression" dxfId="35" priority="2412" stopIfTrue="1">
      <formula>OR(AND(LEFT($A330, 14)="sensor_stream ", LEN($A330)&gt;14, NOT(ISNUMBER(SEARCH(" ", $A330, 15)))), AND(LEFT($A330, 17)="sensor_statistic ", LEN($A330)&gt;17, NOT(ISNUMBER(SEARCH(" ", $A330, 18)))))</formula>
    </cfRule>
  </conditionalFormatting>
  <conditionalFormatting sqref="B330:E332">
    <cfRule type="expression" dxfId="14" priority="2413" stopIfTrue="1">
      <formula>$A330="comments"</formula>
    </cfRule>
  </conditionalFormatting>
  <conditionalFormatting sqref="B330:E332">
    <cfRule type="expression" dxfId="15" priority="2414" stopIfTrue="1">
      <formula>OR($A330="audio", $A330="video")</formula>
    </cfRule>
  </conditionalFormatting>
  <conditionalFormatting sqref="B330:E332">
    <cfRule type="expression" dxfId="16" priority="2415" stopIfTrue="1">
      <formula>$A330="image"</formula>
    </cfRule>
  </conditionalFormatting>
  <conditionalFormatting sqref="B330:E332">
    <cfRule type="expression" dxfId="17" priority="2416" stopIfTrue="1">
      <formula>OR($A330="date", $A330="datetime", $A330="time")</formula>
    </cfRule>
  </conditionalFormatting>
  <conditionalFormatting sqref="B330:E332">
    <cfRule type="expression" dxfId="18" priority="2417" stopIfTrue="1">
      <formula>OR($A330="calculate", $A330="calculate_here")</formula>
    </cfRule>
  </conditionalFormatting>
  <conditionalFormatting sqref="B330:E332">
    <cfRule type="expression" dxfId="19" priority="2418" stopIfTrue="1">
      <formula>$A330="note"</formula>
    </cfRule>
  </conditionalFormatting>
  <conditionalFormatting sqref="B330:E332">
    <cfRule type="expression" dxfId="20" priority="2419" stopIfTrue="1">
      <formula>$A330="barcode"</formula>
    </cfRule>
  </conditionalFormatting>
  <conditionalFormatting sqref="B330:E332">
    <cfRule type="expression" dxfId="21" priority="2420" stopIfTrue="1">
      <formula>OR($A330="geopoint", $A330="geoshape", $A330="geotrace")</formula>
    </cfRule>
  </conditionalFormatting>
  <conditionalFormatting sqref="B330:E332">
    <cfRule type="expression" dxfId="22" priority="2421" stopIfTrue="1">
      <formula>OR($A330="audio audit", $A330="text audit", $A330="speed violations count", $A330="speed violations list", $A330="speed violations audit")</formula>
    </cfRule>
  </conditionalFormatting>
  <conditionalFormatting sqref="B330:E332">
    <cfRule type="expression" dxfId="23" priority="2422" stopIfTrue="1">
      <formula>OR($A330="username", $A330="phonenumber", $A330="start", $A330="end", $A330="deviceid", $A330="subscriberid", $A330="simserial", $A330="caseid")</formula>
    </cfRule>
  </conditionalFormatting>
  <conditionalFormatting sqref="B330:E332">
    <cfRule type="expression" dxfId="24" priority="2423" stopIfTrue="1">
      <formula>OR(AND(LEFT($A330, 16)="select_multiple ", LEN($A330)&gt;16, NOT(ISNUMBER(SEARCH(" ", $A330, 17)))), AND(LEFT($A330, 11)="select_one ", LEN($A330)&gt;11, NOT(ISNUMBER(SEARCH(" ", $A330, 12)))))</formula>
    </cfRule>
  </conditionalFormatting>
  <conditionalFormatting sqref="B330:E332">
    <cfRule type="expression" dxfId="25" priority="2424" stopIfTrue="1">
      <formula>$A330="decimal"</formula>
    </cfRule>
  </conditionalFormatting>
  <conditionalFormatting sqref="B330:E332">
    <cfRule type="expression" dxfId="26" priority="2425" stopIfTrue="1">
      <formula>$A330="integer"</formula>
    </cfRule>
  </conditionalFormatting>
  <conditionalFormatting sqref="B330:E332">
    <cfRule type="expression" dxfId="27" priority="2426" stopIfTrue="1">
      <formula>$A330="text"</formula>
    </cfRule>
  </conditionalFormatting>
  <conditionalFormatting sqref="B330:E332">
    <cfRule type="expression" dxfId="28" priority="2427" stopIfTrue="1">
      <formula>$A330="end repeat"</formula>
    </cfRule>
  </conditionalFormatting>
  <conditionalFormatting sqref="B330:E332">
    <cfRule type="expression" dxfId="28" priority="2428" stopIfTrue="1">
      <formula>$A330="begin repeat"</formula>
    </cfRule>
  </conditionalFormatting>
  <conditionalFormatting sqref="B330:E332">
    <cfRule type="expression" dxfId="29" priority="2429" stopIfTrue="1">
      <formula>$A330="end group"</formula>
    </cfRule>
  </conditionalFormatting>
  <conditionalFormatting sqref="B330:E332">
    <cfRule type="expression" dxfId="29" priority="2430" stopIfTrue="1">
      <formula>$A330="begin group"</formula>
    </cfRule>
  </conditionalFormatting>
  <conditionalFormatting sqref="B330:B332">
    <cfRule type="expression" dxfId="30" priority="2431" stopIfTrue="1">
      <formula>$A330="comments"</formula>
    </cfRule>
  </conditionalFormatting>
  <conditionalFormatting sqref="B330:B332">
    <cfRule type="expression" dxfId="36" priority="2432" stopIfTrue="1">
      <formula>OR(AND(LEFT($A330, 14)="sensor_stream ", LEN($A330)&gt;14, NOT(ISNUMBER(SEARCH(" ", $A330, 15)))), AND(LEFT($A330, 17)="sensor_statistic ", LEN($A330)&gt;17, NOT(ISNUMBER(SEARCH(" ", $A330, 18)))))</formula>
    </cfRule>
  </conditionalFormatting>
  <conditionalFormatting sqref="B320:C320 D320:E320">
    <cfRule type="expression" dxfId="0" priority="2433" stopIfTrue="1">
      <formula>$A320="begin group"</formula>
    </cfRule>
  </conditionalFormatting>
  <conditionalFormatting sqref="B320:C320 D320:E320">
    <cfRule type="expression" dxfId="1" priority="2434" stopIfTrue="1">
      <formula>$A320="begin repeat"</formula>
    </cfRule>
  </conditionalFormatting>
  <conditionalFormatting sqref="B320:E320">
    <cfRule type="expression" dxfId="31" priority="2435" stopIfTrue="1">
      <formula>$A320="enumerator"</formula>
    </cfRule>
  </conditionalFormatting>
  <conditionalFormatting sqref="B320:E320">
    <cfRule type="expression" dxfId="2" priority="2436" stopIfTrue="1">
      <formula>$A320="text"</formula>
    </cfRule>
  </conditionalFormatting>
  <conditionalFormatting sqref="B320:E320">
    <cfRule type="expression" dxfId="3" priority="2437" stopIfTrue="1">
      <formula>$A320="integer"</formula>
    </cfRule>
  </conditionalFormatting>
  <conditionalFormatting sqref="B320:E320">
    <cfRule type="expression" dxfId="4" priority="2438" stopIfTrue="1">
      <formula>$A320="decimal"</formula>
    </cfRule>
  </conditionalFormatting>
  <conditionalFormatting sqref="B320:C320 D320:E320">
    <cfRule type="expression" dxfId="5" priority="2439" stopIfTrue="1">
      <formula>OR(AND(LEFT($A320, 16)="select_multiple ", LEN($A320)&gt;16, NOT(ISNUMBER(SEARCH(" ", $A320, 17)))), AND(LEFT($A320, 11)="select_one ", LEN($A320)&gt;11, NOT(ISNUMBER(SEARCH(" ", $A320, 12)))))</formula>
    </cfRule>
  </conditionalFormatting>
  <conditionalFormatting sqref="B320">
    <cfRule type="expression" dxfId="6" priority="2440" stopIfTrue="1">
      <formula>OR($A320="audio audit", $A320="text audit", $A320="speed violations count", $A320="speed violations list", $A320="speed violations audit")</formula>
    </cfRule>
  </conditionalFormatting>
  <conditionalFormatting sqref="B320:C320 D320:E320">
    <cfRule type="expression" dxfId="32" priority="2441" stopIfTrue="1">
      <formula>$A320="file"</formula>
    </cfRule>
  </conditionalFormatting>
  <conditionalFormatting sqref="B320:C320 D320:E320">
    <cfRule type="expression" dxfId="7" priority="2442" stopIfTrue="1">
      <formula>$A320="note"</formula>
    </cfRule>
  </conditionalFormatting>
  <conditionalFormatting sqref="B320:C320 D320:E320">
    <cfRule type="expression" dxfId="8" priority="2443" stopIfTrue="1">
      <formula>$A320="barcode"</formula>
    </cfRule>
  </conditionalFormatting>
  <conditionalFormatting sqref="B320:C320 D320:E320">
    <cfRule type="expression" dxfId="9" priority="2444" stopIfTrue="1">
      <formula>OR($A320="geopoint", $A320="geoshape", $A320="geotrace")</formula>
    </cfRule>
  </conditionalFormatting>
  <conditionalFormatting sqref="B320">
    <cfRule type="expression" dxfId="10" priority="2445" stopIfTrue="1">
      <formula>OR($A320="calculate", $A320="calculate_here")</formula>
    </cfRule>
  </conditionalFormatting>
  <conditionalFormatting sqref="B320:C320 D320:E320">
    <cfRule type="expression" dxfId="11" priority="2446" stopIfTrue="1">
      <formula>OR($A320="date", $A320="datetime", $A320="time")</formula>
    </cfRule>
  </conditionalFormatting>
  <conditionalFormatting sqref="B320:C320 D320:E320">
    <cfRule type="expression" dxfId="12" priority="2447" stopIfTrue="1">
      <formula>$A320="image"</formula>
    </cfRule>
  </conditionalFormatting>
  <conditionalFormatting sqref="B320:C320 D320:E320">
    <cfRule type="expression" dxfId="13" priority="2448" stopIfTrue="1">
      <formula>OR($A320="audio", $A320="video")</formula>
    </cfRule>
  </conditionalFormatting>
  <conditionalFormatting sqref="B320:E320">
    <cfRule type="expression" dxfId="33" priority="2449" stopIfTrue="1">
      <formula>$A320="file"</formula>
    </cfRule>
  </conditionalFormatting>
  <conditionalFormatting sqref="B320:E320">
    <cfRule type="expression" dxfId="34" priority="2450" stopIfTrue="1">
      <formula>$A320="enumerator"</formula>
    </cfRule>
  </conditionalFormatting>
  <conditionalFormatting sqref="B320:E320">
    <cfRule type="expression" dxfId="35" priority="2451" stopIfTrue="1">
      <formula>OR(AND(LEFT($A320, 14)="sensor_stream ", LEN($A320)&gt;14, NOT(ISNUMBER(SEARCH(" ", $A320, 15)))), AND(LEFT($A320, 17)="sensor_statistic ", LEN($A320)&gt;17, NOT(ISNUMBER(SEARCH(" ", $A320, 18)))))</formula>
    </cfRule>
  </conditionalFormatting>
  <conditionalFormatting sqref="B320:E320">
    <cfRule type="expression" dxfId="14" priority="2452" stopIfTrue="1">
      <formula>$A320="comments"</formula>
    </cfRule>
  </conditionalFormatting>
  <conditionalFormatting sqref="B320:E320">
    <cfRule type="expression" dxfId="15" priority="2453" stopIfTrue="1">
      <formula>OR($A320="audio", $A320="video")</formula>
    </cfRule>
  </conditionalFormatting>
  <conditionalFormatting sqref="B320:E320">
    <cfRule type="expression" dxfId="16" priority="2454" stopIfTrue="1">
      <formula>$A320="image"</formula>
    </cfRule>
  </conditionalFormatting>
  <conditionalFormatting sqref="B320:E320">
    <cfRule type="expression" dxfId="17" priority="2455" stopIfTrue="1">
      <formula>OR($A320="date", $A320="datetime", $A320="time")</formula>
    </cfRule>
  </conditionalFormatting>
  <conditionalFormatting sqref="B320:E320">
    <cfRule type="expression" dxfId="18" priority="2456" stopIfTrue="1">
      <formula>OR($A320="calculate", $A320="calculate_here")</formula>
    </cfRule>
  </conditionalFormatting>
  <conditionalFormatting sqref="B320:E320">
    <cfRule type="expression" dxfId="19" priority="2457" stopIfTrue="1">
      <formula>$A320="note"</formula>
    </cfRule>
  </conditionalFormatting>
  <conditionalFormatting sqref="B320:E320">
    <cfRule type="expression" dxfId="20" priority="2458" stopIfTrue="1">
      <formula>$A320="barcode"</formula>
    </cfRule>
  </conditionalFormatting>
  <conditionalFormatting sqref="B320:E320">
    <cfRule type="expression" dxfId="21" priority="2459" stopIfTrue="1">
      <formula>OR($A320="geopoint", $A320="geoshape", $A320="geotrace")</formula>
    </cfRule>
  </conditionalFormatting>
  <conditionalFormatting sqref="B320:E320">
    <cfRule type="expression" dxfId="22" priority="2460" stopIfTrue="1">
      <formula>OR($A320="audio audit", $A320="text audit", $A320="speed violations count", $A320="speed violations list", $A320="speed violations audit")</formula>
    </cfRule>
  </conditionalFormatting>
  <conditionalFormatting sqref="B320:E320">
    <cfRule type="expression" dxfId="23" priority="2461" stopIfTrue="1">
      <formula>OR($A320="username", $A320="phonenumber", $A320="start", $A320="end", $A320="deviceid", $A320="subscriberid", $A320="simserial", $A320="caseid")</formula>
    </cfRule>
  </conditionalFormatting>
  <conditionalFormatting sqref="B320:E320">
    <cfRule type="expression" dxfId="24" priority="2462" stopIfTrue="1">
      <formula>OR(AND(LEFT($A320, 16)="select_multiple ", LEN($A320)&gt;16, NOT(ISNUMBER(SEARCH(" ", $A320, 17)))), AND(LEFT($A320, 11)="select_one ", LEN($A320)&gt;11, NOT(ISNUMBER(SEARCH(" ", $A320, 12)))))</formula>
    </cfRule>
  </conditionalFormatting>
  <conditionalFormatting sqref="B320:E320">
    <cfRule type="expression" dxfId="25" priority="2463" stopIfTrue="1">
      <formula>$A320="decimal"</formula>
    </cfRule>
  </conditionalFormatting>
  <conditionalFormatting sqref="B320:E320">
    <cfRule type="expression" dxfId="26" priority="2464" stopIfTrue="1">
      <formula>$A320="integer"</formula>
    </cfRule>
  </conditionalFormatting>
  <conditionalFormatting sqref="B320:E320">
    <cfRule type="expression" dxfId="27" priority="2465" stopIfTrue="1">
      <formula>$A320="text"</formula>
    </cfRule>
  </conditionalFormatting>
  <conditionalFormatting sqref="B320:E320">
    <cfRule type="expression" dxfId="28" priority="2466" stopIfTrue="1">
      <formula>$A320="end repeat"</formula>
    </cfRule>
  </conditionalFormatting>
  <conditionalFormatting sqref="B320:E320">
    <cfRule type="expression" dxfId="28" priority="2467" stopIfTrue="1">
      <formula>$A320="begin repeat"</formula>
    </cfRule>
  </conditionalFormatting>
  <conditionalFormatting sqref="B320:E320">
    <cfRule type="expression" dxfId="29" priority="2468" stopIfTrue="1">
      <formula>$A320="end group"</formula>
    </cfRule>
  </conditionalFormatting>
  <conditionalFormatting sqref="B320:E320">
    <cfRule type="expression" dxfId="29" priority="2469" stopIfTrue="1">
      <formula>$A320="begin group"</formula>
    </cfRule>
  </conditionalFormatting>
  <conditionalFormatting sqref="B320">
    <cfRule type="expression" dxfId="30" priority="2470" stopIfTrue="1">
      <formula>$A320="comments"</formula>
    </cfRule>
  </conditionalFormatting>
  <conditionalFormatting sqref="B320">
    <cfRule type="expression" dxfId="36" priority="2471" stopIfTrue="1">
      <formula>OR(AND(LEFT($A320, 14)="sensor_stream ", LEN($A320)&gt;14, NOT(ISNUMBER(SEARCH(" ", $A320, 15)))), AND(LEFT($A320, 17)="sensor_statistic ", LEN($A320)&gt;17, NOT(ISNUMBER(SEARCH(" ", $A320, 18)))))</formula>
    </cfRule>
  </conditionalFormatting>
  <conditionalFormatting sqref="B312:C312 D312:E312">
    <cfRule type="expression" dxfId="0" priority="2472" stopIfTrue="1">
      <formula>$A312="begin group"</formula>
    </cfRule>
  </conditionalFormatting>
  <conditionalFormatting sqref="B312:C312 D312:E312">
    <cfRule type="expression" dxfId="1" priority="2473" stopIfTrue="1">
      <formula>$A312="begin repeat"</formula>
    </cfRule>
  </conditionalFormatting>
  <conditionalFormatting sqref="B312:E312">
    <cfRule type="expression" dxfId="31" priority="2474" stopIfTrue="1">
      <formula>$A312="enumerator"</formula>
    </cfRule>
  </conditionalFormatting>
  <conditionalFormatting sqref="B312:E312">
    <cfRule type="expression" dxfId="2" priority="2475" stopIfTrue="1">
      <formula>$A312="text"</formula>
    </cfRule>
  </conditionalFormatting>
  <conditionalFormatting sqref="B312:E312">
    <cfRule type="expression" dxfId="3" priority="2476" stopIfTrue="1">
      <formula>$A312="integer"</formula>
    </cfRule>
  </conditionalFormatting>
  <conditionalFormatting sqref="B312:E312">
    <cfRule type="expression" dxfId="4" priority="2477" stopIfTrue="1">
      <formula>$A312="decimal"</formula>
    </cfRule>
  </conditionalFormatting>
  <conditionalFormatting sqref="B312:C312 D312:E312">
    <cfRule type="expression" dxfId="5" priority="2478" stopIfTrue="1">
      <formula>OR(AND(LEFT($A312, 16)="select_multiple ", LEN($A312)&gt;16, NOT(ISNUMBER(SEARCH(" ", $A312, 17)))), AND(LEFT($A312, 11)="select_one ", LEN($A312)&gt;11, NOT(ISNUMBER(SEARCH(" ", $A312, 12)))))</formula>
    </cfRule>
  </conditionalFormatting>
  <conditionalFormatting sqref="B312">
    <cfRule type="expression" dxfId="6" priority="2479" stopIfTrue="1">
      <formula>OR($A312="audio audit", $A312="text audit", $A312="speed violations count", $A312="speed violations list", $A312="speed violations audit")</formula>
    </cfRule>
  </conditionalFormatting>
  <conditionalFormatting sqref="B312:C312 D312:E312">
    <cfRule type="expression" dxfId="32" priority="2480" stopIfTrue="1">
      <formula>$A312="file"</formula>
    </cfRule>
  </conditionalFormatting>
  <conditionalFormatting sqref="B312:C312 D312:E312">
    <cfRule type="expression" dxfId="7" priority="2481" stopIfTrue="1">
      <formula>$A312="note"</formula>
    </cfRule>
  </conditionalFormatting>
  <conditionalFormatting sqref="B312:C312 D312:E312">
    <cfRule type="expression" dxfId="8" priority="2482" stopIfTrue="1">
      <formula>$A312="barcode"</formula>
    </cfRule>
  </conditionalFormatting>
  <conditionalFormatting sqref="B312:C312 D312:E312">
    <cfRule type="expression" dxfId="9" priority="2483" stopIfTrue="1">
      <formula>OR($A312="geopoint", $A312="geoshape", $A312="geotrace")</formula>
    </cfRule>
  </conditionalFormatting>
  <conditionalFormatting sqref="B312">
    <cfRule type="expression" dxfId="10" priority="2484" stopIfTrue="1">
      <formula>OR($A312="calculate", $A312="calculate_here")</formula>
    </cfRule>
  </conditionalFormatting>
  <conditionalFormatting sqref="B312:C312 D312:E312">
    <cfRule type="expression" dxfId="11" priority="2485" stopIfTrue="1">
      <formula>OR($A312="date", $A312="datetime", $A312="time")</formula>
    </cfRule>
  </conditionalFormatting>
  <conditionalFormatting sqref="B312:C312 D312:E312">
    <cfRule type="expression" dxfId="12" priority="2486" stopIfTrue="1">
      <formula>$A312="image"</formula>
    </cfRule>
  </conditionalFormatting>
  <conditionalFormatting sqref="B312:C312 D312:E312">
    <cfRule type="expression" dxfId="13" priority="2487" stopIfTrue="1">
      <formula>OR($A312="audio", $A312="video")</formula>
    </cfRule>
  </conditionalFormatting>
  <conditionalFormatting sqref="B312:E312">
    <cfRule type="expression" dxfId="33" priority="2488" stopIfTrue="1">
      <formula>$A312="file"</formula>
    </cfRule>
  </conditionalFormatting>
  <conditionalFormatting sqref="B312:E312">
    <cfRule type="expression" dxfId="34" priority="2489" stopIfTrue="1">
      <formula>$A312="enumerator"</formula>
    </cfRule>
  </conditionalFormatting>
  <conditionalFormatting sqref="B312:E312">
    <cfRule type="expression" dxfId="35" priority="2490" stopIfTrue="1">
      <formula>OR(AND(LEFT($A312, 14)="sensor_stream ", LEN($A312)&gt;14, NOT(ISNUMBER(SEARCH(" ", $A312, 15)))), AND(LEFT($A312, 17)="sensor_statistic ", LEN($A312)&gt;17, NOT(ISNUMBER(SEARCH(" ", $A312, 18)))))</formula>
    </cfRule>
  </conditionalFormatting>
  <conditionalFormatting sqref="B312:E312">
    <cfRule type="expression" dxfId="14" priority="2491" stopIfTrue="1">
      <formula>$A312="comments"</formula>
    </cfRule>
  </conditionalFormatting>
  <conditionalFormatting sqref="B312:E312">
    <cfRule type="expression" dxfId="15" priority="2492" stopIfTrue="1">
      <formula>OR($A312="audio", $A312="video")</formula>
    </cfRule>
  </conditionalFormatting>
  <conditionalFormatting sqref="B312:E312">
    <cfRule type="expression" dxfId="16" priority="2493" stopIfTrue="1">
      <formula>$A312="image"</formula>
    </cfRule>
  </conditionalFormatting>
  <conditionalFormatting sqref="B312:E312">
    <cfRule type="expression" dxfId="17" priority="2494" stopIfTrue="1">
      <formula>OR($A312="date", $A312="datetime", $A312="time")</formula>
    </cfRule>
  </conditionalFormatting>
  <conditionalFormatting sqref="B312:E312">
    <cfRule type="expression" dxfId="18" priority="2495" stopIfTrue="1">
      <formula>OR($A312="calculate", $A312="calculate_here")</formula>
    </cfRule>
  </conditionalFormatting>
  <conditionalFormatting sqref="B312:E312">
    <cfRule type="expression" dxfId="19" priority="2496" stopIfTrue="1">
      <formula>$A312="note"</formula>
    </cfRule>
  </conditionalFormatting>
  <conditionalFormatting sqref="B312:E312">
    <cfRule type="expression" dxfId="20" priority="2497" stopIfTrue="1">
      <formula>$A312="barcode"</formula>
    </cfRule>
  </conditionalFormatting>
  <conditionalFormatting sqref="B312:E312">
    <cfRule type="expression" dxfId="21" priority="2498" stopIfTrue="1">
      <formula>OR($A312="geopoint", $A312="geoshape", $A312="geotrace")</formula>
    </cfRule>
  </conditionalFormatting>
  <conditionalFormatting sqref="B312:E312">
    <cfRule type="expression" dxfId="22" priority="2499" stopIfTrue="1">
      <formula>OR($A312="audio audit", $A312="text audit", $A312="speed violations count", $A312="speed violations list", $A312="speed violations audit")</formula>
    </cfRule>
  </conditionalFormatting>
  <conditionalFormatting sqref="B312:E312">
    <cfRule type="expression" dxfId="23" priority="2500" stopIfTrue="1">
      <formula>OR($A312="username", $A312="phonenumber", $A312="start", $A312="end", $A312="deviceid", $A312="subscriberid", $A312="simserial", $A312="caseid")</formula>
    </cfRule>
  </conditionalFormatting>
  <conditionalFormatting sqref="B312:E312">
    <cfRule type="expression" dxfId="24" priority="2501" stopIfTrue="1">
      <formula>OR(AND(LEFT($A312, 16)="select_multiple ", LEN($A312)&gt;16, NOT(ISNUMBER(SEARCH(" ", $A312, 17)))), AND(LEFT($A312, 11)="select_one ", LEN($A312)&gt;11, NOT(ISNUMBER(SEARCH(" ", $A312, 12)))))</formula>
    </cfRule>
  </conditionalFormatting>
  <conditionalFormatting sqref="B312:E312">
    <cfRule type="expression" dxfId="25" priority="2502" stopIfTrue="1">
      <formula>$A312="decimal"</formula>
    </cfRule>
  </conditionalFormatting>
  <conditionalFormatting sqref="B312:E312">
    <cfRule type="expression" dxfId="26" priority="2503" stopIfTrue="1">
      <formula>$A312="integer"</formula>
    </cfRule>
  </conditionalFormatting>
  <conditionalFormatting sqref="B312:E312">
    <cfRule type="expression" dxfId="27" priority="2504" stopIfTrue="1">
      <formula>$A312="text"</formula>
    </cfRule>
  </conditionalFormatting>
  <conditionalFormatting sqref="B312:E312">
    <cfRule type="expression" dxfId="28" priority="2505" stopIfTrue="1">
      <formula>$A312="end repeat"</formula>
    </cfRule>
  </conditionalFormatting>
  <conditionalFormatting sqref="B312:E312">
    <cfRule type="expression" dxfId="28" priority="2506" stopIfTrue="1">
      <formula>$A312="begin repeat"</formula>
    </cfRule>
  </conditionalFormatting>
  <conditionalFormatting sqref="B312:E312">
    <cfRule type="expression" dxfId="29" priority="2507" stopIfTrue="1">
      <formula>$A312="end group"</formula>
    </cfRule>
  </conditionalFormatting>
  <conditionalFormatting sqref="B312:E312">
    <cfRule type="expression" dxfId="29" priority="2508" stopIfTrue="1">
      <formula>$A312="begin group"</formula>
    </cfRule>
  </conditionalFormatting>
  <conditionalFormatting sqref="B312">
    <cfRule type="expression" dxfId="30" priority="2509" stopIfTrue="1">
      <formula>$A312="comments"</formula>
    </cfRule>
  </conditionalFormatting>
  <conditionalFormatting sqref="B312">
    <cfRule type="expression" dxfId="36" priority="2510" stopIfTrue="1">
      <formula>OR(AND(LEFT($A312, 14)="sensor_stream ", LEN($A312)&gt;14, NOT(ISNUMBER(SEARCH(" ", $A312, 15)))), AND(LEFT($A312, 17)="sensor_statistic ", LEN($A312)&gt;17, NOT(ISNUMBER(SEARCH(" ", $A312, 18)))))</formula>
    </cfRule>
  </conditionalFormatting>
  <conditionalFormatting sqref="B299:C309 D299:E309">
    <cfRule type="expression" dxfId="0" priority="2511" stopIfTrue="1">
      <formula>$A299="begin group"</formula>
    </cfRule>
  </conditionalFormatting>
  <conditionalFormatting sqref="B299:C309 D299:E309">
    <cfRule type="expression" dxfId="1" priority="2512" stopIfTrue="1">
      <formula>$A299="begin repeat"</formula>
    </cfRule>
  </conditionalFormatting>
  <conditionalFormatting sqref="B299:E309">
    <cfRule type="expression" dxfId="31" priority="2513" stopIfTrue="1">
      <formula>$A299="enumerator"</formula>
    </cfRule>
  </conditionalFormatting>
  <conditionalFormatting sqref="B299:E309">
    <cfRule type="expression" dxfId="2" priority="2514" stopIfTrue="1">
      <formula>$A299="text"</formula>
    </cfRule>
  </conditionalFormatting>
  <conditionalFormatting sqref="B299:E309">
    <cfRule type="expression" dxfId="3" priority="2515" stopIfTrue="1">
      <formula>$A299="integer"</formula>
    </cfRule>
  </conditionalFormatting>
  <conditionalFormatting sqref="B299:E309">
    <cfRule type="expression" dxfId="4" priority="2516" stopIfTrue="1">
      <formula>$A299="decimal"</formula>
    </cfRule>
  </conditionalFormatting>
  <conditionalFormatting sqref="B299:C309 D299:E309">
    <cfRule type="expression" dxfId="5" priority="2517" stopIfTrue="1">
      <formula>OR(AND(LEFT($A299, 16)="select_multiple ", LEN($A299)&gt;16, NOT(ISNUMBER(SEARCH(" ", $A299, 17)))), AND(LEFT($A299, 11)="select_one ", LEN($A299)&gt;11, NOT(ISNUMBER(SEARCH(" ", $A299, 12)))))</formula>
    </cfRule>
  </conditionalFormatting>
  <conditionalFormatting sqref="B299:B309">
    <cfRule type="expression" dxfId="6" priority="2518" stopIfTrue="1">
      <formula>OR($A299="audio audit", $A299="text audit", $A299="speed violations count", $A299="speed violations list", $A299="speed violations audit")</formula>
    </cfRule>
  </conditionalFormatting>
  <conditionalFormatting sqref="B299:C309 D299:E309">
    <cfRule type="expression" dxfId="32" priority="2519" stopIfTrue="1">
      <formula>$A299="file"</formula>
    </cfRule>
  </conditionalFormatting>
  <conditionalFormatting sqref="B299:C309 D299:E309">
    <cfRule type="expression" dxfId="7" priority="2520" stopIfTrue="1">
      <formula>$A299="note"</formula>
    </cfRule>
  </conditionalFormatting>
  <conditionalFormatting sqref="B299:C309 D299:E309">
    <cfRule type="expression" dxfId="8" priority="2521" stopIfTrue="1">
      <formula>$A299="barcode"</formula>
    </cfRule>
  </conditionalFormatting>
  <conditionalFormatting sqref="B299:C309 D299:E309">
    <cfRule type="expression" dxfId="9" priority="2522" stopIfTrue="1">
      <formula>OR($A299="geopoint", $A299="geoshape", $A299="geotrace")</formula>
    </cfRule>
  </conditionalFormatting>
  <conditionalFormatting sqref="B299:B309">
    <cfRule type="expression" dxfId="10" priority="2523" stopIfTrue="1">
      <formula>OR($A299="calculate", $A299="calculate_here")</formula>
    </cfRule>
  </conditionalFormatting>
  <conditionalFormatting sqref="B299:C309 D299:E309">
    <cfRule type="expression" dxfId="11" priority="2524" stopIfTrue="1">
      <formula>OR($A299="date", $A299="datetime", $A299="time")</formula>
    </cfRule>
  </conditionalFormatting>
  <conditionalFormatting sqref="B299:C309 D299:E309">
    <cfRule type="expression" dxfId="12" priority="2525" stopIfTrue="1">
      <formula>$A299="image"</formula>
    </cfRule>
  </conditionalFormatting>
  <conditionalFormatting sqref="B299:C309 D299:E309">
    <cfRule type="expression" dxfId="13" priority="2526" stopIfTrue="1">
      <formula>OR($A299="audio", $A299="video")</formula>
    </cfRule>
  </conditionalFormatting>
  <conditionalFormatting sqref="B299:E309">
    <cfRule type="expression" dxfId="33" priority="2527" stopIfTrue="1">
      <formula>$A299="file"</formula>
    </cfRule>
  </conditionalFormatting>
  <conditionalFormatting sqref="B299:E309">
    <cfRule type="expression" dxfId="34" priority="2528" stopIfTrue="1">
      <formula>$A299="enumerator"</formula>
    </cfRule>
  </conditionalFormatting>
  <conditionalFormatting sqref="B299:E309">
    <cfRule type="expression" dxfId="35" priority="2529" stopIfTrue="1">
      <formula>OR(AND(LEFT($A299, 14)="sensor_stream ", LEN($A299)&gt;14, NOT(ISNUMBER(SEARCH(" ", $A299, 15)))), AND(LEFT($A299, 17)="sensor_statistic ", LEN($A299)&gt;17, NOT(ISNUMBER(SEARCH(" ", $A299, 18)))))</formula>
    </cfRule>
  </conditionalFormatting>
  <conditionalFormatting sqref="B299:E309">
    <cfRule type="expression" dxfId="14" priority="2530" stopIfTrue="1">
      <formula>$A299="comments"</formula>
    </cfRule>
  </conditionalFormatting>
  <conditionalFormatting sqref="B299:E309">
    <cfRule type="expression" dxfId="15" priority="2531" stopIfTrue="1">
      <formula>OR($A299="audio", $A299="video")</formula>
    </cfRule>
  </conditionalFormatting>
  <conditionalFormatting sqref="B299:E309">
    <cfRule type="expression" dxfId="16" priority="2532" stopIfTrue="1">
      <formula>$A299="image"</formula>
    </cfRule>
  </conditionalFormatting>
  <conditionalFormatting sqref="B299:E309">
    <cfRule type="expression" dxfId="17" priority="2533" stopIfTrue="1">
      <formula>OR($A299="date", $A299="datetime", $A299="time")</formula>
    </cfRule>
  </conditionalFormatting>
  <conditionalFormatting sqref="B299:E309">
    <cfRule type="expression" dxfId="18" priority="2534" stopIfTrue="1">
      <formula>OR($A299="calculate", $A299="calculate_here")</formula>
    </cfRule>
  </conditionalFormatting>
  <conditionalFormatting sqref="B299:E309">
    <cfRule type="expression" dxfId="19" priority="2535" stopIfTrue="1">
      <formula>$A299="note"</formula>
    </cfRule>
  </conditionalFormatting>
  <conditionalFormatting sqref="B299:E309">
    <cfRule type="expression" dxfId="20" priority="2536" stopIfTrue="1">
      <formula>$A299="barcode"</formula>
    </cfRule>
  </conditionalFormatting>
  <conditionalFormatting sqref="B299:E309">
    <cfRule type="expression" dxfId="21" priority="2537" stopIfTrue="1">
      <formula>OR($A299="geopoint", $A299="geoshape", $A299="geotrace")</formula>
    </cfRule>
  </conditionalFormatting>
  <conditionalFormatting sqref="B299:E309">
    <cfRule type="expression" dxfId="22" priority="2538" stopIfTrue="1">
      <formula>OR($A299="audio audit", $A299="text audit", $A299="speed violations count", $A299="speed violations list", $A299="speed violations audit")</formula>
    </cfRule>
  </conditionalFormatting>
  <conditionalFormatting sqref="B299:E309">
    <cfRule type="expression" dxfId="23" priority="2539" stopIfTrue="1">
      <formula>OR($A299="username", $A299="phonenumber", $A299="start", $A299="end", $A299="deviceid", $A299="subscriberid", $A299="simserial", $A299="caseid")</formula>
    </cfRule>
  </conditionalFormatting>
  <conditionalFormatting sqref="B299:E309">
    <cfRule type="expression" dxfId="24" priority="2540" stopIfTrue="1">
      <formula>OR(AND(LEFT($A299, 16)="select_multiple ", LEN($A299)&gt;16, NOT(ISNUMBER(SEARCH(" ", $A299, 17)))), AND(LEFT($A299, 11)="select_one ", LEN($A299)&gt;11, NOT(ISNUMBER(SEARCH(" ", $A299, 12)))))</formula>
    </cfRule>
  </conditionalFormatting>
  <conditionalFormatting sqref="B299:E309">
    <cfRule type="expression" dxfId="25" priority="2541" stopIfTrue="1">
      <formula>$A299="decimal"</formula>
    </cfRule>
  </conditionalFormatting>
  <conditionalFormatting sqref="B299:E309">
    <cfRule type="expression" dxfId="26" priority="2542" stopIfTrue="1">
      <formula>$A299="integer"</formula>
    </cfRule>
  </conditionalFormatting>
  <conditionalFormatting sqref="B299:E309">
    <cfRule type="expression" dxfId="27" priority="2543" stopIfTrue="1">
      <formula>$A299="text"</formula>
    </cfRule>
  </conditionalFormatting>
  <conditionalFormatting sqref="B299:E309">
    <cfRule type="expression" dxfId="28" priority="2544" stopIfTrue="1">
      <formula>$A299="end repeat"</formula>
    </cfRule>
  </conditionalFormatting>
  <conditionalFormatting sqref="B299:E309">
    <cfRule type="expression" dxfId="28" priority="2545" stopIfTrue="1">
      <formula>$A299="begin repeat"</formula>
    </cfRule>
  </conditionalFormatting>
  <conditionalFormatting sqref="B299:E309">
    <cfRule type="expression" dxfId="29" priority="2546" stopIfTrue="1">
      <formula>$A299="end group"</formula>
    </cfRule>
  </conditionalFormatting>
  <conditionalFormatting sqref="B299:E309">
    <cfRule type="expression" dxfId="29" priority="2547" stopIfTrue="1">
      <formula>$A299="begin group"</formula>
    </cfRule>
  </conditionalFormatting>
  <conditionalFormatting sqref="B299:B309">
    <cfRule type="expression" dxfId="30" priority="2548" stopIfTrue="1">
      <formula>$A299="comments"</formula>
    </cfRule>
  </conditionalFormatting>
  <conditionalFormatting sqref="B299:B309">
    <cfRule type="expression" dxfId="36" priority="2549" stopIfTrue="1">
      <formula>OR(AND(LEFT($A299, 14)="sensor_stream ", LEN($A299)&gt;14, NOT(ISNUMBER(SEARCH(" ", $A299, 15)))), AND(LEFT($A299, 17)="sensor_statistic ", LEN($A299)&gt;17, NOT(ISNUMBER(SEARCH(" ", $A299, 18)))))</formula>
    </cfRule>
  </conditionalFormatting>
  <conditionalFormatting sqref="B293:C296 D293:E296">
    <cfRule type="expression" dxfId="0" priority="2550" stopIfTrue="1">
      <formula>$A293="begin group"</formula>
    </cfRule>
  </conditionalFormatting>
  <conditionalFormatting sqref="B293:C296 D293:E296">
    <cfRule type="expression" dxfId="1" priority="2551" stopIfTrue="1">
      <formula>$A293="begin repeat"</formula>
    </cfRule>
  </conditionalFormatting>
  <conditionalFormatting sqref="B293:E296">
    <cfRule type="expression" dxfId="31" priority="2552" stopIfTrue="1">
      <formula>$A293="enumerator"</formula>
    </cfRule>
  </conditionalFormatting>
  <conditionalFormatting sqref="B293:E296">
    <cfRule type="expression" dxfId="2" priority="2553" stopIfTrue="1">
      <formula>$A293="text"</formula>
    </cfRule>
  </conditionalFormatting>
  <conditionalFormatting sqref="B293:E296">
    <cfRule type="expression" dxfId="3" priority="2554" stopIfTrue="1">
      <formula>$A293="integer"</formula>
    </cfRule>
  </conditionalFormatting>
  <conditionalFormatting sqref="B293:E296">
    <cfRule type="expression" dxfId="4" priority="2555" stopIfTrue="1">
      <formula>$A293="decimal"</formula>
    </cfRule>
  </conditionalFormatting>
  <conditionalFormatting sqref="B293:C296 D293:E296">
    <cfRule type="expression" dxfId="5" priority="2556" stopIfTrue="1">
      <formula>OR(AND(LEFT($A293, 16)="select_multiple ", LEN($A293)&gt;16, NOT(ISNUMBER(SEARCH(" ", $A293, 17)))), AND(LEFT($A293, 11)="select_one ", LEN($A293)&gt;11, NOT(ISNUMBER(SEARCH(" ", $A293, 12)))))</formula>
    </cfRule>
  </conditionalFormatting>
  <conditionalFormatting sqref="B293:B296">
    <cfRule type="expression" dxfId="6" priority="2557" stopIfTrue="1">
      <formula>OR($A293="audio audit", $A293="text audit", $A293="speed violations count", $A293="speed violations list", $A293="speed violations audit")</formula>
    </cfRule>
  </conditionalFormatting>
  <conditionalFormatting sqref="B293:C296 D293:E296">
    <cfRule type="expression" dxfId="32" priority="2558" stopIfTrue="1">
      <formula>$A293="file"</formula>
    </cfRule>
  </conditionalFormatting>
  <conditionalFormatting sqref="B293:C296 D293:E296">
    <cfRule type="expression" dxfId="7" priority="2559" stopIfTrue="1">
      <formula>$A293="note"</formula>
    </cfRule>
  </conditionalFormatting>
  <conditionalFormatting sqref="B293:C296 D293:E296">
    <cfRule type="expression" dxfId="8" priority="2560" stopIfTrue="1">
      <formula>$A293="barcode"</formula>
    </cfRule>
  </conditionalFormatting>
  <conditionalFormatting sqref="B293:C296 D293:E296">
    <cfRule type="expression" dxfId="9" priority="2561" stopIfTrue="1">
      <formula>OR($A293="geopoint", $A293="geoshape", $A293="geotrace")</formula>
    </cfRule>
  </conditionalFormatting>
  <conditionalFormatting sqref="B293:B296">
    <cfRule type="expression" dxfId="10" priority="2562" stopIfTrue="1">
      <formula>OR($A293="calculate", $A293="calculate_here")</formula>
    </cfRule>
  </conditionalFormatting>
  <conditionalFormatting sqref="B293:C296 D293:E296">
    <cfRule type="expression" dxfId="11" priority="2563" stopIfTrue="1">
      <formula>OR($A293="date", $A293="datetime", $A293="time")</formula>
    </cfRule>
  </conditionalFormatting>
  <conditionalFormatting sqref="B293:C296 D293:E296">
    <cfRule type="expression" dxfId="12" priority="2564" stopIfTrue="1">
      <formula>$A293="image"</formula>
    </cfRule>
  </conditionalFormatting>
  <conditionalFormatting sqref="B293:C296 D293:E296">
    <cfRule type="expression" dxfId="13" priority="2565" stopIfTrue="1">
      <formula>OR($A293="audio", $A293="video")</formula>
    </cfRule>
  </conditionalFormatting>
  <conditionalFormatting sqref="B293:E296">
    <cfRule type="expression" dxfId="33" priority="2566" stopIfTrue="1">
      <formula>$A293="file"</formula>
    </cfRule>
  </conditionalFormatting>
  <conditionalFormatting sqref="B293:E296">
    <cfRule type="expression" dxfId="34" priority="2567" stopIfTrue="1">
      <formula>$A293="enumerator"</formula>
    </cfRule>
  </conditionalFormatting>
  <conditionalFormatting sqref="B293:E296">
    <cfRule type="expression" dxfId="35" priority="2568" stopIfTrue="1">
      <formula>OR(AND(LEFT($A293, 14)="sensor_stream ", LEN($A293)&gt;14, NOT(ISNUMBER(SEARCH(" ", $A293, 15)))), AND(LEFT($A293, 17)="sensor_statistic ", LEN($A293)&gt;17, NOT(ISNUMBER(SEARCH(" ", $A293, 18)))))</formula>
    </cfRule>
  </conditionalFormatting>
  <conditionalFormatting sqref="B293:E296">
    <cfRule type="expression" dxfId="14" priority="2569" stopIfTrue="1">
      <formula>$A293="comments"</formula>
    </cfRule>
  </conditionalFormatting>
  <conditionalFormatting sqref="B293:E296">
    <cfRule type="expression" dxfId="15" priority="2570" stopIfTrue="1">
      <formula>OR($A293="audio", $A293="video")</formula>
    </cfRule>
  </conditionalFormatting>
  <conditionalFormatting sqref="B293:E296">
    <cfRule type="expression" dxfId="16" priority="2571" stopIfTrue="1">
      <formula>$A293="image"</formula>
    </cfRule>
  </conditionalFormatting>
  <conditionalFormatting sqref="B293:E296">
    <cfRule type="expression" dxfId="17" priority="2572" stopIfTrue="1">
      <formula>OR($A293="date", $A293="datetime", $A293="time")</formula>
    </cfRule>
  </conditionalFormatting>
  <conditionalFormatting sqref="B293:E296">
    <cfRule type="expression" dxfId="18" priority="2573" stopIfTrue="1">
      <formula>OR($A293="calculate", $A293="calculate_here")</formula>
    </cfRule>
  </conditionalFormatting>
  <conditionalFormatting sqref="B293:E296">
    <cfRule type="expression" dxfId="19" priority="2574" stopIfTrue="1">
      <formula>$A293="note"</formula>
    </cfRule>
  </conditionalFormatting>
  <conditionalFormatting sqref="B293:E296">
    <cfRule type="expression" dxfId="20" priority="2575" stopIfTrue="1">
      <formula>$A293="barcode"</formula>
    </cfRule>
  </conditionalFormatting>
  <conditionalFormatting sqref="B293:E296">
    <cfRule type="expression" dxfId="21" priority="2576" stopIfTrue="1">
      <formula>OR($A293="geopoint", $A293="geoshape", $A293="geotrace")</formula>
    </cfRule>
  </conditionalFormatting>
  <conditionalFormatting sqref="B293:E296">
    <cfRule type="expression" dxfId="22" priority="2577" stopIfTrue="1">
      <formula>OR($A293="audio audit", $A293="text audit", $A293="speed violations count", $A293="speed violations list", $A293="speed violations audit")</formula>
    </cfRule>
  </conditionalFormatting>
  <conditionalFormatting sqref="B293:E296">
    <cfRule type="expression" dxfId="23" priority="2578" stopIfTrue="1">
      <formula>OR($A293="username", $A293="phonenumber", $A293="start", $A293="end", $A293="deviceid", $A293="subscriberid", $A293="simserial", $A293="caseid")</formula>
    </cfRule>
  </conditionalFormatting>
  <conditionalFormatting sqref="B293:E296">
    <cfRule type="expression" dxfId="24" priority="2579" stopIfTrue="1">
      <formula>OR(AND(LEFT($A293, 16)="select_multiple ", LEN($A293)&gt;16, NOT(ISNUMBER(SEARCH(" ", $A293, 17)))), AND(LEFT($A293, 11)="select_one ", LEN($A293)&gt;11, NOT(ISNUMBER(SEARCH(" ", $A293, 12)))))</formula>
    </cfRule>
  </conditionalFormatting>
  <conditionalFormatting sqref="B293:E296">
    <cfRule type="expression" dxfId="25" priority="2580" stopIfTrue="1">
      <formula>$A293="decimal"</formula>
    </cfRule>
  </conditionalFormatting>
  <conditionalFormatting sqref="B293:E296">
    <cfRule type="expression" dxfId="26" priority="2581" stopIfTrue="1">
      <formula>$A293="integer"</formula>
    </cfRule>
  </conditionalFormatting>
  <conditionalFormatting sqref="B293:E296">
    <cfRule type="expression" dxfId="27" priority="2582" stopIfTrue="1">
      <formula>$A293="text"</formula>
    </cfRule>
  </conditionalFormatting>
  <conditionalFormatting sqref="B293:E296">
    <cfRule type="expression" dxfId="28" priority="2583" stopIfTrue="1">
      <formula>$A293="end repeat"</formula>
    </cfRule>
  </conditionalFormatting>
  <conditionalFormatting sqref="B293:E296">
    <cfRule type="expression" dxfId="28" priority="2584" stopIfTrue="1">
      <formula>$A293="begin repeat"</formula>
    </cfRule>
  </conditionalFormatting>
  <conditionalFormatting sqref="B293:E296">
    <cfRule type="expression" dxfId="29" priority="2585" stopIfTrue="1">
      <formula>$A293="end group"</formula>
    </cfRule>
  </conditionalFormatting>
  <conditionalFormatting sqref="B293:E296">
    <cfRule type="expression" dxfId="29" priority="2586" stopIfTrue="1">
      <formula>$A293="begin group"</formula>
    </cfRule>
  </conditionalFormatting>
  <conditionalFormatting sqref="B293:B296">
    <cfRule type="expression" dxfId="30" priority="2587" stopIfTrue="1">
      <formula>$A293="comments"</formula>
    </cfRule>
  </conditionalFormatting>
  <conditionalFormatting sqref="B293:B296">
    <cfRule type="expression" dxfId="36" priority="2588" stopIfTrue="1">
      <formula>OR(AND(LEFT($A293, 14)="sensor_stream ", LEN($A293)&gt;14, NOT(ISNUMBER(SEARCH(" ", $A293, 15)))), AND(LEFT($A293, 17)="sensor_statistic ", LEN($A293)&gt;17, NOT(ISNUMBER(SEARCH(" ", $A293, 18)))))</formula>
    </cfRule>
  </conditionalFormatting>
  <conditionalFormatting sqref="B287:C290 D287:E290">
    <cfRule type="expression" dxfId="0" priority="2589" stopIfTrue="1">
      <formula>$A287="begin group"</formula>
    </cfRule>
  </conditionalFormatting>
  <conditionalFormatting sqref="B287:C290 D287:E290">
    <cfRule type="expression" dxfId="1" priority="2590" stopIfTrue="1">
      <formula>$A287="begin repeat"</formula>
    </cfRule>
  </conditionalFormatting>
  <conditionalFormatting sqref="B287:E290">
    <cfRule type="expression" dxfId="31" priority="2591" stopIfTrue="1">
      <formula>$A287="enumerator"</formula>
    </cfRule>
  </conditionalFormatting>
  <conditionalFormatting sqref="B287:E290">
    <cfRule type="expression" dxfId="2" priority="2592" stopIfTrue="1">
      <formula>$A287="text"</formula>
    </cfRule>
  </conditionalFormatting>
  <conditionalFormatting sqref="B287:E290">
    <cfRule type="expression" dxfId="3" priority="2593" stopIfTrue="1">
      <formula>$A287="integer"</formula>
    </cfRule>
  </conditionalFormatting>
  <conditionalFormatting sqref="B287:E290">
    <cfRule type="expression" dxfId="4" priority="2594" stopIfTrue="1">
      <formula>$A287="decimal"</formula>
    </cfRule>
  </conditionalFormatting>
  <conditionalFormatting sqref="B287:C290 D287:E290">
    <cfRule type="expression" dxfId="5" priority="2595" stopIfTrue="1">
      <formula>OR(AND(LEFT($A287, 16)="select_multiple ", LEN($A287)&gt;16, NOT(ISNUMBER(SEARCH(" ", $A287, 17)))), AND(LEFT($A287, 11)="select_one ", LEN($A287)&gt;11, NOT(ISNUMBER(SEARCH(" ", $A287, 12)))))</formula>
    </cfRule>
  </conditionalFormatting>
  <conditionalFormatting sqref="B287:B290">
    <cfRule type="expression" dxfId="6" priority="2596" stopIfTrue="1">
      <formula>OR($A287="audio audit", $A287="text audit", $A287="speed violations count", $A287="speed violations list", $A287="speed violations audit")</formula>
    </cfRule>
  </conditionalFormatting>
  <conditionalFormatting sqref="B287:C290 D287:E290">
    <cfRule type="expression" dxfId="32" priority="2597" stopIfTrue="1">
      <formula>$A287="file"</formula>
    </cfRule>
  </conditionalFormatting>
  <conditionalFormatting sqref="B287:C290 D287:E290">
    <cfRule type="expression" dxfId="7" priority="2598" stopIfTrue="1">
      <formula>$A287="note"</formula>
    </cfRule>
  </conditionalFormatting>
  <conditionalFormatting sqref="B287:C290 D287:E290">
    <cfRule type="expression" dxfId="8" priority="2599" stopIfTrue="1">
      <formula>$A287="barcode"</formula>
    </cfRule>
  </conditionalFormatting>
  <conditionalFormatting sqref="B287:C290 D287:E290">
    <cfRule type="expression" dxfId="9" priority="2600" stopIfTrue="1">
      <formula>OR($A287="geopoint", $A287="geoshape", $A287="geotrace")</formula>
    </cfRule>
  </conditionalFormatting>
  <conditionalFormatting sqref="B287:B290">
    <cfRule type="expression" dxfId="10" priority="2601" stopIfTrue="1">
      <formula>OR($A287="calculate", $A287="calculate_here")</formula>
    </cfRule>
  </conditionalFormatting>
  <conditionalFormatting sqref="B287:C290 D287:E290">
    <cfRule type="expression" dxfId="11" priority="2602" stopIfTrue="1">
      <formula>OR($A287="date", $A287="datetime", $A287="time")</formula>
    </cfRule>
  </conditionalFormatting>
  <conditionalFormatting sqref="B287:C290 D287:E290">
    <cfRule type="expression" dxfId="12" priority="2603" stopIfTrue="1">
      <formula>$A287="image"</formula>
    </cfRule>
  </conditionalFormatting>
  <conditionalFormatting sqref="B287:C290 D287:E290">
    <cfRule type="expression" dxfId="13" priority="2604" stopIfTrue="1">
      <formula>OR($A287="audio", $A287="video")</formula>
    </cfRule>
  </conditionalFormatting>
  <conditionalFormatting sqref="B287:E290">
    <cfRule type="expression" dxfId="33" priority="2605" stopIfTrue="1">
      <formula>$A287="file"</formula>
    </cfRule>
  </conditionalFormatting>
  <conditionalFormatting sqref="B287:E290">
    <cfRule type="expression" dxfId="34" priority="2606" stopIfTrue="1">
      <formula>$A287="enumerator"</formula>
    </cfRule>
  </conditionalFormatting>
  <conditionalFormatting sqref="B287:E290">
    <cfRule type="expression" dxfId="35" priority="2607" stopIfTrue="1">
      <formula>OR(AND(LEFT($A287, 14)="sensor_stream ", LEN($A287)&gt;14, NOT(ISNUMBER(SEARCH(" ", $A287, 15)))), AND(LEFT($A287, 17)="sensor_statistic ", LEN($A287)&gt;17, NOT(ISNUMBER(SEARCH(" ", $A287, 18)))))</formula>
    </cfRule>
  </conditionalFormatting>
  <conditionalFormatting sqref="B287:E290">
    <cfRule type="expression" dxfId="14" priority="2608" stopIfTrue="1">
      <formula>$A287="comments"</formula>
    </cfRule>
  </conditionalFormatting>
  <conditionalFormatting sqref="B287:E290">
    <cfRule type="expression" dxfId="15" priority="2609" stopIfTrue="1">
      <formula>OR($A287="audio", $A287="video")</formula>
    </cfRule>
  </conditionalFormatting>
  <conditionalFormatting sqref="B287:E290">
    <cfRule type="expression" dxfId="16" priority="2610" stopIfTrue="1">
      <formula>$A287="image"</formula>
    </cfRule>
  </conditionalFormatting>
  <conditionalFormatting sqref="B287:E290">
    <cfRule type="expression" dxfId="17" priority="2611" stopIfTrue="1">
      <formula>OR($A287="date", $A287="datetime", $A287="time")</formula>
    </cfRule>
  </conditionalFormatting>
  <conditionalFormatting sqref="B287:E290">
    <cfRule type="expression" dxfId="18" priority="2612" stopIfTrue="1">
      <formula>OR($A287="calculate", $A287="calculate_here")</formula>
    </cfRule>
  </conditionalFormatting>
  <conditionalFormatting sqref="B287:E290">
    <cfRule type="expression" dxfId="19" priority="2613" stopIfTrue="1">
      <formula>$A287="note"</formula>
    </cfRule>
  </conditionalFormatting>
  <conditionalFormatting sqref="B287:E290">
    <cfRule type="expression" dxfId="20" priority="2614" stopIfTrue="1">
      <formula>$A287="barcode"</formula>
    </cfRule>
  </conditionalFormatting>
  <conditionalFormatting sqref="B287:E290">
    <cfRule type="expression" dxfId="21" priority="2615" stopIfTrue="1">
      <formula>OR($A287="geopoint", $A287="geoshape", $A287="geotrace")</formula>
    </cfRule>
  </conditionalFormatting>
  <conditionalFormatting sqref="B287:E290">
    <cfRule type="expression" dxfId="22" priority="2616" stopIfTrue="1">
      <formula>OR($A287="audio audit", $A287="text audit", $A287="speed violations count", $A287="speed violations list", $A287="speed violations audit")</formula>
    </cfRule>
  </conditionalFormatting>
  <conditionalFormatting sqref="B287:E290">
    <cfRule type="expression" dxfId="23" priority="2617" stopIfTrue="1">
      <formula>OR($A287="username", $A287="phonenumber", $A287="start", $A287="end", $A287="deviceid", $A287="subscriberid", $A287="simserial", $A287="caseid")</formula>
    </cfRule>
  </conditionalFormatting>
  <conditionalFormatting sqref="B287:E290">
    <cfRule type="expression" dxfId="24" priority="2618" stopIfTrue="1">
      <formula>OR(AND(LEFT($A287, 16)="select_multiple ", LEN($A287)&gt;16, NOT(ISNUMBER(SEARCH(" ", $A287, 17)))), AND(LEFT($A287, 11)="select_one ", LEN($A287)&gt;11, NOT(ISNUMBER(SEARCH(" ", $A287, 12)))))</formula>
    </cfRule>
  </conditionalFormatting>
  <conditionalFormatting sqref="B287:E290">
    <cfRule type="expression" dxfId="25" priority="2619" stopIfTrue="1">
      <formula>$A287="decimal"</formula>
    </cfRule>
  </conditionalFormatting>
  <conditionalFormatting sqref="B287:E290">
    <cfRule type="expression" dxfId="26" priority="2620" stopIfTrue="1">
      <formula>$A287="integer"</formula>
    </cfRule>
  </conditionalFormatting>
  <conditionalFormatting sqref="B287:E290">
    <cfRule type="expression" dxfId="27" priority="2621" stopIfTrue="1">
      <formula>$A287="text"</formula>
    </cfRule>
  </conditionalFormatting>
  <conditionalFormatting sqref="B287:E290">
    <cfRule type="expression" dxfId="28" priority="2622" stopIfTrue="1">
      <formula>$A287="end repeat"</formula>
    </cfRule>
  </conditionalFormatting>
  <conditionalFormatting sqref="B287:E290">
    <cfRule type="expression" dxfId="28" priority="2623" stopIfTrue="1">
      <formula>$A287="begin repeat"</formula>
    </cfRule>
  </conditionalFormatting>
  <conditionalFormatting sqref="B287:E290">
    <cfRule type="expression" dxfId="29" priority="2624" stopIfTrue="1">
      <formula>$A287="end group"</formula>
    </cfRule>
  </conditionalFormatting>
  <conditionalFormatting sqref="B287:E290">
    <cfRule type="expression" dxfId="29" priority="2625" stopIfTrue="1">
      <formula>$A287="begin group"</formula>
    </cfRule>
  </conditionalFormatting>
  <conditionalFormatting sqref="B287:B290">
    <cfRule type="expression" dxfId="30" priority="2626" stopIfTrue="1">
      <formula>$A287="comments"</formula>
    </cfRule>
  </conditionalFormatting>
  <conditionalFormatting sqref="B287:B290">
    <cfRule type="expression" dxfId="36" priority="2627" stopIfTrue="1">
      <formula>OR(AND(LEFT($A287, 14)="sensor_stream ", LEN($A287)&gt;14, NOT(ISNUMBER(SEARCH(" ", $A287, 15)))), AND(LEFT($A287, 17)="sensor_statistic ", LEN($A287)&gt;17, NOT(ISNUMBER(SEARCH(" ", $A287, 18)))))</formula>
    </cfRule>
  </conditionalFormatting>
  <conditionalFormatting sqref="B279:C281 D279:E281">
    <cfRule type="expression" dxfId="0" priority="2628" stopIfTrue="1">
      <formula>$A279="begin group"</formula>
    </cfRule>
  </conditionalFormatting>
  <conditionalFormatting sqref="B279:C281 D279:E281">
    <cfRule type="expression" dxfId="1" priority="2629" stopIfTrue="1">
      <formula>$A279="begin repeat"</formula>
    </cfRule>
  </conditionalFormatting>
  <conditionalFormatting sqref="B279:E281">
    <cfRule type="expression" dxfId="31" priority="2630" stopIfTrue="1">
      <formula>$A279="enumerator"</formula>
    </cfRule>
  </conditionalFormatting>
  <conditionalFormatting sqref="B279:E281">
    <cfRule type="expression" dxfId="2" priority="2631" stopIfTrue="1">
      <formula>$A279="text"</formula>
    </cfRule>
  </conditionalFormatting>
  <conditionalFormatting sqref="B279:E281">
    <cfRule type="expression" dxfId="3" priority="2632" stopIfTrue="1">
      <formula>$A279="integer"</formula>
    </cfRule>
  </conditionalFormatting>
  <conditionalFormatting sqref="B279:E281">
    <cfRule type="expression" dxfId="4" priority="2633" stopIfTrue="1">
      <formula>$A279="decimal"</formula>
    </cfRule>
  </conditionalFormatting>
  <conditionalFormatting sqref="B279:C281 D279:E281">
    <cfRule type="expression" dxfId="5" priority="2634" stopIfTrue="1">
      <formula>OR(AND(LEFT($A279, 16)="select_multiple ", LEN($A279)&gt;16, NOT(ISNUMBER(SEARCH(" ", $A279, 17)))), AND(LEFT($A279, 11)="select_one ", LEN($A279)&gt;11, NOT(ISNUMBER(SEARCH(" ", $A279, 12)))))</formula>
    </cfRule>
  </conditionalFormatting>
  <conditionalFormatting sqref="B279:B281">
    <cfRule type="expression" dxfId="6" priority="2635" stopIfTrue="1">
      <formula>OR($A279="audio audit", $A279="text audit", $A279="speed violations count", $A279="speed violations list", $A279="speed violations audit")</formula>
    </cfRule>
  </conditionalFormatting>
  <conditionalFormatting sqref="B279:C281 D279:E281">
    <cfRule type="expression" dxfId="32" priority="2636" stopIfTrue="1">
      <formula>$A279="file"</formula>
    </cfRule>
  </conditionalFormatting>
  <conditionalFormatting sqref="B279:C281 D279:E281">
    <cfRule type="expression" dxfId="7" priority="2637" stopIfTrue="1">
      <formula>$A279="note"</formula>
    </cfRule>
  </conditionalFormatting>
  <conditionalFormatting sqref="B279:C281 D279:E281">
    <cfRule type="expression" dxfId="8" priority="2638" stopIfTrue="1">
      <formula>$A279="barcode"</formula>
    </cfRule>
  </conditionalFormatting>
  <conditionalFormatting sqref="B279:C281 D279:E281">
    <cfRule type="expression" dxfId="9" priority="2639" stopIfTrue="1">
      <formula>OR($A279="geopoint", $A279="geoshape", $A279="geotrace")</formula>
    </cfRule>
  </conditionalFormatting>
  <conditionalFormatting sqref="B279:B281">
    <cfRule type="expression" dxfId="10" priority="2640" stopIfTrue="1">
      <formula>OR($A279="calculate", $A279="calculate_here")</formula>
    </cfRule>
  </conditionalFormatting>
  <conditionalFormatting sqref="B279:C281 D279:E281">
    <cfRule type="expression" dxfId="11" priority="2641" stopIfTrue="1">
      <formula>OR($A279="date", $A279="datetime", $A279="time")</formula>
    </cfRule>
  </conditionalFormatting>
  <conditionalFormatting sqref="B279:C281 D279:E281">
    <cfRule type="expression" dxfId="12" priority="2642" stopIfTrue="1">
      <formula>$A279="image"</formula>
    </cfRule>
  </conditionalFormatting>
  <conditionalFormatting sqref="B279:C281 D279:E281">
    <cfRule type="expression" dxfId="13" priority="2643" stopIfTrue="1">
      <formula>OR($A279="audio", $A279="video")</formula>
    </cfRule>
  </conditionalFormatting>
  <conditionalFormatting sqref="B279:E281">
    <cfRule type="expression" dxfId="33" priority="2644" stopIfTrue="1">
      <formula>$A279="file"</formula>
    </cfRule>
  </conditionalFormatting>
  <conditionalFormatting sqref="B279:E281">
    <cfRule type="expression" dxfId="34" priority="2645" stopIfTrue="1">
      <formula>$A279="enumerator"</formula>
    </cfRule>
  </conditionalFormatting>
  <conditionalFormatting sqref="B279:E281">
    <cfRule type="expression" dxfId="35" priority="2646" stopIfTrue="1">
      <formula>OR(AND(LEFT($A279, 14)="sensor_stream ", LEN($A279)&gt;14, NOT(ISNUMBER(SEARCH(" ", $A279, 15)))), AND(LEFT($A279, 17)="sensor_statistic ", LEN($A279)&gt;17, NOT(ISNUMBER(SEARCH(" ", $A279, 18)))))</formula>
    </cfRule>
  </conditionalFormatting>
  <conditionalFormatting sqref="B279:E281">
    <cfRule type="expression" dxfId="14" priority="2647" stopIfTrue="1">
      <formula>$A279="comments"</formula>
    </cfRule>
  </conditionalFormatting>
  <conditionalFormatting sqref="B279:E281">
    <cfRule type="expression" dxfId="15" priority="2648" stopIfTrue="1">
      <formula>OR($A279="audio", $A279="video")</formula>
    </cfRule>
  </conditionalFormatting>
  <conditionalFormatting sqref="B279:E281">
    <cfRule type="expression" dxfId="16" priority="2649" stopIfTrue="1">
      <formula>$A279="image"</formula>
    </cfRule>
  </conditionalFormatting>
  <conditionalFormatting sqref="B279:E281">
    <cfRule type="expression" dxfId="17" priority="2650" stopIfTrue="1">
      <formula>OR($A279="date", $A279="datetime", $A279="time")</formula>
    </cfRule>
  </conditionalFormatting>
  <conditionalFormatting sqref="B279:E281">
    <cfRule type="expression" dxfId="18" priority="2651" stopIfTrue="1">
      <formula>OR($A279="calculate", $A279="calculate_here")</formula>
    </cfRule>
  </conditionalFormatting>
  <conditionalFormatting sqref="B279:E281">
    <cfRule type="expression" dxfId="19" priority="2652" stopIfTrue="1">
      <formula>$A279="note"</formula>
    </cfRule>
  </conditionalFormatting>
  <conditionalFormatting sqref="B279:E281">
    <cfRule type="expression" dxfId="20" priority="2653" stopIfTrue="1">
      <formula>$A279="barcode"</formula>
    </cfRule>
  </conditionalFormatting>
  <conditionalFormatting sqref="B279:E281">
    <cfRule type="expression" dxfId="21" priority="2654" stopIfTrue="1">
      <formula>OR($A279="geopoint", $A279="geoshape", $A279="geotrace")</formula>
    </cfRule>
  </conditionalFormatting>
  <conditionalFormatting sqref="B279:E281">
    <cfRule type="expression" dxfId="22" priority="2655" stopIfTrue="1">
      <formula>OR($A279="audio audit", $A279="text audit", $A279="speed violations count", $A279="speed violations list", $A279="speed violations audit")</formula>
    </cfRule>
  </conditionalFormatting>
  <conditionalFormatting sqref="B279:E281">
    <cfRule type="expression" dxfId="23" priority="2656" stopIfTrue="1">
      <formula>OR($A279="username", $A279="phonenumber", $A279="start", $A279="end", $A279="deviceid", $A279="subscriberid", $A279="simserial", $A279="caseid")</formula>
    </cfRule>
  </conditionalFormatting>
  <conditionalFormatting sqref="B279:E281">
    <cfRule type="expression" dxfId="24" priority="2657" stopIfTrue="1">
      <formula>OR(AND(LEFT($A279, 16)="select_multiple ", LEN($A279)&gt;16, NOT(ISNUMBER(SEARCH(" ", $A279, 17)))), AND(LEFT($A279, 11)="select_one ", LEN($A279)&gt;11, NOT(ISNUMBER(SEARCH(" ", $A279, 12)))))</formula>
    </cfRule>
  </conditionalFormatting>
  <conditionalFormatting sqref="B279:E281">
    <cfRule type="expression" dxfId="25" priority="2658" stopIfTrue="1">
      <formula>$A279="decimal"</formula>
    </cfRule>
  </conditionalFormatting>
  <conditionalFormatting sqref="B279:E281">
    <cfRule type="expression" dxfId="26" priority="2659" stopIfTrue="1">
      <formula>$A279="integer"</formula>
    </cfRule>
  </conditionalFormatting>
  <conditionalFormatting sqref="B279:E281">
    <cfRule type="expression" dxfId="27" priority="2660" stopIfTrue="1">
      <formula>$A279="text"</formula>
    </cfRule>
  </conditionalFormatting>
  <conditionalFormatting sqref="B279:E281">
    <cfRule type="expression" dxfId="28" priority="2661" stopIfTrue="1">
      <formula>$A279="end repeat"</formula>
    </cfRule>
  </conditionalFormatting>
  <conditionalFormatting sqref="B279:E281">
    <cfRule type="expression" dxfId="28" priority="2662" stopIfTrue="1">
      <formula>$A279="begin repeat"</formula>
    </cfRule>
  </conditionalFormatting>
  <conditionalFormatting sqref="B279:E281">
    <cfRule type="expression" dxfId="29" priority="2663" stopIfTrue="1">
      <formula>$A279="end group"</formula>
    </cfRule>
  </conditionalFormatting>
  <conditionalFormatting sqref="B279:E281">
    <cfRule type="expression" dxfId="29" priority="2664" stopIfTrue="1">
      <formula>$A279="begin group"</formula>
    </cfRule>
  </conditionalFormatting>
  <conditionalFormatting sqref="B279:B281">
    <cfRule type="expression" dxfId="30" priority="2665" stopIfTrue="1">
      <formula>$A279="comments"</formula>
    </cfRule>
  </conditionalFormatting>
  <conditionalFormatting sqref="B279:B281">
    <cfRule type="expression" dxfId="36" priority="2666" stopIfTrue="1">
      <formula>OR(AND(LEFT($A279, 14)="sensor_stream ", LEN($A279)&gt;14, NOT(ISNUMBER(SEARCH(" ", $A279, 15)))), AND(LEFT($A279, 17)="sensor_statistic ", LEN($A279)&gt;17, NOT(ISNUMBER(SEARCH(" ", $A279, 18)))))</formula>
    </cfRule>
  </conditionalFormatting>
  <conditionalFormatting sqref="B273:C274 D273:E274">
    <cfRule type="expression" dxfId="0" priority="2667" stopIfTrue="1">
      <formula>$A273="begin group"</formula>
    </cfRule>
  </conditionalFormatting>
  <conditionalFormatting sqref="B273:C274 D273:E274">
    <cfRule type="expression" dxfId="1" priority="2668" stopIfTrue="1">
      <formula>$A273="begin repeat"</formula>
    </cfRule>
  </conditionalFormatting>
  <conditionalFormatting sqref="B273:E274">
    <cfRule type="expression" dxfId="31" priority="2669" stopIfTrue="1">
      <formula>$A273="enumerator"</formula>
    </cfRule>
  </conditionalFormatting>
  <conditionalFormatting sqref="B273:E274">
    <cfRule type="expression" dxfId="2" priority="2670" stopIfTrue="1">
      <formula>$A273="text"</formula>
    </cfRule>
  </conditionalFormatting>
  <conditionalFormatting sqref="B273:E274">
    <cfRule type="expression" dxfId="3" priority="2671" stopIfTrue="1">
      <formula>$A273="integer"</formula>
    </cfRule>
  </conditionalFormatting>
  <conditionalFormatting sqref="B273:E274">
    <cfRule type="expression" dxfId="4" priority="2672" stopIfTrue="1">
      <formula>$A273="decimal"</formula>
    </cfRule>
  </conditionalFormatting>
  <conditionalFormatting sqref="B273:C274 D273:E274">
    <cfRule type="expression" dxfId="5" priority="2673" stopIfTrue="1">
      <formula>OR(AND(LEFT($A273, 16)="select_multiple ", LEN($A273)&gt;16, NOT(ISNUMBER(SEARCH(" ", $A273, 17)))), AND(LEFT($A273, 11)="select_one ", LEN($A273)&gt;11, NOT(ISNUMBER(SEARCH(" ", $A273, 12)))))</formula>
    </cfRule>
  </conditionalFormatting>
  <conditionalFormatting sqref="B273:B274">
    <cfRule type="expression" dxfId="6" priority="2674" stopIfTrue="1">
      <formula>OR($A273="audio audit", $A273="text audit", $A273="speed violations count", $A273="speed violations list", $A273="speed violations audit")</formula>
    </cfRule>
  </conditionalFormatting>
  <conditionalFormatting sqref="B273:C274 D273:E274">
    <cfRule type="expression" dxfId="32" priority="2675" stopIfTrue="1">
      <formula>$A273="file"</formula>
    </cfRule>
  </conditionalFormatting>
  <conditionalFormatting sqref="B273:C274 D273:E274">
    <cfRule type="expression" dxfId="7" priority="2676" stopIfTrue="1">
      <formula>$A273="note"</formula>
    </cfRule>
  </conditionalFormatting>
  <conditionalFormatting sqref="B273:C274 D273:E274">
    <cfRule type="expression" dxfId="8" priority="2677" stopIfTrue="1">
      <formula>$A273="barcode"</formula>
    </cfRule>
  </conditionalFormatting>
  <conditionalFormatting sqref="B273:C274 D273:E274">
    <cfRule type="expression" dxfId="9" priority="2678" stopIfTrue="1">
      <formula>OR($A273="geopoint", $A273="geoshape", $A273="geotrace")</formula>
    </cfRule>
  </conditionalFormatting>
  <conditionalFormatting sqref="B273:B274">
    <cfRule type="expression" dxfId="10" priority="2679" stopIfTrue="1">
      <formula>OR($A273="calculate", $A273="calculate_here")</formula>
    </cfRule>
  </conditionalFormatting>
  <conditionalFormatting sqref="B273:C274 D273:E274">
    <cfRule type="expression" dxfId="11" priority="2680" stopIfTrue="1">
      <formula>OR($A273="date", $A273="datetime", $A273="time")</formula>
    </cfRule>
  </conditionalFormatting>
  <conditionalFormatting sqref="B273:C274 D273:E274">
    <cfRule type="expression" dxfId="12" priority="2681" stopIfTrue="1">
      <formula>$A273="image"</formula>
    </cfRule>
  </conditionalFormatting>
  <conditionalFormatting sqref="B273:C274 D273:E274">
    <cfRule type="expression" dxfId="13" priority="2682" stopIfTrue="1">
      <formula>OR($A273="audio", $A273="video")</formula>
    </cfRule>
  </conditionalFormatting>
  <conditionalFormatting sqref="B273:E274">
    <cfRule type="expression" dxfId="33" priority="2683" stopIfTrue="1">
      <formula>$A273="file"</formula>
    </cfRule>
  </conditionalFormatting>
  <conditionalFormatting sqref="B273:E274">
    <cfRule type="expression" dxfId="34" priority="2684" stopIfTrue="1">
      <formula>$A273="enumerator"</formula>
    </cfRule>
  </conditionalFormatting>
  <conditionalFormatting sqref="B273:E274">
    <cfRule type="expression" dxfId="35" priority="2685" stopIfTrue="1">
      <formula>OR(AND(LEFT($A273, 14)="sensor_stream ", LEN($A273)&gt;14, NOT(ISNUMBER(SEARCH(" ", $A273, 15)))), AND(LEFT($A273, 17)="sensor_statistic ", LEN($A273)&gt;17, NOT(ISNUMBER(SEARCH(" ", $A273, 18)))))</formula>
    </cfRule>
  </conditionalFormatting>
  <conditionalFormatting sqref="B273:E274">
    <cfRule type="expression" dxfId="14" priority="2686" stopIfTrue="1">
      <formula>$A273="comments"</formula>
    </cfRule>
  </conditionalFormatting>
  <conditionalFormatting sqref="B273:E274">
    <cfRule type="expression" dxfId="15" priority="2687" stopIfTrue="1">
      <formula>OR($A273="audio", $A273="video")</formula>
    </cfRule>
  </conditionalFormatting>
  <conditionalFormatting sqref="B273:E274">
    <cfRule type="expression" dxfId="16" priority="2688" stopIfTrue="1">
      <formula>$A273="image"</formula>
    </cfRule>
  </conditionalFormatting>
  <conditionalFormatting sqref="B273:E274">
    <cfRule type="expression" dxfId="17" priority="2689" stopIfTrue="1">
      <formula>OR($A273="date", $A273="datetime", $A273="time")</formula>
    </cfRule>
  </conditionalFormatting>
  <conditionalFormatting sqref="B273:E274">
    <cfRule type="expression" dxfId="18" priority="2690" stopIfTrue="1">
      <formula>OR($A273="calculate", $A273="calculate_here")</formula>
    </cfRule>
  </conditionalFormatting>
  <conditionalFormatting sqref="B273:E274">
    <cfRule type="expression" dxfId="19" priority="2691" stopIfTrue="1">
      <formula>$A273="note"</formula>
    </cfRule>
  </conditionalFormatting>
  <conditionalFormatting sqref="B273:E274">
    <cfRule type="expression" dxfId="20" priority="2692" stopIfTrue="1">
      <formula>$A273="barcode"</formula>
    </cfRule>
  </conditionalFormatting>
  <conditionalFormatting sqref="B273:E274">
    <cfRule type="expression" dxfId="21" priority="2693" stopIfTrue="1">
      <formula>OR($A273="geopoint", $A273="geoshape", $A273="geotrace")</formula>
    </cfRule>
  </conditionalFormatting>
  <conditionalFormatting sqref="B273:E274">
    <cfRule type="expression" dxfId="22" priority="2694" stopIfTrue="1">
      <formula>OR($A273="audio audit", $A273="text audit", $A273="speed violations count", $A273="speed violations list", $A273="speed violations audit")</formula>
    </cfRule>
  </conditionalFormatting>
  <conditionalFormatting sqref="B273:E274">
    <cfRule type="expression" dxfId="23" priority="2695" stopIfTrue="1">
      <formula>OR($A273="username", $A273="phonenumber", $A273="start", $A273="end", $A273="deviceid", $A273="subscriberid", $A273="simserial", $A273="caseid")</formula>
    </cfRule>
  </conditionalFormatting>
  <conditionalFormatting sqref="B273:E274">
    <cfRule type="expression" dxfId="24" priority="2696" stopIfTrue="1">
      <formula>OR(AND(LEFT($A273, 16)="select_multiple ", LEN($A273)&gt;16, NOT(ISNUMBER(SEARCH(" ", $A273, 17)))), AND(LEFT($A273, 11)="select_one ", LEN($A273)&gt;11, NOT(ISNUMBER(SEARCH(" ", $A273, 12)))))</formula>
    </cfRule>
  </conditionalFormatting>
  <conditionalFormatting sqref="B273:E274">
    <cfRule type="expression" dxfId="25" priority="2697" stopIfTrue="1">
      <formula>$A273="decimal"</formula>
    </cfRule>
  </conditionalFormatting>
  <conditionalFormatting sqref="B273:E274">
    <cfRule type="expression" dxfId="26" priority="2698" stopIfTrue="1">
      <formula>$A273="integer"</formula>
    </cfRule>
  </conditionalFormatting>
  <conditionalFormatting sqref="B273:E274">
    <cfRule type="expression" dxfId="27" priority="2699" stopIfTrue="1">
      <formula>$A273="text"</formula>
    </cfRule>
  </conditionalFormatting>
  <conditionalFormatting sqref="B273:E274">
    <cfRule type="expression" dxfId="28" priority="2700" stopIfTrue="1">
      <formula>$A273="end repeat"</formula>
    </cfRule>
  </conditionalFormatting>
  <conditionalFormatting sqref="B273:E274">
    <cfRule type="expression" dxfId="28" priority="2701" stopIfTrue="1">
      <formula>$A273="begin repeat"</formula>
    </cfRule>
  </conditionalFormatting>
  <conditionalFormatting sqref="B273:E274">
    <cfRule type="expression" dxfId="29" priority="2702" stopIfTrue="1">
      <formula>$A273="end group"</formula>
    </cfRule>
  </conditionalFormatting>
  <conditionalFormatting sqref="B273:E274">
    <cfRule type="expression" dxfId="29" priority="2703" stopIfTrue="1">
      <formula>$A273="begin group"</formula>
    </cfRule>
  </conditionalFormatting>
  <conditionalFormatting sqref="B273:B274">
    <cfRule type="expression" dxfId="30" priority="2704" stopIfTrue="1">
      <formula>$A273="comments"</formula>
    </cfRule>
  </conditionalFormatting>
  <conditionalFormatting sqref="B273:B274">
    <cfRule type="expression" dxfId="36" priority="2705" stopIfTrue="1">
      <formula>OR(AND(LEFT($A273, 14)="sensor_stream ", LEN($A273)&gt;14, NOT(ISNUMBER(SEARCH(" ", $A273, 15)))), AND(LEFT($A273, 17)="sensor_statistic ", LEN($A273)&gt;17, NOT(ISNUMBER(SEARCH(" ", $A273, 18)))))</formula>
    </cfRule>
  </conditionalFormatting>
  <conditionalFormatting sqref="B267:C271 D267:E271">
    <cfRule type="expression" dxfId="0" priority="2706" stopIfTrue="1">
      <formula>$A267="begin group"</formula>
    </cfRule>
  </conditionalFormatting>
  <conditionalFormatting sqref="B267:C271 D267:E271">
    <cfRule type="expression" dxfId="1" priority="2707" stopIfTrue="1">
      <formula>$A267="begin repeat"</formula>
    </cfRule>
  </conditionalFormatting>
  <conditionalFormatting sqref="B267:E271">
    <cfRule type="expression" dxfId="31" priority="2708" stopIfTrue="1">
      <formula>$A267="enumerator"</formula>
    </cfRule>
  </conditionalFormatting>
  <conditionalFormatting sqref="B267:E271">
    <cfRule type="expression" dxfId="2" priority="2709" stopIfTrue="1">
      <formula>$A267="text"</formula>
    </cfRule>
  </conditionalFormatting>
  <conditionalFormatting sqref="B267:E271">
    <cfRule type="expression" dxfId="3" priority="2710" stopIfTrue="1">
      <formula>$A267="integer"</formula>
    </cfRule>
  </conditionalFormatting>
  <conditionalFormatting sqref="B267:E271">
    <cfRule type="expression" dxfId="4" priority="2711" stopIfTrue="1">
      <formula>$A267="decimal"</formula>
    </cfRule>
  </conditionalFormatting>
  <conditionalFormatting sqref="B267:C271 D267:E271">
    <cfRule type="expression" dxfId="5" priority="2712" stopIfTrue="1">
      <formula>OR(AND(LEFT($A267, 16)="select_multiple ", LEN($A267)&gt;16, NOT(ISNUMBER(SEARCH(" ", $A267, 17)))), AND(LEFT($A267, 11)="select_one ", LEN($A267)&gt;11, NOT(ISNUMBER(SEARCH(" ", $A267, 12)))))</formula>
    </cfRule>
  </conditionalFormatting>
  <conditionalFormatting sqref="B267:B271">
    <cfRule type="expression" dxfId="6" priority="2713" stopIfTrue="1">
      <formula>OR($A267="audio audit", $A267="text audit", $A267="speed violations count", $A267="speed violations list", $A267="speed violations audit")</formula>
    </cfRule>
  </conditionalFormatting>
  <conditionalFormatting sqref="B267:C271 D267:E271">
    <cfRule type="expression" dxfId="32" priority="2714" stopIfTrue="1">
      <formula>$A267="file"</formula>
    </cfRule>
  </conditionalFormatting>
  <conditionalFormatting sqref="B267:C271 D267:E271">
    <cfRule type="expression" dxfId="7" priority="2715" stopIfTrue="1">
      <formula>$A267="note"</formula>
    </cfRule>
  </conditionalFormatting>
  <conditionalFormatting sqref="B267:C271 D267:E271">
    <cfRule type="expression" dxfId="8" priority="2716" stopIfTrue="1">
      <formula>$A267="barcode"</formula>
    </cfRule>
  </conditionalFormatting>
  <conditionalFormatting sqref="B267:C271 D267:E271">
    <cfRule type="expression" dxfId="9" priority="2717" stopIfTrue="1">
      <formula>OR($A267="geopoint", $A267="geoshape", $A267="geotrace")</formula>
    </cfRule>
  </conditionalFormatting>
  <conditionalFormatting sqref="B267:B271">
    <cfRule type="expression" dxfId="10" priority="2718" stopIfTrue="1">
      <formula>OR($A267="calculate", $A267="calculate_here")</formula>
    </cfRule>
  </conditionalFormatting>
  <conditionalFormatting sqref="B267:C271 D267:E271">
    <cfRule type="expression" dxfId="11" priority="2719" stopIfTrue="1">
      <formula>OR($A267="date", $A267="datetime", $A267="time")</formula>
    </cfRule>
  </conditionalFormatting>
  <conditionalFormatting sqref="B267:C271 D267:E271">
    <cfRule type="expression" dxfId="12" priority="2720" stopIfTrue="1">
      <formula>$A267="image"</formula>
    </cfRule>
  </conditionalFormatting>
  <conditionalFormatting sqref="B267:C271 D267:E271">
    <cfRule type="expression" dxfId="13" priority="2721" stopIfTrue="1">
      <formula>OR($A267="audio", $A267="video")</formula>
    </cfRule>
  </conditionalFormatting>
  <conditionalFormatting sqref="B267:E271">
    <cfRule type="expression" dxfId="33" priority="2722" stopIfTrue="1">
      <formula>$A267="file"</formula>
    </cfRule>
  </conditionalFormatting>
  <conditionalFormatting sqref="B267:E271">
    <cfRule type="expression" dxfId="34" priority="2723" stopIfTrue="1">
      <formula>$A267="enumerator"</formula>
    </cfRule>
  </conditionalFormatting>
  <conditionalFormatting sqref="B267:E271">
    <cfRule type="expression" dxfId="35" priority="2724" stopIfTrue="1">
      <formula>OR(AND(LEFT($A267, 14)="sensor_stream ", LEN($A267)&gt;14, NOT(ISNUMBER(SEARCH(" ", $A267, 15)))), AND(LEFT($A267, 17)="sensor_statistic ", LEN($A267)&gt;17, NOT(ISNUMBER(SEARCH(" ", $A267, 18)))))</formula>
    </cfRule>
  </conditionalFormatting>
  <conditionalFormatting sqref="B267:E271">
    <cfRule type="expression" dxfId="14" priority="2725" stopIfTrue="1">
      <formula>$A267="comments"</formula>
    </cfRule>
  </conditionalFormatting>
  <conditionalFormatting sqref="B267:E271">
    <cfRule type="expression" dxfId="15" priority="2726" stopIfTrue="1">
      <formula>OR($A267="audio", $A267="video")</formula>
    </cfRule>
  </conditionalFormatting>
  <conditionalFormatting sqref="B267:E271">
    <cfRule type="expression" dxfId="16" priority="2727" stopIfTrue="1">
      <formula>$A267="image"</formula>
    </cfRule>
  </conditionalFormatting>
  <conditionalFormatting sqref="B267:E271">
    <cfRule type="expression" dxfId="17" priority="2728" stopIfTrue="1">
      <formula>OR($A267="date", $A267="datetime", $A267="time")</formula>
    </cfRule>
  </conditionalFormatting>
  <conditionalFormatting sqref="B267:E271">
    <cfRule type="expression" dxfId="18" priority="2729" stopIfTrue="1">
      <formula>OR($A267="calculate", $A267="calculate_here")</formula>
    </cfRule>
  </conditionalFormatting>
  <conditionalFormatting sqref="B267:E271">
    <cfRule type="expression" dxfId="19" priority="2730" stopIfTrue="1">
      <formula>$A267="note"</formula>
    </cfRule>
  </conditionalFormatting>
  <conditionalFormatting sqref="B267:E271">
    <cfRule type="expression" dxfId="20" priority="2731" stopIfTrue="1">
      <formula>$A267="barcode"</formula>
    </cfRule>
  </conditionalFormatting>
  <conditionalFormatting sqref="B267:E271">
    <cfRule type="expression" dxfId="21" priority="2732" stopIfTrue="1">
      <formula>OR($A267="geopoint", $A267="geoshape", $A267="geotrace")</formula>
    </cfRule>
  </conditionalFormatting>
  <conditionalFormatting sqref="B267:E271">
    <cfRule type="expression" dxfId="22" priority="2733" stopIfTrue="1">
      <formula>OR($A267="audio audit", $A267="text audit", $A267="speed violations count", $A267="speed violations list", $A267="speed violations audit")</formula>
    </cfRule>
  </conditionalFormatting>
  <conditionalFormatting sqref="B267:E271">
    <cfRule type="expression" dxfId="23" priority="2734" stopIfTrue="1">
      <formula>OR($A267="username", $A267="phonenumber", $A267="start", $A267="end", $A267="deviceid", $A267="subscriberid", $A267="simserial", $A267="caseid")</formula>
    </cfRule>
  </conditionalFormatting>
  <conditionalFormatting sqref="B267:E271">
    <cfRule type="expression" dxfId="24" priority="2735" stopIfTrue="1">
      <formula>OR(AND(LEFT($A267, 16)="select_multiple ", LEN($A267)&gt;16, NOT(ISNUMBER(SEARCH(" ", $A267, 17)))), AND(LEFT($A267, 11)="select_one ", LEN($A267)&gt;11, NOT(ISNUMBER(SEARCH(" ", $A267, 12)))))</formula>
    </cfRule>
  </conditionalFormatting>
  <conditionalFormatting sqref="B267:E271">
    <cfRule type="expression" dxfId="25" priority="2736" stopIfTrue="1">
      <formula>$A267="decimal"</formula>
    </cfRule>
  </conditionalFormatting>
  <conditionalFormatting sqref="B267:E271">
    <cfRule type="expression" dxfId="26" priority="2737" stopIfTrue="1">
      <formula>$A267="integer"</formula>
    </cfRule>
  </conditionalFormatting>
  <conditionalFormatting sqref="B267:E271">
    <cfRule type="expression" dxfId="27" priority="2738" stopIfTrue="1">
      <formula>$A267="text"</formula>
    </cfRule>
  </conditionalFormatting>
  <conditionalFormatting sqref="B267:E271">
    <cfRule type="expression" dxfId="28" priority="2739" stopIfTrue="1">
      <formula>$A267="end repeat"</formula>
    </cfRule>
  </conditionalFormatting>
  <conditionalFormatting sqref="B267:E271">
    <cfRule type="expression" dxfId="28" priority="2740" stopIfTrue="1">
      <formula>$A267="begin repeat"</formula>
    </cfRule>
  </conditionalFormatting>
  <conditionalFormatting sqref="B267:E271">
    <cfRule type="expression" dxfId="29" priority="2741" stopIfTrue="1">
      <formula>$A267="end group"</formula>
    </cfRule>
  </conditionalFormatting>
  <conditionalFormatting sqref="B267:E271">
    <cfRule type="expression" dxfId="29" priority="2742" stopIfTrue="1">
      <formula>$A267="begin group"</formula>
    </cfRule>
  </conditionalFormatting>
  <conditionalFormatting sqref="B267:B271">
    <cfRule type="expression" dxfId="30" priority="2743" stopIfTrue="1">
      <formula>$A267="comments"</formula>
    </cfRule>
  </conditionalFormatting>
  <conditionalFormatting sqref="B267:B271">
    <cfRule type="expression" dxfId="36" priority="2744" stopIfTrue="1">
      <formula>OR(AND(LEFT($A267, 14)="sensor_stream ", LEN($A267)&gt;14, NOT(ISNUMBER(SEARCH(" ", $A267, 15)))), AND(LEFT($A267, 17)="sensor_statistic ", LEN($A267)&gt;17, NOT(ISNUMBER(SEARCH(" ", $A267, 18)))))</formula>
    </cfRule>
  </conditionalFormatting>
  <conditionalFormatting sqref="B225:C265 D225:E265">
    <cfRule type="expression" dxfId="0" priority="2745" stopIfTrue="1">
      <formula>$A225="begin group"</formula>
    </cfRule>
  </conditionalFormatting>
  <conditionalFormatting sqref="B225:C265 D225:E265">
    <cfRule type="expression" dxfId="1" priority="2746" stopIfTrue="1">
      <formula>$A225="begin repeat"</formula>
    </cfRule>
  </conditionalFormatting>
  <conditionalFormatting sqref="B225:E265">
    <cfRule type="expression" dxfId="31" priority="2747" stopIfTrue="1">
      <formula>$A225="enumerator"</formula>
    </cfRule>
  </conditionalFormatting>
  <conditionalFormatting sqref="B225:E265">
    <cfRule type="expression" dxfId="2" priority="2748" stopIfTrue="1">
      <formula>$A225="text"</formula>
    </cfRule>
  </conditionalFormatting>
  <conditionalFormatting sqref="B225:E265">
    <cfRule type="expression" dxfId="3" priority="2749" stopIfTrue="1">
      <formula>$A225="integer"</formula>
    </cfRule>
  </conditionalFormatting>
  <conditionalFormatting sqref="B225:E265">
    <cfRule type="expression" dxfId="4" priority="2750" stopIfTrue="1">
      <formula>$A225="decimal"</formula>
    </cfRule>
  </conditionalFormatting>
  <conditionalFormatting sqref="B225:C265 D225:E265">
    <cfRule type="expression" dxfId="5" priority="2751" stopIfTrue="1">
      <formula>OR(AND(LEFT($A225, 16)="select_multiple ", LEN($A225)&gt;16, NOT(ISNUMBER(SEARCH(" ", $A225, 17)))), AND(LEFT($A225, 11)="select_one ", LEN($A225)&gt;11, NOT(ISNUMBER(SEARCH(" ", $A225, 12)))))</formula>
    </cfRule>
  </conditionalFormatting>
  <conditionalFormatting sqref="B225:B265">
    <cfRule type="expression" dxfId="6" priority="2752" stopIfTrue="1">
      <formula>OR($A225="audio audit", $A225="text audit", $A225="speed violations count", $A225="speed violations list", $A225="speed violations audit")</formula>
    </cfRule>
  </conditionalFormatting>
  <conditionalFormatting sqref="B225:C265 D225:E265">
    <cfRule type="expression" dxfId="32" priority="2753" stopIfTrue="1">
      <formula>$A225="file"</formula>
    </cfRule>
  </conditionalFormatting>
  <conditionalFormatting sqref="B225:C265 D225:E265">
    <cfRule type="expression" dxfId="7" priority="2754" stopIfTrue="1">
      <formula>$A225="note"</formula>
    </cfRule>
  </conditionalFormatting>
  <conditionalFormatting sqref="B225:C265 D225:E265">
    <cfRule type="expression" dxfId="8" priority="2755" stopIfTrue="1">
      <formula>$A225="barcode"</formula>
    </cfRule>
  </conditionalFormatting>
  <conditionalFormatting sqref="B225:C265 D225:E265">
    <cfRule type="expression" dxfId="9" priority="2756" stopIfTrue="1">
      <formula>OR($A225="geopoint", $A225="geoshape", $A225="geotrace")</formula>
    </cfRule>
  </conditionalFormatting>
  <conditionalFormatting sqref="B225:B265">
    <cfRule type="expression" dxfId="10" priority="2757" stopIfTrue="1">
      <formula>OR($A225="calculate", $A225="calculate_here")</formula>
    </cfRule>
  </conditionalFormatting>
  <conditionalFormatting sqref="B225:C265 D225:E265">
    <cfRule type="expression" dxfId="11" priority="2758" stopIfTrue="1">
      <formula>OR($A225="date", $A225="datetime", $A225="time")</formula>
    </cfRule>
  </conditionalFormatting>
  <conditionalFormatting sqref="B225:C265 D225:E265">
    <cfRule type="expression" dxfId="12" priority="2759" stopIfTrue="1">
      <formula>$A225="image"</formula>
    </cfRule>
  </conditionalFormatting>
  <conditionalFormatting sqref="B225:C265 D225:E265">
    <cfRule type="expression" dxfId="13" priority="2760" stopIfTrue="1">
      <formula>OR($A225="audio", $A225="video")</formula>
    </cfRule>
  </conditionalFormatting>
  <conditionalFormatting sqref="B225:E265">
    <cfRule type="expression" dxfId="33" priority="2761" stopIfTrue="1">
      <formula>$A225="file"</formula>
    </cfRule>
  </conditionalFormatting>
  <conditionalFormatting sqref="B225:E265">
    <cfRule type="expression" dxfId="34" priority="2762" stopIfTrue="1">
      <formula>$A225="enumerator"</formula>
    </cfRule>
  </conditionalFormatting>
  <conditionalFormatting sqref="B225:E265">
    <cfRule type="expression" dxfId="35" priority="2763" stopIfTrue="1">
      <formula>OR(AND(LEFT($A225, 14)="sensor_stream ", LEN($A225)&gt;14, NOT(ISNUMBER(SEARCH(" ", $A225, 15)))), AND(LEFT($A225, 17)="sensor_statistic ", LEN($A225)&gt;17, NOT(ISNUMBER(SEARCH(" ", $A225, 18)))))</formula>
    </cfRule>
  </conditionalFormatting>
  <conditionalFormatting sqref="B225:E265">
    <cfRule type="expression" dxfId="14" priority="2764" stopIfTrue="1">
      <formula>$A225="comments"</formula>
    </cfRule>
  </conditionalFormatting>
  <conditionalFormatting sqref="B225:E265">
    <cfRule type="expression" dxfId="15" priority="2765" stopIfTrue="1">
      <formula>OR($A225="audio", $A225="video")</formula>
    </cfRule>
  </conditionalFormatting>
  <conditionalFormatting sqref="B225:E265">
    <cfRule type="expression" dxfId="16" priority="2766" stopIfTrue="1">
      <formula>$A225="image"</formula>
    </cfRule>
  </conditionalFormatting>
  <conditionalFormatting sqref="B225:E265">
    <cfRule type="expression" dxfId="17" priority="2767" stopIfTrue="1">
      <formula>OR($A225="date", $A225="datetime", $A225="time")</formula>
    </cfRule>
  </conditionalFormatting>
  <conditionalFormatting sqref="B225:E265">
    <cfRule type="expression" dxfId="18" priority="2768" stopIfTrue="1">
      <formula>OR($A225="calculate", $A225="calculate_here")</formula>
    </cfRule>
  </conditionalFormatting>
  <conditionalFormatting sqref="B225:E265">
    <cfRule type="expression" dxfId="19" priority="2769" stopIfTrue="1">
      <formula>$A225="note"</formula>
    </cfRule>
  </conditionalFormatting>
  <conditionalFormatting sqref="B225:E265">
    <cfRule type="expression" dxfId="20" priority="2770" stopIfTrue="1">
      <formula>$A225="barcode"</formula>
    </cfRule>
  </conditionalFormatting>
  <conditionalFormatting sqref="B225:E265">
    <cfRule type="expression" dxfId="21" priority="2771" stopIfTrue="1">
      <formula>OR($A225="geopoint", $A225="geoshape", $A225="geotrace")</formula>
    </cfRule>
  </conditionalFormatting>
  <conditionalFormatting sqref="B225:E265">
    <cfRule type="expression" dxfId="22" priority="2772" stopIfTrue="1">
      <formula>OR($A225="audio audit", $A225="text audit", $A225="speed violations count", $A225="speed violations list", $A225="speed violations audit")</formula>
    </cfRule>
  </conditionalFormatting>
  <conditionalFormatting sqref="B225:E265">
    <cfRule type="expression" dxfId="23" priority="2773" stopIfTrue="1">
      <formula>OR($A225="username", $A225="phonenumber", $A225="start", $A225="end", $A225="deviceid", $A225="subscriberid", $A225="simserial", $A225="caseid")</formula>
    </cfRule>
  </conditionalFormatting>
  <conditionalFormatting sqref="B225:E265">
    <cfRule type="expression" dxfId="24" priority="2774" stopIfTrue="1">
      <formula>OR(AND(LEFT($A225, 16)="select_multiple ", LEN($A225)&gt;16, NOT(ISNUMBER(SEARCH(" ", $A225, 17)))), AND(LEFT($A225, 11)="select_one ", LEN($A225)&gt;11, NOT(ISNUMBER(SEARCH(" ", $A225, 12)))))</formula>
    </cfRule>
  </conditionalFormatting>
  <conditionalFormatting sqref="B225:E265">
    <cfRule type="expression" dxfId="25" priority="2775" stopIfTrue="1">
      <formula>$A225="decimal"</formula>
    </cfRule>
  </conditionalFormatting>
  <conditionalFormatting sqref="B225:E265">
    <cfRule type="expression" dxfId="26" priority="2776" stopIfTrue="1">
      <formula>$A225="integer"</formula>
    </cfRule>
  </conditionalFormatting>
  <conditionalFormatting sqref="B225:E265">
    <cfRule type="expression" dxfId="27" priority="2777" stopIfTrue="1">
      <formula>$A225="text"</formula>
    </cfRule>
  </conditionalFormatting>
  <conditionalFormatting sqref="B225:E265">
    <cfRule type="expression" dxfId="28" priority="2778" stopIfTrue="1">
      <formula>$A225="end repeat"</formula>
    </cfRule>
  </conditionalFormatting>
  <conditionalFormatting sqref="B225:E265">
    <cfRule type="expression" dxfId="28" priority="2779" stopIfTrue="1">
      <formula>$A225="begin repeat"</formula>
    </cfRule>
  </conditionalFormatting>
  <conditionalFormatting sqref="B225:E265">
    <cfRule type="expression" dxfId="29" priority="2780" stopIfTrue="1">
      <formula>$A225="end group"</formula>
    </cfRule>
  </conditionalFormatting>
  <conditionalFormatting sqref="B225:E265">
    <cfRule type="expression" dxfId="29" priority="2781" stopIfTrue="1">
      <formula>$A225="begin group"</formula>
    </cfRule>
  </conditionalFormatting>
  <conditionalFormatting sqref="B225:B265">
    <cfRule type="expression" dxfId="30" priority="2782" stopIfTrue="1">
      <formula>$A225="comments"</formula>
    </cfRule>
  </conditionalFormatting>
  <conditionalFormatting sqref="B225:B265">
    <cfRule type="expression" dxfId="36" priority="2783" stopIfTrue="1">
      <formula>OR(AND(LEFT($A225, 14)="sensor_stream ", LEN($A225)&gt;14, NOT(ISNUMBER(SEARCH(" ", $A225, 15)))), AND(LEFT($A225, 17)="sensor_statistic ", LEN($A225)&gt;17, NOT(ISNUMBER(SEARCH(" ", $A225, 18)))))</formula>
    </cfRule>
  </conditionalFormatting>
  <conditionalFormatting sqref="B217:C223 D217:E223">
    <cfRule type="expression" dxfId="0" priority="2784" stopIfTrue="1">
      <formula>$A217="begin group"</formula>
    </cfRule>
  </conditionalFormatting>
  <conditionalFormatting sqref="B217:C223 D217:E223">
    <cfRule type="expression" dxfId="1" priority="2785" stopIfTrue="1">
      <formula>$A217="begin repeat"</formula>
    </cfRule>
  </conditionalFormatting>
  <conditionalFormatting sqref="B217:E223">
    <cfRule type="expression" dxfId="31" priority="2786" stopIfTrue="1">
      <formula>$A217="enumerator"</formula>
    </cfRule>
  </conditionalFormatting>
  <conditionalFormatting sqref="B217:E223">
    <cfRule type="expression" dxfId="2" priority="2787" stopIfTrue="1">
      <formula>$A217="text"</formula>
    </cfRule>
  </conditionalFormatting>
  <conditionalFormatting sqref="B217:E223">
    <cfRule type="expression" dxfId="3" priority="2788" stopIfTrue="1">
      <formula>$A217="integer"</formula>
    </cfRule>
  </conditionalFormatting>
  <conditionalFormatting sqref="B217:E223">
    <cfRule type="expression" dxfId="4" priority="2789" stopIfTrue="1">
      <formula>$A217="decimal"</formula>
    </cfRule>
  </conditionalFormatting>
  <conditionalFormatting sqref="B217:C223 D217:E223">
    <cfRule type="expression" dxfId="5" priority="2790" stopIfTrue="1">
      <formula>OR(AND(LEFT($A217, 16)="select_multiple ", LEN($A217)&gt;16, NOT(ISNUMBER(SEARCH(" ", $A217, 17)))), AND(LEFT($A217, 11)="select_one ", LEN($A217)&gt;11, NOT(ISNUMBER(SEARCH(" ", $A217, 12)))))</formula>
    </cfRule>
  </conditionalFormatting>
  <conditionalFormatting sqref="B217:B223">
    <cfRule type="expression" dxfId="6" priority="2791" stopIfTrue="1">
      <formula>OR($A217="audio audit", $A217="text audit", $A217="speed violations count", $A217="speed violations list", $A217="speed violations audit")</formula>
    </cfRule>
  </conditionalFormatting>
  <conditionalFormatting sqref="B217:C223 D217:E223">
    <cfRule type="expression" dxfId="32" priority="2792" stopIfTrue="1">
      <formula>$A217="file"</formula>
    </cfRule>
  </conditionalFormatting>
  <conditionalFormatting sqref="B217:C223 D217:E223">
    <cfRule type="expression" dxfId="7" priority="2793" stopIfTrue="1">
      <formula>$A217="note"</formula>
    </cfRule>
  </conditionalFormatting>
  <conditionalFormatting sqref="B217:C223 D217:E223">
    <cfRule type="expression" dxfId="8" priority="2794" stopIfTrue="1">
      <formula>$A217="barcode"</formula>
    </cfRule>
  </conditionalFormatting>
  <conditionalFormatting sqref="B217:C223 D217:E223">
    <cfRule type="expression" dxfId="9" priority="2795" stopIfTrue="1">
      <formula>OR($A217="geopoint", $A217="geoshape", $A217="geotrace")</formula>
    </cfRule>
  </conditionalFormatting>
  <conditionalFormatting sqref="B217:B223">
    <cfRule type="expression" dxfId="10" priority="2796" stopIfTrue="1">
      <formula>OR($A217="calculate", $A217="calculate_here")</formula>
    </cfRule>
  </conditionalFormatting>
  <conditionalFormatting sqref="B217:C223 D217:E223">
    <cfRule type="expression" dxfId="11" priority="2797" stopIfTrue="1">
      <formula>OR($A217="date", $A217="datetime", $A217="time")</formula>
    </cfRule>
  </conditionalFormatting>
  <conditionalFormatting sqref="B217:C223 D217:E223">
    <cfRule type="expression" dxfId="12" priority="2798" stopIfTrue="1">
      <formula>$A217="image"</formula>
    </cfRule>
  </conditionalFormatting>
  <conditionalFormatting sqref="B217:C223 D217:E223">
    <cfRule type="expression" dxfId="13" priority="2799" stopIfTrue="1">
      <formula>OR($A217="audio", $A217="video")</formula>
    </cfRule>
  </conditionalFormatting>
  <conditionalFormatting sqref="B217:E223">
    <cfRule type="expression" dxfId="33" priority="2800" stopIfTrue="1">
      <formula>$A217="file"</formula>
    </cfRule>
  </conditionalFormatting>
  <conditionalFormatting sqref="B217:E223">
    <cfRule type="expression" dxfId="34" priority="2801" stopIfTrue="1">
      <formula>$A217="enumerator"</formula>
    </cfRule>
  </conditionalFormatting>
  <conditionalFormatting sqref="B217:E223">
    <cfRule type="expression" dxfId="35" priority="2802" stopIfTrue="1">
      <formula>OR(AND(LEFT($A217, 14)="sensor_stream ", LEN($A217)&gt;14, NOT(ISNUMBER(SEARCH(" ", $A217, 15)))), AND(LEFT($A217, 17)="sensor_statistic ", LEN($A217)&gt;17, NOT(ISNUMBER(SEARCH(" ", $A217, 18)))))</formula>
    </cfRule>
  </conditionalFormatting>
  <conditionalFormatting sqref="B217:E223">
    <cfRule type="expression" dxfId="14" priority="2803" stopIfTrue="1">
      <formula>$A217="comments"</formula>
    </cfRule>
  </conditionalFormatting>
  <conditionalFormatting sqref="B217:E223">
    <cfRule type="expression" dxfId="15" priority="2804" stopIfTrue="1">
      <formula>OR($A217="audio", $A217="video")</formula>
    </cfRule>
  </conditionalFormatting>
  <conditionalFormatting sqref="B217:E223">
    <cfRule type="expression" dxfId="16" priority="2805" stopIfTrue="1">
      <formula>$A217="image"</formula>
    </cfRule>
  </conditionalFormatting>
  <conditionalFormatting sqref="B217:E223">
    <cfRule type="expression" dxfId="17" priority="2806" stopIfTrue="1">
      <formula>OR($A217="date", $A217="datetime", $A217="time")</formula>
    </cfRule>
  </conditionalFormatting>
  <conditionalFormatting sqref="B217:E223">
    <cfRule type="expression" dxfId="18" priority="2807" stopIfTrue="1">
      <formula>OR($A217="calculate", $A217="calculate_here")</formula>
    </cfRule>
  </conditionalFormatting>
  <conditionalFormatting sqref="B217:E223">
    <cfRule type="expression" dxfId="19" priority="2808" stopIfTrue="1">
      <formula>$A217="note"</formula>
    </cfRule>
  </conditionalFormatting>
  <conditionalFormatting sqref="B217:E223">
    <cfRule type="expression" dxfId="20" priority="2809" stopIfTrue="1">
      <formula>$A217="barcode"</formula>
    </cfRule>
  </conditionalFormatting>
  <conditionalFormatting sqref="B217:E223">
    <cfRule type="expression" dxfId="21" priority="2810" stopIfTrue="1">
      <formula>OR($A217="geopoint", $A217="geoshape", $A217="geotrace")</formula>
    </cfRule>
  </conditionalFormatting>
  <conditionalFormatting sqref="B217:E223">
    <cfRule type="expression" dxfId="22" priority="2811" stopIfTrue="1">
      <formula>OR($A217="audio audit", $A217="text audit", $A217="speed violations count", $A217="speed violations list", $A217="speed violations audit")</formula>
    </cfRule>
  </conditionalFormatting>
  <conditionalFormatting sqref="B217:E223">
    <cfRule type="expression" dxfId="23" priority="2812" stopIfTrue="1">
      <formula>OR($A217="username", $A217="phonenumber", $A217="start", $A217="end", $A217="deviceid", $A217="subscriberid", $A217="simserial", $A217="caseid")</formula>
    </cfRule>
  </conditionalFormatting>
  <conditionalFormatting sqref="B217:E223">
    <cfRule type="expression" dxfId="24" priority="2813" stopIfTrue="1">
      <formula>OR(AND(LEFT($A217, 16)="select_multiple ", LEN($A217)&gt;16, NOT(ISNUMBER(SEARCH(" ", $A217, 17)))), AND(LEFT($A217, 11)="select_one ", LEN($A217)&gt;11, NOT(ISNUMBER(SEARCH(" ", $A217, 12)))))</formula>
    </cfRule>
  </conditionalFormatting>
  <conditionalFormatting sqref="B217:E223">
    <cfRule type="expression" dxfId="25" priority="2814" stopIfTrue="1">
      <formula>$A217="decimal"</formula>
    </cfRule>
  </conditionalFormatting>
  <conditionalFormatting sqref="B217:E223">
    <cfRule type="expression" dxfId="26" priority="2815" stopIfTrue="1">
      <formula>$A217="integer"</formula>
    </cfRule>
  </conditionalFormatting>
  <conditionalFormatting sqref="B217:E223">
    <cfRule type="expression" dxfId="27" priority="2816" stopIfTrue="1">
      <formula>$A217="text"</formula>
    </cfRule>
  </conditionalFormatting>
  <conditionalFormatting sqref="B217:E223">
    <cfRule type="expression" dxfId="28" priority="2817" stopIfTrue="1">
      <formula>$A217="end repeat"</formula>
    </cfRule>
  </conditionalFormatting>
  <conditionalFormatting sqref="B217:E223">
    <cfRule type="expression" dxfId="28" priority="2818" stopIfTrue="1">
      <formula>$A217="begin repeat"</formula>
    </cfRule>
  </conditionalFormatting>
  <conditionalFormatting sqref="B217:E223">
    <cfRule type="expression" dxfId="29" priority="2819" stopIfTrue="1">
      <formula>$A217="end group"</formula>
    </cfRule>
  </conditionalFormatting>
  <conditionalFormatting sqref="B217:E223">
    <cfRule type="expression" dxfId="29" priority="2820" stopIfTrue="1">
      <formula>$A217="begin group"</formula>
    </cfRule>
  </conditionalFormatting>
  <conditionalFormatting sqref="B217:B223">
    <cfRule type="expression" dxfId="30" priority="2821" stopIfTrue="1">
      <formula>$A217="comments"</formula>
    </cfRule>
  </conditionalFormatting>
  <conditionalFormatting sqref="B217:B223">
    <cfRule type="expression" dxfId="36" priority="2822" stopIfTrue="1">
      <formula>OR(AND(LEFT($A217, 14)="sensor_stream ", LEN($A217)&gt;14, NOT(ISNUMBER(SEARCH(" ", $A217, 15)))), AND(LEFT($A217, 17)="sensor_statistic ", LEN($A217)&gt;17, NOT(ISNUMBER(SEARCH(" ", $A217, 18)))))</formula>
    </cfRule>
  </conditionalFormatting>
  <conditionalFormatting sqref="B215:C215 D215:E215">
    <cfRule type="expression" dxfId="0" priority="2823" stopIfTrue="1">
      <formula>$A215="begin group"</formula>
    </cfRule>
  </conditionalFormatting>
  <conditionalFormatting sqref="B215:C215 D215:E215">
    <cfRule type="expression" dxfId="1" priority="2824" stopIfTrue="1">
      <formula>$A215="begin repeat"</formula>
    </cfRule>
  </conditionalFormatting>
  <conditionalFormatting sqref="B215:E215">
    <cfRule type="expression" dxfId="31" priority="2825" stopIfTrue="1">
      <formula>$A215="enumerator"</formula>
    </cfRule>
  </conditionalFormatting>
  <conditionalFormatting sqref="B215:E215">
    <cfRule type="expression" dxfId="2" priority="2826" stopIfTrue="1">
      <formula>$A215="text"</formula>
    </cfRule>
  </conditionalFormatting>
  <conditionalFormatting sqref="B215:E215">
    <cfRule type="expression" dxfId="3" priority="2827" stopIfTrue="1">
      <formula>$A215="integer"</formula>
    </cfRule>
  </conditionalFormatting>
  <conditionalFormatting sqref="B215:E215">
    <cfRule type="expression" dxfId="4" priority="2828" stopIfTrue="1">
      <formula>$A215="decimal"</formula>
    </cfRule>
  </conditionalFormatting>
  <conditionalFormatting sqref="B215:C215 D215:E215">
    <cfRule type="expression" dxfId="5" priority="2829" stopIfTrue="1">
      <formula>OR(AND(LEFT($A215, 16)="select_multiple ", LEN($A215)&gt;16, NOT(ISNUMBER(SEARCH(" ", $A215, 17)))), AND(LEFT($A215, 11)="select_one ", LEN($A215)&gt;11, NOT(ISNUMBER(SEARCH(" ", $A215, 12)))))</formula>
    </cfRule>
  </conditionalFormatting>
  <conditionalFormatting sqref="B215">
    <cfRule type="expression" dxfId="6" priority="2830" stopIfTrue="1">
      <formula>OR($A215="audio audit", $A215="text audit", $A215="speed violations count", $A215="speed violations list", $A215="speed violations audit")</formula>
    </cfRule>
  </conditionalFormatting>
  <conditionalFormatting sqref="B215:C215 D215:E215">
    <cfRule type="expression" dxfId="32" priority="2831" stopIfTrue="1">
      <formula>$A215="file"</formula>
    </cfRule>
  </conditionalFormatting>
  <conditionalFormatting sqref="B215:C215 D215:E215">
    <cfRule type="expression" dxfId="7" priority="2832" stopIfTrue="1">
      <formula>$A215="note"</formula>
    </cfRule>
  </conditionalFormatting>
  <conditionalFormatting sqref="B215:C215 D215:E215">
    <cfRule type="expression" dxfId="8" priority="2833" stopIfTrue="1">
      <formula>$A215="barcode"</formula>
    </cfRule>
  </conditionalFormatting>
  <conditionalFormatting sqref="B215:C215 D215:E215">
    <cfRule type="expression" dxfId="9" priority="2834" stopIfTrue="1">
      <formula>OR($A215="geopoint", $A215="geoshape", $A215="geotrace")</formula>
    </cfRule>
  </conditionalFormatting>
  <conditionalFormatting sqref="B215">
    <cfRule type="expression" dxfId="10" priority="2835" stopIfTrue="1">
      <formula>OR($A215="calculate", $A215="calculate_here")</formula>
    </cfRule>
  </conditionalFormatting>
  <conditionalFormatting sqref="B215:C215 D215:E215">
    <cfRule type="expression" dxfId="11" priority="2836" stopIfTrue="1">
      <formula>OR($A215="date", $A215="datetime", $A215="time")</formula>
    </cfRule>
  </conditionalFormatting>
  <conditionalFormatting sqref="B215:C215 D215:E215">
    <cfRule type="expression" dxfId="12" priority="2837" stopIfTrue="1">
      <formula>$A215="image"</formula>
    </cfRule>
  </conditionalFormatting>
  <conditionalFormatting sqref="B215:C215 D215:E215">
    <cfRule type="expression" dxfId="13" priority="2838" stopIfTrue="1">
      <formula>OR($A215="audio", $A215="video")</formula>
    </cfRule>
  </conditionalFormatting>
  <conditionalFormatting sqref="B215:E215">
    <cfRule type="expression" dxfId="33" priority="2839" stopIfTrue="1">
      <formula>$A215="file"</formula>
    </cfRule>
  </conditionalFormatting>
  <conditionalFormatting sqref="B215:E215">
    <cfRule type="expression" dxfId="34" priority="2840" stopIfTrue="1">
      <formula>$A215="enumerator"</formula>
    </cfRule>
  </conditionalFormatting>
  <conditionalFormatting sqref="B215:E215">
    <cfRule type="expression" dxfId="35" priority="2841" stopIfTrue="1">
      <formula>OR(AND(LEFT($A215, 14)="sensor_stream ", LEN($A215)&gt;14, NOT(ISNUMBER(SEARCH(" ", $A215, 15)))), AND(LEFT($A215, 17)="sensor_statistic ", LEN($A215)&gt;17, NOT(ISNUMBER(SEARCH(" ", $A215, 18)))))</formula>
    </cfRule>
  </conditionalFormatting>
  <conditionalFormatting sqref="B215:E215">
    <cfRule type="expression" dxfId="14" priority="2842" stopIfTrue="1">
      <formula>$A215="comments"</formula>
    </cfRule>
  </conditionalFormatting>
  <conditionalFormatting sqref="B215:E215">
    <cfRule type="expression" dxfId="15" priority="2843" stopIfTrue="1">
      <formula>OR($A215="audio", $A215="video")</formula>
    </cfRule>
  </conditionalFormatting>
  <conditionalFormatting sqref="B215:E215">
    <cfRule type="expression" dxfId="16" priority="2844" stopIfTrue="1">
      <formula>$A215="image"</formula>
    </cfRule>
  </conditionalFormatting>
  <conditionalFormatting sqref="B215:E215">
    <cfRule type="expression" dxfId="17" priority="2845" stopIfTrue="1">
      <formula>OR($A215="date", $A215="datetime", $A215="time")</formula>
    </cfRule>
  </conditionalFormatting>
  <conditionalFormatting sqref="B215:E215">
    <cfRule type="expression" dxfId="18" priority="2846" stopIfTrue="1">
      <formula>OR($A215="calculate", $A215="calculate_here")</formula>
    </cfRule>
  </conditionalFormatting>
  <conditionalFormatting sqref="B215:E215">
    <cfRule type="expression" dxfId="19" priority="2847" stopIfTrue="1">
      <formula>$A215="note"</formula>
    </cfRule>
  </conditionalFormatting>
  <conditionalFormatting sqref="B215:E215">
    <cfRule type="expression" dxfId="20" priority="2848" stopIfTrue="1">
      <formula>$A215="barcode"</formula>
    </cfRule>
  </conditionalFormatting>
  <conditionalFormatting sqref="B215:E215">
    <cfRule type="expression" dxfId="21" priority="2849" stopIfTrue="1">
      <formula>OR($A215="geopoint", $A215="geoshape", $A215="geotrace")</formula>
    </cfRule>
  </conditionalFormatting>
  <conditionalFormatting sqref="B215:E215">
    <cfRule type="expression" dxfId="22" priority="2850" stopIfTrue="1">
      <formula>OR($A215="audio audit", $A215="text audit", $A215="speed violations count", $A215="speed violations list", $A215="speed violations audit")</formula>
    </cfRule>
  </conditionalFormatting>
  <conditionalFormatting sqref="B215:E215">
    <cfRule type="expression" dxfId="23" priority="2851" stopIfTrue="1">
      <formula>OR($A215="username", $A215="phonenumber", $A215="start", $A215="end", $A215="deviceid", $A215="subscriberid", $A215="simserial", $A215="caseid")</formula>
    </cfRule>
  </conditionalFormatting>
  <conditionalFormatting sqref="B215:E215">
    <cfRule type="expression" dxfId="24" priority="2852" stopIfTrue="1">
      <formula>OR(AND(LEFT($A215, 16)="select_multiple ", LEN($A215)&gt;16, NOT(ISNUMBER(SEARCH(" ", $A215, 17)))), AND(LEFT($A215, 11)="select_one ", LEN($A215)&gt;11, NOT(ISNUMBER(SEARCH(" ", $A215, 12)))))</formula>
    </cfRule>
  </conditionalFormatting>
  <conditionalFormatting sqref="B215:E215">
    <cfRule type="expression" dxfId="25" priority="2853" stopIfTrue="1">
      <formula>$A215="decimal"</formula>
    </cfRule>
  </conditionalFormatting>
  <conditionalFormatting sqref="B215:E215">
    <cfRule type="expression" dxfId="26" priority="2854" stopIfTrue="1">
      <formula>$A215="integer"</formula>
    </cfRule>
  </conditionalFormatting>
  <conditionalFormatting sqref="B215:E215">
    <cfRule type="expression" dxfId="27" priority="2855" stopIfTrue="1">
      <formula>$A215="text"</formula>
    </cfRule>
  </conditionalFormatting>
  <conditionalFormatting sqref="B215:E215">
    <cfRule type="expression" dxfId="28" priority="2856" stopIfTrue="1">
      <formula>$A215="end repeat"</formula>
    </cfRule>
  </conditionalFormatting>
  <conditionalFormatting sqref="B215:E215">
    <cfRule type="expression" dxfId="28" priority="2857" stopIfTrue="1">
      <formula>$A215="begin repeat"</formula>
    </cfRule>
  </conditionalFormatting>
  <conditionalFormatting sqref="B215:E215">
    <cfRule type="expression" dxfId="29" priority="2858" stopIfTrue="1">
      <formula>$A215="end group"</formula>
    </cfRule>
  </conditionalFormatting>
  <conditionalFormatting sqref="B215:E215">
    <cfRule type="expression" dxfId="29" priority="2859" stopIfTrue="1">
      <formula>$A215="begin group"</formula>
    </cfRule>
  </conditionalFormatting>
  <conditionalFormatting sqref="B215">
    <cfRule type="expression" dxfId="30" priority="2860" stopIfTrue="1">
      <formula>$A215="comments"</formula>
    </cfRule>
  </conditionalFormatting>
  <conditionalFormatting sqref="B215">
    <cfRule type="expression" dxfId="36" priority="2861" stopIfTrue="1">
      <formula>OR(AND(LEFT($A215, 14)="sensor_stream ", LEN($A215)&gt;14, NOT(ISNUMBER(SEARCH(" ", $A215, 15)))), AND(LEFT($A215, 17)="sensor_statistic ", LEN($A215)&gt;17, NOT(ISNUMBER(SEARCH(" ", $A215, 18)))))</formula>
    </cfRule>
  </conditionalFormatting>
  <conditionalFormatting sqref="B208:C211 D208:E211">
    <cfRule type="expression" dxfId="0" priority="2862" stopIfTrue="1">
      <formula>$A208="begin group"</formula>
    </cfRule>
  </conditionalFormatting>
  <conditionalFormatting sqref="B208:C211 D208:E211">
    <cfRule type="expression" dxfId="1" priority="2863" stopIfTrue="1">
      <formula>$A208="begin repeat"</formula>
    </cfRule>
  </conditionalFormatting>
  <conditionalFormatting sqref="B208:E211">
    <cfRule type="expression" dxfId="31" priority="2864" stopIfTrue="1">
      <formula>$A208="enumerator"</formula>
    </cfRule>
  </conditionalFormatting>
  <conditionalFormatting sqref="B208:E211">
    <cfRule type="expression" dxfId="2" priority="2865" stopIfTrue="1">
      <formula>$A208="text"</formula>
    </cfRule>
  </conditionalFormatting>
  <conditionalFormatting sqref="B208:E211">
    <cfRule type="expression" dxfId="3" priority="2866" stopIfTrue="1">
      <formula>$A208="integer"</formula>
    </cfRule>
  </conditionalFormatting>
  <conditionalFormatting sqref="B208:E211">
    <cfRule type="expression" dxfId="4" priority="2867" stopIfTrue="1">
      <formula>$A208="decimal"</formula>
    </cfRule>
  </conditionalFormatting>
  <conditionalFormatting sqref="B208:C211 D208:E211">
    <cfRule type="expression" dxfId="5" priority="2868" stopIfTrue="1">
      <formula>OR(AND(LEFT($A208, 16)="select_multiple ", LEN($A208)&gt;16, NOT(ISNUMBER(SEARCH(" ", $A208, 17)))), AND(LEFT($A208, 11)="select_one ", LEN($A208)&gt;11, NOT(ISNUMBER(SEARCH(" ", $A208, 12)))))</formula>
    </cfRule>
  </conditionalFormatting>
  <conditionalFormatting sqref="B208:B211">
    <cfRule type="expression" dxfId="6" priority="2869" stopIfTrue="1">
      <formula>OR($A208="audio audit", $A208="text audit", $A208="speed violations count", $A208="speed violations list", $A208="speed violations audit")</formula>
    </cfRule>
  </conditionalFormatting>
  <conditionalFormatting sqref="B208:C211 D208:E211">
    <cfRule type="expression" dxfId="32" priority="2870" stopIfTrue="1">
      <formula>$A208="file"</formula>
    </cfRule>
  </conditionalFormatting>
  <conditionalFormatting sqref="B208:C211 D208:E211">
    <cfRule type="expression" dxfId="7" priority="2871" stopIfTrue="1">
      <formula>$A208="note"</formula>
    </cfRule>
  </conditionalFormatting>
  <conditionalFormatting sqref="B208:C211 D208:E211">
    <cfRule type="expression" dxfId="8" priority="2872" stopIfTrue="1">
      <formula>$A208="barcode"</formula>
    </cfRule>
  </conditionalFormatting>
  <conditionalFormatting sqref="B208:C211 D208:E211">
    <cfRule type="expression" dxfId="9" priority="2873" stopIfTrue="1">
      <formula>OR($A208="geopoint", $A208="geoshape", $A208="geotrace")</formula>
    </cfRule>
  </conditionalFormatting>
  <conditionalFormatting sqref="B208:B211">
    <cfRule type="expression" dxfId="10" priority="2874" stopIfTrue="1">
      <formula>OR($A208="calculate", $A208="calculate_here")</formula>
    </cfRule>
  </conditionalFormatting>
  <conditionalFormatting sqref="B208:C211 D208:E211">
    <cfRule type="expression" dxfId="11" priority="2875" stopIfTrue="1">
      <formula>OR($A208="date", $A208="datetime", $A208="time")</formula>
    </cfRule>
  </conditionalFormatting>
  <conditionalFormatting sqref="B208:C211 D208:E211">
    <cfRule type="expression" dxfId="12" priority="2876" stopIfTrue="1">
      <formula>$A208="image"</formula>
    </cfRule>
  </conditionalFormatting>
  <conditionalFormatting sqref="B208:C211 D208:E211">
    <cfRule type="expression" dxfId="13" priority="2877" stopIfTrue="1">
      <formula>OR($A208="audio", $A208="video")</formula>
    </cfRule>
  </conditionalFormatting>
  <conditionalFormatting sqref="B208:E211">
    <cfRule type="expression" dxfId="33" priority="2878" stopIfTrue="1">
      <formula>$A208="file"</formula>
    </cfRule>
  </conditionalFormatting>
  <conditionalFormatting sqref="B208:E211">
    <cfRule type="expression" dxfId="34" priority="2879" stopIfTrue="1">
      <formula>$A208="enumerator"</formula>
    </cfRule>
  </conditionalFormatting>
  <conditionalFormatting sqref="B208:E211">
    <cfRule type="expression" dxfId="35" priority="2880" stopIfTrue="1">
      <formula>OR(AND(LEFT($A208, 14)="sensor_stream ", LEN($A208)&gt;14, NOT(ISNUMBER(SEARCH(" ", $A208, 15)))), AND(LEFT($A208, 17)="sensor_statistic ", LEN($A208)&gt;17, NOT(ISNUMBER(SEARCH(" ", $A208, 18)))))</formula>
    </cfRule>
  </conditionalFormatting>
  <conditionalFormatting sqref="B208:E211">
    <cfRule type="expression" dxfId="14" priority="2881" stopIfTrue="1">
      <formula>$A208="comments"</formula>
    </cfRule>
  </conditionalFormatting>
  <conditionalFormatting sqref="B208:E211">
    <cfRule type="expression" dxfId="15" priority="2882" stopIfTrue="1">
      <formula>OR($A208="audio", $A208="video")</formula>
    </cfRule>
  </conditionalFormatting>
  <conditionalFormatting sqref="B208:E211">
    <cfRule type="expression" dxfId="16" priority="2883" stopIfTrue="1">
      <formula>$A208="image"</formula>
    </cfRule>
  </conditionalFormatting>
  <conditionalFormatting sqref="B208:E211">
    <cfRule type="expression" dxfId="17" priority="2884" stopIfTrue="1">
      <formula>OR($A208="date", $A208="datetime", $A208="time")</formula>
    </cfRule>
  </conditionalFormatting>
  <conditionalFormatting sqref="B208:E211">
    <cfRule type="expression" dxfId="18" priority="2885" stopIfTrue="1">
      <formula>OR($A208="calculate", $A208="calculate_here")</formula>
    </cfRule>
  </conditionalFormatting>
  <conditionalFormatting sqref="B208:E211">
    <cfRule type="expression" dxfId="19" priority="2886" stopIfTrue="1">
      <formula>$A208="note"</formula>
    </cfRule>
  </conditionalFormatting>
  <conditionalFormatting sqref="B208:E211">
    <cfRule type="expression" dxfId="20" priority="2887" stopIfTrue="1">
      <formula>$A208="barcode"</formula>
    </cfRule>
  </conditionalFormatting>
  <conditionalFormatting sqref="B208:E211">
    <cfRule type="expression" dxfId="21" priority="2888" stopIfTrue="1">
      <formula>OR($A208="geopoint", $A208="geoshape", $A208="geotrace")</formula>
    </cfRule>
  </conditionalFormatting>
  <conditionalFormatting sqref="B208:E211">
    <cfRule type="expression" dxfId="22" priority="2889" stopIfTrue="1">
      <formula>OR($A208="audio audit", $A208="text audit", $A208="speed violations count", $A208="speed violations list", $A208="speed violations audit")</formula>
    </cfRule>
  </conditionalFormatting>
  <conditionalFormatting sqref="B208:E211">
    <cfRule type="expression" dxfId="23" priority="2890" stopIfTrue="1">
      <formula>OR($A208="username", $A208="phonenumber", $A208="start", $A208="end", $A208="deviceid", $A208="subscriberid", $A208="simserial", $A208="caseid")</formula>
    </cfRule>
  </conditionalFormatting>
  <conditionalFormatting sqref="B208:E211">
    <cfRule type="expression" dxfId="24" priority="2891" stopIfTrue="1">
      <formula>OR(AND(LEFT($A208, 16)="select_multiple ", LEN($A208)&gt;16, NOT(ISNUMBER(SEARCH(" ", $A208, 17)))), AND(LEFT($A208, 11)="select_one ", LEN($A208)&gt;11, NOT(ISNUMBER(SEARCH(" ", $A208, 12)))))</formula>
    </cfRule>
  </conditionalFormatting>
  <conditionalFormatting sqref="B208:E211">
    <cfRule type="expression" dxfId="25" priority="2892" stopIfTrue="1">
      <formula>$A208="decimal"</formula>
    </cfRule>
  </conditionalFormatting>
  <conditionalFormatting sqref="B208:E211">
    <cfRule type="expression" dxfId="26" priority="2893" stopIfTrue="1">
      <formula>$A208="integer"</formula>
    </cfRule>
  </conditionalFormatting>
  <conditionalFormatting sqref="B208:E211">
    <cfRule type="expression" dxfId="27" priority="2894" stopIfTrue="1">
      <formula>$A208="text"</formula>
    </cfRule>
  </conditionalFormatting>
  <conditionalFormatting sqref="B208:E211">
    <cfRule type="expression" dxfId="28" priority="2895" stopIfTrue="1">
      <formula>$A208="end repeat"</formula>
    </cfRule>
  </conditionalFormatting>
  <conditionalFormatting sqref="B208:E211">
    <cfRule type="expression" dxfId="28" priority="2896" stopIfTrue="1">
      <formula>$A208="begin repeat"</formula>
    </cfRule>
  </conditionalFormatting>
  <conditionalFormatting sqref="B208:E211">
    <cfRule type="expression" dxfId="29" priority="2897" stopIfTrue="1">
      <formula>$A208="end group"</formula>
    </cfRule>
  </conditionalFormatting>
  <conditionalFormatting sqref="B208:E211">
    <cfRule type="expression" dxfId="29" priority="2898" stopIfTrue="1">
      <formula>$A208="begin group"</formula>
    </cfRule>
  </conditionalFormatting>
  <conditionalFormatting sqref="B208:B211">
    <cfRule type="expression" dxfId="30" priority="2899" stopIfTrue="1">
      <formula>$A208="comments"</formula>
    </cfRule>
  </conditionalFormatting>
  <conditionalFormatting sqref="B208:B211">
    <cfRule type="expression" dxfId="36" priority="2900" stopIfTrue="1">
      <formula>OR(AND(LEFT($A208, 14)="sensor_stream ", LEN($A208)&gt;14, NOT(ISNUMBER(SEARCH(" ", $A208, 15)))), AND(LEFT($A208, 17)="sensor_statistic ", LEN($A208)&gt;17, NOT(ISNUMBER(SEARCH(" ", $A208, 18)))))</formula>
    </cfRule>
  </conditionalFormatting>
  <conditionalFormatting sqref="B201:C205 D201:E205">
    <cfRule type="expression" dxfId="0" priority="2901" stopIfTrue="1">
      <formula>$A201="begin group"</formula>
    </cfRule>
  </conditionalFormatting>
  <conditionalFormatting sqref="B201:C205 D201:E205">
    <cfRule type="expression" dxfId="1" priority="2902" stopIfTrue="1">
      <formula>$A201="begin repeat"</formula>
    </cfRule>
  </conditionalFormatting>
  <conditionalFormatting sqref="B201:E205">
    <cfRule type="expression" dxfId="31" priority="2903" stopIfTrue="1">
      <formula>$A201="enumerator"</formula>
    </cfRule>
  </conditionalFormatting>
  <conditionalFormatting sqref="B201:E205">
    <cfRule type="expression" dxfId="2" priority="2904" stopIfTrue="1">
      <formula>$A201="text"</formula>
    </cfRule>
  </conditionalFormatting>
  <conditionalFormatting sqref="B201:E205">
    <cfRule type="expression" dxfId="3" priority="2905" stopIfTrue="1">
      <formula>$A201="integer"</formula>
    </cfRule>
  </conditionalFormatting>
  <conditionalFormatting sqref="B201:E205">
    <cfRule type="expression" dxfId="4" priority="2906" stopIfTrue="1">
      <formula>$A201="decimal"</formula>
    </cfRule>
  </conditionalFormatting>
  <conditionalFormatting sqref="B201:C205 D201:E205">
    <cfRule type="expression" dxfId="5" priority="2907" stopIfTrue="1">
      <formula>OR(AND(LEFT($A201, 16)="select_multiple ", LEN($A201)&gt;16, NOT(ISNUMBER(SEARCH(" ", $A201, 17)))), AND(LEFT($A201, 11)="select_one ", LEN($A201)&gt;11, NOT(ISNUMBER(SEARCH(" ", $A201, 12)))))</formula>
    </cfRule>
  </conditionalFormatting>
  <conditionalFormatting sqref="B201:B205">
    <cfRule type="expression" dxfId="6" priority="2908" stopIfTrue="1">
      <formula>OR($A201="audio audit", $A201="text audit", $A201="speed violations count", $A201="speed violations list", $A201="speed violations audit")</formula>
    </cfRule>
  </conditionalFormatting>
  <conditionalFormatting sqref="B201:C205 D201:E205">
    <cfRule type="expression" dxfId="32" priority="2909" stopIfTrue="1">
      <formula>$A201="file"</formula>
    </cfRule>
  </conditionalFormatting>
  <conditionalFormatting sqref="B201:C205 D201:E205">
    <cfRule type="expression" dxfId="7" priority="2910" stopIfTrue="1">
      <formula>$A201="note"</formula>
    </cfRule>
  </conditionalFormatting>
  <conditionalFormatting sqref="B201:C205 D201:E205">
    <cfRule type="expression" dxfId="8" priority="2911" stopIfTrue="1">
      <formula>$A201="barcode"</formula>
    </cfRule>
  </conditionalFormatting>
  <conditionalFormatting sqref="B201:C205 D201:E205">
    <cfRule type="expression" dxfId="9" priority="2912" stopIfTrue="1">
      <formula>OR($A201="geopoint", $A201="geoshape", $A201="geotrace")</formula>
    </cfRule>
  </conditionalFormatting>
  <conditionalFormatting sqref="B201:B205">
    <cfRule type="expression" dxfId="10" priority="2913" stopIfTrue="1">
      <formula>OR($A201="calculate", $A201="calculate_here")</formula>
    </cfRule>
  </conditionalFormatting>
  <conditionalFormatting sqref="B201:C205 D201:E205">
    <cfRule type="expression" dxfId="11" priority="2914" stopIfTrue="1">
      <formula>OR($A201="date", $A201="datetime", $A201="time")</formula>
    </cfRule>
  </conditionalFormatting>
  <conditionalFormatting sqref="B201:C205 D201:E205">
    <cfRule type="expression" dxfId="12" priority="2915" stopIfTrue="1">
      <formula>$A201="image"</formula>
    </cfRule>
  </conditionalFormatting>
  <conditionalFormatting sqref="B201:C205 D201:E205">
    <cfRule type="expression" dxfId="13" priority="2916" stopIfTrue="1">
      <formula>OR($A201="audio", $A201="video")</formula>
    </cfRule>
  </conditionalFormatting>
  <conditionalFormatting sqref="B201:E205">
    <cfRule type="expression" dxfId="33" priority="2917" stopIfTrue="1">
      <formula>$A201="file"</formula>
    </cfRule>
  </conditionalFormatting>
  <conditionalFormatting sqref="B201:E205">
    <cfRule type="expression" dxfId="34" priority="2918" stopIfTrue="1">
      <formula>$A201="enumerator"</formula>
    </cfRule>
  </conditionalFormatting>
  <conditionalFormatting sqref="B201:E205">
    <cfRule type="expression" dxfId="35" priority="2919" stopIfTrue="1">
      <formula>OR(AND(LEFT($A201, 14)="sensor_stream ", LEN($A201)&gt;14, NOT(ISNUMBER(SEARCH(" ", $A201, 15)))), AND(LEFT($A201, 17)="sensor_statistic ", LEN($A201)&gt;17, NOT(ISNUMBER(SEARCH(" ", $A201, 18)))))</formula>
    </cfRule>
  </conditionalFormatting>
  <conditionalFormatting sqref="B201:E205">
    <cfRule type="expression" dxfId="14" priority="2920" stopIfTrue="1">
      <formula>$A201="comments"</formula>
    </cfRule>
  </conditionalFormatting>
  <conditionalFormatting sqref="B201:E205">
    <cfRule type="expression" dxfId="15" priority="2921" stopIfTrue="1">
      <formula>OR($A201="audio", $A201="video")</formula>
    </cfRule>
  </conditionalFormatting>
  <conditionalFormatting sqref="B201:E205">
    <cfRule type="expression" dxfId="16" priority="2922" stopIfTrue="1">
      <formula>$A201="image"</formula>
    </cfRule>
  </conditionalFormatting>
  <conditionalFormatting sqref="B201:E205">
    <cfRule type="expression" dxfId="17" priority="2923" stopIfTrue="1">
      <formula>OR($A201="date", $A201="datetime", $A201="time")</formula>
    </cfRule>
  </conditionalFormatting>
  <conditionalFormatting sqref="B201:E205">
    <cfRule type="expression" dxfId="18" priority="2924" stopIfTrue="1">
      <formula>OR($A201="calculate", $A201="calculate_here")</formula>
    </cfRule>
  </conditionalFormatting>
  <conditionalFormatting sqref="B201:E205">
    <cfRule type="expression" dxfId="19" priority="2925" stopIfTrue="1">
      <formula>$A201="note"</formula>
    </cfRule>
  </conditionalFormatting>
  <conditionalFormatting sqref="B201:E205">
    <cfRule type="expression" dxfId="20" priority="2926" stopIfTrue="1">
      <formula>$A201="barcode"</formula>
    </cfRule>
  </conditionalFormatting>
  <conditionalFormatting sqref="B201:E205">
    <cfRule type="expression" dxfId="21" priority="2927" stopIfTrue="1">
      <formula>OR($A201="geopoint", $A201="geoshape", $A201="geotrace")</formula>
    </cfRule>
  </conditionalFormatting>
  <conditionalFormatting sqref="B201:E205">
    <cfRule type="expression" dxfId="22" priority="2928" stopIfTrue="1">
      <formula>OR($A201="audio audit", $A201="text audit", $A201="speed violations count", $A201="speed violations list", $A201="speed violations audit")</formula>
    </cfRule>
  </conditionalFormatting>
  <conditionalFormatting sqref="B201:E205">
    <cfRule type="expression" dxfId="23" priority="2929" stopIfTrue="1">
      <formula>OR($A201="username", $A201="phonenumber", $A201="start", $A201="end", $A201="deviceid", $A201="subscriberid", $A201="simserial", $A201="caseid")</formula>
    </cfRule>
  </conditionalFormatting>
  <conditionalFormatting sqref="B201:E205">
    <cfRule type="expression" dxfId="24" priority="2930" stopIfTrue="1">
      <formula>OR(AND(LEFT($A201, 16)="select_multiple ", LEN($A201)&gt;16, NOT(ISNUMBER(SEARCH(" ", $A201, 17)))), AND(LEFT($A201, 11)="select_one ", LEN($A201)&gt;11, NOT(ISNUMBER(SEARCH(" ", $A201, 12)))))</formula>
    </cfRule>
  </conditionalFormatting>
  <conditionalFormatting sqref="B201:E205">
    <cfRule type="expression" dxfId="25" priority="2931" stopIfTrue="1">
      <formula>$A201="decimal"</formula>
    </cfRule>
  </conditionalFormatting>
  <conditionalFormatting sqref="B201:E205">
    <cfRule type="expression" dxfId="26" priority="2932" stopIfTrue="1">
      <formula>$A201="integer"</formula>
    </cfRule>
  </conditionalFormatting>
  <conditionalFormatting sqref="B201:E205">
    <cfRule type="expression" dxfId="27" priority="2933" stopIfTrue="1">
      <formula>$A201="text"</formula>
    </cfRule>
  </conditionalFormatting>
  <conditionalFormatting sqref="B201:E205">
    <cfRule type="expression" dxfId="28" priority="2934" stopIfTrue="1">
      <formula>$A201="end repeat"</formula>
    </cfRule>
  </conditionalFormatting>
  <conditionalFormatting sqref="B201:E205">
    <cfRule type="expression" dxfId="28" priority="2935" stopIfTrue="1">
      <formula>$A201="begin repeat"</formula>
    </cfRule>
  </conditionalFormatting>
  <conditionalFormatting sqref="B201:E205">
    <cfRule type="expression" dxfId="29" priority="2936" stopIfTrue="1">
      <formula>$A201="end group"</formula>
    </cfRule>
  </conditionalFormatting>
  <conditionalFormatting sqref="B201:E205">
    <cfRule type="expression" dxfId="29" priority="2937" stopIfTrue="1">
      <formula>$A201="begin group"</formula>
    </cfRule>
  </conditionalFormatting>
  <conditionalFormatting sqref="B201:B205">
    <cfRule type="expression" dxfId="30" priority="2938" stopIfTrue="1">
      <formula>$A201="comments"</formula>
    </cfRule>
  </conditionalFormatting>
  <conditionalFormatting sqref="B201:B205">
    <cfRule type="expression" dxfId="36" priority="2939" stopIfTrue="1">
      <formula>OR(AND(LEFT($A201, 14)="sensor_stream ", LEN($A201)&gt;14, NOT(ISNUMBER(SEARCH(" ", $A201, 15)))), AND(LEFT($A201, 17)="sensor_statistic ", LEN($A201)&gt;17, NOT(ISNUMBER(SEARCH(" ", $A201, 18)))))</formula>
    </cfRule>
  </conditionalFormatting>
  <conditionalFormatting sqref="B196:C197 D196:E197">
    <cfRule type="expression" dxfId="0" priority="2940" stopIfTrue="1">
      <formula>$A196="begin group"</formula>
    </cfRule>
  </conditionalFormatting>
  <conditionalFormatting sqref="B196:C197 D196:E197">
    <cfRule type="expression" dxfId="1" priority="2941" stopIfTrue="1">
      <formula>$A196="begin repeat"</formula>
    </cfRule>
  </conditionalFormatting>
  <conditionalFormatting sqref="B196:E197">
    <cfRule type="expression" dxfId="31" priority="2942" stopIfTrue="1">
      <formula>$A196="enumerator"</formula>
    </cfRule>
  </conditionalFormatting>
  <conditionalFormatting sqref="B196:E197">
    <cfRule type="expression" dxfId="2" priority="2943" stopIfTrue="1">
      <formula>$A196="text"</formula>
    </cfRule>
  </conditionalFormatting>
  <conditionalFormatting sqref="B196:E197">
    <cfRule type="expression" dxfId="3" priority="2944" stopIfTrue="1">
      <formula>$A196="integer"</formula>
    </cfRule>
  </conditionalFormatting>
  <conditionalFormatting sqref="B196:E197">
    <cfRule type="expression" dxfId="4" priority="2945" stopIfTrue="1">
      <formula>$A196="decimal"</formula>
    </cfRule>
  </conditionalFormatting>
  <conditionalFormatting sqref="B196:C197 D196:E197">
    <cfRule type="expression" dxfId="5" priority="2946" stopIfTrue="1">
      <formula>OR(AND(LEFT($A196, 16)="select_multiple ", LEN($A196)&gt;16, NOT(ISNUMBER(SEARCH(" ", $A196, 17)))), AND(LEFT($A196, 11)="select_one ", LEN($A196)&gt;11, NOT(ISNUMBER(SEARCH(" ", $A196, 12)))))</formula>
    </cfRule>
  </conditionalFormatting>
  <conditionalFormatting sqref="B196:B197">
    <cfRule type="expression" dxfId="6" priority="2947" stopIfTrue="1">
      <formula>OR($A196="audio audit", $A196="text audit", $A196="speed violations count", $A196="speed violations list", $A196="speed violations audit")</formula>
    </cfRule>
  </conditionalFormatting>
  <conditionalFormatting sqref="B196:C197 D196:E197">
    <cfRule type="expression" dxfId="32" priority="2948" stopIfTrue="1">
      <formula>$A196="file"</formula>
    </cfRule>
  </conditionalFormatting>
  <conditionalFormatting sqref="B196:C197 D196:E197">
    <cfRule type="expression" dxfId="7" priority="2949" stopIfTrue="1">
      <formula>$A196="note"</formula>
    </cfRule>
  </conditionalFormatting>
  <conditionalFormatting sqref="B196:C197 D196:E197">
    <cfRule type="expression" dxfId="8" priority="2950" stopIfTrue="1">
      <formula>$A196="barcode"</formula>
    </cfRule>
  </conditionalFormatting>
  <conditionalFormatting sqref="B196:C197 D196:E197">
    <cfRule type="expression" dxfId="9" priority="2951" stopIfTrue="1">
      <formula>OR($A196="geopoint", $A196="geoshape", $A196="geotrace")</formula>
    </cfRule>
  </conditionalFormatting>
  <conditionalFormatting sqref="B196:B197">
    <cfRule type="expression" dxfId="10" priority="2952" stopIfTrue="1">
      <formula>OR($A196="calculate", $A196="calculate_here")</formula>
    </cfRule>
  </conditionalFormatting>
  <conditionalFormatting sqref="B196:C197 D196:E197">
    <cfRule type="expression" dxfId="11" priority="2953" stopIfTrue="1">
      <formula>OR($A196="date", $A196="datetime", $A196="time")</formula>
    </cfRule>
  </conditionalFormatting>
  <conditionalFormatting sqref="B196:C197 D196:E197">
    <cfRule type="expression" dxfId="12" priority="2954" stopIfTrue="1">
      <formula>$A196="image"</formula>
    </cfRule>
  </conditionalFormatting>
  <conditionalFormatting sqref="B196:C197 D196:E197">
    <cfRule type="expression" dxfId="13" priority="2955" stopIfTrue="1">
      <formula>OR($A196="audio", $A196="video")</formula>
    </cfRule>
  </conditionalFormatting>
  <conditionalFormatting sqref="B196:E197">
    <cfRule type="expression" dxfId="33" priority="2956" stopIfTrue="1">
      <formula>$A196="file"</formula>
    </cfRule>
  </conditionalFormatting>
  <conditionalFormatting sqref="B196:E197">
    <cfRule type="expression" dxfId="34" priority="2957" stopIfTrue="1">
      <formula>$A196="enumerator"</formula>
    </cfRule>
  </conditionalFormatting>
  <conditionalFormatting sqref="B196:E197">
    <cfRule type="expression" dxfId="35" priority="2958" stopIfTrue="1">
      <formula>OR(AND(LEFT($A196, 14)="sensor_stream ", LEN($A196)&gt;14, NOT(ISNUMBER(SEARCH(" ", $A196, 15)))), AND(LEFT($A196, 17)="sensor_statistic ", LEN($A196)&gt;17, NOT(ISNUMBER(SEARCH(" ", $A196, 18)))))</formula>
    </cfRule>
  </conditionalFormatting>
  <conditionalFormatting sqref="B196:E197">
    <cfRule type="expression" dxfId="14" priority="2959" stopIfTrue="1">
      <formula>$A196="comments"</formula>
    </cfRule>
  </conditionalFormatting>
  <conditionalFormatting sqref="B196:E197">
    <cfRule type="expression" dxfId="15" priority="2960" stopIfTrue="1">
      <formula>OR($A196="audio", $A196="video")</formula>
    </cfRule>
  </conditionalFormatting>
  <conditionalFormatting sqref="B196:E197">
    <cfRule type="expression" dxfId="16" priority="2961" stopIfTrue="1">
      <formula>$A196="image"</formula>
    </cfRule>
  </conditionalFormatting>
  <conditionalFormatting sqref="B196:E197">
    <cfRule type="expression" dxfId="17" priority="2962" stopIfTrue="1">
      <formula>OR($A196="date", $A196="datetime", $A196="time")</formula>
    </cfRule>
  </conditionalFormatting>
  <conditionalFormatting sqref="B196:E197">
    <cfRule type="expression" dxfId="18" priority="2963" stopIfTrue="1">
      <formula>OR($A196="calculate", $A196="calculate_here")</formula>
    </cfRule>
  </conditionalFormatting>
  <conditionalFormatting sqref="B196:E197">
    <cfRule type="expression" dxfId="19" priority="2964" stopIfTrue="1">
      <formula>$A196="note"</formula>
    </cfRule>
  </conditionalFormatting>
  <conditionalFormatting sqref="B196:E197">
    <cfRule type="expression" dxfId="20" priority="2965" stopIfTrue="1">
      <formula>$A196="barcode"</formula>
    </cfRule>
  </conditionalFormatting>
  <conditionalFormatting sqref="B196:E197">
    <cfRule type="expression" dxfId="21" priority="2966" stopIfTrue="1">
      <formula>OR($A196="geopoint", $A196="geoshape", $A196="geotrace")</formula>
    </cfRule>
  </conditionalFormatting>
  <conditionalFormatting sqref="B196:E197">
    <cfRule type="expression" dxfId="22" priority="2967" stopIfTrue="1">
      <formula>OR($A196="audio audit", $A196="text audit", $A196="speed violations count", $A196="speed violations list", $A196="speed violations audit")</formula>
    </cfRule>
  </conditionalFormatting>
  <conditionalFormatting sqref="B196:E197">
    <cfRule type="expression" dxfId="23" priority="2968" stopIfTrue="1">
      <formula>OR($A196="username", $A196="phonenumber", $A196="start", $A196="end", $A196="deviceid", $A196="subscriberid", $A196="simserial", $A196="caseid")</formula>
    </cfRule>
  </conditionalFormatting>
  <conditionalFormatting sqref="B196:E197">
    <cfRule type="expression" dxfId="24" priority="2969" stopIfTrue="1">
      <formula>OR(AND(LEFT($A196, 16)="select_multiple ", LEN($A196)&gt;16, NOT(ISNUMBER(SEARCH(" ", $A196, 17)))), AND(LEFT($A196, 11)="select_one ", LEN($A196)&gt;11, NOT(ISNUMBER(SEARCH(" ", $A196, 12)))))</formula>
    </cfRule>
  </conditionalFormatting>
  <conditionalFormatting sqref="B196:E197">
    <cfRule type="expression" dxfId="25" priority="2970" stopIfTrue="1">
      <formula>$A196="decimal"</formula>
    </cfRule>
  </conditionalFormatting>
  <conditionalFormatting sqref="B196:E197">
    <cfRule type="expression" dxfId="26" priority="2971" stopIfTrue="1">
      <formula>$A196="integer"</formula>
    </cfRule>
  </conditionalFormatting>
  <conditionalFormatting sqref="B196:E197">
    <cfRule type="expression" dxfId="27" priority="2972" stopIfTrue="1">
      <formula>$A196="text"</formula>
    </cfRule>
  </conditionalFormatting>
  <conditionalFormatting sqref="B196:E197">
    <cfRule type="expression" dxfId="28" priority="2973" stopIfTrue="1">
      <formula>$A196="end repeat"</formula>
    </cfRule>
  </conditionalFormatting>
  <conditionalFormatting sqref="B196:E197">
    <cfRule type="expression" dxfId="28" priority="2974" stopIfTrue="1">
      <formula>$A196="begin repeat"</formula>
    </cfRule>
  </conditionalFormatting>
  <conditionalFormatting sqref="B196:E197">
    <cfRule type="expression" dxfId="29" priority="2975" stopIfTrue="1">
      <formula>$A196="end group"</formula>
    </cfRule>
  </conditionalFormatting>
  <conditionalFormatting sqref="B196:E197">
    <cfRule type="expression" dxfId="29" priority="2976" stopIfTrue="1">
      <formula>$A196="begin group"</formula>
    </cfRule>
  </conditionalFormatting>
  <conditionalFormatting sqref="B196:B197">
    <cfRule type="expression" dxfId="30" priority="2977" stopIfTrue="1">
      <formula>$A196="comments"</formula>
    </cfRule>
  </conditionalFormatting>
  <conditionalFormatting sqref="B196:B197">
    <cfRule type="expression" dxfId="36" priority="2978" stopIfTrue="1">
      <formula>OR(AND(LEFT($A196, 14)="sensor_stream ", LEN($A196)&gt;14, NOT(ISNUMBER(SEARCH(" ", $A196, 15)))), AND(LEFT($A196, 17)="sensor_statistic ", LEN($A196)&gt;17, NOT(ISNUMBER(SEARCH(" ", $A196, 18)))))</formula>
    </cfRule>
  </conditionalFormatting>
  <conditionalFormatting sqref="B188:C192 D188:E192">
    <cfRule type="expression" dxfId="0" priority="2979" stopIfTrue="1">
      <formula>$A188="begin group"</formula>
    </cfRule>
  </conditionalFormatting>
  <conditionalFormatting sqref="B188:C192 D188:E192">
    <cfRule type="expression" dxfId="1" priority="2980" stopIfTrue="1">
      <formula>$A188="begin repeat"</formula>
    </cfRule>
  </conditionalFormatting>
  <conditionalFormatting sqref="B188:E192">
    <cfRule type="expression" dxfId="31" priority="2981" stopIfTrue="1">
      <formula>$A188="enumerator"</formula>
    </cfRule>
  </conditionalFormatting>
  <conditionalFormatting sqref="B188:E192">
    <cfRule type="expression" dxfId="2" priority="2982" stopIfTrue="1">
      <formula>$A188="text"</formula>
    </cfRule>
  </conditionalFormatting>
  <conditionalFormatting sqref="B188:E192">
    <cfRule type="expression" dxfId="3" priority="2983" stopIfTrue="1">
      <formula>$A188="integer"</formula>
    </cfRule>
  </conditionalFormatting>
  <conditionalFormatting sqref="B188:E192">
    <cfRule type="expression" dxfId="4" priority="2984" stopIfTrue="1">
      <formula>$A188="decimal"</formula>
    </cfRule>
  </conditionalFormatting>
  <conditionalFormatting sqref="B188:C192 D188:E192">
    <cfRule type="expression" dxfId="5" priority="2985" stopIfTrue="1">
      <formula>OR(AND(LEFT($A188, 16)="select_multiple ", LEN($A188)&gt;16, NOT(ISNUMBER(SEARCH(" ", $A188, 17)))), AND(LEFT($A188, 11)="select_one ", LEN($A188)&gt;11, NOT(ISNUMBER(SEARCH(" ", $A188, 12)))))</formula>
    </cfRule>
  </conditionalFormatting>
  <conditionalFormatting sqref="B188:B192 C190">
    <cfRule type="expression" dxfId="6" priority="2986" stopIfTrue="1">
      <formula>OR($A188="audio audit", $A188="text audit", $A188="speed violations count", $A188="speed violations list", $A188="speed violations audit")</formula>
    </cfRule>
  </conditionalFormatting>
  <conditionalFormatting sqref="B188:C192 D188:E192">
    <cfRule type="expression" dxfId="32" priority="2987" stopIfTrue="1">
      <formula>$A188="file"</formula>
    </cfRule>
  </conditionalFormatting>
  <conditionalFormatting sqref="B188:C192 D188:E192">
    <cfRule type="expression" dxfId="7" priority="2988" stopIfTrue="1">
      <formula>$A188="note"</formula>
    </cfRule>
  </conditionalFormatting>
  <conditionalFormatting sqref="B188:C192 D188:E192">
    <cfRule type="expression" dxfId="8" priority="2989" stopIfTrue="1">
      <formula>$A188="barcode"</formula>
    </cfRule>
  </conditionalFormatting>
  <conditionalFormatting sqref="B188:C192 D188:E192">
    <cfRule type="expression" dxfId="9" priority="2990" stopIfTrue="1">
      <formula>OR($A188="geopoint", $A188="geoshape", $A188="geotrace")</formula>
    </cfRule>
  </conditionalFormatting>
  <conditionalFormatting sqref="B188:B192 C190">
    <cfRule type="expression" dxfId="10" priority="2991" stopIfTrue="1">
      <formula>OR($A188="calculate", $A188="calculate_here")</formula>
    </cfRule>
  </conditionalFormatting>
  <conditionalFormatting sqref="B188:C192 D188:E192">
    <cfRule type="expression" dxfId="11" priority="2992" stopIfTrue="1">
      <formula>OR($A188="date", $A188="datetime", $A188="time")</formula>
    </cfRule>
  </conditionalFormatting>
  <conditionalFormatting sqref="B188:C192 D188:E192">
    <cfRule type="expression" dxfId="12" priority="2993" stopIfTrue="1">
      <formula>$A188="image"</formula>
    </cfRule>
  </conditionalFormatting>
  <conditionalFormatting sqref="B188:C192 D188:E192">
    <cfRule type="expression" dxfId="13" priority="2994" stopIfTrue="1">
      <formula>OR($A188="audio", $A188="video")</formula>
    </cfRule>
  </conditionalFormatting>
  <conditionalFormatting sqref="B188:E192">
    <cfRule type="expression" dxfId="33" priority="2995" stopIfTrue="1">
      <formula>$A188="file"</formula>
    </cfRule>
  </conditionalFormatting>
  <conditionalFormatting sqref="B188:E192">
    <cfRule type="expression" dxfId="34" priority="2996" stopIfTrue="1">
      <formula>$A188="enumerator"</formula>
    </cfRule>
  </conditionalFormatting>
  <conditionalFormatting sqref="B188:E192">
    <cfRule type="expression" dxfId="35" priority="2997" stopIfTrue="1">
      <formula>OR(AND(LEFT($A188, 14)="sensor_stream ", LEN($A188)&gt;14, NOT(ISNUMBER(SEARCH(" ", $A188, 15)))), AND(LEFT($A188, 17)="sensor_statistic ", LEN($A188)&gt;17, NOT(ISNUMBER(SEARCH(" ", $A188, 18)))))</formula>
    </cfRule>
  </conditionalFormatting>
  <conditionalFormatting sqref="B188:E192">
    <cfRule type="expression" dxfId="14" priority="2998" stopIfTrue="1">
      <formula>$A188="comments"</formula>
    </cfRule>
  </conditionalFormatting>
  <conditionalFormatting sqref="B188:E192">
    <cfRule type="expression" dxfId="15" priority="2999" stopIfTrue="1">
      <formula>OR($A188="audio", $A188="video")</formula>
    </cfRule>
  </conditionalFormatting>
  <conditionalFormatting sqref="B188:E192">
    <cfRule type="expression" dxfId="16" priority="3000" stopIfTrue="1">
      <formula>$A188="image"</formula>
    </cfRule>
  </conditionalFormatting>
  <conditionalFormatting sqref="B188:E192">
    <cfRule type="expression" dxfId="17" priority="3001" stopIfTrue="1">
      <formula>OR($A188="date", $A188="datetime", $A188="time")</formula>
    </cfRule>
  </conditionalFormatting>
  <conditionalFormatting sqref="B188:E192">
    <cfRule type="expression" dxfId="18" priority="3002" stopIfTrue="1">
      <formula>OR($A188="calculate", $A188="calculate_here")</formula>
    </cfRule>
  </conditionalFormatting>
  <conditionalFormatting sqref="B188:E192">
    <cfRule type="expression" dxfId="19" priority="3003" stopIfTrue="1">
      <formula>$A188="note"</formula>
    </cfRule>
  </conditionalFormatting>
  <conditionalFormatting sqref="B188:E192">
    <cfRule type="expression" dxfId="20" priority="3004" stopIfTrue="1">
      <formula>$A188="barcode"</formula>
    </cfRule>
  </conditionalFormatting>
  <conditionalFormatting sqref="B188:E192">
    <cfRule type="expression" dxfId="21" priority="3005" stopIfTrue="1">
      <formula>OR($A188="geopoint", $A188="geoshape", $A188="geotrace")</formula>
    </cfRule>
  </conditionalFormatting>
  <conditionalFormatting sqref="B188:E192">
    <cfRule type="expression" dxfId="22" priority="3006" stopIfTrue="1">
      <formula>OR($A188="audio audit", $A188="text audit", $A188="speed violations count", $A188="speed violations list", $A188="speed violations audit")</formula>
    </cfRule>
  </conditionalFormatting>
  <conditionalFormatting sqref="B188:E192">
    <cfRule type="expression" dxfId="23" priority="3007" stopIfTrue="1">
      <formula>OR($A188="username", $A188="phonenumber", $A188="start", $A188="end", $A188="deviceid", $A188="subscriberid", $A188="simserial", $A188="caseid")</formula>
    </cfRule>
  </conditionalFormatting>
  <conditionalFormatting sqref="B188:E192">
    <cfRule type="expression" dxfId="24" priority="3008" stopIfTrue="1">
      <formula>OR(AND(LEFT($A188, 16)="select_multiple ", LEN($A188)&gt;16, NOT(ISNUMBER(SEARCH(" ", $A188, 17)))), AND(LEFT($A188, 11)="select_one ", LEN($A188)&gt;11, NOT(ISNUMBER(SEARCH(" ", $A188, 12)))))</formula>
    </cfRule>
  </conditionalFormatting>
  <conditionalFormatting sqref="B188:E192">
    <cfRule type="expression" dxfId="25" priority="3009" stopIfTrue="1">
      <formula>$A188="decimal"</formula>
    </cfRule>
  </conditionalFormatting>
  <conditionalFormatting sqref="B188:E192">
    <cfRule type="expression" dxfId="26" priority="3010" stopIfTrue="1">
      <formula>$A188="integer"</formula>
    </cfRule>
  </conditionalFormatting>
  <conditionalFormatting sqref="B188:E192">
    <cfRule type="expression" dxfId="27" priority="3011" stopIfTrue="1">
      <formula>$A188="text"</formula>
    </cfRule>
  </conditionalFormatting>
  <conditionalFormatting sqref="B188:E192">
    <cfRule type="expression" dxfId="28" priority="3012" stopIfTrue="1">
      <formula>$A188="end repeat"</formula>
    </cfRule>
  </conditionalFormatting>
  <conditionalFormatting sqref="B188:E192">
    <cfRule type="expression" dxfId="28" priority="3013" stopIfTrue="1">
      <formula>$A188="begin repeat"</formula>
    </cfRule>
  </conditionalFormatting>
  <conditionalFormatting sqref="B188:E192">
    <cfRule type="expression" dxfId="29" priority="3014" stopIfTrue="1">
      <formula>$A188="end group"</formula>
    </cfRule>
  </conditionalFormatting>
  <conditionalFormatting sqref="B188:E192">
    <cfRule type="expression" dxfId="29" priority="3015" stopIfTrue="1">
      <formula>$A188="begin group"</formula>
    </cfRule>
  </conditionalFormatting>
  <conditionalFormatting sqref="B188:B192 C190">
    <cfRule type="expression" dxfId="30" priority="3016" stopIfTrue="1">
      <formula>$A188="comments"</formula>
    </cfRule>
  </conditionalFormatting>
  <conditionalFormatting sqref="B188:B192 C190">
    <cfRule type="expression" dxfId="36" priority="3017" stopIfTrue="1">
      <formula>OR(AND(LEFT($A188, 14)="sensor_stream ", LEN($A188)&gt;14, NOT(ISNUMBER(SEARCH(" ", $A188, 15)))), AND(LEFT($A188, 17)="sensor_statistic ", LEN($A188)&gt;17, NOT(ISNUMBER(SEARCH(" ", $A188, 18)))))</formula>
    </cfRule>
  </conditionalFormatting>
  <conditionalFormatting sqref="B185:C185 D185:E185">
    <cfRule type="expression" dxfId="0" priority="3018" stopIfTrue="1">
      <formula>$A185="begin group"</formula>
    </cfRule>
  </conditionalFormatting>
  <conditionalFormatting sqref="B185:C185 D185:E185">
    <cfRule type="expression" dxfId="1" priority="3019" stopIfTrue="1">
      <formula>$A185="begin repeat"</formula>
    </cfRule>
  </conditionalFormatting>
  <conditionalFormatting sqref="B185:E185">
    <cfRule type="expression" dxfId="31" priority="3020" stopIfTrue="1">
      <formula>$A185="enumerator"</formula>
    </cfRule>
  </conditionalFormatting>
  <conditionalFormatting sqref="B185:E185">
    <cfRule type="expression" dxfId="2" priority="3021" stopIfTrue="1">
      <formula>$A185="text"</formula>
    </cfRule>
  </conditionalFormatting>
  <conditionalFormatting sqref="B185:E185">
    <cfRule type="expression" dxfId="3" priority="3022" stopIfTrue="1">
      <formula>$A185="integer"</formula>
    </cfRule>
  </conditionalFormatting>
  <conditionalFormatting sqref="B185:E185">
    <cfRule type="expression" dxfId="4" priority="3023" stopIfTrue="1">
      <formula>$A185="decimal"</formula>
    </cfRule>
  </conditionalFormatting>
  <conditionalFormatting sqref="B185:C185 D185:E185">
    <cfRule type="expression" dxfId="5" priority="3024" stopIfTrue="1">
      <formula>OR(AND(LEFT($A185, 16)="select_multiple ", LEN($A185)&gt;16, NOT(ISNUMBER(SEARCH(" ", $A185, 17)))), AND(LEFT($A185, 11)="select_one ", LEN($A185)&gt;11, NOT(ISNUMBER(SEARCH(" ", $A185, 12)))))</formula>
    </cfRule>
  </conditionalFormatting>
  <conditionalFormatting sqref="B185">
    <cfRule type="expression" dxfId="6" priority="3025" stopIfTrue="1">
      <formula>OR($A185="audio audit", $A185="text audit", $A185="speed violations count", $A185="speed violations list", $A185="speed violations audit")</formula>
    </cfRule>
  </conditionalFormatting>
  <conditionalFormatting sqref="B185:C185 D185:E185">
    <cfRule type="expression" dxfId="32" priority="3026" stopIfTrue="1">
      <formula>$A185="file"</formula>
    </cfRule>
  </conditionalFormatting>
  <conditionalFormatting sqref="B185:C185 D185:E185">
    <cfRule type="expression" dxfId="7" priority="3027" stopIfTrue="1">
      <formula>$A185="note"</formula>
    </cfRule>
  </conditionalFormatting>
  <conditionalFormatting sqref="B185:C185 D185:E185">
    <cfRule type="expression" dxfId="8" priority="3028" stopIfTrue="1">
      <formula>$A185="barcode"</formula>
    </cfRule>
  </conditionalFormatting>
  <conditionalFormatting sqref="B185:C185 D185:E185">
    <cfRule type="expression" dxfId="9" priority="3029" stopIfTrue="1">
      <formula>OR($A185="geopoint", $A185="geoshape", $A185="geotrace")</formula>
    </cfRule>
  </conditionalFormatting>
  <conditionalFormatting sqref="B185">
    <cfRule type="expression" dxfId="10" priority="3030" stopIfTrue="1">
      <formula>OR($A185="calculate", $A185="calculate_here")</formula>
    </cfRule>
  </conditionalFormatting>
  <conditionalFormatting sqref="B185:C185 D185:E185">
    <cfRule type="expression" dxfId="11" priority="3031" stopIfTrue="1">
      <formula>OR($A185="date", $A185="datetime", $A185="time")</formula>
    </cfRule>
  </conditionalFormatting>
  <conditionalFormatting sqref="B185:C185 D185:E185">
    <cfRule type="expression" dxfId="12" priority="3032" stopIfTrue="1">
      <formula>$A185="image"</formula>
    </cfRule>
  </conditionalFormatting>
  <conditionalFormatting sqref="B185:C185 D185:E185">
    <cfRule type="expression" dxfId="13" priority="3033" stopIfTrue="1">
      <formula>OR($A185="audio", $A185="video")</formula>
    </cfRule>
  </conditionalFormatting>
  <conditionalFormatting sqref="B185:E185">
    <cfRule type="expression" dxfId="33" priority="3034" stopIfTrue="1">
      <formula>$A185="file"</formula>
    </cfRule>
  </conditionalFormatting>
  <conditionalFormatting sqref="B185:E185">
    <cfRule type="expression" dxfId="34" priority="3035" stopIfTrue="1">
      <formula>$A185="enumerator"</formula>
    </cfRule>
  </conditionalFormatting>
  <conditionalFormatting sqref="B185:E185">
    <cfRule type="expression" dxfId="35" priority="3036" stopIfTrue="1">
      <formula>OR(AND(LEFT($A185, 14)="sensor_stream ", LEN($A185)&gt;14, NOT(ISNUMBER(SEARCH(" ", $A185, 15)))), AND(LEFT($A185, 17)="sensor_statistic ", LEN($A185)&gt;17, NOT(ISNUMBER(SEARCH(" ", $A185, 18)))))</formula>
    </cfRule>
  </conditionalFormatting>
  <conditionalFormatting sqref="B185:E185">
    <cfRule type="expression" dxfId="14" priority="3037" stopIfTrue="1">
      <formula>$A185="comments"</formula>
    </cfRule>
  </conditionalFormatting>
  <conditionalFormatting sqref="B185:E185">
    <cfRule type="expression" dxfId="15" priority="3038" stopIfTrue="1">
      <formula>OR($A185="audio", $A185="video")</formula>
    </cfRule>
  </conditionalFormatting>
  <conditionalFormatting sqref="B185:E185">
    <cfRule type="expression" dxfId="16" priority="3039" stopIfTrue="1">
      <formula>$A185="image"</formula>
    </cfRule>
  </conditionalFormatting>
  <conditionalFormatting sqref="B185:E185">
    <cfRule type="expression" dxfId="17" priority="3040" stopIfTrue="1">
      <formula>OR($A185="date", $A185="datetime", $A185="time")</formula>
    </cfRule>
  </conditionalFormatting>
  <conditionalFormatting sqref="B185:E185">
    <cfRule type="expression" dxfId="18" priority="3041" stopIfTrue="1">
      <formula>OR($A185="calculate", $A185="calculate_here")</formula>
    </cfRule>
  </conditionalFormatting>
  <conditionalFormatting sqref="B185:E185">
    <cfRule type="expression" dxfId="19" priority="3042" stopIfTrue="1">
      <formula>$A185="note"</formula>
    </cfRule>
  </conditionalFormatting>
  <conditionalFormatting sqref="B185:E185">
    <cfRule type="expression" dxfId="20" priority="3043" stopIfTrue="1">
      <formula>$A185="barcode"</formula>
    </cfRule>
  </conditionalFormatting>
  <conditionalFormatting sqref="B185:E185">
    <cfRule type="expression" dxfId="21" priority="3044" stopIfTrue="1">
      <formula>OR($A185="geopoint", $A185="geoshape", $A185="geotrace")</formula>
    </cfRule>
  </conditionalFormatting>
  <conditionalFormatting sqref="B185:E185">
    <cfRule type="expression" dxfId="22" priority="3045" stopIfTrue="1">
      <formula>OR($A185="audio audit", $A185="text audit", $A185="speed violations count", $A185="speed violations list", $A185="speed violations audit")</formula>
    </cfRule>
  </conditionalFormatting>
  <conditionalFormatting sqref="B185:E185">
    <cfRule type="expression" dxfId="23" priority="3046" stopIfTrue="1">
      <formula>OR($A185="username", $A185="phonenumber", $A185="start", $A185="end", $A185="deviceid", $A185="subscriberid", $A185="simserial", $A185="caseid")</formula>
    </cfRule>
  </conditionalFormatting>
  <conditionalFormatting sqref="B185:E185">
    <cfRule type="expression" dxfId="24" priority="3047" stopIfTrue="1">
      <formula>OR(AND(LEFT($A185, 16)="select_multiple ", LEN($A185)&gt;16, NOT(ISNUMBER(SEARCH(" ", $A185, 17)))), AND(LEFT($A185, 11)="select_one ", LEN($A185)&gt;11, NOT(ISNUMBER(SEARCH(" ", $A185, 12)))))</formula>
    </cfRule>
  </conditionalFormatting>
  <conditionalFormatting sqref="B185:E185">
    <cfRule type="expression" dxfId="25" priority="3048" stopIfTrue="1">
      <formula>$A185="decimal"</formula>
    </cfRule>
  </conditionalFormatting>
  <conditionalFormatting sqref="B185:E185">
    <cfRule type="expression" dxfId="26" priority="3049" stopIfTrue="1">
      <formula>$A185="integer"</formula>
    </cfRule>
  </conditionalFormatting>
  <conditionalFormatting sqref="B185:E185">
    <cfRule type="expression" dxfId="27" priority="3050" stopIfTrue="1">
      <formula>$A185="text"</formula>
    </cfRule>
  </conditionalFormatting>
  <conditionalFormatting sqref="B185:E185">
    <cfRule type="expression" dxfId="28" priority="3051" stopIfTrue="1">
      <formula>$A185="end repeat"</formula>
    </cfRule>
  </conditionalFormatting>
  <conditionalFormatting sqref="B185:E185">
    <cfRule type="expression" dxfId="28" priority="3052" stopIfTrue="1">
      <formula>$A185="begin repeat"</formula>
    </cfRule>
  </conditionalFormatting>
  <conditionalFormatting sqref="B185:E185">
    <cfRule type="expression" dxfId="29" priority="3053" stopIfTrue="1">
      <formula>$A185="end group"</formula>
    </cfRule>
  </conditionalFormatting>
  <conditionalFormatting sqref="B185:E185">
    <cfRule type="expression" dxfId="29" priority="3054" stopIfTrue="1">
      <formula>$A185="begin group"</formula>
    </cfRule>
  </conditionalFormatting>
  <conditionalFormatting sqref="B185">
    <cfRule type="expression" dxfId="30" priority="3055" stopIfTrue="1">
      <formula>$A185="comments"</formula>
    </cfRule>
  </conditionalFormatting>
  <conditionalFormatting sqref="B185">
    <cfRule type="expression" dxfId="36" priority="3056" stopIfTrue="1">
      <formula>OR(AND(LEFT($A185, 14)="sensor_stream ", LEN($A185)&gt;14, NOT(ISNUMBER(SEARCH(" ", $A185, 15)))), AND(LEFT($A185, 17)="sensor_statistic ", LEN($A185)&gt;17, NOT(ISNUMBER(SEARCH(" ", $A185, 18)))))</formula>
    </cfRule>
  </conditionalFormatting>
  <conditionalFormatting sqref="B182:C182 D182:E182">
    <cfRule type="expression" dxfId="0" priority="3057" stopIfTrue="1">
      <formula>$A182="begin group"</formula>
    </cfRule>
  </conditionalFormatting>
  <conditionalFormatting sqref="B182:C182 D182:E182">
    <cfRule type="expression" dxfId="1" priority="3058" stopIfTrue="1">
      <formula>$A182="begin repeat"</formula>
    </cfRule>
  </conditionalFormatting>
  <conditionalFormatting sqref="B182:E182">
    <cfRule type="expression" dxfId="31" priority="3059" stopIfTrue="1">
      <formula>$A182="enumerator"</formula>
    </cfRule>
  </conditionalFormatting>
  <conditionalFormatting sqref="B182:E182">
    <cfRule type="expression" dxfId="2" priority="3060" stopIfTrue="1">
      <formula>$A182="text"</formula>
    </cfRule>
  </conditionalFormatting>
  <conditionalFormatting sqref="B182:E182">
    <cfRule type="expression" dxfId="3" priority="3061" stopIfTrue="1">
      <formula>$A182="integer"</formula>
    </cfRule>
  </conditionalFormatting>
  <conditionalFormatting sqref="B182:E182">
    <cfRule type="expression" dxfId="4" priority="3062" stopIfTrue="1">
      <formula>$A182="decimal"</formula>
    </cfRule>
  </conditionalFormatting>
  <conditionalFormatting sqref="B182:C182 D182:E182">
    <cfRule type="expression" dxfId="5" priority="3063" stopIfTrue="1">
      <formula>OR(AND(LEFT($A182, 16)="select_multiple ", LEN($A182)&gt;16, NOT(ISNUMBER(SEARCH(" ", $A182, 17)))), AND(LEFT($A182, 11)="select_one ", LEN($A182)&gt;11, NOT(ISNUMBER(SEARCH(" ", $A182, 12)))))</formula>
    </cfRule>
  </conditionalFormatting>
  <conditionalFormatting sqref="B182">
    <cfRule type="expression" dxfId="6" priority="3064" stopIfTrue="1">
      <formula>OR($A182="audio audit", $A182="text audit", $A182="speed violations count", $A182="speed violations list", $A182="speed violations audit")</formula>
    </cfRule>
  </conditionalFormatting>
  <conditionalFormatting sqref="B182:C182 D182:E182">
    <cfRule type="expression" dxfId="32" priority="3065" stopIfTrue="1">
      <formula>$A182="file"</formula>
    </cfRule>
  </conditionalFormatting>
  <conditionalFormatting sqref="B182:C182 D182:E182">
    <cfRule type="expression" dxfId="7" priority="3066" stopIfTrue="1">
      <formula>$A182="note"</formula>
    </cfRule>
  </conditionalFormatting>
  <conditionalFormatting sqref="B182:C182 D182:E182">
    <cfRule type="expression" dxfId="8" priority="3067" stopIfTrue="1">
      <formula>$A182="barcode"</formula>
    </cfRule>
  </conditionalFormatting>
  <conditionalFormatting sqref="B182:C182 D182:E182">
    <cfRule type="expression" dxfId="9" priority="3068" stopIfTrue="1">
      <formula>OR($A182="geopoint", $A182="geoshape", $A182="geotrace")</formula>
    </cfRule>
  </conditionalFormatting>
  <conditionalFormatting sqref="B182">
    <cfRule type="expression" dxfId="10" priority="3069" stopIfTrue="1">
      <formula>OR($A182="calculate", $A182="calculate_here")</formula>
    </cfRule>
  </conditionalFormatting>
  <conditionalFormatting sqref="B182:C182 D182:E182">
    <cfRule type="expression" dxfId="11" priority="3070" stopIfTrue="1">
      <formula>OR($A182="date", $A182="datetime", $A182="time")</formula>
    </cfRule>
  </conditionalFormatting>
  <conditionalFormatting sqref="B182:C182 D182:E182">
    <cfRule type="expression" dxfId="12" priority="3071" stopIfTrue="1">
      <formula>$A182="image"</formula>
    </cfRule>
  </conditionalFormatting>
  <conditionalFormatting sqref="B182:C182 D182:E182">
    <cfRule type="expression" dxfId="13" priority="3072" stopIfTrue="1">
      <formula>OR($A182="audio", $A182="video")</formula>
    </cfRule>
  </conditionalFormatting>
  <conditionalFormatting sqref="B182:E182">
    <cfRule type="expression" dxfId="33" priority="3073" stopIfTrue="1">
      <formula>$A182="file"</formula>
    </cfRule>
  </conditionalFormatting>
  <conditionalFormatting sqref="B182:E182">
    <cfRule type="expression" dxfId="34" priority="3074" stopIfTrue="1">
      <formula>$A182="enumerator"</formula>
    </cfRule>
  </conditionalFormatting>
  <conditionalFormatting sqref="B182:E182">
    <cfRule type="expression" dxfId="35" priority="3075" stopIfTrue="1">
      <formula>OR(AND(LEFT($A182, 14)="sensor_stream ", LEN($A182)&gt;14, NOT(ISNUMBER(SEARCH(" ", $A182, 15)))), AND(LEFT($A182, 17)="sensor_statistic ", LEN($A182)&gt;17, NOT(ISNUMBER(SEARCH(" ", $A182, 18)))))</formula>
    </cfRule>
  </conditionalFormatting>
  <conditionalFormatting sqref="B182:E182">
    <cfRule type="expression" dxfId="14" priority="3076" stopIfTrue="1">
      <formula>$A182="comments"</formula>
    </cfRule>
  </conditionalFormatting>
  <conditionalFormatting sqref="B182:E182">
    <cfRule type="expression" dxfId="15" priority="3077" stopIfTrue="1">
      <formula>OR($A182="audio", $A182="video")</formula>
    </cfRule>
  </conditionalFormatting>
  <conditionalFormatting sqref="B182:E182">
    <cfRule type="expression" dxfId="16" priority="3078" stopIfTrue="1">
      <formula>$A182="image"</formula>
    </cfRule>
  </conditionalFormatting>
  <conditionalFormatting sqref="B182:E182">
    <cfRule type="expression" dxfId="17" priority="3079" stopIfTrue="1">
      <formula>OR($A182="date", $A182="datetime", $A182="time")</formula>
    </cfRule>
  </conditionalFormatting>
  <conditionalFormatting sqref="B182:E182">
    <cfRule type="expression" dxfId="18" priority="3080" stopIfTrue="1">
      <formula>OR($A182="calculate", $A182="calculate_here")</formula>
    </cfRule>
  </conditionalFormatting>
  <conditionalFormatting sqref="B182:E182">
    <cfRule type="expression" dxfId="19" priority="3081" stopIfTrue="1">
      <formula>$A182="note"</formula>
    </cfRule>
  </conditionalFormatting>
  <conditionalFormatting sqref="B182:E182">
    <cfRule type="expression" dxfId="20" priority="3082" stopIfTrue="1">
      <formula>$A182="barcode"</formula>
    </cfRule>
  </conditionalFormatting>
  <conditionalFormatting sqref="B182:E182">
    <cfRule type="expression" dxfId="21" priority="3083" stopIfTrue="1">
      <formula>OR($A182="geopoint", $A182="geoshape", $A182="geotrace")</formula>
    </cfRule>
  </conditionalFormatting>
  <conditionalFormatting sqref="B182:E182">
    <cfRule type="expression" dxfId="22" priority="3084" stopIfTrue="1">
      <formula>OR($A182="audio audit", $A182="text audit", $A182="speed violations count", $A182="speed violations list", $A182="speed violations audit")</formula>
    </cfRule>
  </conditionalFormatting>
  <conditionalFormatting sqref="B182:E182">
    <cfRule type="expression" dxfId="23" priority="3085" stopIfTrue="1">
      <formula>OR($A182="username", $A182="phonenumber", $A182="start", $A182="end", $A182="deviceid", $A182="subscriberid", $A182="simserial", $A182="caseid")</formula>
    </cfRule>
  </conditionalFormatting>
  <conditionalFormatting sqref="B182:E182">
    <cfRule type="expression" dxfId="24" priority="3086" stopIfTrue="1">
      <formula>OR(AND(LEFT($A182, 16)="select_multiple ", LEN($A182)&gt;16, NOT(ISNUMBER(SEARCH(" ", $A182, 17)))), AND(LEFT($A182, 11)="select_one ", LEN($A182)&gt;11, NOT(ISNUMBER(SEARCH(" ", $A182, 12)))))</formula>
    </cfRule>
  </conditionalFormatting>
  <conditionalFormatting sqref="B182:E182">
    <cfRule type="expression" dxfId="25" priority="3087" stopIfTrue="1">
      <formula>$A182="decimal"</formula>
    </cfRule>
  </conditionalFormatting>
  <conditionalFormatting sqref="B182:E182">
    <cfRule type="expression" dxfId="26" priority="3088" stopIfTrue="1">
      <formula>$A182="integer"</formula>
    </cfRule>
  </conditionalFormatting>
  <conditionalFormatting sqref="B182:E182">
    <cfRule type="expression" dxfId="27" priority="3089" stopIfTrue="1">
      <formula>$A182="text"</formula>
    </cfRule>
  </conditionalFormatting>
  <conditionalFormatting sqref="B182:E182">
    <cfRule type="expression" dxfId="28" priority="3090" stopIfTrue="1">
      <formula>$A182="end repeat"</formula>
    </cfRule>
  </conditionalFormatting>
  <conditionalFormatting sqref="B182:E182">
    <cfRule type="expression" dxfId="28" priority="3091" stopIfTrue="1">
      <formula>$A182="begin repeat"</formula>
    </cfRule>
  </conditionalFormatting>
  <conditionalFormatting sqref="B182:E182">
    <cfRule type="expression" dxfId="29" priority="3092" stopIfTrue="1">
      <formula>$A182="end group"</formula>
    </cfRule>
  </conditionalFormatting>
  <conditionalFormatting sqref="B182:E182">
    <cfRule type="expression" dxfId="29" priority="3093" stopIfTrue="1">
      <formula>$A182="begin group"</formula>
    </cfRule>
  </conditionalFormatting>
  <conditionalFormatting sqref="B182">
    <cfRule type="expression" dxfId="30" priority="3094" stopIfTrue="1">
      <formula>$A182="comments"</formula>
    </cfRule>
  </conditionalFormatting>
  <conditionalFormatting sqref="B182">
    <cfRule type="expression" dxfId="36" priority="3095" stopIfTrue="1">
      <formula>OR(AND(LEFT($A182, 14)="sensor_stream ", LEN($A182)&gt;14, NOT(ISNUMBER(SEARCH(" ", $A182, 15)))), AND(LEFT($A182, 17)="sensor_statistic ", LEN($A182)&gt;17, NOT(ISNUMBER(SEARCH(" ", $A182, 18)))))</formula>
    </cfRule>
  </conditionalFormatting>
  <conditionalFormatting sqref="B180:C180 D180:E180">
    <cfRule type="expression" dxfId="0" priority="3096" stopIfTrue="1">
      <formula>$A180="begin group"</formula>
    </cfRule>
  </conditionalFormatting>
  <conditionalFormatting sqref="B180:C180 D180:E180">
    <cfRule type="expression" dxfId="1" priority="3097" stopIfTrue="1">
      <formula>$A180="begin repeat"</formula>
    </cfRule>
  </conditionalFormatting>
  <conditionalFormatting sqref="B180:E180">
    <cfRule type="expression" dxfId="31" priority="3098" stopIfTrue="1">
      <formula>$A180="enumerator"</formula>
    </cfRule>
  </conditionalFormatting>
  <conditionalFormatting sqref="B180:E180">
    <cfRule type="expression" dxfId="2" priority="3099" stopIfTrue="1">
      <formula>$A180="text"</formula>
    </cfRule>
  </conditionalFormatting>
  <conditionalFormatting sqref="B180:E180">
    <cfRule type="expression" dxfId="3" priority="3100" stopIfTrue="1">
      <formula>$A180="integer"</formula>
    </cfRule>
  </conditionalFormatting>
  <conditionalFormatting sqref="B180:E180">
    <cfRule type="expression" dxfId="4" priority="3101" stopIfTrue="1">
      <formula>$A180="decimal"</formula>
    </cfRule>
  </conditionalFormatting>
  <conditionalFormatting sqref="B180:C180 D180:E180">
    <cfRule type="expression" dxfId="5" priority="3102" stopIfTrue="1">
      <formula>OR(AND(LEFT($A180, 16)="select_multiple ", LEN($A180)&gt;16, NOT(ISNUMBER(SEARCH(" ", $A180, 17)))), AND(LEFT($A180, 11)="select_one ", LEN($A180)&gt;11, NOT(ISNUMBER(SEARCH(" ", $A180, 12)))))</formula>
    </cfRule>
  </conditionalFormatting>
  <conditionalFormatting sqref="B180">
    <cfRule type="expression" dxfId="6" priority="3103" stopIfTrue="1">
      <formula>OR($A180="audio audit", $A180="text audit", $A180="speed violations count", $A180="speed violations list", $A180="speed violations audit")</formula>
    </cfRule>
  </conditionalFormatting>
  <conditionalFormatting sqref="B180:C180 D180:E180">
    <cfRule type="expression" dxfId="32" priority="3104" stopIfTrue="1">
      <formula>$A180="file"</formula>
    </cfRule>
  </conditionalFormatting>
  <conditionalFormatting sqref="B180:C180 D180:E180">
    <cfRule type="expression" dxfId="7" priority="3105" stopIfTrue="1">
      <formula>$A180="note"</formula>
    </cfRule>
  </conditionalFormatting>
  <conditionalFormatting sqref="B180:C180 D180:E180">
    <cfRule type="expression" dxfId="8" priority="3106" stopIfTrue="1">
      <formula>$A180="barcode"</formula>
    </cfRule>
  </conditionalFormatting>
  <conditionalFormatting sqref="B180:C180 D180:E180">
    <cfRule type="expression" dxfId="9" priority="3107" stopIfTrue="1">
      <formula>OR($A180="geopoint", $A180="geoshape", $A180="geotrace")</formula>
    </cfRule>
  </conditionalFormatting>
  <conditionalFormatting sqref="B180">
    <cfRule type="expression" dxfId="10" priority="3108" stopIfTrue="1">
      <formula>OR($A180="calculate", $A180="calculate_here")</formula>
    </cfRule>
  </conditionalFormatting>
  <conditionalFormatting sqref="B180:C180 D180:E180">
    <cfRule type="expression" dxfId="11" priority="3109" stopIfTrue="1">
      <formula>OR($A180="date", $A180="datetime", $A180="time")</formula>
    </cfRule>
  </conditionalFormatting>
  <conditionalFormatting sqref="B180:C180 D180:E180">
    <cfRule type="expression" dxfId="12" priority="3110" stopIfTrue="1">
      <formula>$A180="image"</formula>
    </cfRule>
  </conditionalFormatting>
  <conditionalFormatting sqref="B180:C180 D180:E180">
    <cfRule type="expression" dxfId="13" priority="3111" stopIfTrue="1">
      <formula>OR($A180="audio", $A180="video")</formula>
    </cfRule>
  </conditionalFormatting>
  <conditionalFormatting sqref="B180:E180">
    <cfRule type="expression" dxfId="33" priority="3112" stopIfTrue="1">
      <formula>$A180="file"</formula>
    </cfRule>
  </conditionalFormatting>
  <conditionalFormatting sqref="B180:E180">
    <cfRule type="expression" dxfId="34" priority="3113" stopIfTrue="1">
      <formula>$A180="enumerator"</formula>
    </cfRule>
  </conditionalFormatting>
  <conditionalFormatting sqref="B180:E180">
    <cfRule type="expression" dxfId="35" priority="3114" stopIfTrue="1">
      <formula>OR(AND(LEFT($A180, 14)="sensor_stream ", LEN($A180)&gt;14, NOT(ISNUMBER(SEARCH(" ", $A180, 15)))), AND(LEFT($A180, 17)="sensor_statistic ", LEN($A180)&gt;17, NOT(ISNUMBER(SEARCH(" ", $A180, 18)))))</formula>
    </cfRule>
  </conditionalFormatting>
  <conditionalFormatting sqref="B180:E180">
    <cfRule type="expression" dxfId="14" priority="3115" stopIfTrue="1">
      <formula>$A180="comments"</formula>
    </cfRule>
  </conditionalFormatting>
  <conditionalFormatting sqref="B180:E180">
    <cfRule type="expression" dxfId="15" priority="3116" stopIfTrue="1">
      <formula>OR($A180="audio", $A180="video")</formula>
    </cfRule>
  </conditionalFormatting>
  <conditionalFormatting sqref="B180:E180">
    <cfRule type="expression" dxfId="16" priority="3117" stopIfTrue="1">
      <formula>$A180="image"</formula>
    </cfRule>
  </conditionalFormatting>
  <conditionalFormatting sqref="B180:E180">
    <cfRule type="expression" dxfId="17" priority="3118" stopIfTrue="1">
      <formula>OR($A180="date", $A180="datetime", $A180="time")</formula>
    </cfRule>
  </conditionalFormatting>
  <conditionalFormatting sqref="B180:E180">
    <cfRule type="expression" dxfId="18" priority="3119" stopIfTrue="1">
      <formula>OR($A180="calculate", $A180="calculate_here")</formula>
    </cfRule>
  </conditionalFormatting>
  <conditionalFormatting sqref="B180:E180">
    <cfRule type="expression" dxfId="19" priority="3120" stopIfTrue="1">
      <formula>$A180="note"</formula>
    </cfRule>
  </conditionalFormatting>
  <conditionalFormatting sqref="B180:E180">
    <cfRule type="expression" dxfId="20" priority="3121" stopIfTrue="1">
      <formula>$A180="barcode"</formula>
    </cfRule>
  </conditionalFormatting>
  <conditionalFormatting sqref="B180:E180">
    <cfRule type="expression" dxfId="21" priority="3122" stopIfTrue="1">
      <formula>OR($A180="geopoint", $A180="geoshape", $A180="geotrace")</formula>
    </cfRule>
  </conditionalFormatting>
  <conditionalFormatting sqref="B180:E180">
    <cfRule type="expression" dxfId="22" priority="3123" stopIfTrue="1">
      <formula>OR($A180="audio audit", $A180="text audit", $A180="speed violations count", $A180="speed violations list", $A180="speed violations audit")</formula>
    </cfRule>
  </conditionalFormatting>
  <conditionalFormatting sqref="B180:E180">
    <cfRule type="expression" dxfId="23" priority="3124" stopIfTrue="1">
      <formula>OR($A180="username", $A180="phonenumber", $A180="start", $A180="end", $A180="deviceid", $A180="subscriberid", $A180="simserial", $A180="caseid")</formula>
    </cfRule>
  </conditionalFormatting>
  <conditionalFormatting sqref="B180:E180">
    <cfRule type="expression" dxfId="24" priority="3125" stopIfTrue="1">
      <formula>OR(AND(LEFT($A180, 16)="select_multiple ", LEN($A180)&gt;16, NOT(ISNUMBER(SEARCH(" ", $A180, 17)))), AND(LEFT($A180, 11)="select_one ", LEN($A180)&gt;11, NOT(ISNUMBER(SEARCH(" ", $A180, 12)))))</formula>
    </cfRule>
  </conditionalFormatting>
  <conditionalFormatting sqref="B180:E180">
    <cfRule type="expression" dxfId="25" priority="3126" stopIfTrue="1">
      <formula>$A180="decimal"</formula>
    </cfRule>
  </conditionalFormatting>
  <conditionalFormatting sqref="B180:E180">
    <cfRule type="expression" dxfId="26" priority="3127" stopIfTrue="1">
      <formula>$A180="integer"</formula>
    </cfRule>
  </conditionalFormatting>
  <conditionalFormatting sqref="B180:E180">
    <cfRule type="expression" dxfId="27" priority="3128" stopIfTrue="1">
      <formula>$A180="text"</formula>
    </cfRule>
  </conditionalFormatting>
  <conditionalFormatting sqref="B180:E180">
    <cfRule type="expression" dxfId="28" priority="3129" stopIfTrue="1">
      <formula>$A180="end repeat"</formula>
    </cfRule>
  </conditionalFormatting>
  <conditionalFormatting sqref="B180:E180">
    <cfRule type="expression" dxfId="28" priority="3130" stopIfTrue="1">
      <formula>$A180="begin repeat"</formula>
    </cfRule>
  </conditionalFormatting>
  <conditionalFormatting sqref="B180:E180">
    <cfRule type="expression" dxfId="29" priority="3131" stopIfTrue="1">
      <formula>$A180="end group"</formula>
    </cfRule>
  </conditionalFormatting>
  <conditionalFormatting sqref="B180:E180">
    <cfRule type="expression" dxfId="29" priority="3132" stopIfTrue="1">
      <formula>$A180="begin group"</formula>
    </cfRule>
  </conditionalFormatting>
  <conditionalFormatting sqref="B180">
    <cfRule type="expression" dxfId="30" priority="3133" stopIfTrue="1">
      <formula>$A180="comments"</formula>
    </cfRule>
  </conditionalFormatting>
  <conditionalFormatting sqref="B180">
    <cfRule type="expression" dxfId="36" priority="3134" stopIfTrue="1">
      <formula>OR(AND(LEFT($A180, 14)="sensor_stream ", LEN($A180)&gt;14, NOT(ISNUMBER(SEARCH(" ", $A180, 15)))), AND(LEFT($A180, 17)="sensor_statistic ", LEN($A180)&gt;17, NOT(ISNUMBER(SEARCH(" ", $A180, 18)))))</formula>
    </cfRule>
  </conditionalFormatting>
  <conditionalFormatting sqref="B177:C177 D177:E177">
    <cfRule type="expression" dxfId="0" priority="3135" stopIfTrue="1">
      <formula>$A177="begin group"</formula>
    </cfRule>
  </conditionalFormatting>
  <conditionalFormatting sqref="B177:C177 D177:E177">
    <cfRule type="expression" dxfId="1" priority="3136" stopIfTrue="1">
      <formula>$A177="begin repeat"</formula>
    </cfRule>
  </conditionalFormatting>
  <conditionalFormatting sqref="B177:E177">
    <cfRule type="expression" dxfId="31" priority="3137" stopIfTrue="1">
      <formula>$A177="enumerator"</formula>
    </cfRule>
  </conditionalFormatting>
  <conditionalFormatting sqref="B177:E177">
    <cfRule type="expression" dxfId="2" priority="3138" stopIfTrue="1">
      <formula>$A177="text"</formula>
    </cfRule>
  </conditionalFormatting>
  <conditionalFormatting sqref="B177:E177">
    <cfRule type="expression" dxfId="3" priority="3139" stopIfTrue="1">
      <formula>$A177="integer"</formula>
    </cfRule>
  </conditionalFormatting>
  <conditionalFormatting sqref="B177:E177">
    <cfRule type="expression" dxfId="4" priority="3140" stopIfTrue="1">
      <formula>$A177="decimal"</formula>
    </cfRule>
  </conditionalFormatting>
  <conditionalFormatting sqref="B177:C177 D177:E177">
    <cfRule type="expression" dxfId="5" priority="3141" stopIfTrue="1">
      <formula>OR(AND(LEFT($A177, 16)="select_multiple ", LEN($A177)&gt;16, NOT(ISNUMBER(SEARCH(" ", $A177, 17)))), AND(LEFT($A177, 11)="select_one ", LEN($A177)&gt;11, NOT(ISNUMBER(SEARCH(" ", $A177, 12)))))</formula>
    </cfRule>
  </conditionalFormatting>
  <conditionalFormatting sqref="B177">
    <cfRule type="expression" dxfId="6" priority="3142" stopIfTrue="1">
      <formula>OR($A177="audio audit", $A177="text audit", $A177="speed violations count", $A177="speed violations list", $A177="speed violations audit")</formula>
    </cfRule>
  </conditionalFormatting>
  <conditionalFormatting sqref="B177:C177 D177:E177">
    <cfRule type="expression" dxfId="32" priority="3143" stopIfTrue="1">
      <formula>$A177="file"</formula>
    </cfRule>
  </conditionalFormatting>
  <conditionalFormatting sqref="B177:C177 D177:E177">
    <cfRule type="expression" dxfId="7" priority="3144" stopIfTrue="1">
      <formula>$A177="note"</formula>
    </cfRule>
  </conditionalFormatting>
  <conditionalFormatting sqref="B177:C177 D177:E177">
    <cfRule type="expression" dxfId="8" priority="3145" stopIfTrue="1">
      <formula>$A177="barcode"</formula>
    </cfRule>
  </conditionalFormatting>
  <conditionalFormatting sqref="B177:C177 D177:E177">
    <cfRule type="expression" dxfId="9" priority="3146" stopIfTrue="1">
      <formula>OR($A177="geopoint", $A177="geoshape", $A177="geotrace")</formula>
    </cfRule>
  </conditionalFormatting>
  <conditionalFormatting sqref="B177">
    <cfRule type="expression" dxfId="10" priority="3147" stopIfTrue="1">
      <formula>OR($A177="calculate", $A177="calculate_here")</formula>
    </cfRule>
  </conditionalFormatting>
  <conditionalFormatting sqref="B177:C177 D177:E177">
    <cfRule type="expression" dxfId="11" priority="3148" stopIfTrue="1">
      <formula>OR($A177="date", $A177="datetime", $A177="time")</formula>
    </cfRule>
  </conditionalFormatting>
  <conditionalFormatting sqref="B177:C177 D177:E177">
    <cfRule type="expression" dxfId="12" priority="3149" stopIfTrue="1">
      <formula>$A177="image"</formula>
    </cfRule>
  </conditionalFormatting>
  <conditionalFormatting sqref="B177:C177 D177:E177">
    <cfRule type="expression" dxfId="13" priority="3150" stopIfTrue="1">
      <formula>OR($A177="audio", $A177="video")</formula>
    </cfRule>
  </conditionalFormatting>
  <conditionalFormatting sqref="B177:E177">
    <cfRule type="expression" dxfId="33" priority="3151" stopIfTrue="1">
      <formula>$A177="file"</formula>
    </cfRule>
  </conditionalFormatting>
  <conditionalFormatting sqref="B177:E177">
    <cfRule type="expression" dxfId="34" priority="3152" stopIfTrue="1">
      <formula>$A177="enumerator"</formula>
    </cfRule>
  </conditionalFormatting>
  <conditionalFormatting sqref="B177:E177">
    <cfRule type="expression" dxfId="35" priority="3153" stopIfTrue="1">
      <formula>OR(AND(LEFT($A177, 14)="sensor_stream ", LEN($A177)&gt;14, NOT(ISNUMBER(SEARCH(" ", $A177, 15)))), AND(LEFT($A177, 17)="sensor_statistic ", LEN($A177)&gt;17, NOT(ISNUMBER(SEARCH(" ", $A177, 18)))))</formula>
    </cfRule>
  </conditionalFormatting>
  <conditionalFormatting sqref="B177:E177">
    <cfRule type="expression" dxfId="14" priority="3154" stopIfTrue="1">
      <formula>$A177="comments"</formula>
    </cfRule>
  </conditionalFormatting>
  <conditionalFormatting sqref="B177:E177">
    <cfRule type="expression" dxfId="15" priority="3155" stopIfTrue="1">
      <formula>OR($A177="audio", $A177="video")</formula>
    </cfRule>
  </conditionalFormatting>
  <conditionalFormatting sqref="B177:E177">
    <cfRule type="expression" dxfId="16" priority="3156" stopIfTrue="1">
      <formula>$A177="image"</formula>
    </cfRule>
  </conditionalFormatting>
  <conditionalFormatting sqref="B177:E177">
    <cfRule type="expression" dxfId="17" priority="3157" stopIfTrue="1">
      <formula>OR($A177="date", $A177="datetime", $A177="time")</formula>
    </cfRule>
  </conditionalFormatting>
  <conditionalFormatting sqref="B177:E177">
    <cfRule type="expression" dxfId="18" priority="3158" stopIfTrue="1">
      <formula>OR($A177="calculate", $A177="calculate_here")</formula>
    </cfRule>
  </conditionalFormatting>
  <conditionalFormatting sqref="B177:E177">
    <cfRule type="expression" dxfId="19" priority="3159" stopIfTrue="1">
      <formula>$A177="note"</formula>
    </cfRule>
  </conditionalFormatting>
  <conditionalFormatting sqref="B177:E177">
    <cfRule type="expression" dxfId="20" priority="3160" stopIfTrue="1">
      <formula>$A177="barcode"</formula>
    </cfRule>
  </conditionalFormatting>
  <conditionalFormatting sqref="B177:E177">
    <cfRule type="expression" dxfId="21" priority="3161" stopIfTrue="1">
      <formula>OR($A177="geopoint", $A177="geoshape", $A177="geotrace")</formula>
    </cfRule>
  </conditionalFormatting>
  <conditionalFormatting sqref="B177:E177">
    <cfRule type="expression" dxfId="22" priority="3162" stopIfTrue="1">
      <formula>OR($A177="audio audit", $A177="text audit", $A177="speed violations count", $A177="speed violations list", $A177="speed violations audit")</formula>
    </cfRule>
  </conditionalFormatting>
  <conditionalFormatting sqref="B177:E177">
    <cfRule type="expression" dxfId="23" priority="3163" stopIfTrue="1">
      <formula>OR($A177="username", $A177="phonenumber", $A177="start", $A177="end", $A177="deviceid", $A177="subscriberid", $A177="simserial", $A177="caseid")</formula>
    </cfRule>
  </conditionalFormatting>
  <conditionalFormatting sqref="B177:E177">
    <cfRule type="expression" dxfId="24" priority="3164" stopIfTrue="1">
      <formula>OR(AND(LEFT($A177, 16)="select_multiple ", LEN($A177)&gt;16, NOT(ISNUMBER(SEARCH(" ", $A177, 17)))), AND(LEFT($A177, 11)="select_one ", LEN($A177)&gt;11, NOT(ISNUMBER(SEARCH(" ", $A177, 12)))))</formula>
    </cfRule>
  </conditionalFormatting>
  <conditionalFormatting sqref="B177:E177">
    <cfRule type="expression" dxfId="25" priority="3165" stopIfTrue="1">
      <formula>$A177="decimal"</formula>
    </cfRule>
  </conditionalFormatting>
  <conditionalFormatting sqref="B177:E177">
    <cfRule type="expression" dxfId="26" priority="3166" stopIfTrue="1">
      <formula>$A177="integer"</formula>
    </cfRule>
  </conditionalFormatting>
  <conditionalFormatting sqref="B177:E177">
    <cfRule type="expression" dxfId="27" priority="3167" stopIfTrue="1">
      <formula>$A177="text"</formula>
    </cfRule>
  </conditionalFormatting>
  <conditionalFormatting sqref="B177:E177">
    <cfRule type="expression" dxfId="28" priority="3168" stopIfTrue="1">
      <formula>$A177="end repeat"</formula>
    </cfRule>
  </conditionalFormatting>
  <conditionalFormatting sqref="B177:E177">
    <cfRule type="expression" dxfId="28" priority="3169" stopIfTrue="1">
      <formula>$A177="begin repeat"</formula>
    </cfRule>
  </conditionalFormatting>
  <conditionalFormatting sqref="B177:E177">
    <cfRule type="expression" dxfId="29" priority="3170" stopIfTrue="1">
      <formula>$A177="end group"</formula>
    </cfRule>
  </conditionalFormatting>
  <conditionalFormatting sqref="B177:E177">
    <cfRule type="expression" dxfId="29" priority="3171" stopIfTrue="1">
      <formula>$A177="begin group"</formula>
    </cfRule>
  </conditionalFormatting>
  <conditionalFormatting sqref="B177">
    <cfRule type="expression" dxfId="30" priority="3172" stopIfTrue="1">
      <formula>$A177="comments"</formula>
    </cfRule>
  </conditionalFormatting>
  <conditionalFormatting sqref="B177">
    <cfRule type="expression" dxfId="36" priority="3173" stopIfTrue="1">
      <formula>OR(AND(LEFT($A177, 14)="sensor_stream ", LEN($A177)&gt;14, NOT(ISNUMBER(SEARCH(" ", $A177, 15)))), AND(LEFT($A177, 17)="sensor_statistic ", LEN($A177)&gt;17, NOT(ISNUMBER(SEARCH(" ", $A177, 18)))))</formula>
    </cfRule>
  </conditionalFormatting>
  <conditionalFormatting sqref="B164:C174 D164:E174">
    <cfRule type="expression" dxfId="0" priority="3174" stopIfTrue="1">
      <formula>$A164="begin group"</formula>
    </cfRule>
  </conditionalFormatting>
  <conditionalFormatting sqref="B164:C174 D164:E174">
    <cfRule type="expression" dxfId="1" priority="3175" stopIfTrue="1">
      <formula>$A164="begin repeat"</formula>
    </cfRule>
  </conditionalFormatting>
  <conditionalFormatting sqref="B164:E174">
    <cfRule type="expression" dxfId="31" priority="3176" stopIfTrue="1">
      <formula>$A164="enumerator"</formula>
    </cfRule>
  </conditionalFormatting>
  <conditionalFormatting sqref="B164:E174">
    <cfRule type="expression" dxfId="2" priority="3177" stopIfTrue="1">
      <formula>$A164="text"</formula>
    </cfRule>
  </conditionalFormatting>
  <conditionalFormatting sqref="B164:E174">
    <cfRule type="expression" dxfId="3" priority="3178" stopIfTrue="1">
      <formula>$A164="integer"</formula>
    </cfRule>
  </conditionalFormatting>
  <conditionalFormatting sqref="B164:E174">
    <cfRule type="expression" dxfId="4" priority="3179" stopIfTrue="1">
      <formula>$A164="decimal"</formula>
    </cfRule>
  </conditionalFormatting>
  <conditionalFormatting sqref="B164:C174 D164:E174">
    <cfRule type="expression" dxfId="5" priority="3180" stopIfTrue="1">
      <formula>OR(AND(LEFT($A164, 16)="select_multiple ", LEN($A164)&gt;16, NOT(ISNUMBER(SEARCH(" ", $A164, 17)))), AND(LEFT($A164, 11)="select_one ", LEN($A164)&gt;11, NOT(ISNUMBER(SEARCH(" ", $A164, 12)))))</formula>
    </cfRule>
  </conditionalFormatting>
  <conditionalFormatting sqref="B164:B174">
    <cfRule type="expression" dxfId="6" priority="3181" stopIfTrue="1">
      <formula>OR($A164="audio audit", $A164="text audit", $A164="speed violations count", $A164="speed violations list", $A164="speed violations audit")</formula>
    </cfRule>
  </conditionalFormatting>
  <conditionalFormatting sqref="B164:C174 D164:E174">
    <cfRule type="expression" dxfId="32" priority="3182" stopIfTrue="1">
      <formula>$A164="file"</formula>
    </cfRule>
  </conditionalFormatting>
  <conditionalFormatting sqref="B164:C174 D164:E174">
    <cfRule type="expression" dxfId="7" priority="3183" stopIfTrue="1">
      <formula>$A164="note"</formula>
    </cfRule>
  </conditionalFormatting>
  <conditionalFormatting sqref="B164:C174 D164:E174">
    <cfRule type="expression" dxfId="8" priority="3184" stopIfTrue="1">
      <formula>$A164="barcode"</formula>
    </cfRule>
  </conditionalFormatting>
  <conditionalFormatting sqref="B164:C174 D164:E174">
    <cfRule type="expression" dxfId="9" priority="3185" stopIfTrue="1">
      <formula>OR($A164="geopoint", $A164="geoshape", $A164="geotrace")</formula>
    </cfRule>
  </conditionalFormatting>
  <conditionalFormatting sqref="B164:B174">
    <cfRule type="expression" dxfId="10" priority="3186" stopIfTrue="1">
      <formula>OR($A164="calculate", $A164="calculate_here")</formula>
    </cfRule>
  </conditionalFormatting>
  <conditionalFormatting sqref="B164:C174 D164:E174">
    <cfRule type="expression" dxfId="11" priority="3187" stopIfTrue="1">
      <formula>OR($A164="date", $A164="datetime", $A164="time")</formula>
    </cfRule>
  </conditionalFormatting>
  <conditionalFormatting sqref="B164:C174 D164:E174">
    <cfRule type="expression" dxfId="12" priority="3188" stopIfTrue="1">
      <formula>$A164="image"</formula>
    </cfRule>
  </conditionalFormatting>
  <conditionalFormatting sqref="B164:C174 D164:E174">
    <cfRule type="expression" dxfId="13" priority="3189" stopIfTrue="1">
      <formula>OR($A164="audio", $A164="video")</formula>
    </cfRule>
  </conditionalFormatting>
  <conditionalFormatting sqref="B164:E174">
    <cfRule type="expression" dxfId="33" priority="3190" stopIfTrue="1">
      <formula>$A164="file"</formula>
    </cfRule>
  </conditionalFormatting>
  <conditionalFormatting sqref="B164:E174">
    <cfRule type="expression" dxfId="34" priority="3191" stopIfTrue="1">
      <formula>$A164="enumerator"</formula>
    </cfRule>
  </conditionalFormatting>
  <conditionalFormatting sqref="B164:E174">
    <cfRule type="expression" dxfId="35" priority="3192" stopIfTrue="1">
      <formula>OR(AND(LEFT($A164, 14)="sensor_stream ", LEN($A164)&gt;14, NOT(ISNUMBER(SEARCH(" ", $A164, 15)))), AND(LEFT($A164, 17)="sensor_statistic ", LEN($A164)&gt;17, NOT(ISNUMBER(SEARCH(" ", $A164, 18)))))</formula>
    </cfRule>
  </conditionalFormatting>
  <conditionalFormatting sqref="B164:E174">
    <cfRule type="expression" dxfId="14" priority="3193" stopIfTrue="1">
      <formula>$A164="comments"</formula>
    </cfRule>
  </conditionalFormatting>
  <conditionalFormatting sqref="B164:E174">
    <cfRule type="expression" dxfId="15" priority="3194" stopIfTrue="1">
      <formula>OR($A164="audio", $A164="video")</formula>
    </cfRule>
  </conditionalFormatting>
  <conditionalFormatting sqref="B164:E174">
    <cfRule type="expression" dxfId="16" priority="3195" stopIfTrue="1">
      <formula>$A164="image"</formula>
    </cfRule>
  </conditionalFormatting>
  <conditionalFormatting sqref="B164:E174">
    <cfRule type="expression" dxfId="17" priority="3196" stopIfTrue="1">
      <formula>OR($A164="date", $A164="datetime", $A164="time")</formula>
    </cfRule>
  </conditionalFormatting>
  <conditionalFormatting sqref="B164:E174">
    <cfRule type="expression" dxfId="18" priority="3197" stopIfTrue="1">
      <formula>OR($A164="calculate", $A164="calculate_here")</formula>
    </cfRule>
  </conditionalFormatting>
  <conditionalFormatting sqref="B164:E174">
    <cfRule type="expression" dxfId="19" priority="3198" stopIfTrue="1">
      <formula>$A164="note"</formula>
    </cfRule>
  </conditionalFormatting>
  <conditionalFormatting sqref="B164:E174">
    <cfRule type="expression" dxfId="20" priority="3199" stopIfTrue="1">
      <formula>$A164="barcode"</formula>
    </cfRule>
  </conditionalFormatting>
  <conditionalFormatting sqref="B164:E174">
    <cfRule type="expression" dxfId="21" priority="3200" stopIfTrue="1">
      <formula>OR($A164="geopoint", $A164="geoshape", $A164="geotrace")</formula>
    </cfRule>
  </conditionalFormatting>
  <conditionalFormatting sqref="B164:E174">
    <cfRule type="expression" dxfId="22" priority="3201" stopIfTrue="1">
      <formula>OR($A164="audio audit", $A164="text audit", $A164="speed violations count", $A164="speed violations list", $A164="speed violations audit")</formula>
    </cfRule>
  </conditionalFormatting>
  <conditionalFormatting sqref="B164:E174">
    <cfRule type="expression" dxfId="23" priority="3202" stopIfTrue="1">
      <formula>OR($A164="username", $A164="phonenumber", $A164="start", $A164="end", $A164="deviceid", $A164="subscriberid", $A164="simserial", $A164="caseid")</formula>
    </cfRule>
  </conditionalFormatting>
  <conditionalFormatting sqref="B164:E174">
    <cfRule type="expression" dxfId="24" priority="3203" stopIfTrue="1">
      <formula>OR(AND(LEFT($A164, 16)="select_multiple ", LEN($A164)&gt;16, NOT(ISNUMBER(SEARCH(" ", $A164, 17)))), AND(LEFT($A164, 11)="select_one ", LEN($A164)&gt;11, NOT(ISNUMBER(SEARCH(" ", $A164, 12)))))</formula>
    </cfRule>
  </conditionalFormatting>
  <conditionalFormatting sqref="B164:E174">
    <cfRule type="expression" dxfId="25" priority="3204" stopIfTrue="1">
      <formula>$A164="decimal"</formula>
    </cfRule>
  </conditionalFormatting>
  <conditionalFormatting sqref="B164:E174">
    <cfRule type="expression" dxfId="26" priority="3205" stopIfTrue="1">
      <formula>$A164="integer"</formula>
    </cfRule>
  </conditionalFormatting>
  <conditionalFormatting sqref="B164:E174">
    <cfRule type="expression" dxfId="27" priority="3206" stopIfTrue="1">
      <formula>$A164="text"</formula>
    </cfRule>
  </conditionalFormatting>
  <conditionalFormatting sqref="B164:E174">
    <cfRule type="expression" dxfId="28" priority="3207" stopIfTrue="1">
      <formula>$A164="end repeat"</formula>
    </cfRule>
  </conditionalFormatting>
  <conditionalFormatting sqref="B164:E174">
    <cfRule type="expression" dxfId="28" priority="3208" stopIfTrue="1">
      <formula>$A164="begin repeat"</formula>
    </cfRule>
  </conditionalFormatting>
  <conditionalFormatting sqref="B164:E174">
    <cfRule type="expression" dxfId="29" priority="3209" stopIfTrue="1">
      <formula>$A164="end group"</formula>
    </cfRule>
  </conditionalFormatting>
  <conditionalFormatting sqref="B164:E174">
    <cfRule type="expression" dxfId="29" priority="3210" stopIfTrue="1">
      <formula>$A164="begin group"</formula>
    </cfRule>
  </conditionalFormatting>
  <conditionalFormatting sqref="B164:B174">
    <cfRule type="expression" dxfId="30" priority="3211" stopIfTrue="1">
      <formula>$A164="comments"</formula>
    </cfRule>
  </conditionalFormatting>
  <conditionalFormatting sqref="B164:B174">
    <cfRule type="expression" dxfId="36" priority="3212" stopIfTrue="1">
      <formula>OR(AND(LEFT($A164, 14)="sensor_stream ", LEN($A164)&gt;14, NOT(ISNUMBER(SEARCH(" ", $A164, 15)))), AND(LEFT($A164, 17)="sensor_statistic ", LEN($A164)&gt;17, NOT(ISNUMBER(SEARCH(" ", $A164, 18)))))</formula>
    </cfRule>
  </conditionalFormatting>
  <conditionalFormatting sqref="B157:C161 D157:E161">
    <cfRule type="expression" dxfId="0" priority="3213" stopIfTrue="1">
      <formula>$A157="begin group"</formula>
    </cfRule>
  </conditionalFormatting>
  <conditionalFormatting sqref="B157:C161 D157:E161">
    <cfRule type="expression" dxfId="1" priority="3214" stopIfTrue="1">
      <formula>$A157="begin repeat"</formula>
    </cfRule>
  </conditionalFormatting>
  <conditionalFormatting sqref="B157:E161">
    <cfRule type="expression" dxfId="31" priority="3215" stopIfTrue="1">
      <formula>$A157="enumerator"</formula>
    </cfRule>
  </conditionalFormatting>
  <conditionalFormatting sqref="B157:E161">
    <cfRule type="expression" dxfId="2" priority="3216" stopIfTrue="1">
      <formula>$A157="text"</formula>
    </cfRule>
  </conditionalFormatting>
  <conditionalFormatting sqref="B157:E161">
    <cfRule type="expression" dxfId="3" priority="3217" stopIfTrue="1">
      <formula>$A157="integer"</formula>
    </cfRule>
  </conditionalFormatting>
  <conditionalFormatting sqref="B157:E161">
    <cfRule type="expression" dxfId="4" priority="3218" stopIfTrue="1">
      <formula>$A157="decimal"</formula>
    </cfRule>
  </conditionalFormatting>
  <conditionalFormatting sqref="B157:C161 D157:E161">
    <cfRule type="expression" dxfId="5" priority="3219" stopIfTrue="1">
      <formula>OR(AND(LEFT($A157, 16)="select_multiple ", LEN($A157)&gt;16, NOT(ISNUMBER(SEARCH(" ", $A157, 17)))), AND(LEFT($A157, 11)="select_one ", LEN($A157)&gt;11, NOT(ISNUMBER(SEARCH(" ", $A157, 12)))))</formula>
    </cfRule>
  </conditionalFormatting>
  <conditionalFormatting sqref="B157:B161">
    <cfRule type="expression" dxfId="6" priority="3220" stopIfTrue="1">
      <formula>OR($A157="audio audit", $A157="text audit", $A157="speed violations count", $A157="speed violations list", $A157="speed violations audit")</formula>
    </cfRule>
  </conditionalFormatting>
  <conditionalFormatting sqref="B157:C161 D157:E161">
    <cfRule type="expression" dxfId="32" priority="3221" stopIfTrue="1">
      <formula>$A157="file"</formula>
    </cfRule>
  </conditionalFormatting>
  <conditionalFormatting sqref="B157:C161 D157:E161">
    <cfRule type="expression" dxfId="7" priority="3222" stopIfTrue="1">
      <formula>$A157="note"</formula>
    </cfRule>
  </conditionalFormatting>
  <conditionalFormatting sqref="B157:C161 D157:E161">
    <cfRule type="expression" dxfId="8" priority="3223" stopIfTrue="1">
      <formula>$A157="barcode"</formula>
    </cfRule>
  </conditionalFormatting>
  <conditionalFormatting sqref="B157:C161 D157:E161">
    <cfRule type="expression" dxfId="9" priority="3224" stopIfTrue="1">
      <formula>OR($A157="geopoint", $A157="geoshape", $A157="geotrace")</formula>
    </cfRule>
  </conditionalFormatting>
  <conditionalFormatting sqref="B157:B161">
    <cfRule type="expression" dxfId="10" priority="3225" stopIfTrue="1">
      <formula>OR($A157="calculate", $A157="calculate_here")</formula>
    </cfRule>
  </conditionalFormatting>
  <conditionalFormatting sqref="B157:C161 D157:E161">
    <cfRule type="expression" dxfId="11" priority="3226" stopIfTrue="1">
      <formula>OR($A157="date", $A157="datetime", $A157="time")</formula>
    </cfRule>
  </conditionalFormatting>
  <conditionalFormatting sqref="B157:C161 D157:E161">
    <cfRule type="expression" dxfId="12" priority="3227" stopIfTrue="1">
      <formula>$A157="image"</formula>
    </cfRule>
  </conditionalFormatting>
  <conditionalFormatting sqref="B157:C161 D157:E161">
    <cfRule type="expression" dxfId="13" priority="3228" stopIfTrue="1">
      <formula>OR($A157="audio", $A157="video")</formula>
    </cfRule>
  </conditionalFormatting>
  <conditionalFormatting sqref="B157:E161">
    <cfRule type="expression" dxfId="33" priority="3229" stopIfTrue="1">
      <formula>$A157="file"</formula>
    </cfRule>
  </conditionalFormatting>
  <conditionalFormatting sqref="B157:E161">
    <cfRule type="expression" dxfId="34" priority="3230" stopIfTrue="1">
      <formula>$A157="enumerator"</formula>
    </cfRule>
  </conditionalFormatting>
  <conditionalFormatting sqref="B157:E161">
    <cfRule type="expression" dxfId="35" priority="3231" stopIfTrue="1">
      <formula>OR(AND(LEFT($A157, 14)="sensor_stream ", LEN($A157)&gt;14, NOT(ISNUMBER(SEARCH(" ", $A157, 15)))), AND(LEFT($A157, 17)="sensor_statistic ", LEN($A157)&gt;17, NOT(ISNUMBER(SEARCH(" ", $A157, 18)))))</formula>
    </cfRule>
  </conditionalFormatting>
  <conditionalFormatting sqref="B157:E161">
    <cfRule type="expression" dxfId="14" priority="3232" stopIfTrue="1">
      <formula>$A157="comments"</formula>
    </cfRule>
  </conditionalFormatting>
  <conditionalFormatting sqref="B157:E161">
    <cfRule type="expression" dxfId="15" priority="3233" stopIfTrue="1">
      <formula>OR($A157="audio", $A157="video")</formula>
    </cfRule>
  </conditionalFormatting>
  <conditionalFormatting sqref="B157:E161">
    <cfRule type="expression" dxfId="16" priority="3234" stopIfTrue="1">
      <formula>$A157="image"</formula>
    </cfRule>
  </conditionalFormatting>
  <conditionalFormatting sqref="B157:E161">
    <cfRule type="expression" dxfId="17" priority="3235" stopIfTrue="1">
      <formula>OR($A157="date", $A157="datetime", $A157="time")</formula>
    </cfRule>
  </conditionalFormatting>
  <conditionalFormatting sqref="B157:E161">
    <cfRule type="expression" dxfId="18" priority="3236" stopIfTrue="1">
      <formula>OR($A157="calculate", $A157="calculate_here")</formula>
    </cfRule>
  </conditionalFormatting>
  <conditionalFormatting sqref="B157:E161">
    <cfRule type="expression" dxfId="19" priority="3237" stopIfTrue="1">
      <formula>$A157="note"</formula>
    </cfRule>
  </conditionalFormatting>
  <conditionalFormatting sqref="B157:E161">
    <cfRule type="expression" dxfId="20" priority="3238" stopIfTrue="1">
      <formula>$A157="barcode"</formula>
    </cfRule>
  </conditionalFormatting>
  <conditionalFormatting sqref="B157:E161">
    <cfRule type="expression" dxfId="21" priority="3239" stopIfTrue="1">
      <formula>OR($A157="geopoint", $A157="geoshape", $A157="geotrace")</formula>
    </cfRule>
  </conditionalFormatting>
  <conditionalFormatting sqref="B157:E161">
    <cfRule type="expression" dxfId="22" priority="3240" stopIfTrue="1">
      <formula>OR($A157="audio audit", $A157="text audit", $A157="speed violations count", $A157="speed violations list", $A157="speed violations audit")</formula>
    </cfRule>
  </conditionalFormatting>
  <conditionalFormatting sqref="B157:E161">
    <cfRule type="expression" dxfId="23" priority="3241" stopIfTrue="1">
      <formula>OR($A157="username", $A157="phonenumber", $A157="start", $A157="end", $A157="deviceid", $A157="subscriberid", $A157="simserial", $A157="caseid")</formula>
    </cfRule>
  </conditionalFormatting>
  <conditionalFormatting sqref="B157:E161">
    <cfRule type="expression" dxfId="24" priority="3242" stopIfTrue="1">
      <formula>OR(AND(LEFT($A157, 16)="select_multiple ", LEN($A157)&gt;16, NOT(ISNUMBER(SEARCH(" ", $A157, 17)))), AND(LEFT($A157, 11)="select_one ", LEN($A157)&gt;11, NOT(ISNUMBER(SEARCH(" ", $A157, 12)))))</formula>
    </cfRule>
  </conditionalFormatting>
  <conditionalFormatting sqref="B157:E161">
    <cfRule type="expression" dxfId="25" priority="3243" stopIfTrue="1">
      <formula>$A157="decimal"</formula>
    </cfRule>
  </conditionalFormatting>
  <conditionalFormatting sqref="B157:E161">
    <cfRule type="expression" dxfId="26" priority="3244" stopIfTrue="1">
      <formula>$A157="integer"</formula>
    </cfRule>
  </conditionalFormatting>
  <conditionalFormatting sqref="B157:E161">
    <cfRule type="expression" dxfId="27" priority="3245" stopIfTrue="1">
      <formula>$A157="text"</formula>
    </cfRule>
  </conditionalFormatting>
  <conditionalFormatting sqref="B157:E161">
    <cfRule type="expression" dxfId="28" priority="3246" stopIfTrue="1">
      <formula>$A157="end repeat"</formula>
    </cfRule>
  </conditionalFormatting>
  <conditionalFormatting sqref="B157:E161">
    <cfRule type="expression" dxfId="28" priority="3247" stopIfTrue="1">
      <formula>$A157="begin repeat"</formula>
    </cfRule>
  </conditionalFormatting>
  <conditionalFormatting sqref="B157:E161">
    <cfRule type="expression" dxfId="29" priority="3248" stopIfTrue="1">
      <formula>$A157="end group"</formula>
    </cfRule>
  </conditionalFormatting>
  <conditionalFormatting sqref="B157:E161">
    <cfRule type="expression" dxfId="29" priority="3249" stopIfTrue="1">
      <formula>$A157="begin group"</formula>
    </cfRule>
  </conditionalFormatting>
  <conditionalFormatting sqref="B157:B161">
    <cfRule type="expression" dxfId="30" priority="3250" stopIfTrue="1">
      <formula>$A157="comments"</formula>
    </cfRule>
  </conditionalFormatting>
  <conditionalFormatting sqref="B157:B161">
    <cfRule type="expression" dxfId="36" priority="3251" stopIfTrue="1">
      <formula>OR(AND(LEFT($A157, 14)="sensor_stream ", LEN($A157)&gt;14, NOT(ISNUMBER(SEARCH(" ", $A157, 15)))), AND(LEFT($A157, 17)="sensor_statistic ", LEN($A157)&gt;17, NOT(ISNUMBER(SEARCH(" ", $A157, 18)))))</formula>
    </cfRule>
  </conditionalFormatting>
  <conditionalFormatting sqref="B150:C154 D150:E154">
    <cfRule type="expression" dxfId="0" priority="3252" stopIfTrue="1">
      <formula>$A150="begin group"</formula>
    </cfRule>
  </conditionalFormatting>
  <conditionalFormatting sqref="B150:C154 D150:E154">
    <cfRule type="expression" dxfId="1" priority="3253" stopIfTrue="1">
      <formula>$A150="begin repeat"</formula>
    </cfRule>
  </conditionalFormatting>
  <conditionalFormatting sqref="B150:E154">
    <cfRule type="expression" dxfId="31" priority="3254" stopIfTrue="1">
      <formula>$A150="enumerator"</formula>
    </cfRule>
  </conditionalFormatting>
  <conditionalFormatting sqref="B150:E154">
    <cfRule type="expression" dxfId="2" priority="3255" stopIfTrue="1">
      <formula>$A150="text"</formula>
    </cfRule>
  </conditionalFormatting>
  <conditionalFormatting sqref="B150:E154">
    <cfRule type="expression" dxfId="3" priority="3256" stopIfTrue="1">
      <formula>$A150="integer"</formula>
    </cfRule>
  </conditionalFormatting>
  <conditionalFormatting sqref="B150:E154">
    <cfRule type="expression" dxfId="4" priority="3257" stopIfTrue="1">
      <formula>$A150="decimal"</formula>
    </cfRule>
  </conditionalFormatting>
  <conditionalFormatting sqref="B150:C154 D150:E154">
    <cfRule type="expression" dxfId="5" priority="3258" stopIfTrue="1">
      <formula>OR(AND(LEFT($A150, 16)="select_multiple ", LEN($A150)&gt;16, NOT(ISNUMBER(SEARCH(" ", $A150, 17)))), AND(LEFT($A150, 11)="select_one ", LEN($A150)&gt;11, NOT(ISNUMBER(SEARCH(" ", $A150, 12)))))</formula>
    </cfRule>
  </conditionalFormatting>
  <conditionalFormatting sqref="B150:B154">
    <cfRule type="expression" dxfId="6" priority="3259" stopIfTrue="1">
      <formula>OR($A150="audio audit", $A150="text audit", $A150="speed violations count", $A150="speed violations list", $A150="speed violations audit")</formula>
    </cfRule>
  </conditionalFormatting>
  <conditionalFormatting sqref="B150:C154 D150:E154">
    <cfRule type="expression" dxfId="32" priority="3260" stopIfTrue="1">
      <formula>$A150="file"</formula>
    </cfRule>
  </conditionalFormatting>
  <conditionalFormatting sqref="B150:C154 D150:E154">
    <cfRule type="expression" dxfId="7" priority="3261" stopIfTrue="1">
      <formula>$A150="note"</formula>
    </cfRule>
  </conditionalFormatting>
  <conditionalFormatting sqref="B150:C154 D150:E154">
    <cfRule type="expression" dxfId="8" priority="3262" stopIfTrue="1">
      <formula>$A150="barcode"</formula>
    </cfRule>
  </conditionalFormatting>
  <conditionalFormatting sqref="B150:C154 D150:E154">
    <cfRule type="expression" dxfId="9" priority="3263" stopIfTrue="1">
      <formula>OR($A150="geopoint", $A150="geoshape", $A150="geotrace")</formula>
    </cfRule>
  </conditionalFormatting>
  <conditionalFormatting sqref="B150:B154">
    <cfRule type="expression" dxfId="10" priority="3264" stopIfTrue="1">
      <formula>OR($A150="calculate", $A150="calculate_here")</formula>
    </cfRule>
  </conditionalFormatting>
  <conditionalFormatting sqref="B150:C154 D150:E154">
    <cfRule type="expression" dxfId="11" priority="3265" stopIfTrue="1">
      <formula>OR($A150="date", $A150="datetime", $A150="time")</formula>
    </cfRule>
  </conditionalFormatting>
  <conditionalFormatting sqref="B150:C154 D150:E154">
    <cfRule type="expression" dxfId="12" priority="3266" stopIfTrue="1">
      <formula>$A150="image"</formula>
    </cfRule>
  </conditionalFormatting>
  <conditionalFormatting sqref="B150:C154 D150:E154">
    <cfRule type="expression" dxfId="13" priority="3267" stopIfTrue="1">
      <formula>OR($A150="audio", $A150="video")</formula>
    </cfRule>
  </conditionalFormatting>
  <conditionalFormatting sqref="B150:E154">
    <cfRule type="expression" dxfId="33" priority="3268" stopIfTrue="1">
      <formula>$A150="file"</formula>
    </cfRule>
  </conditionalFormatting>
  <conditionalFormatting sqref="B150:E154">
    <cfRule type="expression" dxfId="34" priority="3269" stopIfTrue="1">
      <formula>$A150="enumerator"</formula>
    </cfRule>
  </conditionalFormatting>
  <conditionalFormatting sqref="B150:E154">
    <cfRule type="expression" dxfId="35" priority="3270" stopIfTrue="1">
      <formula>OR(AND(LEFT($A150, 14)="sensor_stream ", LEN($A150)&gt;14, NOT(ISNUMBER(SEARCH(" ", $A150, 15)))), AND(LEFT($A150, 17)="sensor_statistic ", LEN($A150)&gt;17, NOT(ISNUMBER(SEARCH(" ", $A150, 18)))))</formula>
    </cfRule>
  </conditionalFormatting>
  <conditionalFormatting sqref="B150:E154">
    <cfRule type="expression" dxfId="14" priority="3271" stopIfTrue="1">
      <formula>$A150="comments"</formula>
    </cfRule>
  </conditionalFormatting>
  <conditionalFormatting sqref="B150:E154">
    <cfRule type="expression" dxfId="15" priority="3272" stopIfTrue="1">
      <formula>OR($A150="audio", $A150="video")</formula>
    </cfRule>
  </conditionalFormatting>
  <conditionalFormatting sqref="B150:E154">
    <cfRule type="expression" dxfId="16" priority="3273" stopIfTrue="1">
      <formula>$A150="image"</formula>
    </cfRule>
  </conditionalFormatting>
  <conditionalFormatting sqref="B150:E154">
    <cfRule type="expression" dxfId="17" priority="3274" stopIfTrue="1">
      <formula>OR($A150="date", $A150="datetime", $A150="time")</formula>
    </cfRule>
  </conditionalFormatting>
  <conditionalFormatting sqref="B150:E154">
    <cfRule type="expression" dxfId="18" priority="3275" stopIfTrue="1">
      <formula>OR($A150="calculate", $A150="calculate_here")</formula>
    </cfRule>
  </conditionalFormatting>
  <conditionalFormatting sqref="B150:E154">
    <cfRule type="expression" dxfId="19" priority="3276" stopIfTrue="1">
      <formula>$A150="note"</formula>
    </cfRule>
  </conditionalFormatting>
  <conditionalFormatting sqref="B150:E154">
    <cfRule type="expression" dxfId="20" priority="3277" stopIfTrue="1">
      <formula>$A150="barcode"</formula>
    </cfRule>
  </conditionalFormatting>
  <conditionalFormatting sqref="B150:E154">
    <cfRule type="expression" dxfId="21" priority="3278" stopIfTrue="1">
      <formula>OR($A150="geopoint", $A150="geoshape", $A150="geotrace")</formula>
    </cfRule>
  </conditionalFormatting>
  <conditionalFormatting sqref="B150:E154">
    <cfRule type="expression" dxfId="22" priority="3279" stopIfTrue="1">
      <formula>OR($A150="audio audit", $A150="text audit", $A150="speed violations count", $A150="speed violations list", $A150="speed violations audit")</formula>
    </cfRule>
  </conditionalFormatting>
  <conditionalFormatting sqref="B150:E154">
    <cfRule type="expression" dxfId="23" priority="3280" stopIfTrue="1">
      <formula>OR($A150="username", $A150="phonenumber", $A150="start", $A150="end", $A150="deviceid", $A150="subscriberid", $A150="simserial", $A150="caseid")</formula>
    </cfRule>
  </conditionalFormatting>
  <conditionalFormatting sqref="B150:E154">
    <cfRule type="expression" dxfId="24" priority="3281" stopIfTrue="1">
      <formula>OR(AND(LEFT($A150, 16)="select_multiple ", LEN($A150)&gt;16, NOT(ISNUMBER(SEARCH(" ", $A150, 17)))), AND(LEFT($A150, 11)="select_one ", LEN($A150)&gt;11, NOT(ISNUMBER(SEARCH(" ", $A150, 12)))))</formula>
    </cfRule>
  </conditionalFormatting>
  <conditionalFormatting sqref="B150:E154">
    <cfRule type="expression" dxfId="25" priority="3282" stopIfTrue="1">
      <formula>$A150="decimal"</formula>
    </cfRule>
  </conditionalFormatting>
  <conditionalFormatting sqref="B150:E154">
    <cfRule type="expression" dxfId="26" priority="3283" stopIfTrue="1">
      <formula>$A150="integer"</formula>
    </cfRule>
  </conditionalFormatting>
  <conditionalFormatting sqref="B150:E154">
    <cfRule type="expression" dxfId="27" priority="3284" stopIfTrue="1">
      <formula>$A150="text"</formula>
    </cfRule>
  </conditionalFormatting>
  <conditionalFormatting sqref="B150:E154">
    <cfRule type="expression" dxfId="28" priority="3285" stopIfTrue="1">
      <formula>$A150="end repeat"</formula>
    </cfRule>
  </conditionalFormatting>
  <conditionalFormatting sqref="B150:E154">
    <cfRule type="expression" dxfId="28" priority="3286" stopIfTrue="1">
      <formula>$A150="begin repeat"</formula>
    </cfRule>
  </conditionalFormatting>
  <conditionalFormatting sqref="B150:E154">
    <cfRule type="expression" dxfId="29" priority="3287" stopIfTrue="1">
      <formula>$A150="end group"</formula>
    </cfRule>
  </conditionalFormatting>
  <conditionalFormatting sqref="B150:E154">
    <cfRule type="expression" dxfId="29" priority="3288" stopIfTrue="1">
      <formula>$A150="begin group"</formula>
    </cfRule>
  </conditionalFormatting>
  <conditionalFormatting sqref="B150:B154">
    <cfRule type="expression" dxfId="30" priority="3289" stopIfTrue="1">
      <formula>$A150="comments"</formula>
    </cfRule>
  </conditionalFormatting>
  <conditionalFormatting sqref="B150:B154">
    <cfRule type="expression" dxfId="36" priority="3290" stopIfTrue="1">
      <formula>OR(AND(LEFT($A150, 14)="sensor_stream ", LEN($A150)&gt;14, NOT(ISNUMBER(SEARCH(" ", $A150, 15)))), AND(LEFT($A150, 17)="sensor_statistic ", LEN($A150)&gt;17, NOT(ISNUMBER(SEARCH(" ", $A150, 18)))))</formula>
    </cfRule>
  </conditionalFormatting>
  <conditionalFormatting sqref="B145:C147 D145:E147">
    <cfRule type="expression" dxfId="0" priority="3291" stopIfTrue="1">
      <formula>$A145="begin group"</formula>
    </cfRule>
  </conditionalFormatting>
  <conditionalFormatting sqref="B145:C147 D145:E147">
    <cfRule type="expression" dxfId="1" priority="3292" stopIfTrue="1">
      <formula>$A145="begin repeat"</formula>
    </cfRule>
  </conditionalFormatting>
  <conditionalFormatting sqref="B145:E147">
    <cfRule type="expression" dxfId="31" priority="3293" stopIfTrue="1">
      <formula>$A145="enumerator"</formula>
    </cfRule>
  </conditionalFormatting>
  <conditionalFormatting sqref="B145:E147">
    <cfRule type="expression" dxfId="2" priority="3294" stopIfTrue="1">
      <formula>$A145="text"</formula>
    </cfRule>
  </conditionalFormatting>
  <conditionalFormatting sqref="B145:E147">
    <cfRule type="expression" dxfId="3" priority="3295" stopIfTrue="1">
      <formula>$A145="integer"</formula>
    </cfRule>
  </conditionalFormatting>
  <conditionalFormatting sqref="B145:E147">
    <cfRule type="expression" dxfId="4" priority="3296" stopIfTrue="1">
      <formula>$A145="decimal"</formula>
    </cfRule>
  </conditionalFormatting>
  <conditionalFormatting sqref="B145:C147 D145:E147">
    <cfRule type="expression" dxfId="5" priority="3297" stopIfTrue="1">
      <formula>OR(AND(LEFT($A145, 16)="select_multiple ", LEN($A145)&gt;16, NOT(ISNUMBER(SEARCH(" ", $A145, 17)))), AND(LEFT($A145, 11)="select_one ", LEN($A145)&gt;11, NOT(ISNUMBER(SEARCH(" ", $A145, 12)))))</formula>
    </cfRule>
  </conditionalFormatting>
  <conditionalFormatting sqref="B145:B147">
    <cfRule type="expression" dxfId="6" priority="3298" stopIfTrue="1">
      <formula>OR($A145="audio audit", $A145="text audit", $A145="speed violations count", $A145="speed violations list", $A145="speed violations audit")</formula>
    </cfRule>
  </conditionalFormatting>
  <conditionalFormatting sqref="B145:C147 D145:E147">
    <cfRule type="expression" dxfId="32" priority="3299" stopIfTrue="1">
      <formula>$A145="file"</formula>
    </cfRule>
  </conditionalFormatting>
  <conditionalFormatting sqref="B145:C147 D145:E147">
    <cfRule type="expression" dxfId="7" priority="3300" stopIfTrue="1">
      <formula>$A145="note"</formula>
    </cfRule>
  </conditionalFormatting>
  <conditionalFormatting sqref="B145:C147 D145:E147">
    <cfRule type="expression" dxfId="8" priority="3301" stopIfTrue="1">
      <formula>$A145="barcode"</formula>
    </cfRule>
  </conditionalFormatting>
  <conditionalFormatting sqref="B145:C147 D145:E147">
    <cfRule type="expression" dxfId="9" priority="3302" stopIfTrue="1">
      <formula>OR($A145="geopoint", $A145="geoshape", $A145="geotrace")</formula>
    </cfRule>
  </conditionalFormatting>
  <conditionalFormatting sqref="B145:B147">
    <cfRule type="expression" dxfId="10" priority="3303" stopIfTrue="1">
      <formula>OR($A145="calculate", $A145="calculate_here")</formula>
    </cfRule>
  </conditionalFormatting>
  <conditionalFormatting sqref="B145:C147 D145:E147">
    <cfRule type="expression" dxfId="11" priority="3304" stopIfTrue="1">
      <formula>OR($A145="date", $A145="datetime", $A145="time")</formula>
    </cfRule>
  </conditionalFormatting>
  <conditionalFormatting sqref="B145:C147 D145:E147">
    <cfRule type="expression" dxfId="12" priority="3305" stopIfTrue="1">
      <formula>$A145="image"</formula>
    </cfRule>
  </conditionalFormatting>
  <conditionalFormatting sqref="B145:C147 D145:E147">
    <cfRule type="expression" dxfId="13" priority="3306" stopIfTrue="1">
      <formula>OR($A145="audio", $A145="video")</formula>
    </cfRule>
  </conditionalFormatting>
  <conditionalFormatting sqref="B145:E147">
    <cfRule type="expression" dxfId="33" priority="3307" stopIfTrue="1">
      <formula>$A145="file"</formula>
    </cfRule>
  </conditionalFormatting>
  <conditionalFormatting sqref="B145:E147">
    <cfRule type="expression" dxfId="34" priority="3308" stopIfTrue="1">
      <formula>$A145="enumerator"</formula>
    </cfRule>
  </conditionalFormatting>
  <conditionalFormatting sqref="B145:E147">
    <cfRule type="expression" dxfId="35" priority="3309" stopIfTrue="1">
      <formula>OR(AND(LEFT($A145, 14)="sensor_stream ", LEN($A145)&gt;14, NOT(ISNUMBER(SEARCH(" ", $A145, 15)))), AND(LEFT($A145, 17)="sensor_statistic ", LEN($A145)&gt;17, NOT(ISNUMBER(SEARCH(" ", $A145, 18)))))</formula>
    </cfRule>
  </conditionalFormatting>
  <conditionalFormatting sqref="B145:E147">
    <cfRule type="expression" dxfId="14" priority="3310" stopIfTrue="1">
      <formula>$A145="comments"</formula>
    </cfRule>
  </conditionalFormatting>
  <conditionalFormatting sqref="B145:E147">
    <cfRule type="expression" dxfId="15" priority="3311" stopIfTrue="1">
      <formula>OR($A145="audio", $A145="video")</formula>
    </cfRule>
  </conditionalFormatting>
  <conditionalFormatting sqref="B145:E147">
    <cfRule type="expression" dxfId="16" priority="3312" stopIfTrue="1">
      <formula>$A145="image"</formula>
    </cfRule>
  </conditionalFormatting>
  <conditionalFormatting sqref="B145:E147">
    <cfRule type="expression" dxfId="17" priority="3313" stopIfTrue="1">
      <formula>OR($A145="date", $A145="datetime", $A145="time")</formula>
    </cfRule>
  </conditionalFormatting>
  <conditionalFormatting sqref="B145:E147">
    <cfRule type="expression" dxfId="18" priority="3314" stopIfTrue="1">
      <formula>OR($A145="calculate", $A145="calculate_here")</formula>
    </cfRule>
  </conditionalFormatting>
  <conditionalFormatting sqref="B145:E147">
    <cfRule type="expression" dxfId="19" priority="3315" stopIfTrue="1">
      <formula>$A145="note"</formula>
    </cfRule>
  </conditionalFormatting>
  <conditionalFormatting sqref="B145:E147">
    <cfRule type="expression" dxfId="20" priority="3316" stopIfTrue="1">
      <formula>$A145="barcode"</formula>
    </cfRule>
  </conditionalFormatting>
  <conditionalFormatting sqref="B145:E147">
    <cfRule type="expression" dxfId="21" priority="3317" stopIfTrue="1">
      <formula>OR($A145="geopoint", $A145="geoshape", $A145="geotrace")</formula>
    </cfRule>
  </conditionalFormatting>
  <conditionalFormatting sqref="B145:E147">
    <cfRule type="expression" dxfId="22" priority="3318" stopIfTrue="1">
      <formula>OR($A145="audio audit", $A145="text audit", $A145="speed violations count", $A145="speed violations list", $A145="speed violations audit")</formula>
    </cfRule>
  </conditionalFormatting>
  <conditionalFormatting sqref="B145:E147">
    <cfRule type="expression" dxfId="23" priority="3319" stopIfTrue="1">
      <formula>OR($A145="username", $A145="phonenumber", $A145="start", $A145="end", $A145="deviceid", $A145="subscriberid", $A145="simserial", $A145="caseid")</formula>
    </cfRule>
  </conditionalFormatting>
  <conditionalFormatting sqref="B145:E147">
    <cfRule type="expression" dxfId="24" priority="3320" stopIfTrue="1">
      <formula>OR(AND(LEFT($A145, 16)="select_multiple ", LEN($A145)&gt;16, NOT(ISNUMBER(SEARCH(" ", $A145, 17)))), AND(LEFT($A145, 11)="select_one ", LEN($A145)&gt;11, NOT(ISNUMBER(SEARCH(" ", $A145, 12)))))</formula>
    </cfRule>
  </conditionalFormatting>
  <conditionalFormatting sqref="B145:E147">
    <cfRule type="expression" dxfId="25" priority="3321" stopIfTrue="1">
      <formula>$A145="decimal"</formula>
    </cfRule>
  </conditionalFormatting>
  <conditionalFormatting sqref="B145:E147">
    <cfRule type="expression" dxfId="26" priority="3322" stopIfTrue="1">
      <formula>$A145="integer"</formula>
    </cfRule>
  </conditionalFormatting>
  <conditionalFormatting sqref="B145:E147">
    <cfRule type="expression" dxfId="27" priority="3323" stopIfTrue="1">
      <formula>$A145="text"</formula>
    </cfRule>
  </conditionalFormatting>
  <conditionalFormatting sqref="B145:E147">
    <cfRule type="expression" dxfId="28" priority="3324" stopIfTrue="1">
      <formula>$A145="end repeat"</formula>
    </cfRule>
  </conditionalFormatting>
  <conditionalFormatting sqref="B145:E147">
    <cfRule type="expression" dxfId="28" priority="3325" stopIfTrue="1">
      <formula>$A145="begin repeat"</formula>
    </cfRule>
  </conditionalFormatting>
  <conditionalFormatting sqref="B145:E147">
    <cfRule type="expression" dxfId="29" priority="3326" stopIfTrue="1">
      <formula>$A145="end group"</formula>
    </cfRule>
  </conditionalFormatting>
  <conditionalFormatting sqref="B145:E147">
    <cfRule type="expression" dxfId="29" priority="3327" stopIfTrue="1">
      <formula>$A145="begin group"</formula>
    </cfRule>
  </conditionalFormatting>
  <conditionalFormatting sqref="B145:B147">
    <cfRule type="expression" dxfId="30" priority="3328" stopIfTrue="1">
      <formula>$A145="comments"</formula>
    </cfRule>
  </conditionalFormatting>
  <conditionalFormatting sqref="B145:B147">
    <cfRule type="expression" dxfId="36" priority="3329" stopIfTrue="1">
      <formula>OR(AND(LEFT($A145, 14)="sensor_stream ", LEN($A145)&gt;14, NOT(ISNUMBER(SEARCH(" ", $A145, 15)))), AND(LEFT($A145, 17)="sensor_statistic ", LEN($A145)&gt;17, NOT(ISNUMBER(SEARCH(" ", $A145, 18)))))</formula>
    </cfRule>
  </conditionalFormatting>
  <conditionalFormatting sqref="B131:C142 D131:E142">
    <cfRule type="expression" dxfId="0" priority="3330" stopIfTrue="1">
      <formula>$A131="begin group"</formula>
    </cfRule>
  </conditionalFormatting>
  <conditionalFormatting sqref="B131:C142 D131:E142">
    <cfRule type="expression" dxfId="1" priority="3331" stopIfTrue="1">
      <formula>$A131="begin repeat"</formula>
    </cfRule>
  </conditionalFormatting>
  <conditionalFormatting sqref="B131:E142">
    <cfRule type="expression" dxfId="31" priority="3332" stopIfTrue="1">
      <formula>$A131="enumerator"</formula>
    </cfRule>
  </conditionalFormatting>
  <conditionalFormatting sqref="B131:E142">
    <cfRule type="expression" dxfId="2" priority="3333" stopIfTrue="1">
      <formula>$A131="text"</formula>
    </cfRule>
  </conditionalFormatting>
  <conditionalFormatting sqref="B131:E142">
    <cfRule type="expression" dxfId="3" priority="3334" stopIfTrue="1">
      <formula>$A131="integer"</formula>
    </cfRule>
  </conditionalFormatting>
  <conditionalFormatting sqref="B131:E142">
    <cfRule type="expression" dxfId="4" priority="3335" stopIfTrue="1">
      <formula>$A131="decimal"</formula>
    </cfRule>
  </conditionalFormatting>
  <conditionalFormatting sqref="B131:C142 D131:E142">
    <cfRule type="expression" dxfId="5" priority="3336" stopIfTrue="1">
      <formula>OR(AND(LEFT($A131, 16)="select_multiple ", LEN($A131)&gt;16, NOT(ISNUMBER(SEARCH(" ", $A131, 17)))), AND(LEFT($A131, 11)="select_one ", LEN($A131)&gt;11, NOT(ISNUMBER(SEARCH(" ", $A131, 12)))))</formula>
    </cfRule>
  </conditionalFormatting>
  <conditionalFormatting sqref="B131:B142">
    <cfRule type="expression" dxfId="6" priority="3337" stopIfTrue="1">
      <formula>OR($A131="audio audit", $A131="text audit", $A131="speed violations count", $A131="speed violations list", $A131="speed violations audit")</formula>
    </cfRule>
  </conditionalFormatting>
  <conditionalFormatting sqref="B131:C142 D131:E142">
    <cfRule type="expression" dxfId="32" priority="3338" stopIfTrue="1">
      <formula>$A131="file"</formula>
    </cfRule>
  </conditionalFormatting>
  <conditionalFormatting sqref="B131:C142 D131:E142">
    <cfRule type="expression" dxfId="7" priority="3339" stopIfTrue="1">
      <formula>$A131="note"</formula>
    </cfRule>
  </conditionalFormatting>
  <conditionalFormatting sqref="B131:C142 D131:E142">
    <cfRule type="expression" dxfId="8" priority="3340" stopIfTrue="1">
      <formula>$A131="barcode"</formula>
    </cfRule>
  </conditionalFormatting>
  <conditionalFormatting sqref="B131:C142 D131:E142">
    <cfRule type="expression" dxfId="9" priority="3341" stopIfTrue="1">
      <formula>OR($A131="geopoint", $A131="geoshape", $A131="geotrace")</formula>
    </cfRule>
  </conditionalFormatting>
  <conditionalFormatting sqref="B131:B142">
    <cfRule type="expression" dxfId="10" priority="3342" stopIfTrue="1">
      <formula>OR($A131="calculate", $A131="calculate_here")</formula>
    </cfRule>
  </conditionalFormatting>
  <conditionalFormatting sqref="B131:C142 D131:E142">
    <cfRule type="expression" dxfId="11" priority="3343" stopIfTrue="1">
      <formula>OR($A131="date", $A131="datetime", $A131="time")</formula>
    </cfRule>
  </conditionalFormatting>
  <conditionalFormatting sqref="B131:C142 D131:E142">
    <cfRule type="expression" dxfId="12" priority="3344" stopIfTrue="1">
      <formula>$A131="image"</formula>
    </cfRule>
  </conditionalFormatting>
  <conditionalFormatting sqref="B131:C142 D131:E142">
    <cfRule type="expression" dxfId="13" priority="3345" stopIfTrue="1">
      <formula>OR($A131="audio", $A131="video")</formula>
    </cfRule>
  </conditionalFormatting>
  <conditionalFormatting sqref="B131:E142">
    <cfRule type="expression" dxfId="33" priority="3346" stopIfTrue="1">
      <formula>$A131="file"</formula>
    </cfRule>
  </conditionalFormatting>
  <conditionalFormatting sqref="B131:E142">
    <cfRule type="expression" dxfId="34" priority="3347" stopIfTrue="1">
      <formula>$A131="enumerator"</formula>
    </cfRule>
  </conditionalFormatting>
  <conditionalFormatting sqref="B131:E142">
    <cfRule type="expression" dxfId="35" priority="3348" stopIfTrue="1">
      <formula>OR(AND(LEFT($A131, 14)="sensor_stream ", LEN($A131)&gt;14, NOT(ISNUMBER(SEARCH(" ", $A131, 15)))), AND(LEFT($A131, 17)="sensor_statistic ", LEN($A131)&gt;17, NOT(ISNUMBER(SEARCH(" ", $A131, 18)))))</formula>
    </cfRule>
  </conditionalFormatting>
  <conditionalFormatting sqref="B131:E142">
    <cfRule type="expression" dxfId="14" priority="3349" stopIfTrue="1">
      <formula>$A131="comments"</formula>
    </cfRule>
  </conditionalFormatting>
  <conditionalFormatting sqref="B131:E142">
    <cfRule type="expression" dxfId="15" priority="3350" stopIfTrue="1">
      <formula>OR($A131="audio", $A131="video")</formula>
    </cfRule>
  </conditionalFormatting>
  <conditionalFormatting sqref="B131:E142">
    <cfRule type="expression" dxfId="16" priority="3351" stopIfTrue="1">
      <formula>$A131="image"</formula>
    </cfRule>
  </conditionalFormatting>
  <conditionalFormatting sqref="B131:E142">
    <cfRule type="expression" dxfId="17" priority="3352" stopIfTrue="1">
      <formula>OR($A131="date", $A131="datetime", $A131="time")</formula>
    </cfRule>
  </conditionalFormatting>
  <conditionalFormatting sqref="B131:E142">
    <cfRule type="expression" dxfId="18" priority="3353" stopIfTrue="1">
      <formula>OR($A131="calculate", $A131="calculate_here")</formula>
    </cfRule>
  </conditionalFormatting>
  <conditionalFormatting sqref="B131:E142">
    <cfRule type="expression" dxfId="19" priority="3354" stopIfTrue="1">
      <formula>$A131="note"</formula>
    </cfRule>
  </conditionalFormatting>
  <conditionalFormatting sqref="B131:E142">
    <cfRule type="expression" dxfId="20" priority="3355" stopIfTrue="1">
      <formula>$A131="barcode"</formula>
    </cfRule>
  </conditionalFormatting>
  <conditionalFormatting sqref="B131:E142">
    <cfRule type="expression" dxfId="21" priority="3356" stopIfTrue="1">
      <formula>OR($A131="geopoint", $A131="geoshape", $A131="geotrace")</formula>
    </cfRule>
  </conditionalFormatting>
  <conditionalFormatting sqref="B131:E142">
    <cfRule type="expression" dxfId="22" priority="3357" stopIfTrue="1">
      <formula>OR($A131="audio audit", $A131="text audit", $A131="speed violations count", $A131="speed violations list", $A131="speed violations audit")</formula>
    </cfRule>
  </conditionalFormatting>
  <conditionalFormatting sqref="B131:E142">
    <cfRule type="expression" dxfId="23" priority="3358" stopIfTrue="1">
      <formula>OR($A131="username", $A131="phonenumber", $A131="start", $A131="end", $A131="deviceid", $A131="subscriberid", $A131="simserial", $A131="caseid")</formula>
    </cfRule>
  </conditionalFormatting>
  <conditionalFormatting sqref="B131:E142">
    <cfRule type="expression" dxfId="24" priority="3359" stopIfTrue="1">
      <formula>OR(AND(LEFT($A131, 16)="select_multiple ", LEN($A131)&gt;16, NOT(ISNUMBER(SEARCH(" ", $A131, 17)))), AND(LEFT($A131, 11)="select_one ", LEN($A131)&gt;11, NOT(ISNUMBER(SEARCH(" ", $A131, 12)))))</formula>
    </cfRule>
  </conditionalFormatting>
  <conditionalFormatting sqref="B131:E142">
    <cfRule type="expression" dxfId="25" priority="3360" stopIfTrue="1">
      <formula>$A131="decimal"</formula>
    </cfRule>
  </conditionalFormatting>
  <conditionalFormatting sqref="B131:E142">
    <cfRule type="expression" dxfId="26" priority="3361" stopIfTrue="1">
      <formula>$A131="integer"</formula>
    </cfRule>
  </conditionalFormatting>
  <conditionalFormatting sqref="B131:E142">
    <cfRule type="expression" dxfId="27" priority="3362" stopIfTrue="1">
      <formula>$A131="text"</formula>
    </cfRule>
  </conditionalFormatting>
  <conditionalFormatting sqref="B131:E142">
    <cfRule type="expression" dxfId="28" priority="3363" stopIfTrue="1">
      <formula>$A131="end repeat"</formula>
    </cfRule>
  </conditionalFormatting>
  <conditionalFormatting sqref="B131:E142">
    <cfRule type="expression" dxfId="28" priority="3364" stopIfTrue="1">
      <formula>$A131="begin repeat"</formula>
    </cfRule>
  </conditionalFormatting>
  <conditionalFormatting sqref="B131:E142">
    <cfRule type="expression" dxfId="29" priority="3365" stopIfTrue="1">
      <formula>$A131="end group"</formula>
    </cfRule>
  </conditionalFormatting>
  <conditionalFormatting sqref="B131:E142">
    <cfRule type="expression" dxfId="29" priority="3366" stopIfTrue="1">
      <formula>$A131="begin group"</formula>
    </cfRule>
  </conditionalFormatting>
  <conditionalFormatting sqref="B131:B142">
    <cfRule type="expression" dxfId="30" priority="3367" stopIfTrue="1">
      <formula>$A131="comments"</formula>
    </cfRule>
  </conditionalFormatting>
  <conditionalFormatting sqref="B131:B142">
    <cfRule type="expression" dxfId="36" priority="3368" stopIfTrue="1">
      <formula>OR(AND(LEFT($A131, 14)="sensor_stream ", LEN($A131)&gt;14, NOT(ISNUMBER(SEARCH(" ", $A131, 15)))), AND(LEFT($A131, 17)="sensor_statistic ", LEN($A131)&gt;17, NOT(ISNUMBER(SEARCH(" ", $A131, 18)))))</formula>
    </cfRule>
  </conditionalFormatting>
  <conditionalFormatting sqref="B128:C128 D128:E128">
    <cfRule type="expression" dxfId="0" priority="3369" stopIfTrue="1">
      <formula>$A128="begin group"</formula>
    </cfRule>
  </conditionalFormatting>
  <conditionalFormatting sqref="B128:C128 D128:E128">
    <cfRule type="expression" dxfId="1" priority="3370" stopIfTrue="1">
      <formula>$A128="begin repeat"</formula>
    </cfRule>
  </conditionalFormatting>
  <conditionalFormatting sqref="B128:E128">
    <cfRule type="expression" dxfId="31" priority="3371" stopIfTrue="1">
      <formula>$A128="enumerator"</formula>
    </cfRule>
  </conditionalFormatting>
  <conditionalFormatting sqref="B128:E128">
    <cfRule type="expression" dxfId="2" priority="3372" stopIfTrue="1">
      <formula>$A128="text"</formula>
    </cfRule>
  </conditionalFormatting>
  <conditionalFormatting sqref="B128:E128">
    <cfRule type="expression" dxfId="3" priority="3373" stopIfTrue="1">
      <formula>$A128="integer"</formula>
    </cfRule>
  </conditionalFormatting>
  <conditionalFormatting sqref="B128:E128">
    <cfRule type="expression" dxfId="4" priority="3374" stopIfTrue="1">
      <formula>$A128="decimal"</formula>
    </cfRule>
  </conditionalFormatting>
  <conditionalFormatting sqref="B128:C128 D128:E128">
    <cfRule type="expression" dxfId="5" priority="3375" stopIfTrue="1">
      <formula>OR(AND(LEFT($A128, 16)="select_multiple ", LEN($A128)&gt;16, NOT(ISNUMBER(SEARCH(" ", $A128, 17)))), AND(LEFT($A128, 11)="select_one ", LEN($A128)&gt;11, NOT(ISNUMBER(SEARCH(" ", $A128, 12)))))</formula>
    </cfRule>
  </conditionalFormatting>
  <conditionalFormatting sqref="B128">
    <cfRule type="expression" dxfId="6" priority="3376" stopIfTrue="1">
      <formula>OR($A128="audio audit", $A128="text audit", $A128="speed violations count", $A128="speed violations list", $A128="speed violations audit")</formula>
    </cfRule>
  </conditionalFormatting>
  <conditionalFormatting sqref="B128:C128 D128:E128">
    <cfRule type="expression" dxfId="32" priority="3377" stopIfTrue="1">
      <formula>$A128="file"</formula>
    </cfRule>
  </conditionalFormatting>
  <conditionalFormatting sqref="B128:C128 D128:E128">
    <cfRule type="expression" dxfId="7" priority="3378" stopIfTrue="1">
      <formula>$A128="note"</formula>
    </cfRule>
  </conditionalFormatting>
  <conditionalFormatting sqref="B128:C128 D128:E128">
    <cfRule type="expression" dxfId="8" priority="3379" stopIfTrue="1">
      <formula>$A128="barcode"</formula>
    </cfRule>
  </conditionalFormatting>
  <conditionalFormatting sqref="B128:C128 D128:E128">
    <cfRule type="expression" dxfId="9" priority="3380" stopIfTrue="1">
      <formula>OR($A128="geopoint", $A128="geoshape", $A128="geotrace")</formula>
    </cfRule>
  </conditionalFormatting>
  <conditionalFormatting sqref="B128">
    <cfRule type="expression" dxfId="10" priority="3381" stopIfTrue="1">
      <formula>OR($A128="calculate", $A128="calculate_here")</formula>
    </cfRule>
  </conditionalFormatting>
  <conditionalFormatting sqref="B128:C128 D128:E128">
    <cfRule type="expression" dxfId="11" priority="3382" stopIfTrue="1">
      <formula>OR($A128="date", $A128="datetime", $A128="time")</formula>
    </cfRule>
  </conditionalFormatting>
  <conditionalFormatting sqref="B128:C128 D128:E128">
    <cfRule type="expression" dxfId="12" priority="3383" stopIfTrue="1">
      <formula>$A128="image"</formula>
    </cfRule>
  </conditionalFormatting>
  <conditionalFormatting sqref="B128:C128 D128:E128">
    <cfRule type="expression" dxfId="13" priority="3384" stopIfTrue="1">
      <formula>OR($A128="audio", $A128="video")</formula>
    </cfRule>
  </conditionalFormatting>
  <conditionalFormatting sqref="B128:E128">
    <cfRule type="expression" dxfId="33" priority="3385" stopIfTrue="1">
      <formula>$A128="file"</formula>
    </cfRule>
  </conditionalFormatting>
  <conditionalFormatting sqref="B128:E128">
    <cfRule type="expression" dxfId="34" priority="3386" stopIfTrue="1">
      <formula>$A128="enumerator"</formula>
    </cfRule>
  </conditionalFormatting>
  <conditionalFormatting sqref="B128:E128">
    <cfRule type="expression" dxfId="35" priority="3387" stopIfTrue="1">
      <formula>OR(AND(LEFT($A128, 14)="sensor_stream ", LEN($A128)&gt;14, NOT(ISNUMBER(SEARCH(" ", $A128, 15)))), AND(LEFT($A128, 17)="sensor_statistic ", LEN($A128)&gt;17, NOT(ISNUMBER(SEARCH(" ", $A128, 18)))))</formula>
    </cfRule>
  </conditionalFormatting>
  <conditionalFormatting sqref="B128:E128">
    <cfRule type="expression" dxfId="14" priority="3388" stopIfTrue="1">
      <formula>$A128="comments"</formula>
    </cfRule>
  </conditionalFormatting>
  <conditionalFormatting sqref="B128:E128">
    <cfRule type="expression" dxfId="15" priority="3389" stopIfTrue="1">
      <formula>OR($A128="audio", $A128="video")</formula>
    </cfRule>
  </conditionalFormatting>
  <conditionalFormatting sqref="B128:E128">
    <cfRule type="expression" dxfId="16" priority="3390" stopIfTrue="1">
      <formula>$A128="image"</formula>
    </cfRule>
  </conditionalFormatting>
  <conditionalFormatting sqref="B128:E128">
    <cfRule type="expression" dxfId="17" priority="3391" stopIfTrue="1">
      <formula>OR($A128="date", $A128="datetime", $A128="time")</formula>
    </cfRule>
  </conditionalFormatting>
  <conditionalFormatting sqref="B128:E128">
    <cfRule type="expression" dxfId="18" priority="3392" stopIfTrue="1">
      <formula>OR($A128="calculate", $A128="calculate_here")</formula>
    </cfRule>
  </conditionalFormatting>
  <conditionalFormatting sqref="B128:E128">
    <cfRule type="expression" dxfId="19" priority="3393" stopIfTrue="1">
      <formula>$A128="note"</formula>
    </cfRule>
  </conditionalFormatting>
  <conditionalFormatting sqref="B128:E128">
    <cfRule type="expression" dxfId="20" priority="3394" stopIfTrue="1">
      <formula>$A128="barcode"</formula>
    </cfRule>
  </conditionalFormatting>
  <conditionalFormatting sqref="B128:E128">
    <cfRule type="expression" dxfId="21" priority="3395" stopIfTrue="1">
      <formula>OR($A128="geopoint", $A128="geoshape", $A128="geotrace")</formula>
    </cfRule>
  </conditionalFormatting>
  <conditionalFormatting sqref="B128:E128">
    <cfRule type="expression" dxfId="22" priority="3396" stopIfTrue="1">
      <formula>OR($A128="audio audit", $A128="text audit", $A128="speed violations count", $A128="speed violations list", $A128="speed violations audit")</formula>
    </cfRule>
  </conditionalFormatting>
  <conditionalFormatting sqref="B128:E128">
    <cfRule type="expression" dxfId="23" priority="3397" stopIfTrue="1">
      <formula>OR($A128="username", $A128="phonenumber", $A128="start", $A128="end", $A128="deviceid", $A128="subscriberid", $A128="simserial", $A128="caseid")</formula>
    </cfRule>
  </conditionalFormatting>
  <conditionalFormatting sqref="B128:E128">
    <cfRule type="expression" dxfId="24" priority="3398" stopIfTrue="1">
      <formula>OR(AND(LEFT($A128, 16)="select_multiple ", LEN($A128)&gt;16, NOT(ISNUMBER(SEARCH(" ", $A128, 17)))), AND(LEFT($A128, 11)="select_one ", LEN($A128)&gt;11, NOT(ISNUMBER(SEARCH(" ", $A128, 12)))))</formula>
    </cfRule>
  </conditionalFormatting>
  <conditionalFormatting sqref="B128:E128">
    <cfRule type="expression" dxfId="25" priority="3399" stopIfTrue="1">
      <formula>$A128="decimal"</formula>
    </cfRule>
  </conditionalFormatting>
  <conditionalFormatting sqref="B128:E128">
    <cfRule type="expression" dxfId="26" priority="3400" stopIfTrue="1">
      <formula>$A128="integer"</formula>
    </cfRule>
  </conditionalFormatting>
  <conditionalFormatting sqref="B128:E128">
    <cfRule type="expression" dxfId="27" priority="3401" stopIfTrue="1">
      <formula>$A128="text"</formula>
    </cfRule>
  </conditionalFormatting>
  <conditionalFormatting sqref="B128:E128">
    <cfRule type="expression" dxfId="28" priority="3402" stopIfTrue="1">
      <formula>$A128="end repeat"</formula>
    </cfRule>
  </conditionalFormatting>
  <conditionalFormatting sqref="B128:E128">
    <cfRule type="expression" dxfId="28" priority="3403" stopIfTrue="1">
      <formula>$A128="begin repeat"</formula>
    </cfRule>
  </conditionalFormatting>
  <conditionalFormatting sqref="B128:E128">
    <cfRule type="expression" dxfId="29" priority="3404" stopIfTrue="1">
      <formula>$A128="end group"</formula>
    </cfRule>
  </conditionalFormatting>
  <conditionalFormatting sqref="B128:E128">
    <cfRule type="expression" dxfId="29" priority="3405" stopIfTrue="1">
      <formula>$A128="begin group"</formula>
    </cfRule>
  </conditionalFormatting>
  <conditionalFormatting sqref="B128">
    <cfRule type="expression" dxfId="30" priority="3406" stopIfTrue="1">
      <formula>$A128="comments"</formula>
    </cfRule>
  </conditionalFormatting>
  <conditionalFormatting sqref="B128">
    <cfRule type="expression" dxfId="36" priority="3407" stopIfTrue="1">
      <formula>OR(AND(LEFT($A128, 14)="sensor_stream ", LEN($A128)&gt;14, NOT(ISNUMBER(SEARCH(" ", $A128, 15)))), AND(LEFT($A128, 17)="sensor_statistic ", LEN($A128)&gt;17, NOT(ISNUMBER(SEARCH(" ", $A128, 18)))))</formula>
    </cfRule>
  </conditionalFormatting>
  <conditionalFormatting sqref="B124:C126 D124:E126">
    <cfRule type="expression" dxfId="0" priority="3408" stopIfTrue="1">
      <formula>$A124="begin group"</formula>
    </cfRule>
  </conditionalFormatting>
  <conditionalFormatting sqref="B124:C126 D124:E126">
    <cfRule type="expression" dxfId="1" priority="3409" stopIfTrue="1">
      <formula>$A124="begin repeat"</formula>
    </cfRule>
  </conditionalFormatting>
  <conditionalFormatting sqref="B124:E126">
    <cfRule type="expression" dxfId="31" priority="3410" stopIfTrue="1">
      <formula>$A124="enumerator"</formula>
    </cfRule>
  </conditionalFormatting>
  <conditionalFormatting sqref="B124:E126">
    <cfRule type="expression" dxfId="2" priority="3411" stopIfTrue="1">
      <formula>$A124="text"</formula>
    </cfRule>
  </conditionalFormatting>
  <conditionalFormatting sqref="B124:E126">
    <cfRule type="expression" dxfId="3" priority="3412" stopIfTrue="1">
      <formula>$A124="integer"</formula>
    </cfRule>
  </conditionalFormatting>
  <conditionalFormatting sqref="B124:E126">
    <cfRule type="expression" dxfId="4" priority="3413" stopIfTrue="1">
      <formula>$A124="decimal"</formula>
    </cfRule>
  </conditionalFormatting>
  <conditionalFormatting sqref="B124:C126 D124:E126">
    <cfRule type="expression" dxfId="5" priority="3414" stopIfTrue="1">
      <formula>OR(AND(LEFT($A124, 16)="select_multiple ", LEN($A124)&gt;16, NOT(ISNUMBER(SEARCH(" ", $A124, 17)))), AND(LEFT($A124, 11)="select_one ", LEN($A124)&gt;11, NOT(ISNUMBER(SEARCH(" ", $A124, 12)))))</formula>
    </cfRule>
  </conditionalFormatting>
  <conditionalFormatting sqref="B124:B126">
    <cfRule type="expression" dxfId="6" priority="3415" stopIfTrue="1">
      <formula>OR($A124="audio audit", $A124="text audit", $A124="speed violations count", $A124="speed violations list", $A124="speed violations audit")</formula>
    </cfRule>
  </conditionalFormatting>
  <conditionalFormatting sqref="B124:C126 D124:E126">
    <cfRule type="expression" dxfId="32" priority="3416" stopIfTrue="1">
      <formula>$A124="file"</formula>
    </cfRule>
  </conditionalFormatting>
  <conditionalFormatting sqref="B124:C126 D124:E126">
    <cfRule type="expression" dxfId="7" priority="3417" stopIfTrue="1">
      <formula>$A124="note"</formula>
    </cfRule>
  </conditionalFormatting>
  <conditionalFormatting sqref="B124:C126 D124:E126">
    <cfRule type="expression" dxfId="8" priority="3418" stopIfTrue="1">
      <formula>$A124="barcode"</formula>
    </cfRule>
  </conditionalFormatting>
  <conditionalFormatting sqref="B124:C126 D124:E126">
    <cfRule type="expression" dxfId="9" priority="3419" stopIfTrue="1">
      <formula>OR($A124="geopoint", $A124="geoshape", $A124="geotrace")</formula>
    </cfRule>
  </conditionalFormatting>
  <conditionalFormatting sqref="B124:B126">
    <cfRule type="expression" dxfId="10" priority="3420" stopIfTrue="1">
      <formula>OR($A124="calculate", $A124="calculate_here")</formula>
    </cfRule>
  </conditionalFormatting>
  <conditionalFormatting sqref="B124:C126 D124:E126">
    <cfRule type="expression" dxfId="11" priority="3421" stopIfTrue="1">
      <formula>OR($A124="date", $A124="datetime", $A124="time")</formula>
    </cfRule>
  </conditionalFormatting>
  <conditionalFormatting sqref="B124:C126 D124:E126">
    <cfRule type="expression" dxfId="12" priority="3422" stopIfTrue="1">
      <formula>$A124="image"</formula>
    </cfRule>
  </conditionalFormatting>
  <conditionalFormatting sqref="B124:C126 D124:E126">
    <cfRule type="expression" dxfId="13" priority="3423" stopIfTrue="1">
      <formula>OR($A124="audio", $A124="video")</formula>
    </cfRule>
  </conditionalFormatting>
  <conditionalFormatting sqref="B124:E126">
    <cfRule type="expression" dxfId="33" priority="3424" stopIfTrue="1">
      <formula>$A124="file"</formula>
    </cfRule>
  </conditionalFormatting>
  <conditionalFormatting sqref="B124:E126">
    <cfRule type="expression" dxfId="34" priority="3425" stopIfTrue="1">
      <formula>$A124="enumerator"</formula>
    </cfRule>
  </conditionalFormatting>
  <conditionalFormatting sqref="B124:E126">
    <cfRule type="expression" dxfId="35" priority="3426" stopIfTrue="1">
      <formula>OR(AND(LEFT($A124, 14)="sensor_stream ", LEN($A124)&gt;14, NOT(ISNUMBER(SEARCH(" ", $A124, 15)))), AND(LEFT($A124, 17)="sensor_statistic ", LEN($A124)&gt;17, NOT(ISNUMBER(SEARCH(" ", $A124, 18)))))</formula>
    </cfRule>
  </conditionalFormatting>
  <conditionalFormatting sqref="B124:E126">
    <cfRule type="expression" dxfId="14" priority="3427" stopIfTrue="1">
      <formula>$A124="comments"</formula>
    </cfRule>
  </conditionalFormatting>
  <conditionalFormatting sqref="B124:E126">
    <cfRule type="expression" dxfId="15" priority="3428" stopIfTrue="1">
      <formula>OR($A124="audio", $A124="video")</formula>
    </cfRule>
  </conditionalFormatting>
  <conditionalFormatting sqref="B124:E126">
    <cfRule type="expression" dxfId="16" priority="3429" stopIfTrue="1">
      <formula>$A124="image"</formula>
    </cfRule>
  </conditionalFormatting>
  <conditionalFormatting sqref="B124:E126">
    <cfRule type="expression" dxfId="17" priority="3430" stopIfTrue="1">
      <formula>OR($A124="date", $A124="datetime", $A124="time")</formula>
    </cfRule>
  </conditionalFormatting>
  <conditionalFormatting sqref="B124:E126">
    <cfRule type="expression" dxfId="18" priority="3431" stopIfTrue="1">
      <formula>OR($A124="calculate", $A124="calculate_here")</formula>
    </cfRule>
  </conditionalFormatting>
  <conditionalFormatting sqref="B124:E126">
    <cfRule type="expression" dxfId="19" priority="3432" stopIfTrue="1">
      <formula>$A124="note"</formula>
    </cfRule>
  </conditionalFormatting>
  <conditionalFormatting sqref="B124:E126">
    <cfRule type="expression" dxfId="20" priority="3433" stopIfTrue="1">
      <formula>$A124="barcode"</formula>
    </cfRule>
  </conditionalFormatting>
  <conditionalFormatting sqref="B124:E126">
    <cfRule type="expression" dxfId="21" priority="3434" stopIfTrue="1">
      <formula>OR($A124="geopoint", $A124="geoshape", $A124="geotrace")</formula>
    </cfRule>
  </conditionalFormatting>
  <conditionalFormatting sqref="B124:E126">
    <cfRule type="expression" dxfId="22" priority="3435" stopIfTrue="1">
      <formula>OR($A124="audio audit", $A124="text audit", $A124="speed violations count", $A124="speed violations list", $A124="speed violations audit")</formula>
    </cfRule>
  </conditionalFormatting>
  <conditionalFormatting sqref="B124:E126">
    <cfRule type="expression" dxfId="23" priority="3436" stopIfTrue="1">
      <formula>OR($A124="username", $A124="phonenumber", $A124="start", $A124="end", $A124="deviceid", $A124="subscriberid", $A124="simserial", $A124="caseid")</formula>
    </cfRule>
  </conditionalFormatting>
  <conditionalFormatting sqref="B124:E126">
    <cfRule type="expression" dxfId="24" priority="3437" stopIfTrue="1">
      <formula>OR(AND(LEFT($A124, 16)="select_multiple ", LEN($A124)&gt;16, NOT(ISNUMBER(SEARCH(" ", $A124, 17)))), AND(LEFT($A124, 11)="select_one ", LEN($A124)&gt;11, NOT(ISNUMBER(SEARCH(" ", $A124, 12)))))</formula>
    </cfRule>
  </conditionalFormatting>
  <conditionalFormatting sqref="B124:E126">
    <cfRule type="expression" dxfId="25" priority="3438" stopIfTrue="1">
      <formula>$A124="decimal"</formula>
    </cfRule>
  </conditionalFormatting>
  <conditionalFormatting sqref="B124:E126">
    <cfRule type="expression" dxfId="26" priority="3439" stopIfTrue="1">
      <formula>$A124="integer"</formula>
    </cfRule>
  </conditionalFormatting>
  <conditionalFormatting sqref="B124:E126">
    <cfRule type="expression" dxfId="27" priority="3440" stopIfTrue="1">
      <formula>$A124="text"</formula>
    </cfRule>
  </conditionalFormatting>
  <conditionalFormatting sqref="B124:E126">
    <cfRule type="expression" dxfId="28" priority="3441" stopIfTrue="1">
      <formula>$A124="end repeat"</formula>
    </cfRule>
  </conditionalFormatting>
  <conditionalFormatting sqref="B124:E126">
    <cfRule type="expression" dxfId="28" priority="3442" stopIfTrue="1">
      <formula>$A124="begin repeat"</formula>
    </cfRule>
  </conditionalFormatting>
  <conditionalFormatting sqref="B124:E126">
    <cfRule type="expression" dxfId="29" priority="3443" stopIfTrue="1">
      <formula>$A124="end group"</formula>
    </cfRule>
  </conditionalFormatting>
  <conditionalFormatting sqref="B124:E126">
    <cfRule type="expression" dxfId="29" priority="3444" stopIfTrue="1">
      <formula>$A124="begin group"</formula>
    </cfRule>
  </conditionalFormatting>
  <conditionalFormatting sqref="B124:B126">
    <cfRule type="expression" dxfId="30" priority="3445" stopIfTrue="1">
      <formula>$A124="comments"</formula>
    </cfRule>
  </conditionalFormatting>
  <conditionalFormatting sqref="B124:B126">
    <cfRule type="expression" dxfId="36" priority="3446" stopIfTrue="1">
      <formula>OR(AND(LEFT($A124, 14)="sensor_stream ", LEN($A124)&gt;14, NOT(ISNUMBER(SEARCH(" ", $A124, 15)))), AND(LEFT($A124, 17)="sensor_statistic ", LEN($A124)&gt;17, NOT(ISNUMBER(SEARCH(" ", $A124, 18)))))</formula>
    </cfRule>
  </conditionalFormatting>
  <conditionalFormatting sqref="B114:C121 D114:E121">
    <cfRule type="expression" dxfId="0" priority="3447" stopIfTrue="1">
      <formula>$A114="begin group"</formula>
    </cfRule>
  </conditionalFormatting>
  <conditionalFormatting sqref="B114:C121 D114:E121">
    <cfRule type="expression" dxfId="1" priority="3448" stopIfTrue="1">
      <formula>$A114="begin repeat"</formula>
    </cfRule>
  </conditionalFormatting>
  <conditionalFormatting sqref="B114:E121">
    <cfRule type="expression" dxfId="31" priority="3449" stopIfTrue="1">
      <formula>$A114="enumerator"</formula>
    </cfRule>
  </conditionalFormatting>
  <conditionalFormatting sqref="B114:E121">
    <cfRule type="expression" dxfId="2" priority="3450" stopIfTrue="1">
      <formula>$A114="text"</formula>
    </cfRule>
  </conditionalFormatting>
  <conditionalFormatting sqref="B114:E121">
    <cfRule type="expression" dxfId="3" priority="3451" stopIfTrue="1">
      <formula>$A114="integer"</formula>
    </cfRule>
  </conditionalFormatting>
  <conditionalFormatting sqref="B114:E121">
    <cfRule type="expression" dxfId="4" priority="3452" stopIfTrue="1">
      <formula>$A114="decimal"</formula>
    </cfRule>
  </conditionalFormatting>
  <conditionalFormatting sqref="B114:C121 D114:E121">
    <cfRule type="expression" dxfId="5" priority="3453" stopIfTrue="1">
      <formula>OR(AND(LEFT($A114, 16)="select_multiple ", LEN($A114)&gt;16, NOT(ISNUMBER(SEARCH(" ", $A114, 17)))), AND(LEFT($A114, 11)="select_one ", LEN($A114)&gt;11, NOT(ISNUMBER(SEARCH(" ", $A114, 12)))))</formula>
    </cfRule>
  </conditionalFormatting>
  <conditionalFormatting sqref="B114:B121">
    <cfRule type="expression" dxfId="6" priority="3454" stopIfTrue="1">
      <formula>OR($A114="audio audit", $A114="text audit", $A114="speed violations count", $A114="speed violations list", $A114="speed violations audit")</formula>
    </cfRule>
  </conditionalFormatting>
  <conditionalFormatting sqref="B114:C121 D114:E121">
    <cfRule type="expression" dxfId="32" priority="3455" stopIfTrue="1">
      <formula>$A114="file"</formula>
    </cfRule>
  </conditionalFormatting>
  <conditionalFormatting sqref="B114:C121 D114:E121">
    <cfRule type="expression" dxfId="7" priority="3456" stopIfTrue="1">
      <formula>$A114="note"</formula>
    </cfRule>
  </conditionalFormatting>
  <conditionalFormatting sqref="B114:C121 D114:E121">
    <cfRule type="expression" dxfId="8" priority="3457" stopIfTrue="1">
      <formula>$A114="barcode"</formula>
    </cfRule>
  </conditionalFormatting>
  <conditionalFormatting sqref="B114:C121 D114:E121">
    <cfRule type="expression" dxfId="9" priority="3458" stopIfTrue="1">
      <formula>OR($A114="geopoint", $A114="geoshape", $A114="geotrace")</formula>
    </cfRule>
  </conditionalFormatting>
  <conditionalFormatting sqref="B114:B121">
    <cfRule type="expression" dxfId="10" priority="3459" stopIfTrue="1">
      <formula>OR($A114="calculate", $A114="calculate_here")</formula>
    </cfRule>
  </conditionalFormatting>
  <conditionalFormatting sqref="B114:C121 D114:E121">
    <cfRule type="expression" dxfId="11" priority="3460" stopIfTrue="1">
      <formula>OR($A114="date", $A114="datetime", $A114="time")</formula>
    </cfRule>
  </conditionalFormatting>
  <conditionalFormatting sqref="B114:C121 D114:E121">
    <cfRule type="expression" dxfId="12" priority="3461" stopIfTrue="1">
      <formula>$A114="image"</formula>
    </cfRule>
  </conditionalFormatting>
  <conditionalFormatting sqref="B114:C121 D114:E121">
    <cfRule type="expression" dxfId="13" priority="3462" stopIfTrue="1">
      <formula>OR($A114="audio", $A114="video")</formula>
    </cfRule>
  </conditionalFormatting>
  <conditionalFormatting sqref="B114:E121">
    <cfRule type="expression" dxfId="33" priority="3463" stopIfTrue="1">
      <formula>$A114="file"</formula>
    </cfRule>
  </conditionalFormatting>
  <conditionalFormatting sqref="B114:E121">
    <cfRule type="expression" dxfId="34" priority="3464" stopIfTrue="1">
      <formula>$A114="enumerator"</formula>
    </cfRule>
  </conditionalFormatting>
  <conditionalFormatting sqref="B114:E121">
    <cfRule type="expression" dxfId="35" priority="3465" stopIfTrue="1">
      <formula>OR(AND(LEFT($A114, 14)="sensor_stream ", LEN($A114)&gt;14, NOT(ISNUMBER(SEARCH(" ", $A114, 15)))), AND(LEFT($A114, 17)="sensor_statistic ", LEN($A114)&gt;17, NOT(ISNUMBER(SEARCH(" ", $A114, 18)))))</formula>
    </cfRule>
  </conditionalFormatting>
  <conditionalFormatting sqref="B114:E121">
    <cfRule type="expression" dxfId="14" priority="3466" stopIfTrue="1">
      <formula>$A114="comments"</formula>
    </cfRule>
  </conditionalFormatting>
  <conditionalFormatting sqref="B114:E121">
    <cfRule type="expression" dxfId="15" priority="3467" stopIfTrue="1">
      <formula>OR($A114="audio", $A114="video")</formula>
    </cfRule>
  </conditionalFormatting>
  <conditionalFormatting sqref="B114:E121">
    <cfRule type="expression" dxfId="16" priority="3468" stopIfTrue="1">
      <formula>$A114="image"</formula>
    </cfRule>
  </conditionalFormatting>
  <conditionalFormatting sqref="B114:E121">
    <cfRule type="expression" dxfId="17" priority="3469" stopIfTrue="1">
      <formula>OR($A114="date", $A114="datetime", $A114="time")</formula>
    </cfRule>
  </conditionalFormatting>
  <conditionalFormatting sqref="B114:E121">
    <cfRule type="expression" dxfId="18" priority="3470" stopIfTrue="1">
      <formula>OR($A114="calculate", $A114="calculate_here")</formula>
    </cfRule>
  </conditionalFormatting>
  <conditionalFormatting sqref="B114:E121">
    <cfRule type="expression" dxfId="19" priority="3471" stopIfTrue="1">
      <formula>$A114="note"</formula>
    </cfRule>
  </conditionalFormatting>
  <conditionalFormatting sqref="B114:E121">
    <cfRule type="expression" dxfId="20" priority="3472" stopIfTrue="1">
      <formula>$A114="barcode"</formula>
    </cfRule>
  </conditionalFormatting>
  <conditionalFormatting sqref="B114:E121">
    <cfRule type="expression" dxfId="21" priority="3473" stopIfTrue="1">
      <formula>OR($A114="geopoint", $A114="geoshape", $A114="geotrace")</formula>
    </cfRule>
  </conditionalFormatting>
  <conditionalFormatting sqref="B114:E121">
    <cfRule type="expression" dxfId="22" priority="3474" stopIfTrue="1">
      <formula>OR($A114="audio audit", $A114="text audit", $A114="speed violations count", $A114="speed violations list", $A114="speed violations audit")</formula>
    </cfRule>
  </conditionalFormatting>
  <conditionalFormatting sqref="B114:E121">
    <cfRule type="expression" dxfId="23" priority="3475" stopIfTrue="1">
      <formula>OR($A114="username", $A114="phonenumber", $A114="start", $A114="end", $A114="deviceid", $A114="subscriberid", $A114="simserial", $A114="caseid")</formula>
    </cfRule>
  </conditionalFormatting>
  <conditionalFormatting sqref="B114:E121">
    <cfRule type="expression" dxfId="24" priority="3476" stopIfTrue="1">
      <formula>OR(AND(LEFT($A114, 16)="select_multiple ", LEN($A114)&gt;16, NOT(ISNUMBER(SEARCH(" ", $A114, 17)))), AND(LEFT($A114, 11)="select_one ", LEN($A114)&gt;11, NOT(ISNUMBER(SEARCH(" ", $A114, 12)))))</formula>
    </cfRule>
  </conditionalFormatting>
  <conditionalFormatting sqref="B114:E121">
    <cfRule type="expression" dxfId="25" priority="3477" stopIfTrue="1">
      <formula>$A114="decimal"</formula>
    </cfRule>
  </conditionalFormatting>
  <conditionalFormatting sqref="B114:E121">
    <cfRule type="expression" dxfId="26" priority="3478" stopIfTrue="1">
      <formula>$A114="integer"</formula>
    </cfRule>
  </conditionalFormatting>
  <conditionalFormatting sqref="B114:E121">
    <cfRule type="expression" dxfId="27" priority="3479" stopIfTrue="1">
      <formula>$A114="text"</formula>
    </cfRule>
  </conditionalFormatting>
  <conditionalFormatting sqref="B114:E121">
    <cfRule type="expression" dxfId="28" priority="3480" stopIfTrue="1">
      <formula>$A114="end repeat"</formula>
    </cfRule>
  </conditionalFormatting>
  <conditionalFormatting sqref="B114:E121">
    <cfRule type="expression" dxfId="28" priority="3481" stopIfTrue="1">
      <formula>$A114="begin repeat"</formula>
    </cfRule>
  </conditionalFormatting>
  <conditionalFormatting sqref="B114:E121">
    <cfRule type="expression" dxfId="29" priority="3482" stopIfTrue="1">
      <formula>$A114="end group"</formula>
    </cfRule>
  </conditionalFormatting>
  <conditionalFormatting sqref="B114:E121">
    <cfRule type="expression" dxfId="29" priority="3483" stopIfTrue="1">
      <formula>$A114="begin group"</formula>
    </cfRule>
  </conditionalFormatting>
  <conditionalFormatting sqref="B114:B121">
    <cfRule type="expression" dxfId="30" priority="3484" stopIfTrue="1">
      <formula>$A114="comments"</formula>
    </cfRule>
  </conditionalFormatting>
  <conditionalFormatting sqref="B114:B121">
    <cfRule type="expression" dxfId="36" priority="3485" stopIfTrue="1">
      <formula>OR(AND(LEFT($A114, 14)="sensor_stream ", LEN($A114)&gt;14, NOT(ISNUMBER(SEARCH(" ", $A114, 15)))), AND(LEFT($A114, 17)="sensor_statistic ", LEN($A114)&gt;17, NOT(ISNUMBER(SEARCH(" ", $A114, 18)))))</formula>
    </cfRule>
  </conditionalFormatting>
  <conditionalFormatting sqref="B101:C111 D101:E111">
    <cfRule type="expression" dxfId="0" priority="3486" stopIfTrue="1">
      <formula>$A101="begin group"</formula>
    </cfRule>
  </conditionalFormatting>
  <conditionalFormatting sqref="B101:C111 D101:E111">
    <cfRule type="expression" dxfId="1" priority="3487" stopIfTrue="1">
      <formula>$A101="begin repeat"</formula>
    </cfRule>
  </conditionalFormatting>
  <conditionalFormatting sqref="B101:E111">
    <cfRule type="expression" dxfId="31" priority="3488" stopIfTrue="1">
      <formula>$A101="enumerator"</formula>
    </cfRule>
  </conditionalFormatting>
  <conditionalFormatting sqref="B101:E111">
    <cfRule type="expression" dxfId="2" priority="3489" stopIfTrue="1">
      <formula>$A101="text"</formula>
    </cfRule>
  </conditionalFormatting>
  <conditionalFormatting sqref="B101:E111">
    <cfRule type="expression" dxfId="3" priority="3490" stopIfTrue="1">
      <formula>$A101="integer"</formula>
    </cfRule>
  </conditionalFormatting>
  <conditionalFormatting sqref="B101:E111">
    <cfRule type="expression" dxfId="4" priority="3491" stopIfTrue="1">
      <formula>$A101="decimal"</formula>
    </cfRule>
  </conditionalFormatting>
  <conditionalFormatting sqref="B101:C111 D101:E111">
    <cfRule type="expression" dxfId="5" priority="3492" stopIfTrue="1">
      <formula>OR(AND(LEFT($A101, 16)="select_multiple ", LEN($A101)&gt;16, NOT(ISNUMBER(SEARCH(" ", $A101, 17)))), AND(LEFT($A101, 11)="select_one ", LEN($A101)&gt;11, NOT(ISNUMBER(SEARCH(" ", $A101, 12)))))</formula>
    </cfRule>
  </conditionalFormatting>
  <conditionalFormatting sqref="B101:B111">
    <cfRule type="expression" dxfId="6" priority="3493" stopIfTrue="1">
      <formula>OR($A101="audio audit", $A101="text audit", $A101="speed violations count", $A101="speed violations list", $A101="speed violations audit")</formula>
    </cfRule>
  </conditionalFormatting>
  <conditionalFormatting sqref="B101:C111 D101:E111">
    <cfRule type="expression" dxfId="32" priority="3494" stopIfTrue="1">
      <formula>$A101="file"</formula>
    </cfRule>
  </conditionalFormatting>
  <conditionalFormatting sqref="B101:C111 D101:E111">
    <cfRule type="expression" dxfId="7" priority="3495" stopIfTrue="1">
      <formula>$A101="note"</formula>
    </cfRule>
  </conditionalFormatting>
  <conditionalFormatting sqref="B101:C111 D101:E111">
    <cfRule type="expression" dxfId="8" priority="3496" stopIfTrue="1">
      <formula>$A101="barcode"</formula>
    </cfRule>
  </conditionalFormatting>
  <conditionalFormatting sqref="B101:C111 D101:E111">
    <cfRule type="expression" dxfId="9" priority="3497" stopIfTrue="1">
      <formula>OR($A101="geopoint", $A101="geoshape", $A101="geotrace")</formula>
    </cfRule>
  </conditionalFormatting>
  <conditionalFormatting sqref="B101:B111">
    <cfRule type="expression" dxfId="10" priority="3498" stopIfTrue="1">
      <formula>OR($A101="calculate", $A101="calculate_here")</formula>
    </cfRule>
  </conditionalFormatting>
  <conditionalFormatting sqref="B101:C111 D101:E111">
    <cfRule type="expression" dxfId="11" priority="3499" stopIfTrue="1">
      <formula>OR($A101="date", $A101="datetime", $A101="time")</formula>
    </cfRule>
  </conditionalFormatting>
  <conditionalFormatting sqref="B101:C111 D101:E111">
    <cfRule type="expression" dxfId="12" priority="3500" stopIfTrue="1">
      <formula>$A101="image"</formula>
    </cfRule>
  </conditionalFormatting>
  <conditionalFormatting sqref="B101:C111 D101:E111">
    <cfRule type="expression" dxfId="13" priority="3501" stopIfTrue="1">
      <formula>OR($A101="audio", $A101="video")</formula>
    </cfRule>
  </conditionalFormatting>
  <conditionalFormatting sqref="B101:E111">
    <cfRule type="expression" dxfId="33" priority="3502" stopIfTrue="1">
      <formula>$A101="file"</formula>
    </cfRule>
  </conditionalFormatting>
  <conditionalFormatting sqref="B101:E111">
    <cfRule type="expression" dxfId="34" priority="3503" stopIfTrue="1">
      <formula>$A101="enumerator"</formula>
    </cfRule>
  </conditionalFormatting>
  <conditionalFormatting sqref="B101:E111">
    <cfRule type="expression" dxfId="35" priority="3504" stopIfTrue="1">
      <formula>OR(AND(LEFT($A101, 14)="sensor_stream ", LEN($A101)&gt;14, NOT(ISNUMBER(SEARCH(" ", $A101, 15)))), AND(LEFT($A101, 17)="sensor_statistic ", LEN($A101)&gt;17, NOT(ISNUMBER(SEARCH(" ", $A101, 18)))))</formula>
    </cfRule>
  </conditionalFormatting>
  <conditionalFormatting sqref="B101:E111">
    <cfRule type="expression" dxfId="14" priority="3505" stopIfTrue="1">
      <formula>$A101="comments"</formula>
    </cfRule>
  </conditionalFormatting>
  <conditionalFormatting sqref="B101:E111">
    <cfRule type="expression" dxfId="15" priority="3506" stopIfTrue="1">
      <formula>OR($A101="audio", $A101="video")</formula>
    </cfRule>
  </conditionalFormatting>
  <conditionalFormatting sqref="B101:E111">
    <cfRule type="expression" dxfId="16" priority="3507" stopIfTrue="1">
      <formula>$A101="image"</formula>
    </cfRule>
  </conditionalFormatting>
  <conditionalFormatting sqref="B101:E111">
    <cfRule type="expression" dxfId="17" priority="3508" stopIfTrue="1">
      <formula>OR($A101="date", $A101="datetime", $A101="time")</formula>
    </cfRule>
  </conditionalFormatting>
  <conditionalFormatting sqref="B101:E111">
    <cfRule type="expression" dxfId="18" priority="3509" stopIfTrue="1">
      <formula>OR($A101="calculate", $A101="calculate_here")</formula>
    </cfRule>
  </conditionalFormatting>
  <conditionalFormatting sqref="B101:E111">
    <cfRule type="expression" dxfId="19" priority="3510" stopIfTrue="1">
      <formula>$A101="note"</formula>
    </cfRule>
  </conditionalFormatting>
  <conditionalFormatting sqref="B101:E111">
    <cfRule type="expression" dxfId="20" priority="3511" stopIfTrue="1">
      <formula>$A101="barcode"</formula>
    </cfRule>
  </conditionalFormatting>
  <conditionalFormatting sqref="B101:E111">
    <cfRule type="expression" dxfId="21" priority="3512" stopIfTrue="1">
      <formula>OR($A101="geopoint", $A101="geoshape", $A101="geotrace")</formula>
    </cfRule>
  </conditionalFormatting>
  <conditionalFormatting sqref="B101:E111">
    <cfRule type="expression" dxfId="22" priority="3513" stopIfTrue="1">
      <formula>OR($A101="audio audit", $A101="text audit", $A101="speed violations count", $A101="speed violations list", $A101="speed violations audit")</formula>
    </cfRule>
  </conditionalFormatting>
  <conditionalFormatting sqref="B101:E111">
    <cfRule type="expression" dxfId="23" priority="3514" stopIfTrue="1">
      <formula>OR($A101="username", $A101="phonenumber", $A101="start", $A101="end", $A101="deviceid", $A101="subscriberid", $A101="simserial", $A101="caseid")</formula>
    </cfRule>
  </conditionalFormatting>
  <conditionalFormatting sqref="B101:E111">
    <cfRule type="expression" dxfId="24" priority="3515" stopIfTrue="1">
      <formula>OR(AND(LEFT($A101, 16)="select_multiple ", LEN($A101)&gt;16, NOT(ISNUMBER(SEARCH(" ", $A101, 17)))), AND(LEFT($A101, 11)="select_one ", LEN($A101)&gt;11, NOT(ISNUMBER(SEARCH(" ", $A101, 12)))))</formula>
    </cfRule>
  </conditionalFormatting>
  <conditionalFormatting sqref="B101:E111">
    <cfRule type="expression" dxfId="25" priority="3516" stopIfTrue="1">
      <formula>$A101="decimal"</formula>
    </cfRule>
  </conditionalFormatting>
  <conditionalFormatting sqref="B101:E111">
    <cfRule type="expression" dxfId="26" priority="3517" stopIfTrue="1">
      <formula>$A101="integer"</formula>
    </cfRule>
  </conditionalFormatting>
  <conditionalFormatting sqref="B101:E111">
    <cfRule type="expression" dxfId="27" priority="3518" stopIfTrue="1">
      <formula>$A101="text"</formula>
    </cfRule>
  </conditionalFormatting>
  <conditionalFormatting sqref="B101:E111">
    <cfRule type="expression" dxfId="28" priority="3519" stopIfTrue="1">
      <formula>$A101="end repeat"</formula>
    </cfRule>
  </conditionalFormatting>
  <conditionalFormatting sqref="B101:E111">
    <cfRule type="expression" dxfId="28" priority="3520" stopIfTrue="1">
      <formula>$A101="begin repeat"</formula>
    </cfRule>
  </conditionalFormatting>
  <conditionalFormatting sqref="B101:E111">
    <cfRule type="expression" dxfId="29" priority="3521" stopIfTrue="1">
      <formula>$A101="end group"</formula>
    </cfRule>
  </conditionalFormatting>
  <conditionalFormatting sqref="B101:E111">
    <cfRule type="expression" dxfId="29" priority="3522" stopIfTrue="1">
      <formula>$A101="begin group"</formula>
    </cfRule>
  </conditionalFormatting>
  <conditionalFormatting sqref="B101:B111">
    <cfRule type="expression" dxfId="30" priority="3523" stopIfTrue="1">
      <formula>$A101="comments"</formula>
    </cfRule>
  </conditionalFormatting>
  <conditionalFormatting sqref="B101:B111">
    <cfRule type="expression" dxfId="36" priority="3524" stopIfTrue="1">
      <formula>OR(AND(LEFT($A101, 14)="sensor_stream ", LEN($A101)&gt;14, NOT(ISNUMBER(SEARCH(" ", $A101, 15)))), AND(LEFT($A101, 17)="sensor_statistic ", LEN($A101)&gt;17, NOT(ISNUMBER(SEARCH(" ", $A101, 18)))))</formula>
    </cfRule>
  </conditionalFormatting>
  <conditionalFormatting sqref="B93:C94 D93:E94">
    <cfRule type="expression" dxfId="0" priority="3525" stopIfTrue="1">
      <formula>$A93="begin group"</formula>
    </cfRule>
  </conditionalFormatting>
  <conditionalFormatting sqref="B93:C94 D93:E94">
    <cfRule type="expression" dxfId="1" priority="3526" stopIfTrue="1">
      <formula>$A93="begin repeat"</formula>
    </cfRule>
  </conditionalFormatting>
  <conditionalFormatting sqref="B93:E94">
    <cfRule type="expression" dxfId="31" priority="3527" stopIfTrue="1">
      <formula>$A93="enumerator"</formula>
    </cfRule>
  </conditionalFormatting>
  <conditionalFormatting sqref="B93:E94">
    <cfRule type="expression" dxfId="2" priority="3528" stopIfTrue="1">
      <formula>$A93="text"</formula>
    </cfRule>
  </conditionalFormatting>
  <conditionalFormatting sqref="B93:E94">
    <cfRule type="expression" dxfId="3" priority="3529" stopIfTrue="1">
      <formula>$A93="integer"</formula>
    </cfRule>
  </conditionalFormatting>
  <conditionalFormatting sqref="B93:E94">
    <cfRule type="expression" dxfId="4" priority="3530" stopIfTrue="1">
      <formula>$A93="decimal"</formula>
    </cfRule>
  </conditionalFormatting>
  <conditionalFormatting sqref="B93:C94 D93:E94">
    <cfRule type="expression" dxfId="5" priority="3531" stopIfTrue="1">
      <formula>OR(AND(LEFT($A93, 16)="select_multiple ", LEN($A93)&gt;16, NOT(ISNUMBER(SEARCH(" ", $A93, 17)))), AND(LEFT($A93, 11)="select_one ", LEN($A93)&gt;11, NOT(ISNUMBER(SEARCH(" ", $A93, 12)))))</formula>
    </cfRule>
  </conditionalFormatting>
  <conditionalFormatting sqref="B93:B94">
    <cfRule type="expression" dxfId="6" priority="3532" stopIfTrue="1">
      <formula>OR($A93="audio audit", $A93="text audit", $A93="speed violations count", $A93="speed violations list", $A93="speed violations audit")</formula>
    </cfRule>
  </conditionalFormatting>
  <conditionalFormatting sqref="B93:C94 D93:E94">
    <cfRule type="expression" dxfId="32" priority="3533" stopIfTrue="1">
      <formula>$A93="file"</formula>
    </cfRule>
  </conditionalFormatting>
  <conditionalFormatting sqref="B93:C94 D93:E94">
    <cfRule type="expression" dxfId="7" priority="3534" stopIfTrue="1">
      <formula>$A93="note"</formula>
    </cfRule>
  </conditionalFormatting>
  <conditionalFormatting sqref="B93:C94 D93:E94">
    <cfRule type="expression" dxfId="8" priority="3535" stopIfTrue="1">
      <formula>$A93="barcode"</formula>
    </cfRule>
  </conditionalFormatting>
  <conditionalFormatting sqref="B93:C94 D93:E94">
    <cfRule type="expression" dxfId="9" priority="3536" stopIfTrue="1">
      <formula>OR($A93="geopoint", $A93="geoshape", $A93="geotrace")</formula>
    </cfRule>
  </conditionalFormatting>
  <conditionalFormatting sqref="B93:B94">
    <cfRule type="expression" dxfId="10" priority="3537" stopIfTrue="1">
      <formula>OR($A93="calculate", $A93="calculate_here")</formula>
    </cfRule>
  </conditionalFormatting>
  <conditionalFormatting sqref="B93:C94 D93:E94">
    <cfRule type="expression" dxfId="11" priority="3538" stopIfTrue="1">
      <formula>OR($A93="date", $A93="datetime", $A93="time")</formula>
    </cfRule>
  </conditionalFormatting>
  <conditionalFormatting sqref="B93:C94 D93:E94">
    <cfRule type="expression" dxfId="12" priority="3539" stopIfTrue="1">
      <formula>$A93="image"</formula>
    </cfRule>
  </conditionalFormatting>
  <conditionalFormatting sqref="B93:C94 D93:E94">
    <cfRule type="expression" dxfId="13" priority="3540" stopIfTrue="1">
      <formula>OR($A93="audio", $A93="video")</formula>
    </cfRule>
  </conditionalFormatting>
  <conditionalFormatting sqref="B93:E94">
    <cfRule type="expression" dxfId="33" priority="3541" stopIfTrue="1">
      <formula>$A93="file"</formula>
    </cfRule>
  </conditionalFormatting>
  <conditionalFormatting sqref="B93:E94">
    <cfRule type="expression" dxfId="34" priority="3542" stopIfTrue="1">
      <formula>$A93="enumerator"</formula>
    </cfRule>
  </conditionalFormatting>
  <conditionalFormatting sqref="B93:E94">
    <cfRule type="expression" dxfId="35" priority="3543" stopIfTrue="1">
      <formula>OR(AND(LEFT($A93, 14)="sensor_stream ", LEN($A93)&gt;14, NOT(ISNUMBER(SEARCH(" ", $A93, 15)))), AND(LEFT($A93, 17)="sensor_statistic ", LEN($A93)&gt;17, NOT(ISNUMBER(SEARCH(" ", $A93, 18)))))</formula>
    </cfRule>
  </conditionalFormatting>
  <conditionalFormatting sqref="B93:E94">
    <cfRule type="expression" dxfId="14" priority="3544" stopIfTrue="1">
      <formula>$A93="comments"</formula>
    </cfRule>
  </conditionalFormatting>
  <conditionalFormatting sqref="B93:E94">
    <cfRule type="expression" dxfId="15" priority="3545" stopIfTrue="1">
      <formula>OR($A93="audio", $A93="video")</formula>
    </cfRule>
  </conditionalFormatting>
  <conditionalFormatting sqref="B93:E94">
    <cfRule type="expression" dxfId="16" priority="3546" stopIfTrue="1">
      <formula>$A93="image"</formula>
    </cfRule>
  </conditionalFormatting>
  <conditionalFormatting sqref="B93:E94">
    <cfRule type="expression" dxfId="17" priority="3547" stopIfTrue="1">
      <formula>OR($A93="date", $A93="datetime", $A93="time")</formula>
    </cfRule>
  </conditionalFormatting>
  <conditionalFormatting sqref="B93:E94">
    <cfRule type="expression" dxfId="18" priority="3548" stopIfTrue="1">
      <formula>OR($A93="calculate", $A93="calculate_here")</formula>
    </cfRule>
  </conditionalFormatting>
  <conditionalFormatting sqref="B93:E94">
    <cfRule type="expression" dxfId="19" priority="3549" stopIfTrue="1">
      <formula>$A93="note"</formula>
    </cfRule>
  </conditionalFormatting>
  <conditionalFormatting sqref="B93:E94">
    <cfRule type="expression" dxfId="20" priority="3550" stopIfTrue="1">
      <formula>$A93="barcode"</formula>
    </cfRule>
  </conditionalFormatting>
  <conditionalFormatting sqref="B93:E94">
    <cfRule type="expression" dxfId="21" priority="3551" stopIfTrue="1">
      <formula>OR($A93="geopoint", $A93="geoshape", $A93="geotrace")</formula>
    </cfRule>
  </conditionalFormatting>
  <conditionalFormatting sqref="B93:E94">
    <cfRule type="expression" dxfId="22" priority="3552" stopIfTrue="1">
      <formula>OR($A93="audio audit", $A93="text audit", $A93="speed violations count", $A93="speed violations list", $A93="speed violations audit")</formula>
    </cfRule>
  </conditionalFormatting>
  <conditionalFormatting sqref="B93:E94">
    <cfRule type="expression" dxfId="23" priority="3553" stopIfTrue="1">
      <formula>OR($A93="username", $A93="phonenumber", $A93="start", $A93="end", $A93="deviceid", $A93="subscriberid", $A93="simserial", $A93="caseid")</formula>
    </cfRule>
  </conditionalFormatting>
  <conditionalFormatting sqref="B93:E94">
    <cfRule type="expression" dxfId="24" priority="3554" stopIfTrue="1">
      <formula>OR(AND(LEFT($A93, 16)="select_multiple ", LEN($A93)&gt;16, NOT(ISNUMBER(SEARCH(" ", $A93, 17)))), AND(LEFT($A93, 11)="select_one ", LEN($A93)&gt;11, NOT(ISNUMBER(SEARCH(" ", $A93, 12)))))</formula>
    </cfRule>
  </conditionalFormatting>
  <conditionalFormatting sqref="B93:E94">
    <cfRule type="expression" dxfId="25" priority="3555" stopIfTrue="1">
      <formula>$A93="decimal"</formula>
    </cfRule>
  </conditionalFormatting>
  <conditionalFormatting sqref="B93:E94">
    <cfRule type="expression" dxfId="26" priority="3556" stopIfTrue="1">
      <formula>$A93="integer"</formula>
    </cfRule>
  </conditionalFormatting>
  <conditionalFormatting sqref="B93:E94">
    <cfRule type="expression" dxfId="27" priority="3557" stopIfTrue="1">
      <formula>$A93="text"</formula>
    </cfRule>
  </conditionalFormatting>
  <conditionalFormatting sqref="B93:E94">
    <cfRule type="expression" dxfId="28" priority="3558" stopIfTrue="1">
      <formula>$A93="end repeat"</formula>
    </cfRule>
  </conditionalFormatting>
  <conditionalFormatting sqref="B93:E94">
    <cfRule type="expression" dxfId="28" priority="3559" stopIfTrue="1">
      <formula>$A93="begin repeat"</formula>
    </cfRule>
  </conditionalFormatting>
  <conditionalFormatting sqref="B93:E94">
    <cfRule type="expression" dxfId="29" priority="3560" stopIfTrue="1">
      <formula>$A93="end group"</formula>
    </cfRule>
  </conditionalFormatting>
  <conditionalFormatting sqref="B93:E94">
    <cfRule type="expression" dxfId="29" priority="3561" stopIfTrue="1">
      <formula>$A93="begin group"</formula>
    </cfRule>
  </conditionalFormatting>
  <conditionalFormatting sqref="B93:B94">
    <cfRule type="expression" dxfId="30" priority="3562" stopIfTrue="1">
      <formula>$A93="comments"</formula>
    </cfRule>
  </conditionalFormatting>
  <conditionalFormatting sqref="B93:B94">
    <cfRule type="expression" dxfId="36" priority="3563" stopIfTrue="1">
      <formula>OR(AND(LEFT($A93, 14)="sensor_stream ", LEN($A93)&gt;14, NOT(ISNUMBER(SEARCH(" ", $A93, 15)))), AND(LEFT($A93, 17)="sensor_statistic ", LEN($A93)&gt;17, NOT(ISNUMBER(SEARCH(" ", $A93, 18)))))</formula>
    </cfRule>
  </conditionalFormatting>
  <conditionalFormatting sqref="B88:C90 D88:E90">
    <cfRule type="expression" dxfId="0" priority="3564" stopIfTrue="1">
      <formula>$A88="begin group"</formula>
    </cfRule>
  </conditionalFormatting>
  <conditionalFormatting sqref="B88:C90 D88:E90">
    <cfRule type="expression" dxfId="1" priority="3565" stopIfTrue="1">
      <formula>$A88="begin repeat"</formula>
    </cfRule>
  </conditionalFormatting>
  <conditionalFormatting sqref="B88:E90">
    <cfRule type="expression" dxfId="31" priority="3566" stopIfTrue="1">
      <formula>$A88="enumerator"</formula>
    </cfRule>
  </conditionalFormatting>
  <conditionalFormatting sqref="B88:E90">
    <cfRule type="expression" dxfId="2" priority="3567" stopIfTrue="1">
      <formula>$A88="text"</formula>
    </cfRule>
  </conditionalFormatting>
  <conditionalFormatting sqref="B88:E90">
    <cfRule type="expression" dxfId="3" priority="3568" stopIfTrue="1">
      <formula>$A88="integer"</formula>
    </cfRule>
  </conditionalFormatting>
  <conditionalFormatting sqref="B88:E90">
    <cfRule type="expression" dxfId="4" priority="3569" stopIfTrue="1">
      <formula>$A88="decimal"</formula>
    </cfRule>
  </conditionalFormatting>
  <conditionalFormatting sqref="B88:C90 D88:E90">
    <cfRule type="expression" dxfId="5" priority="3570" stopIfTrue="1">
      <formula>OR(AND(LEFT($A88, 16)="select_multiple ", LEN($A88)&gt;16, NOT(ISNUMBER(SEARCH(" ", $A88, 17)))), AND(LEFT($A88, 11)="select_one ", LEN($A88)&gt;11, NOT(ISNUMBER(SEARCH(" ", $A88, 12)))))</formula>
    </cfRule>
  </conditionalFormatting>
  <conditionalFormatting sqref="B88:B90">
    <cfRule type="expression" dxfId="6" priority="3571" stopIfTrue="1">
      <formula>OR($A88="audio audit", $A88="text audit", $A88="speed violations count", $A88="speed violations list", $A88="speed violations audit")</formula>
    </cfRule>
  </conditionalFormatting>
  <conditionalFormatting sqref="B88:C90 D88:E90">
    <cfRule type="expression" dxfId="32" priority="3572" stopIfTrue="1">
      <formula>$A88="file"</formula>
    </cfRule>
  </conditionalFormatting>
  <conditionalFormatting sqref="B88:C90 D88:E90">
    <cfRule type="expression" dxfId="7" priority="3573" stopIfTrue="1">
      <formula>$A88="note"</formula>
    </cfRule>
  </conditionalFormatting>
  <conditionalFormatting sqref="B88:C90 D88:E90">
    <cfRule type="expression" dxfId="8" priority="3574" stopIfTrue="1">
      <formula>$A88="barcode"</formula>
    </cfRule>
  </conditionalFormatting>
  <conditionalFormatting sqref="B88:C90 D88:E90">
    <cfRule type="expression" dxfId="9" priority="3575" stopIfTrue="1">
      <formula>OR($A88="geopoint", $A88="geoshape", $A88="geotrace")</formula>
    </cfRule>
  </conditionalFormatting>
  <conditionalFormatting sqref="B88:B90">
    <cfRule type="expression" dxfId="10" priority="3576" stopIfTrue="1">
      <formula>OR($A88="calculate", $A88="calculate_here")</formula>
    </cfRule>
  </conditionalFormatting>
  <conditionalFormatting sqref="B88:C90 D88:E90">
    <cfRule type="expression" dxfId="11" priority="3577" stopIfTrue="1">
      <formula>OR($A88="date", $A88="datetime", $A88="time")</formula>
    </cfRule>
  </conditionalFormatting>
  <conditionalFormatting sqref="B88:C90 D88:E90">
    <cfRule type="expression" dxfId="12" priority="3578" stopIfTrue="1">
      <formula>$A88="image"</formula>
    </cfRule>
  </conditionalFormatting>
  <conditionalFormatting sqref="B88:C90 D88:E90">
    <cfRule type="expression" dxfId="13" priority="3579" stopIfTrue="1">
      <formula>OR($A88="audio", $A88="video")</formula>
    </cfRule>
  </conditionalFormatting>
  <conditionalFormatting sqref="B88:E90">
    <cfRule type="expression" dxfId="33" priority="3580" stopIfTrue="1">
      <formula>$A88="file"</formula>
    </cfRule>
  </conditionalFormatting>
  <conditionalFormatting sqref="B88:E90">
    <cfRule type="expression" dxfId="34" priority="3581" stopIfTrue="1">
      <formula>$A88="enumerator"</formula>
    </cfRule>
  </conditionalFormatting>
  <conditionalFormatting sqref="B88:E90">
    <cfRule type="expression" dxfId="35" priority="3582" stopIfTrue="1">
      <formula>OR(AND(LEFT($A88, 14)="sensor_stream ", LEN($A88)&gt;14, NOT(ISNUMBER(SEARCH(" ", $A88, 15)))), AND(LEFT($A88, 17)="sensor_statistic ", LEN($A88)&gt;17, NOT(ISNUMBER(SEARCH(" ", $A88, 18)))))</formula>
    </cfRule>
  </conditionalFormatting>
  <conditionalFormatting sqref="B88:E90">
    <cfRule type="expression" dxfId="14" priority="3583" stopIfTrue="1">
      <formula>$A88="comments"</formula>
    </cfRule>
  </conditionalFormatting>
  <conditionalFormatting sqref="B88:E90">
    <cfRule type="expression" dxfId="15" priority="3584" stopIfTrue="1">
      <formula>OR($A88="audio", $A88="video")</formula>
    </cfRule>
  </conditionalFormatting>
  <conditionalFormatting sqref="B88:E90">
    <cfRule type="expression" dxfId="16" priority="3585" stopIfTrue="1">
      <formula>$A88="image"</formula>
    </cfRule>
  </conditionalFormatting>
  <conditionalFormatting sqref="B88:E90">
    <cfRule type="expression" dxfId="17" priority="3586" stopIfTrue="1">
      <formula>OR($A88="date", $A88="datetime", $A88="time")</formula>
    </cfRule>
  </conditionalFormatting>
  <conditionalFormatting sqref="B88:E90">
    <cfRule type="expression" dxfId="18" priority="3587" stopIfTrue="1">
      <formula>OR($A88="calculate", $A88="calculate_here")</formula>
    </cfRule>
  </conditionalFormatting>
  <conditionalFormatting sqref="B88:E90">
    <cfRule type="expression" dxfId="19" priority="3588" stopIfTrue="1">
      <formula>$A88="note"</formula>
    </cfRule>
  </conditionalFormatting>
  <conditionalFormatting sqref="B88:E90">
    <cfRule type="expression" dxfId="20" priority="3589" stopIfTrue="1">
      <formula>$A88="barcode"</formula>
    </cfRule>
  </conditionalFormatting>
  <conditionalFormatting sqref="B88:E90">
    <cfRule type="expression" dxfId="21" priority="3590" stopIfTrue="1">
      <formula>OR($A88="geopoint", $A88="geoshape", $A88="geotrace")</formula>
    </cfRule>
  </conditionalFormatting>
  <conditionalFormatting sqref="B88:E90">
    <cfRule type="expression" dxfId="22" priority="3591" stopIfTrue="1">
      <formula>OR($A88="audio audit", $A88="text audit", $A88="speed violations count", $A88="speed violations list", $A88="speed violations audit")</formula>
    </cfRule>
  </conditionalFormatting>
  <conditionalFormatting sqref="B88:E90">
    <cfRule type="expression" dxfId="23" priority="3592" stopIfTrue="1">
      <formula>OR($A88="username", $A88="phonenumber", $A88="start", $A88="end", $A88="deviceid", $A88="subscriberid", $A88="simserial", $A88="caseid")</formula>
    </cfRule>
  </conditionalFormatting>
  <conditionalFormatting sqref="B88:E90">
    <cfRule type="expression" dxfId="24" priority="3593" stopIfTrue="1">
      <formula>OR(AND(LEFT($A88, 16)="select_multiple ", LEN($A88)&gt;16, NOT(ISNUMBER(SEARCH(" ", $A88, 17)))), AND(LEFT($A88, 11)="select_one ", LEN($A88)&gt;11, NOT(ISNUMBER(SEARCH(" ", $A88, 12)))))</formula>
    </cfRule>
  </conditionalFormatting>
  <conditionalFormatting sqref="B88:E90">
    <cfRule type="expression" dxfId="25" priority="3594" stopIfTrue="1">
      <formula>$A88="decimal"</formula>
    </cfRule>
  </conditionalFormatting>
  <conditionalFormatting sqref="B88:E90">
    <cfRule type="expression" dxfId="26" priority="3595" stopIfTrue="1">
      <formula>$A88="integer"</formula>
    </cfRule>
  </conditionalFormatting>
  <conditionalFormatting sqref="B88:E90">
    <cfRule type="expression" dxfId="27" priority="3596" stopIfTrue="1">
      <formula>$A88="text"</formula>
    </cfRule>
  </conditionalFormatting>
  <conditionalFormatting sqref="B88:E90">
    <cfRule type="expression" dxfId="28" priority="3597" stopIfTrue="1">
      <formula>$A88="end repeat"</formula>
    </cfRule>
  </conditionalFormatting>
  <conditionalFormatting sqref="B88:E90">
    <cfRule type="expression" dxfId="28" priority="3598" stopIfTrue="1">
      <formula>$A88="begin repeat"</formula>
    </cfRule>
  </conditionalFormatting>
  <conditionalFormatting sqref="B88:E90">
    <cfRule type="expression" dxfId="29" priority="3599" stopIfTrue="1">
      <formula>$A88="end group"</formula>
    </cfRule>
  </conditionalFormatting>
  <conditionalFormatting sqref="B88:E90">
    <cfRule type="expression" dxfId="29" priority="3600" stopIfTrue="1">
      <formula>$A88="begin group"</formula>
    </cfRule>
  </conditionalFormatting>
  <conditionalFormatting sqref="B88:B90">
    <cfRule type="expression" dxfId="30" priority="3601" stopIfTrue="1">
      <formula>$A88="comments"</formula>
    </cfRule>
  </conditionalFormatting>
  <conditionalFormatting sqref="B88:B90">
    <cfRule type="expression" dxfId="36" priority="3602" stopIfTrue="1">
      <formula>OR(AND(LEFT($A88, 14)="sensor_stream ", LEN($A88)&gt;14, NOT(ISNUMBER(SEARCH(" ", $A88, 15)))), AND(LEFT($A88, 17)="sensor_statistic ", LEN($A88)&gt;17, NOT(ISNUMBER(SEARCH(" ", $A88, 18)))))</formula>
    </cfRule>
  </conditionalFormatting>
  <conditionalFormatting sqref="B68:C84 D68:E84">
    <cfRule type="expression" dxfId="0" priority="3603" stopIfTrue="1">
      <formula>$A68="begin group"</formula>
    </cfRule>
  </conditionalFormatting>
  <conditionalFormatting sqref="B68:C84 D68:E84">
    <cfRule type="expression" dxfId="1" priority="3604" stopIfTrue="1">
      <formula>$A68="begin repeat"</formula>
    </cfRule>
  </conditionalFormatting>
  <conditionalFormatting sqref="B68:E84">
    <cfRule type="expression" dxfId="31" priority="3605" stopIfTrue="1">
      <formula>$A68="enumerator"</formula>
    </cfRule>
  </conditionalFormatting>
  <conditionalFormatting sqref="B68:E84">
    <cfRule type="expression" dxfId="2" priority="3606" stopIfTrue="1">
      <formula>$A68="text"</formula>
    </cfRule>
  </conditionalFormatting>
  <conditionalFormatting sqref="B68:E84">
    <cfRule type="expression" dxfId="3" priority="3607" stopIfTrue="1">
      <formula>$A68="integer"</formula>
    </cfRule>
  </conditionalFormatting>
  <conditionalFormatting sqref="B68:E84">
    <cfRule type="expression" dxfId="4" priority="3608" stopIfTrue="1">
      <formula>$A68="decimal"</formula>
    </cfRule>
  </conditionalFormatting>
  <conditionalFormatting sqref="B68:C84 D68:E84">
    <cfRule type="expression" dxfId="5" priority="3609" stopIfTrue="1">
      <formula>OR(AND(LEFT($A68, 16)="select_multiple ", LEN($A68)&gt;16, NOT(ISNUMBER(SEARCH(" ", $A68, 17)))), AND(LEFT($A68, 11)="select_one ", LEN($A68)&gt;11, NOT(ISNUMBER(SEARCH(" ", $A68, 12)))))</formula>
    </cfRule>
  </conditionalFormatting>
  <conditionalFormatting sqref="B68:B84">
    <cfRule type="expression" dxfId="6" priority="3610" stopIfTrue="1">
      <formula>OR($A68="audio audit", $A68="text audit", $A68="speed violations count", $A68="speed violations list", $A68="speed violations audit")</formula>
    </cfRule>
  </conditionalFormatting>
  <conditionalFormatting sqref="B68:C84 D68:E84">
    <cfRule type="expression" dxfId="32" priority="3611" stopIfTrue="1">
      <formula>$A68="file"</formula>
    </cfRule>
  </conditionalFormatting>
  <conditionalFormatting sqref="B68:C84 D68:E84">
    <cfRule type="expression" dxfId="7" priority="3612" stopIfTrue="1">
      <formula>$A68="note"</formula>
    </cfRule>
  </conditionalFormatting>
  <conditionalFormatting sqref="B68:C84 D68:E84">
    <cfRule type="expression" dxfId="8" priority="3613" stopIfTrue="1">
      <formula>$A68="barcode"</formula>
    </cfRule>
  </conditionalFormatting>
  <conditionalFormatting sqref="B68:C84 D68:E84">
    <cfRule type="expression" dxfId="9" priority="3614" stopIfTrue="1">
      <formula>OR($A68="geopoint", $A68="geoshape", $A68="geotrace")</formula>
    </cfRule>
  </conditionalFormatting>
  <conditionalFormatting sqref="B68:B84">
    <cfRule type="expression" dxfId="10" priority="3615" stopIfTrue="1">
      <formula>OR($A68="calculate", $A68="calculate_here")</formula>
    </cfRule>
  </conditionalFormatting>
  <conditionalFormatting sqref="B68:C84 D68:E84">
    <cfRule type="expression" dxfId="11" priority="3616" stopIfTrue="1">
      <formula>OR($A68="date", $A68="datetime", $A68="time")</formula>
    </cfRule>
  </conditionalFormatting>
  <conditionalFormatting sqref="B68:C84 D68:E84">
    <cfRule type="expression" dxfId="12" priority="3617" stopIfTrue="1">
      <formula>$A68="image"</formula>
    </cfRule>
  </conditionalFormatting>
  <conditionalFormatting sqref="B68:C84 D68:E84">
    <cfRule type="expression" dxfId="13" priority="3618" stopIfTrue="1">
      <formula>OR($A68="audio", $A68="video")</formula>
    </cfRule>
  </conditionalFormatting>
  <conditionalFormatting sqref="B68:E84">
    <cfRule type="expression" dxfId="33" priority="3619" stopIfTrue="1">
      <formula>$A68="file"</formula>
    </cfRule>
  </conditionalFormatting>
  <conditionalFormatting sqref="B68:E84">
    <cfRule type="expression" dxfId="34" priority="3620" stopIfTrue="1">
      <formula>$A68="enumerator"</formula>
    </cfRule>
  </conditionalFormatting>
  <conditionalFormatting sqref="B68:E84">
    <cfRule type="expression" dxfId="35" priority="3621" stopIfTrue="1">
      <formula>OR(AND(LEFT($A68, 14)="sensor_stream ", LEN($A68)&gt;14, NOT(ISNUMBER(SEARCH(" ", $A68, 15)))), AND(LEFT($A68, 17)="sensor_statistic ", LEN($A68)&gt;17, NOT(ISNUMBER(SEARCH(" ", $A68, 18)))))</formula>
    </cfRule>
  </conditionalFormatting>
  <conditionalFormatting sqref="B68:E84">
    <cfRule type="expression" dxfId="14" priority="3622" stopIfTrue="1">
      <formula>$A68="comments"</formula>
    </cfRule>
  </conditionalFormatting>
  <conditionalFormatting sqref="B68:E84">
    <cfRule type="expression" dxfId="15" priority="3623" stopIfTrue="1">
      <formula>OR($A68="audio", $A68="video")</formula>
    </cfRule>
  </conditionalFormatting>
  <conditionalFormatting sqref="B68:E84">
    <cfRule type="expression" dxfId="16" priority="3624" stopIfTrue="1">
      <formula>$A68="image"</formula>
    </cfRule>
  </conditionalFormatting>
  <conditionalFormatting sqref="B68:E84">
    <cfRule type="expression" dxfId="17" priority="3625" stopIfTrue="1">
      <formula>OR($A68="date", $A68="datetime", $A68="time")</formula>
    </cfRule>
  </conditionalFormatting>
  <conditionalFormatting sqref="B68:E84">
    <cfRule type="expression" dxfId="18" priority="3626" stopIfTrue="1">
      <formula>OR($A68="calculate", $A68="calculate_here")</formula>
    </cfRule>
  </conditionalFormatting>
  <conditionalFormatting sqref="B68:E84">
    <cfRule type="expression" dxfId="19" priority="3627" stopIfTrue="1">
      <formula>$A68="note"</formula>
    </cfRule>
  </conditionalFormatting>
  <conditionalFormatting sqref="B68:E84">
    <cfRule type="expression" dxfId="20" priority="3628" stopIfTrue="1">
      <formula>$A68="barcode"</formula>
    </cfRule>
  </conditionalFormatting>
  <conditionalFormatting sqref="B68:E84">
    <cfRule type="expression" dxfId="21" priority="3629" stopIfTrue="1">
      <formula>OR($A68="geopoint", $A68="geoshape", $A68="geotrace")</formula>
    </cfRule>
  </conditionalFormatting>
  <conditionalFormatting sqref="B68:E84">
    <cfRule type="expression" dxfId="22" priority="3630" stopIfTrue="1">
      <formula>OR($A68="audio audit", $A68="text audit", $A68="speed violations count", $A68="speed violations list", $A68="speed violations audit")</formula>
    </cfRule>
  </conditionalFormatting>
  <conditionalFormatting sqref="B68:E84">
    <cfRule type="expression" dxfId="23" priority="3631" stopIfTrue="1">
      <formula>OR($A68="username", $A68="phonenumber", $A68="start", $A68="end", $A68="deviceid", $A68="subscriberid", $A68="simserial", $A68="caseid")</formula>
    </cfRule>
  </conditionalFormatting>
  <conditionalFormatting sqref="B68:E84">
    <cfRule type="expression" dxfId="24" priority="3632" stopIfTrue="1">
      <formula>OR(AND(LEFT($A68, 16)="select_multiple ", LEN($A68)&gt;16, NOT(ISNUMBER(SEARCH(" ", $A68, 17)))), AND(LEFT($A68, 11)="select_one ", LEN($A68)&gt;11, NOT(ISNUMBER(SEARCH(" ", $A68, 12)))))</formula>
    </cfRule>
  </conditionalFormatting>
  <conditionalFormatting sqref="B68:E84">
    <cfRule type="expression" dxfId="25" priority="3633" stopIfTrue="1">
      <formula>$A68="decimal"</formula>
    </cfRule>
  </conditionalFormatting>
  <conditionalFormatting sqref="B68:E84">
    <cfRule type="expression" dxfId="26" priority="3634" stopIfTrue="1">
      <formula>$A68="integer"</formula>
    </cfRule>
  </conditionalFormatting>
  <conditionalFormatting sqref="B68:E84">
    <cfRule type="expression" dxfId="27" priority="3635" stopIfTrue="1">
      <formula>$A68="text"</formula>
    </cfRule>
  </conditionalFormatting>
  <conditionalFormatting sqref="B68:E84">
    <cfRule type="expression" dxfId="28" priority="3636" stopIfTrue="1">
      <formula>$A68="end repeat"</formula>
    </cfRule>
  </conditionalFormatting>
  <conditionalFormatting sqref="B68:E84">
    <cfRule type="expression" dxfId="28" priority="3637" stopIfTrue="1">
      <formula>$A68="begin repeat"</formula>
    </cfRule>
  </conditionalFormatting>
  <conditionalFormatting sqref="B68:E84">
    <cfRule type="expression" dxfId="29" priority="3638" stopIfTrue="1">
      <formula>$A68="end group"</formula>
    </cfRule>
  </conditionalFormatting>
  <conditionalFormatting sqref="B68:E84">
    <cfRule type="expression" dxfId="29" priority="3639" stopIfTrue="1">
      <formula>$A68="begin group"</formula>
    </cfRule>
  </conditionalFormatting>
  <conditionalFormatting sqref="B68:B84">
    <cfRule type="expression" dxfId="30" priority="3640" stopIfTrue="1">
      <formula>$A68="comments"</formula>
    </cfRule>
  </conditionalFormatting>
  <conditionalFormatting sqref="B68:B84">
    <cfRule type="expression" dxfId="36" priority="3641" stopIfTrue="1">
      <formula>OR(AND(LEFT($A68, 14)="sensor_stream ", LEN($A68)&gt;14, NOT(ISNUMBER(SEARCH(" ", $A68, 15)))), AND(LEFT($A68, 17)="sensor_statistic ", LEN($A68)&gt;17, NOT(ISNUMBER(SEARCH(" ", $A68, 18)))))</formula>
    </cfRule>
  </conditionalFormatting>
  <conditionalFormatting sqref="B66:C66 D66:E66">
    <cfRule type="expression" dxfId="0" priority="3642" stopIfTrue="1">
      <formula>$A66="begin group"</formula>
    </cfRule>
  </conditionalFormatting>
  <conditionalFormatting sqref="B66:C66 D66:E66">
    <cfRule type="expression" dxfId="1" priority="3643" stopIfTrue="1">
      <formula>$A66="begin repeat"</formula>
    </cfRule>
  </conditionalFormatting>
  <conditionalFormatting sqref="B66:E66">
    <cfRule type="expression" dxfId="31" priority="3644" stopIfTrue="1">
      <formula>$A66="enumerator"</formula>
    </cfRule>
  </conditionalFormatting>
  <conditionalFormatting sqref="B66:E66">
    <cfRule type="expression" dxfId="2" priority="3645" stopIfTrue="1">
      <formula>$A66="text"</formula>
    </cfRule>
  </conditionalFormatting>
  <conditionalFormatting sqref="B66:E66">
    <cfRule type="expression" dxfId="3" priority="3646" stopIfTrue="1">
      <formula>$A66="integer"</formula>
    </cfRule>
  </conditionalFormatting>
  <conditionalFormatting sqref="B66:E66">
    <cfRule type="expression" dxfId="4" priority="3647" stopIfTrue="1">
      <formula>$A66="decimal"</formula>
    </cfRule>
  </conditionalFormatting>
  <conditionalFormatting sqref="B66:C66 D66:E66">
    <cfRule type="expression" dxfId="5" priority="3648" stopIfTrue="1">
      <formula>OR(AND(LEFT($A66, 16)="select_multiple ", LEN($A66)&gt;16, NOT(ISNUMBER(SEARCH(" ", $A66, 17)))), AND(LEFT($A66, 11)="select_one ", LEN($A66)&gt;11, NOT(ISNUMBER(SEARCH(" ", $A66, 12)))))</formula>
    </cfRule>
  </conditionalFormatting>
  <conditionalFormatting sqref="B66">
    <cfRule type="expression" dxfId="6" priority="3649" stopIfTrue="1">
      <formula>OR($A66="audio audit", $A66="text audit", $A66="speed violations count", $A66="speed violations list", $A66="speed violations audit")</formula>
    </cfRule>
  </conditionalFormatting>
  <conditionalFormatting sqref="B66:C66 D66:E66">
    <cfRule type="expression" dxfId="32" priority="3650" stopIfTrue="1">
      <formula>$A66="file"</formula>
    </cfRule>
  </conditionalFormatting>
  <conditionalFormatting sqref="B66:C66 D66:E66">
    <cfRule type="expression" dxfId="7" priority="3651" stopIfTrue="1">
      <formula>$A66="note"</formula>
    </cfRule>
  </conditionalFormatting>
  <conditionalFormatting sqref="B66:C66 D66:E66">
    <cfRule type="expression" dxfId="8" priority="3652" stopIfTrue="1">
      <formula>$A66="barcode"</formula>
    </cfRule>
  </conditionalFormatting>
  <conditionalFormatting sqref="B66:C66 D66:E66">
    <cfRule type="expression" dxfId="9" priority="3653" stopIfTrue="1">
      <formula>OR($A66="geopoint", $A66="geoshape", $A66="geotrace")</formula>
    </cfRule>
  </conditionalFormatting>
  <conditionalFormatting sqref="B66">
    <cfRule type="expression" dxfId="10" priority="3654" stopIfTrue="1">
      <formula>OR($A66="calculate", $A66="calculate_here")</formula>
    </cfRule>
  </conditionalFormatting>
  <conditionalFormatting sqref="B66:C66 D66:E66">
    <cfRule type="expression" dxfId="11" priority="3655" stopIfTrue="1">
      <formula>OR($A66="date", $A66="datetime", $A66="time")</formula>
    </cfRule>
  </conditionalFormatting>
  <conditionalFormatting sqref="B66:C66 D66:E66">
    <cfRule type="expression" dxfId="12" priority="3656" stopIfTrue="1">
      <formula>$A66="image"</formula>
    </cfRule>
  </conditionalFormatting>
  <conditionalFormatting sqref="B66:C66 D66:E66">
    <cfRule type="expression" dxfId="13" priority="3657" stopIfTrue="1">
      <formula>OR($A66="audio", $A66="video")</formula>
    </cfRule>
  </conditionalFormatting>
  <conditionalFormatting sqref="B66:E66">
    <cfRule type="expression" dxfId="33" priority="3658" stopIfTrue="1">
      <formula>$A66="file"</formula>
    </cfRule>
  </conditionalFormatting>
  <conditionalFormatting sqref="B66:E66">
    <cfRule type="expression" dxfId="34" priority="3659" stopIfTrue="1">
      <formula>$A66="enumerator"</formula>
    </cfRule>
  </conditionalFormatting>
  <conditionalFormatting sqref="B66:E66">
    <cfRule type="expression" dxfId="35" priority="3660" stopIfTrue="1">
      <formula>OR(AND(LEFT($A66, 14)="sensor_stream ", LEN($A66)&gt;14, NOT(ISNUMBER(SEARCH(" ", $A66, 15)))), AND(LEFT($A66, 17)="sensor_statistic ", LEN($A66)&gt;17, NOT(ISNUMBER(SEARCH(" ", $A66, 18)))))</formula>
    </cfRule>
  </conditionalFormatting>
  <conditionalFormatting sqref="B66:E66">
    <cfRule type="expression" dxfId="14" priority="3661" stopIfTrue="1">
      <formula>$A66="comments"</formula>
    </cfRule>
  </conditionalFormatting>
  <conditionalFormatting sqref="B66:E66">
    <cfRule type="expression" dxfId="15" priority="3662" stopIfTrue="1">
      <formula>OR($A66="audio", $A66="video")</formula>
    </cfRule>
  </conditionalFormatting>
  <conditionalFormatting sqref="B66:E66">
    <cfRule type="expression" dxfId="16" priority="3663" stopIfTrue="1">
      <formula>$A66="image"</formula>
    </cfRule>
  </conditionalFormatting>
  <conditionalFormatting sqref="B66:E66">
    <cfRule type="expression" dxfId="17" priority="3664" stopIfTrue="1">
      <formula>OR($A66="date", $A66="datetime", $A66="time")</formula>
    </cfRule>
  </conditionalFormatting>
  <conditionalFormatting sqref="B66:E66">
    <cfRule type="expression" dxfId="18" priority="3665" stopIfTrue="1">
      <formula>OR($A66="calculate", $A66="calculate_here")</formula>
    </cfRule>
  </conditionalFormatting>
  <conditionalFormatting sqref="B66:E66">
    <cfRule type="expression" dxfId="19" priority="3666" stopIfTrue="1">
      <formula>$A66="note"</formula>
    </cfRule>
  </conditionalFormatting>
  <conditionalFormatting sqref="B66:E66">
    <cfRule type="expression" dxfId="20" priority="3667" stopIfTrue="1">
      <formula>$A66="barcode"</formula>
    </cfRule>
  </conditionalFormatting>
  <conditionalFormatting sqref="B66:E66">
    <cfRule type="expression" dxfId="21" priority="3668" stopIfTrue="1">
      <formula>OR($A66="geopoint", $A66="geoshape", $A66="geotrace")</formula>
    </cfRule>
  </conditionalFormatting>
  <conditionalFormatting sqref="B66:E66">
    <cfRule type="expression" dxfId="22" priority="3669" stopIfTrue="1">
      <formula>OR($A66="audio audit", $A66="text audit", $A66="speed violations count", $A66="speed violations list", $A66="speed violations audit")</formula>
    </cfRule>
  </conditionalFormatting>
  <conditionalFormatting sqref="B66:E66">
    <cfRule type="expression" dxfId="23" priority="3670" stopIfTrue="1">
      <formula>OR($A66="username", $A66="phonenumber", $A66="start", $A66="end", $A66="deviceid", $A66="subscriberid", $A66="simserial", $A66="caseid")</formula>
    </cfRule>
  </conditionalFormatting>
  <conditionalFormatting sqref="B66:E66">
    <cfRule type="expression" dxfId="24" priority="3671" stopIfTrue="1">
      <formula>OR(AND(LEFT($A66, 16)="select_multiple ", LEN($A66)&gt;16, NOT(ISNUMBER(SEARCH(" ", $A66, 17)))), AND(LEFT($A66, 11)="select_one ", LEN($A66)&gt;11, NOT(ISNUMBER(SEARCH(" ", $A66, 12)))))</formula>
    </cfRule>
  </conditionalFormatting>
  <conditionalFormatting sqref="B66:E66">
    <cfRule type="expression" dxfId="25" priority="3672" stopIfTrue="1">
      <formula>$A66="decimal"</formula>
    </cfRule>
  </conditionalFormatting>
  <conditionalFormatting sqref="B66:E66">
    <cfRule type="expression" dxfId="26" priority="3673" stopIfTrue="1">
      <formula>$A66="integer"</formula>
    </cfRule>
  </conditionalFormatting>
  <conditionalFormatting sqref="B66:E66">
    <cfRule type="expression" dxfId="27" priority="3674" stopIfTrue="1">
      <formula>$A66="text"</formula>
    </cfRule>
  </conditionalFormatting>
  <conditionalFormatting sqref="B66:E66">
    <cfRule type="expression" dxfId="28" priority="3675" stopIfTrue="1">
      <formula>$A66="end repeat"</formula>
    </cfRule>
  </conditionalFormatting>
  <conditionalFormatting sqref="B66:E66">
    <cfRule type="expression" dxfId="28" priority="3676" stopIfTrue="1">
      <formula>$A66="begin repeat"</formula>
    </cfRule>
  </conditionalFormatting>
  <conditionalFormatting sqref="B66:E66">
    <cfRule type="expression" dxfId="29" priority="3677" stopIfTrue="1">
      <formula>$A66="end group"</formula>
    </cfRule>
  </conditionalFormatting>
  <conditionalFormatting sqref="B66:E66">
    <cfRule type="expression" dxfId="29" priority="3678" stopIfTrue="1">
      <formula>$A66="begin group"</formula>
    </cfRule>
  </conditionalFormatting>
  <conditionalFormatting sqref="B66">
    <cfRule type="expression" dxfId="30" priority="3679" stopIfTrue="1">
      <formula>$A66="comments"</formula>
    </cfRule>
  </conditionalFormatting>
  <conditionalFormatting sqref="B66">
    <cfRule type="expression" dxfId="36" priority="3680" stopIfTrue="1">
      <formula>OR(AND(LEFT($A66, 14)="sensor_stream ", LEN($A66)&gt;14, NOT(ISNUMBER(SEARCH(" ", $A66, 15)))), AND(LEFT($A66, 17)="sensor_statistic ", LEN($A66)&gt;17, NOT(ISNUMBER(SEARCH(" ", $A66, 18)))))</formula>
    </cfRule>
  </conditionalFormatting>
  <conditionalFormatting sqref="B58:C58 D58:E58">
    <cfRule type="expression" dxfId="0" priority="3681" stopIfTrue="1">
      <formula>$A58="begin group"</formula>
    </cfRule>
  </conditionalFormatting>
  <conditionalFormatting sqref="B58:C58 D58:E58">
    <cfRule type="expression" dxfId="1" priority="3682" stopIfTrue="1">
      <formula>$A58="begin repeat"</formula>
    </cfRule>
  </conditionalFormatting>
  <conditionalFormatting sqref="B58:E58">
    <cfRule type="expression" dxfId="31" priority="3683" stopIfTrue="1">
      <formula>$A58="enumerator"</formula>
    </cfRule>
  </conditionalFormatting>
  <conditionalFormatting sqref="B58:E58">
    <cfRule type="expression" dxfId="2" priority="3684" stopIfTrue="1">
      <formula>$A58="text"</formula>
    </cfRule>
  </conditionalFormatting>
  <conditionalFormatting sqref="B58:E58">
    <cfRule type="expression" dxfId="3" priority="3685" stopIfTrue="1">
      <formula>$A58="integer"</formula>
    </cfRule>
  </conditionalFormatting>
  <conditionalFormatting sqref="B58:E58">
    <cfRule type="expression" dxfId="4" priority="3686" stopIfTrue="1">
      <formula>$A58="decimal"</formula>
    </cfRule>
  </conditionalFormatting>
  <conditionalFormatting sqref="B58:C58 D58:E58">
    <cfRule type="expression" dxfId="5" priority="3687" stopIfTrue="1">
      <formula>OR(AND(LEFT($A58, 16)="select_multiple ", LEN($A58)&gt;16, NOT(ISNUMBER(SEARCH(" ", $A58, 17)))), AND(LEFT($A58, 11)="select_one ", LEN($A58)&gt;11, NOT(ISNUMBER(SEARCH(" ", $A58, 12)))))</formula>
    </cfRule>
  </conditionalFormatting>
  <conditionalFormatting sqref="B58">
    <cfRule type="expression" dxfId="6" priority="3688" stopIfTrue="1">
      <formula>OR($A58="audio audit", $A58="text audit", $A58="speed violations count", $A58="speed violations list", $A58="speed violations audit")</formula>
    </cfRule>
  </conditionalFormatting>
  <conditionalFormatting sqref="B58:C58 D58:E58">
    <cfRule type="expression" dxfId="32" priority="3689" stopIfTrue="1">
      <formula>$A58="file"</formula>
    </cfRule>
  </conditionalFormatting>
  <conditionalFormatting sqref="B58:C58 D58:E58">
    <cfRule type="expression" dxfId="7" priority="3690" stopIfTrue="1">
      <formula>$A58="note"</formula>
    </cfRule>
  </conditionalFormatting>
  <conditionalFormatting sqref="B58:C58 D58:E58">
    <cfRule type="expression" dxfId="8" priority="3691" stopIfTrue="1">
      <formula>$A58="barcode"</formula>
    </cfRule>
  </conditionalFormatting>
  <conditionalFormatting sqref="B58:C58 D58:E58">
    <cfRule type="expression" dxfId="9" priority="3692" stopIfTrue="1">
      <formula>OR($A58="geopoint", $A58="geoshape", $A58="geotrace")</formula>
    </cfRule>
  </conditionalFormatting>
  <conditionalFormatting sqref="B58">
    <cfRule type="expression" dxfId="10" priority="3693" stopIfTrue="1">
      <formula>OR($A58="calculate", $A58="calculate_here")</formula>
    </cfRule>
  </conditionalFormatting>
  <conditionalFormatting sqref="B58:C58 D58:E58">
    <cfRule type="expression" dxfId="11" priority="3694" stopIfTrue="1">
      <formula>OR($A58="date", $A58="datetime", $A58="time")</formula>
    </cfRule>
  </conditionalFormatting>
  <conditionalFormatting sqref="B58:C58 D58:E58">
    <cfRule type="expression" dxfId="12" priority="3695" stopIfTrue="1">
      <formula>$A58="image"</formula>
    </cfRule>
  </conditionalFormatting>
  <conditionalFormatting sqref="B58:C58 D58:E58">
    <cfRule type="expression" dxfId="13" priority="3696" stopIfTrue="1">
      <formula>OR($A58="audio", $A58="video")</formula>
    </cfRule>
  </conditionalFormatting>
  <conditionalFormatting sqref="B58:E58">
    <cfRule type="expression" dxfId="33" priority="3697" stopIfTrue="1">
      <formula>$A58="file"</formula>
    </cfRule>
  </conditionalFormatting>
  <conditionalFormatting sqref="B58:E58">
    <cfRule type="expression" dxfId="34" priority="3698" stopIfTrue="1">
      <formula>$A58="enumerator"</formula>
    </cfRule>
  </conditionalFormatting>
  <conditionalFormatting sqref="B58:E58">
    <cfRule type="expression" dxfId="35" priority="3699" stopIfTrue="1">
      <formula>OR(AND(LEFT($A58, 14)="sensor_stream ", LEN($A58)&gt;14, NOT(ISNUMBER(SEARCH(" ", $A58, 15)))), AND(LEFT($A58, 17)="sensor_statistic ", LEN($A58)&gt;17, NOT(ISNUMBER(SEARCH(" ", $A58, 18)))))</formula>
    </cfRule>
  </conditionalFormatting>
  <conditionalFormatting sqref="B58:E58">
    <cfRule type="expression" dxfId="14" priority="3700" stopIfTrue="1">
      <formula>$A58="comments"</formula>
    </cfRule>
  </conditionalFormatting>
  <conditionalFormatting sqref="B58:E58">
    <cfRule type="expression" dxfId="15" priority="3701" stopIfTrue="1">
      <formula>OR($A58="audio", $A58="video")</formula>
    </cfRule>
  </conditionalFormatting>
  <conditionalFormatting sqref="B58:E58">
    <cfRule type="expression" dxfId="16" priority="3702" stopIfTrue="1">
      <formula>$A58="image"</formula>
    </cfRule>
  </conditionalFormatting>
  <conditionalFormatting sqref="B58:E58">
    <cfRule type="expression" dxfId="17" priority="3703" stopIfTrue="1">
      <formula>OR($A58="date", $A58="datetime", $A58="time")</formula>
    </cfRule>
  </conditionalFormatting>
  <conditionalFormatting sqref="B58:E58">
    <cfRule type="expression" dxfId="18" priority="3704" stopIfTrue="1">
      <formula>OR($A58="calculate", $A58="calculate_here")</formula>
    </cfRule>
  </conditionalFormatting>
  <conditionalFormatting sqref="B58:E58">
    <cfRule type="expression" dxfId="19" priority="3705" stopIfTrue="1">
      <formula>$A58="note"</formula>
    </cfRule>
  </conditionalFormatting>
  <conditionalFormatting sqref="B58:E58">
    <cfRule type="expression" dxfId="20" priority="3706" stopIfTrue="1">
      <formula>$A58="barcode"</formula>
    </cfRule>
  </conditionalFormatting>
  <conditionalFormatting sqref="B58:E58">
    <cfRule type="expression" dxfId="21" priority="3707" stopIfTrue="1">
      <formula>OR($A58="geopoint", $A58="geoshape", $A58="geotrace")</formula>
    </cfRule>
  </conditionalFormatting>
  <conditionalFormatting sqref="B58:E58">
    <cfRule type="expression" dxfId="22" priority="3708" stopIfTrue="1">
      <formula>OR($A58="audio audit", $A58="text audit", $A58="speed violations count", $A58="speed violations list", $A58="speed violations audit")</formula>
    </cfRule>
  </conditionalFormatting>
  <conditionalFormatting sqref="B58:E58">
    <cfRule type="expression" dxfId="23" priority="3709" stopIfTrue="1">
      <formula>OR($A58="username", $A58="phonenumber", $A58="start", $A58="end", $A58="deviceid", $A58="subscriberid", $A58="simserial", $A58="caseid")</formula>
    </cfRule>
  </conditionalFormatting>
  <conditionalFormatting sqref="B58:E58">
    <cfRule type="expression" dxfId="24" priority="3710" stopIfTrue="1">
      <formula>OR(AND(LEFT($A58, 16)="select_multiple ", LEN($A58)&gt;16, NOT(ISNUMBER(SEARCH(" ", $A58, 17)))), AND(LEFT($A58, 11)="select_one ", LEN($A58)&gt;11, NOT(ISNUMBER(SEARCH(" ", $A58, 12)))))</formula>
    </cfRule>
  </conditionalFormatting>
  <conditionalFormatting sqref="B58:E58">
    <cfRule type="expression" dxfId="25" priority="3711" stopIfTrue="1">
      <formula>$A58="decimal"</formula>
    </cfRule>
  </conditionalFormatting>
  <conditionalFormatting sqref="B58:E58">
    <cfRule type="expression" dxfId="26" priority="3712" stopIfTrue="1">
      <formula>$A58="integer"</formula>
    </cfRule>
  </conditionalFormatting>
  <conditionalFormatting sqref="B58:E58">
    <cfRule type="expression" dxfId="27" priority="3713" stopIfTrue="1">
      <formula>$A58="text"</formula>
    </cfRule>
  </conditionalFormatting>
  <conditionalFormatting sqref="B58:E58">
    <cfRule type="expression" dxfId="28" priority="3714" stopIfTrue="1">
      <formula>$A58="end repeat"</formula>
    </cfRule>
  </conditionalFormatting>
  <conditionalFormatting sqref="B58:E58">
    <cfRule type="expression" dxfId="28" priority="3715" stopIfTrue="1">
      <formula>$A58="begin repeat"</formula>
    </cfRule>
  </conditionalFormatting>
  <conditionalFormatting sqref="B58:E58">
    <cfRule type="expression" dxfId="29" priority="3716" stopIfTrue="1">
      <formula>$A58="end group"</formula>
    </cfRule>
  </conditionalFormatting>
  <conditionalFormatting sqref="B58:E58">
    <cfRule type="expression" dxfId="29" priority="3717" stopIfTrue="1">
      <formula>$A58="begin group"</formula>
    </cfRule>
  </conditionalFormatting>
  <conditionalFormatting sqref="B58">
    <cfRule type="expression" dxfId="30" priority="3718" stopIfTrue="1">
      <formula>$A58="comments"</formula>
    </cfRule>
  </conditionalFormatting>
  <conditionalFormatting sqref="B58">
    <cfRule type="expression" dxfId="36" priority="3719" stopIfTrue="1">
      <formula>OR(AND(LEFT($A58, 14)="sensor_stream ", LEN($A58)&gt;14, NOT(ISNUMBER(SEARCH(" ", $A58, 15)))), AND(LEFT($A58, 17)="sensor_statistic ", LEN($A58)&gt;17, NOT(ISNUMBER(SEARCH(" ", $A58, 18)))))</formula>
    </cfRule>
  </conditionalFormatting>
  <conditionalFormatting sqref="B51:C56 D51:E56">
    <cfRule type="expression" dxfId="0" priority="3720" stopIfTrue="1">
      <formula>$A51="begin group"</formula>
    </cfRule>
  </conditionalFormatting>
  <conditionalFormatting sqref="B51:C56 D51:E56">
    <cfRule type="expression" dxfId="1" priority="3721" stopIfTrue="1">
      <formula>$A51="begin repeat"</formula>
    </cfRule>
  </conditionalFormatting>
  <conditionalFormatting sqref="B51:E56">
    <cfRule type="expression" dxfId="31" priority="3722" stopIfTrue="1">
      <formula>$A51="enumerator"</formula>
    </cfRule>
  </conditionalFormatting>
  <conditionalFormatting sqref="B51:E56">
    <cfRule type="expression" dxfId="2" priority="3723" stopIfTrue="1">
      <formula>$A51="text"</formula>
    </cfRule>
  </conditionalFormatting>
  <conditionalFormatting sqref="B51:E56">
    <cfRule type="expression" dxfId="3" priority="3724" stopIfTrue="1">
      <formula>$A51="integer"</formula>
    </cfRule>
  </conditionalFormatting>
  <conditionalFormatting sqref="B51:E56">
    <cfRule type="expression" dxfId="4" priority="3725" stopIfTrue="1">
      <formula>$A51="decimal"</formula>
    </cfRule>
  </conditionalFormatting>
  <conditionalFormatting sqref="B51:C56 D51:E56">
    <cfRule type="expression" dxfId="5" priority="3726" stopIfTrue="1">
      <formula>OR(AND(LEFT($A51, 16)="select_multiple ", LEN($A51)&gt;16, NOT(ISNUMBER(SEARCH(" ", $A51, 17)))), AND(LEFT($A51, 11)="select_one ", LEN($A51)&gt;11, NOT(ISNUMBER(SEARCH(" ", $A51, 12)))))</formula>
    </cfRule>
  </conditionalFormatting>
  <conditionalFormatting sqref="B51:B56">
    <cfRule type="expression" dxfId="6" priority="3727" stopIfTrue="1">
      <formula>OR($A51="audio audit", $A51="text audit", $A51="speed violations count", $A51="speed violations list", $A51="speed violations audit")</formula>
    </cfRule>
  </conditionalFormatting>
  <conditionalFormatting sqref="B51:C56 D51:E56">
    <cfRule type="expression" dxfId="32" priority="3728" stopIfTrue="1">
      <formula>$A51="file"</formula>
    </cfRule>
  </conditionalFormatting>
  <conditionalFormatting sqref="B51:C56 D51:E56">
    <cfRule type="expression" dxfId="7" priority="3729" stopIfTrue="1">
      <formula>$A51="note"</formula>
    </cfRule>
  </conditionalFormatting>
  <conditionalFormatting sqref="B51:C56 D51:E56">
    <cfRule type="expression" dxfId="8" priority="3730" stopIfTrue="1">
      <formula>$A51="barcode"</formula>
    </cfRule>
  </conditionalFormatting>
  <conditionalFormatting sqref="B51:C56 D51:E56">
    <cfRule type="expression" dxfId="9" priority="3731" stopIfTrue="1">
      <formula>OR($A51="geopoint", $A51="geoshape", $A51="geotrace")</formula>
    </cfRule>
  </conditionalFormatting>
  <conditionalFormatting sqref="B51:B56">
    <cfRule type="expression" dxfId="10" priority="3732" stopIfTrue="1">
      <formula>OR($A51="calculate", $A51="calculate_here")</formula>
    </cfRule>
  </conditionalFormatting>
  <conditionalFormatting sqref="B51:C56 D51:E56">
    <cfRule type="expression" dxfId="11" priority="3733" stopIfTrue="1">
      <formula>OR($A51="date", $A51="datetime", $A51="time")</formula>
    </cfRule>
  </conditionalFormatting>
  <conditionalFormatting sqref="B51:C56 D51:E56">
    <cfRule type="expression" dxfId="12" priority="3734" stopIfTrue="1">
      <formula>$A51="image"</formula>
    </cfRule>
  </conditionalFormatting>
  <conditionalFormatting sqref="B51:C56 D51:E56">
    <cfRule type="expression" dxfId="13" priority="3735" stopIfTrue="1">
      <formula>OR($A51="audio", $A51="video")</formula>
    </cfRule>
  </conditionalFormatting>
  <conditionalFormatting sqref="B51:E56">
    <cfRule type="expression" dxfId="33" priority="3736" stopIfTrue="1">
      <formula>$A51="file"</formula>
    </cfRule>
  </conditionalFormatting>
  <conditionalFormatting sqref="B51:E56">
    <cfRule type="expression" dxfId="34" priority="3737" stopIfTrue="1">
      <formula>$A51="enumerator"</formula>
    </cfRule>
  </conditionalFormatting>
  <conditionalFormatting sqref="B51:E56">
    <cfRule type="expression" dxfId="35" priority="3738" stopIfTrue="1">
      <formula>OR(AND(LEFT($A51, 14)="sensor_stream ", LEN($A51)&gt;14, NOT(ISNUMBER(SEARCH(" ", $A51, 15)))), AND(LEFT($A51, 17)="sensor_statistic ", LEN($A51)&gt;17, NOT(ISNUMBER(SEARCH(" ", $A51, 18)))))</formula>
    </cfRule>
  </conditionalFormatting>
  <conditionalFormatting sqref="B51:E56">
    <cfRule type="expression" dxfId="14" priority="3739" stopIfTrue="1">
      <formula>$A51="comments"</formula>
    </cfRule>
  </conditionalFormatting>
  <conditionalFormatting sqref="B51:E56">
    <cfRule type="expression" dxfId="15" priority="3740" stopIfTrue="1">
      <formula>OR($A51="audio", $A51="video")</formula>
    </cfRule>
  </conditionalFormatting>
  <conditionalFormatting sqref="B51:E56">
    <cfRule type="expression" dxfId="16" priority="3741" stopIfTrue="1">
      <formula>$A51="image"</formula>
    </cfRule>
  </conditionalFormatting>
  <conditionalFormatting sqref="B51:E56">
    <cfRule type="expression" dxfId="17" priority="3742" stopIfTrue="1">
      <formula>OR($A51="date", $A51="datetime", $A51="time")</formula>
    </cfRule>
  </conditionalFormatting>
  <conditionalFormatting sqref="B51:E56">
    <cfRule type="expression" dxfId="18" priority="3743" stopIfTrue="1">
      <formula>OR($A51="calculate", $A51="calculate_here")</formula>
    </cfRule>
  </conditionalFormatting>
  <conditionalFormatting sqref="B51:E56">
    <cfRule type="expression" dxfId="19" priority="3744" stopIfTrue="1">
      <formula>$A51="note"</formula>
    </cfRule>
  </conditionalFormatting>
  <conditionalFormatting sqref="B51:E56">
    <cfRule type="expression" dxfId="20" priority="3745" stopIfTrue="1">
      <formula>$A51="barcode"</formula>
    </cfRule>
  </conditionalFormatting>
  <conditionalFormatting sqref="B51:E56">
    <cfRule type="expression" dxfId="21" priority="3746" stopIfTrue="1">
      <formula>OR($A51="geopoint", $A51="geoshape", $A51="geotrace")</formula>
    </cfRule>
  </conditionalFormatting>
  <conditionalFormatting sqref="B51:E56">
    <cfRule type="expression" dxfId="22" priority="3747" stopIfTrue="1">
      <formula>OR($A51="audio audit", $A51="text audit", $A51="speed violations count", $A51="speed violations list", $A51="speed violations audit")</formula>
    </cfRule>
  </conditionalFormatting>
  <conditionalFormatting sqref="B51:E56">
    <cfRule type="expression" dxfId="23" priority="3748" stopIfTrue="1">
      <formula>OR($A51="username", $A51="phonenumber", $A51="start", $A51="end", $A51="deviceid", $A51="subscriberid", $A51="simserial", $A51="caseid")</formula>
    </cfRule>
  </conditionalFormatting>
  <conditionalFormatting sqref="B51:E56">
    <cfRule type="expression" dxfId="24" priority="3749" stopIfTrue="1">
      <formula>OR(AND(LEFT($A51, 16)="select_multiple ", LEN($A51)&gt;16, NOT(ISNUMBER(SEARCH(" ", $A51, 17)))), AND(LEFT($A51, 11)="select_one ", LEN($A51)&gt;11, NOT(ISNUMBER(SEARCH(" ", $A51, 12)))))</formula>
    </cfRule>
  </conditionalFormatting>
  <conditionalFormatting sqref="B51:E56">
    <cfRule type="expression" dxfId="25" priority="3750" stopIfTrue="1">
      <formula>$A51="decimal"</formula>
    </cfRule>
  </conditionalFormatting>
  <conditionalFormatting sqref="B51:E56">
    <cfRule type="expression" dxfId="26" priority="3751" stopIfTrue="1">
      <formula>$A51="integer"</formula>
    </cfRule>
  </conditionalFormatting>
  <conditionalFormatting sqref="B51:E56">
    <cfRule type="expression" dxfId="27" priority="3752" stopIfTrue="1">
      <formula>$A51="text"</formula>
    </cfRule>
  </conditionalFormatting>
  <conditionalFormatting sqref="B51:E56">
    <cfRule type="expression" dxfId="28" priority="3753" stopIfTrue="1">
      <formula>$A51="end repeat"</formula>
    </cfRule>
  </conditionalFormatting>
  <conditionalFormatting sqref="B51:E56">
    <cfRule type="expression" dxfId="28" priority="3754" stopIfTrue="1">
      <formula>$A51="begin repeat"</formula>
    </cfRule>
  </conditionalFormatting>
  <conditionalFormatting sqref="B51:E56">
    <cfRule type="expression" dxfId="29" priority="3755" stopIfTrue="1">
      <formula>$A51="end group"</formula>
    </cfRule>
  </conditionalFormatting>
  <conditionalFormatting sqref="B51:E56">
    <cfRule type="expression" dxfId="29" priority="3756" stopIfTrue="1">
      <formula>$A51="begin group"</formula>
    </cfRule>
  </conditionalFormatting>
  <conditionalFormatting sqref="B51:B56">
    <cfRule type="expression" dxfId="30" priority="3757" stopIfTrue="1">
      <formula>$A51="comments"</formula>
    </cfRule>
  </conditionalFormatting>
  <conditionalFormatting sqref="B51:B56">
    <cfRule type="expression" dxfId="36" priority="3758" stopIfTrue="1">
      <formula>OR(AND(LEFT($A51, 14)="sensor_stream ", LEN($A51)&gt;14, NOT(ISNUMBER(SEARCH(" ", $A51, 15)))), AND(LEFT($A51, 17)="sensor_statistic ", LEN($A51)&gt;17, NOT(ISNUMBER(SEARCH(" ", $A51, 18)))))</formula>
    </cfRule>
  </conditionalFormatting>
  <conditionalFormatting sqref="B49:C49 D49:E49">
    <cfRule type="expression" dxfId="0" priority="3759" stopIfTrue="1">
      <formula>$A49="begin group"</formula>
    </cfRule>
  </conditionalFormatting>
  <conditionalFormatting sqref="B49:C49 D49:E49">
    <cfRule type="expression" dxfId="1" priority="3760" stopIfTrue="1">
      <formula>$A49="begin repeat"</formula>
    </cfRule>
  </conditionalFormatting>
  <conditionalFormatting sqref="B49:E49">
    <cfRule type="expression" dxfId="31" priority="3761" stopIfTrue="1">
      <formula>$A49="enumerator"</formula>
    </cfRule>
  </conditionalFormatting>
  <conditionalFormatting sqref="B49:E49">
    <cfRule type="expression" dxfId="2" priority="3762" stopIfTrue="1">
      <formula>$A49="text"</formula>
    </cfRule>
  </conditionalFormatting>
  <conditionalFormatting sqref="B49:E49">
    <cfRule type="expression" dxfId="3" priority="3763" stopIfTrue="1">
      <formula>$A49="integer"</formula>
    </cfRule>
  </conditionalFormatting>
  <conditionalFormatting sqref="B49:E49">
    <cfRule type="expression" dxfId="4" priority="3764" stopIfTrue="1">
      <formula>$A49="decimal"</formula>
    </cfRule>
  </conditionalFormatting>
  <conditionalFormatting sqref="B49:C49 D49:E49">
    <cfRule type="expression" dxfId="5" priority="3765" stopIfTrue="1">
      <formula>OR(AND(LEFT($A49, 16)="select_multiple ", LEN($A49)&gt;16, NOT(ISNUMBER(SEARCH(" ", $A49, 17)))), AND(LEFT($A49, 11)="select_one ", LEN($A49)&gt;11, NOT(ISNUMBER(SEARCH(" ", $A49, 12)))))</formula>
    </cfRule>
  </conditionalFormatting>
  <conditionalFormatting sqref="B49">
    <cfRule type="expression" dxfId="6" priority="3766" stopIfTrue="1">
      <formula>OR($A49="audio audit", $A49="text audit", $A49="speed violations count", $A49="speed violations list", $A49="speed violations audit")</formula>
    </cfRule>
  </conditionalFormatting>
  <conditionalFormatting sqref="B49:C49 D49:E49">
    <cfRule type="expression" dxfId="32" priority="3767" stopIfTrue="1">
      <formula>$A49="file"</formula>
    </cfRule>
  </conditionalFormatting>
  <conditionalFormatting sqref="B49:C49 D49:E49">
    <cfRule type="expression" dxfId="7" priority="3768" stopIfTrue="1">
      <formula>$A49="note"</formula>
    </cfRule>
  </conditionalFormatting>
  <conditionalFormatting sqref="B49:C49 D49:E49">
    <cfRule type="expression" dxfId="8" priority="3769" stopIfTrue="1">
      <formula>$A49="barcode"</formula>
    </cfRule>
  </conditionalFormatting>
  <conditionalFormatting sqref="B49:C49 D49:E49">
    <cfRule type="expression" dxfId="9" priority="3770" stopIfTrue="1">
      <formula>OR($A49="geopoint", $A49="geoshape", $A49="geotrace")</formula>
    </cfRule>
  </conditionalFormatting>
  <conditionalFormatting sqref="B49">
    <cfRule type="expression" dxfId="10" priority="3771" stopIfTrue="1">
      <formula>OR($A49="calculate", $A49="calculate_here")</formula>
    </cfRule>
  </conditionalFormatting>
  <conditionalFormatting sqref="B49:C49 D49:E49">
    <cfRule type="expression" dxfId="11" priority="3772" stopIfTrue="1">
      <formula>OR($A49="date", $A49="datetime", $A49="time")</formula>
    </cfRule>
  </conditionalFormatting>
  <conditionalFormatting sqref="B49:C49 D49:E49">
    <cfRule type="expression" dxfId="12" priority="3773" stopIfTrue="1">
      <formula>$A49="image"</formula>
    </cfRule>
  </conditionalFormatting>
  <conditionalFormatting sqref="B49:C49 D49:E49">
    <cfRule type="expression" dxfId="13" priority="3774" stopIfTrue="1">
      <formula>OR($A49="audio", $A49="video")</formula>
    </cfRule>
  </conditionalFormatting>
  <conditionalFormatting sqref="B49:E49">
    <cfRule type="expression" dxfId="33" priority="3775" stopIfTrue="1">
      <formula>$A49="file"</formula>
    </cfRule>
  </conditionalFormatting>
  <conditionalFormatting sqref="B49:E49">
    <cfRule type="expression" dxfId="34" priority="3776" stopIfTrue="1">
      <formula>$A49="enumerator"</formula>
    </cfRule>
  </conditionalFormatting>
  <conditionalFormatting sqref="B49:E49">
    <cfRule type="expression" dxfId="35" priority="3777" stopIfTrue="1">
      <formula>OR(AND(LEFT($A49, 14)="sensor_stream ", LEN($A49)&gt;14, NOT(ISNUMBER(SEARCH(" ", $A49, 15)))), AND(LEFT($A49, 17)="sensor_statistic ", LEN($A49)&gt;17, NOT(ISNUMBER(SEARCH(" ", $A49, 18)))))</formula>
    </cfRule>
  </conditionalFormatting>
  <conditionalFormatting sqref="B49:E49">
    <cfRule type="expression" dxfId="14" priority="3778" stopIfTrue="1">
      <formula>$A49="comments"</formula>
    </cfRule>
  </conditionalFormatting>
  <conditionalFormatting sqref="B49:E49">
    <cfRule type="expression" dxfId="15" priority="3779" stopIfTrue="1">
      <formula>OR($A49="audio", $A49="video")</formula>
    </cfRule>
  </conditionalFormatting>
  <conditionalFormatting sqref="B49:E49">
    <cfRule type="expression" dxfId="16" priority="3780" stopIfTrue="1">
      <formula>$A49="image"</formula>
    </cfRule>
  </conditionalFormatting>
  <conditionalFormatting sqref="B49:E49">
    <cfRule type="expression" dxfId="17" priority="3781" stopIfTrue="1">
      <formula>OR($A49="date", $A49="datetime", $A49="time")</formula>
    </cfRule>
  </conditionalFormatting>
  <conditionalFormatting sqref="B49:E49">
    <cfRule type="expression" dxfId="18" priority="3782" stopIfTrue="1">
      <formula>OR($A49="calculate", $A49="calculate_here")</formula>
    </cfRule>
  </conditionalFormatting>
  <conditionalFormatting sqref="B49:E49">
    <cfRule type="expression" dxfId="19" priority="3783" stopIfTrue="1">
      <formula>$A49="note"</formula>
    </cfRule>
  </conditionalFormatting>
  <conditionalFormatting sqref="B49:E49">
    <cfRule type="expression" dxfId="20" priority="3784" stopIfTrue="1">
      <formula>$A49="barcode"</formula>
    </cfRule>
  </conditionalFormatting>
  <conditionalFormatting sqref="B49:E49">
    <cfRule type="expression" dxfId="21" priority="3785" stopIfTrue="1">
      <formula>OR($A49="geopoint", $A49="geoshape", $A49="geotrace")</formula>
    </cfRule>
  </conditionalFormatting>
  <conditionalFormatting sqref="B49:E49">
    <cfRule type="expression" dxfId="22" priority="3786" stopIfTrue="1">
      <formula>OR($A49="audio audit", $A49="text audit", $A49="speed violations count", $A49="speed violations list", $A49="speed violations audit")</formula>
    </cfRule>
  </conditionalFormatting>
  <conditionalFormatting sqref="B49:E49">
    <cfRule type="expression" dxfId="23" priority="3787" stopIfTrue="1">
      <formula>OR($A49="username", $A49="phonenumber", $A49="start", $A49="end", $A49="deviceid", $A49="subscriberid", $A49="simserial", $A49="caseid")</formula>
    </cfRule>
  </conditionalFormatting>
  <conditionalFormatting sqref="B49:E49">
    <cfRule type="expression" dxfId="24" priority="3788" stopIfTrue="1">
      <formula>OR(AND(LEFT($A49, 16)="select_multiple ", LEN($A49)&gt;16, NOT(ISNUMBER(SEARCH(" ", $A49, 17)))), AND(LEFT($A49, 11)="select_one ", LEN($A49)&gt;11, NOT(ISNUMBER(SEARCH(" ", $A49, 12)))))</formula>
    </cfRule>
  </conditionalFormatting>
  <conditionalFormatting sqref="B49:E49">
    <cfRule type="expression" dxfId="25" priority="3789" stopIfTrue="1">
      <formula>$A49="decimal"</formula>
    </cfRule>
  </conditionalFormatting>
  <conditionalFormatting sqref="B49:E49">
    <cfRule type="expression" dxfId="26" priority="3790" stopIfTrue="1">
      <formula>$A49="integer"</formula>
    </cfRule>
  </conditionalFormatting>
  <conditionalFormatting sqref="B49:E49">
    <cfRule type="expression" dxfId="27" priority="3791" stopIfTrue="1">
      <formula>$A49="text"</formula>
    </cfRule>
  </conditionalFormatting>
  <conditionalFormatting sqref="B49:E49">
    <cfRule type="expression" dxfId="28" priority="3792" stopIfTrue="1">
      <formula>$A49="end repeat"</formula>
    </cfRule>
  </conditionalFormatting>
  <conditionalFormatting sqref="B49:E49">
    <cfRule type="expression" dxfId="28" priority="3793" stopIfTrue="1">
      <formula>$A49="begin repeat"</formula>
    </cfRule>
  </conditionalFormatting>
  <conditionalFormatting sqref="B49:E49">
    <cfRule type="expression" dxfId="29" priority="3794" stopIfTrue="1">
      <formula>$A49="end group"</formula>
    </cfRule>
  </conditionalFormatting>
  <conditionalFormatting sqref="B49:E49">
    <cfRule type="expression" dxfId="29" priority="3795" stopIfTrue="1">
      <formula>$A49="begin group"</formula>
    </cfRule>
  </conditionalFormatting>
  <conditionalFormatting sqref="B49">
    <cfRule type="expression" dxfId="30" priority="3796" stopIfTrue="1">
      <formula>$A49="comments"</formula>
    </cfRule>
  </conditionalFormatting>
  <conditionalFormatting sqref="B49">
    <cfRule type="expression" dxfId="36" priority="3797" stopIfTrue="1">
      <formula>OR(AND(LEFT($A49, 14)="sensor_stream ", LEN($A49)&gt;14, NOT(ISNUMBER(SEARCH(" ", $A49, 15)))), AND(LEFT($A49, 17)="sensor_statistic ", LEN($A49)&gt;17, NOT(ISNUMBER(SEARCH(" ", $A49, 18)))))</formula>
    </cfRule>
  </conditionalFormatting>
  <conditionalFormatting sqref="B34:C34">
    <cfRule type="expression" dxfId="0" priority="3798" stopIfTrue="1">
      <formula>$A34="begin group"</formula>
    </cfRule>
  </conditionalFormatting>
  <conditionalFormatting sqref="B34:C34">
    <cfRule type="expression" dxfId="1" priority="3799" stopIfTrue="1">
      <formula>$A34="begin repeat"</formula>
    </cfRule>
  </conditionalFormatting>
  <conditionalFormatting sqref="B34:E34">
    <cfRule type="expression" dxfId="31" priority="3800" stopIfTrue="1">
      <formula>$A34="enumerator"</formula>
    </cfRule>
  </conditionalFormatting>
  <conditionalFormatting sqref="B34:E34">
    <cfRule type="expression" dxfId="2" priority="3801" stopIfTrue="1">
      <formula>$A34="text"</formula>
    </cfRule>
  </conditionalFormatting>
  <conditionalFormatting sqref="B34:E34">
    <cfRule type="expression" dxfId="3" priority="3802" stopIfTrue="1">
      <formula>$A34="integer"</formula>
    </cfRule>
  </conditionalFormatting>
  <conditionalFormatting sqref="B34:E34">
    <cfRule type="expression" dxfId="4" priority="3803" stopIfTrue="1">
      <formula>$A34="decimal"</formula>
    </cfRule>
  </conditionalFormatting>
  <conditionalFormatting sqref="B34:C34">
    <cfRule type="expression" dxfId="5" priority="3804" stopIfTrue="1">
      <formula>OR(AND(LEFT($A34, 16)="select_multiple ", LEN($A34)&gt;16, NOT(ISNUMBER(SEARCH(" ", $A34, 17)))), AND(LEFT($A34, 11)="select_one ", LEN($A34)&gt;11, NOT(ISNUMBER(SEARCH(" ", $A34, 12)))))</formula>
    </cfRule>
  </conditionalFormatting>
  <conditionalFormatting sqref="B34">
    <cfRule type="expression" dxfId="6" priority="3805" stopIfTrue="1">
      <formula>OR($A34="audio audit", $A34="text audit", $A34="speed violations count", $A34="speed violations list", $A34="speed violations audit")</formula>
    </cfRule>
  </conditionalFormatting>
  <conditionalFormatting sqref="B34:C34">
    <cfRule type="expression" dxfId="32" priority="3806" stopIfTrue="1">
      <formula>$A34="file"</formula>
    </cfRule>
  </conditionalFormatting>
  <conditionalFormatting sqref="B34:C34">
    <cfRule type="expression" dxfId="7" priority="3807" stopIfTrue="1">
      <formula>$A34="note"</formula>
    </cfRule>
  </conditionalFormatting>
  <conditionalFormatting sqref="B34:C34">
    <cfRule type="expression" dxfId="8" priority="3808" stopIfTrue="1">
      <formula>$A34="barcode"</formula>
    </cfRule>
  </conditionalFormatting>
  <conditionalFormatting sqref="B34:C34">
    <cfRule type="expression" dxfId="9" priority="3809" stopIfTrue="1">
      <formula>OR($A34="geopoint", $A34="geoshape", $A34="geotrace")</formula>
    </cfRule>
  </conditionalFormatting>
  <conditionalFormatting sqref="B34">
    <cfRule type="expression" dxfId="10" priority="3810" stopIfTrue="1">
      <formula>OR($A34="calculate", $A34="calculate_here")</formula>
    </cfRule>
  </conditionalFormatting>
  <conditionalFormatting sqref="B34:C34">
    <cfRule type="expression" dxfId="11" priority="3811" stopIfTrue="1">
      <formula>OR($A34="date", $A34="datetime", $A34="time")</formula>
    </cfRule>
  </conditionalFormatting>
  <conditionalFormatting sqref="B34:C34">
    <cfRule type="expression" dxfId="12" priority="3812" stopIfTrue="1">
      <formula>$A34="image"</formula>
    </cfRule>
  </conditionalFormatting>
  <conditionalFormatting sqref="B34:C34">
    <cfRule type="expression" dxfId="13" priority="3813" stopIfTrue="1">
      <formula>OR($A34="audio", $A34="video")</formula>
    </cfRule>
  </conditionalFormatting>
  <conditionalFormatting sqref="B34:E34">
    <cfRule type="expression" dxfId="33" priority="3814" stopIfTrue="1">
      <formula>$A34="file"</formula>
    </cfRule>
  </conditionalFormatting>
  <conditionalFormatting sqref="B34:E34">
    <cfRule type="expression" dxfId="34" priority="3815" stopIfTrue="1">
      <formula>$A34="enumerator"</formula>
    </cfRule>
  </conditionalFormatting>
  <conditionalFormatting sqref="B34:E34">
    <cfRule type="expression" dxfId="35" priority="3816" stopIfTrue="1">
      <formula>OR(AND(LEFT($A34, 14)="sensor_stream ", LEN($A34)&gt;14, NOT(ISNUMBER(SEARCH(" ", $A34, 15)))), AND(LEFT($A34, 17)="sensor_statistic ", LEN($A34)&gt;17, NOT(ISNUMBER(SEARCH(" ", $A34, 18)))))</formula>
    </cfRule>
  </conditionalFormatting>
  <conditionalFormatting sqref="B34:E34">
    <cfRule type="expression" dxfId="14" priority="3817" stopIfTrue="1">
      <formula>$A34="comments"</formula>
    </cfRule>
  </conditionalFormatting>
  <conditionalFormatting sqref="B34:E34">
    <cfRule type="expression" dxfId="15" priority="3818" stopIfTrue="1">
      <formula>OR($A34="audio", $A34="video")</formula>
    </cfRule>
  </conditionalFormatting>
  <conditionalFormatting sqref="B34:E34">
    <cfRule type="expression" dxfId="16" priority="3819" stopIfTrue="1">
      <formula>$A34="image"</formula>
    </cfRule>
  </conditionalFormatting>
  <conditionalFormatting sqref="B34:E34">
    <cfRule type="expression" dxfId="17" priority="3820" stopIfTrue="1">
      <formula>OR($A34="date", $A34="datetime", $A34="time")</formula>
    </cfRule>
  </conditionalFormatting>
  <conditionalFormatting sqref="B34:E34">
    <cfRule type="expression" dxfId="18" priority="3821" stopIfTrue="1">
      <formula>OR($A34="calculate", $A34="calculate_here")</formula>
    </cfRule>
  </conditionalFormatting>
  <conditionalFormatting sqref="B34:E34">
    <cfRule type="expression" dxfId="19" priority="3822" stopIfTrue="1">
      <formula>$A34="note"</formula>
    </cfRule>
  </conditionalFormatting>
  <conditionalFormatting sqref="B34:E34">
    <cfRule type="expression" dxfId="20" priority="3823" stopIfTrue="1">
      <formula>$A34="barcode"</formula>
    </cfRule>
  </conditionalFormatting>
  <conditionalFormatting sqref="B34:E34">
    <cfRule type="expression" dxfId="21" priority="3824" stopIfTrue="1">
      <formula>OR($A34="geopoint", $A34="geoshape", $A34="geotrace")</formula>
    </cfRule>
  </conditionalFormatting>
  <conditionalFormatting sqref="B34:E34">
    <cfRule type="expression" dxfId="22" priority="3825" stopIfTrue="1">
      <formula>OR($A34="audio audit", $A34="text audit", $A34="speed violations count", $A34="speed violations list", $A34="speed violations audit")</formula>
    </cfRule>
  </conditionalFormatting>
  <conditionalFormatting sqref="B34:E34">
    <cfRule type="expression" dxfId="23" priority="3826" stopIfTrue="1">
      <formula>OR($A34="username", $A34="phonenumber", $A34="start", $A34="end", $A34="deviceid", $A34="subscriberid", $A34="simserial", $A34="caseid")</formula>
    </cfRule>
  </conditionalFormatting>
  <conditionalFormatting sqref="B34:E34">
    <cfRule type="expression" dxfId="24" priority="3827" stopIfTrue="1">
      <formula>OR(AND(LEFT($A34, 16)="select_multiple ", LEN($A34)&gt;16, NOT(ISNUMBER(SEARCH(" ", $A34, 17)))), AND(LEFT($A34, 11)="select_one ", LEN($A34)&gt;11, NOT(ISNUMBER(SEARCH(" ", $A34, 12)))))</formula>
    </cfRule>
  </conditionalFormatting>
  <conditionalFormatting sqref="B34:E34">
    <cfRule type="expression" dxfId="25" priority="3828" stopIfTrue="1">
      <formula>$A34="decimal"</formula>
    </cfRule>
  </conditionalFormatting>
  <conditionalFormatting sqref="B34:E34">
    <cfRule type="expression" dxfId="26" priority="3829" stopIfTrue="1">
      <formula>$A34="integer"</formula>
    </cfRule>
  </conditionalFormatting>
  <conditionalFormatting sqref="B34:E34">
    <cfRule type="expression" dxfId="27" priority="3830" stopIfTrue="1">
      <formula>$A34="text"</formula>
    </cfRule>
  </conditionalFormatting>
  <conditionalFormatting sqref="B34:E34">
    <cfRule type="expression" dxfId="28" priority="3831" stopIfTrue="1">
      <formula>$A34="end repeat"</formula>
    </cfRule>
  </conditionalFormatting>
  <conditionalFormatting sqref="B34:E34">
    <cfRule type="expression" dxfId="28" priority="3832" stopIfTrue="1">
      <formula>$A34="begin repeat"</formula>
    </cfRule>
  </conditionalFormatting>
  <conditionalFormatting sqref="B34:E34">
    <cfRule type="expression" dxfId="29" priority="3833" stopIfTrue="1">
      <formula>$A34="end group"</formula>
    </cfRule>
  </conditionalFormatting>
  <conditionalFormatting sqref="B34:E34">
    <cfRule type="expression" dxfId="29" priority="3834" stopIfTrue="1">
      <formula>$A34="begin group"</formula>
    </cfRule>
  </conditionalFormatting>
  <conditionalFormatting sqref="B34">
    <cfRule type="expression" dxfId="30" priority="3835" stopIfTrue="1">
      <formula>$A34="comments"</formula>
    </cfRule>
  </conditionalFormatting>
  <conditionalFormatting sqref="B34">
    <cfRule type="expression" dxfId="36" priority="3836" stopIfTrue="1">
      <formula>OR(AND(LEFT($A34, 14)="sensor_stream ", LEN($A34)&gt;14, NOT(ISNUMBER(SEARCH(" ", $A34, 15)))), AND(LEFT($A34, 17)="sensor_statistic ", LEN($A34)&gt;17, NOT(ISNUMBER(SEARCH(" ", $A34, 18)))))</formula>
    </cfRule>
  </conditionalFormatting>
  <conditionalFormatting sqref="B24:C24">
    <cfRule type="expression" dxfId="0" priority="3837" stopIfTrue="1">
      <formula>$A24="begin group"</formula>
    </cfRule>
  </conditionalFormatting>
  <conditionalFormatting sqref="B24:C24">
    <cfRule type="expression" dxfId="1" priority="3838" stopIfTrue="1">
      <formula>$A24="begin repeat"</formula>
    </cfRule>
  </conditionalFormatting>
  <conditionalFormatting sqref="B24:E24">
    <cfRule type="expression" dxfId="31" priority="3839" stopIfTrue="1">
      <formula>$A24="enumerator"</formula>
    </cfRule>
  </conditionalFormatting>
  <conditionalFormatting sqref="B24:E24">
    <cfRule type="expression" dxfId="2" priority="3840" stopIfTrue="1">
      <formula>$A24="text"</formula>
    </cfRule>
  </conditionalFormatting>
  <conditionalFormatting sqref="B24:E24">
    <cfRule type="expression" dxfId="3" priority="3841" stopIfTrue="1">
      <formula>$A24="integer"</formula>
    </cfRule>
  </conditionalFormatting>
  <conditionalFormatting sqref="B24:E24">
    <cfRule type="expression" dxfId="4" priority="3842" stopIfTrue="1">
      <formula>$A24="decimal"</formula>
    </cfRule>
  </conditionalFormatting>
  <conditionalFormatting sqref="B24:C24">
    <cfRule type="expression" dxfId="5" priority="3843" stopIfTrue="1">
      <formula>OR(AND(LEFT($A24, 16)="select_multiple ", LEN($A24)&gt;16, NOT(ISNUMBER(SEARCH(" ", $A24, 17)))), AND(LEFT($A24, 11)="select_one ", LEN($A24)&gt;11, NOT(ISNUMBER(SEARCH(" ", $A24, 12)))))</formula>
    </cfRule>
  </conditionalFormatting>
  <conditionalFormatting sqref="B24">
    <cfRule type="expression" dxfId="6" priority="3844" stopIfTrue="1">
      <formula>OR($A24="audio audit", $A24="text audit", $A24="speed violations count", $A24="speed violations list", $A24="speed violations audit")</formula>
    </cfRule>
  </conditionalFormatting>
  <conditionalFormatting sqref="B24:C24">
    <cfRule type="expression" dxfId="32" priority="3845" stopIfTrue="1">
      <formula>$A24="file"</formula>
    </cfRule>
  </conditionalFormatting>
  <conditionalFormatting sqref="B24:C24">
    <cfRule type="expression" dxfId="7" priority="3846" stopIfTrue="1">
      <formula>$A24="note"</formula>
    </cfRule>
  </conditionalFormatting>
  <conditionalFormatting sqref="B24:C24">
    <cfRule type="expression" dxfId="8" priority="3847" stopIfTrue="1">
      <formula>$A24="barcode"</formula>
    </cfRule>
  </conditionalFormatting>
  <conditionalFormatting sqref="B24:C24">
    <cfRule type="expression" dxfId="9" priority="3848" stopIfTrue="1">
      <formula>OR($A24="geopoint", $A24="geoshape", $A24="geotrace")</formula>
    </cfRule>
  </conditionalFormatting>
  <conditionalFormatting sqref="B24">
    <cfRule type="expression" dxfId="10" priority="3849" stopIfTrue="1">
      <formula>OR($A24="calculate", $A24="calculate_here")</formula>
    </cfRule>
  </conditionalFormatting>
  <conditionalFormatting sqref="B24:C24">
    <cfRule type="expression" dxfId="11" priority="3850" stopIfTrue="1">
      <formula>OR($A24="date", $A24="datetime", $A24="time")</formula>
    </cfRule>
  </conditionalFormatting>
  <conditionalFormatting sqref="B24:C24">
    <cfRule type="expression" dxfId="12" priority="3851" stopIfTrue="1">
      <formula>$A24="image"</formula>
    </cfRule>
  </conditionalFormatting>
  <conditionalFormatting sqref="B24:C24">
    <cfRule type="expression" dxfId="13" priority="3852" stopIfTrue="1">
      <formula>OR($A24="audio", $A24="video")</formula>
    </cfRule>
  </conditionalFormatting>
  <conditionalFormatting sqref="B24:E24">
    <cfRule type="expression" dxfId="33" priority="3853" stopIfTrue="1">
      <formula>$A24="file"</formula>
    </cfRule>
  </conditionalFormatting>
  <conditionalFormatting sqref="B24:E24">
    <cfRule type="expression" dxfId="34" priority="3854" stopIfTrue="1">
      <formula>$A24="enumerator"</formula>
    </cfRule>
  </conditionalFormatting>
  <conditionalFormatting sqref="B24:E24">
    <cfRule type="expression" dxfId="35" priority="3855" stopIfTrue="1">
      <formula>OR(AND(LEFT($A24, 14)="sensor_stream ", LEN($A24)&gt;14, NOT(ISNUMBER(SEARCH(" ", $A24, 15)))), AND(LEFT($A24, 17)="sensor_statistic ", LEN($A24)&gt;17, NOT(ISNUMBER(SEARCH(" ", $A24, 18)))))</formula>
    </cfRule>
  </conditionalFormatting>
  <conditionalFormatting sqref="B24:E24">
    <cfRule type="expression" dxfId="14" priority="3856" stopIfTrue="1">
      <formula>$A24="comments"</formula>
    </cfRule>
  </conditionalFormatting>
  <conditionalFormatting sqref="B24:E24">
    <cfRule type="expression" dxfId="15" priority="3857" stopIfTrue="1">
      <formula>OR($A24="audio", $A24="video")</formula>
    </cfRule>
  </conditionalFormatting>
  <conditionalFormatting sqref="B24:E24">
    <cfRule type="expression" dxfId="16" priority="3858" stopIfTrue="1">
      <formula>$A24="image"</formula>
    </cfRule>
  </conditionalFormatting>
  <conditionalFormatting sqref="B24:E24">
    <cfRule type="expression" dxfId="17" priority="3859" stopIfTrue="1">
      <formula>OR($A24="date", $A24="datetime", $A24="time")</formula>
    </cfRule>
  </conditionalFormatting>
  <conditionalFormatting sqref="B24:E24">
    <cfRule type="expression" dxfId="18" priority="3860" stopIfTrue="1">
      <formula>OR($A24="calculate", $A24="calculate_here")</formula>
    </cfRule>
  </conditionalFormatting>
  <conditionalFormatting sqref="B24:E24">
    <cfRule type="expression" dxfId="19" priority="3861" stopIfTrue="1">
      <formula>$A24="note"</formula>
    </cfRule>
  </conditionalFormatting>
  <conditionalFormatting sqref="B24:E24">
    <cfRule type="expression" dxfId="20" priority="3862" stopIfTrue="1">
      <formula>$A24="barcode"</formula>
    </cfRule>
  </conditionalFormatting>
  <conditionalFormatting sqref="B24:E24">
    <cfRule type="expression" dxfId="21" priority="3863" stopIfTrue="1">
      <formula>OR($A24="geopoint", $A24="geoshape", $A24="geotrace")</formula>
    </cfRule>
  </conditionalFormatting>
  <conditionalFormatting sqref="B24:E24">
    <cfRule type="expression" dxfId="22" priority="3864" stopIfTrue="1">
      <formula>OR($A24="audio audit", $A24="text audit", $A24="speed violations count", $A24="speed violations list", $A24="speed violations audit")</formula>
    </cfRule>
  </conditionalFormatting>
  <conditionalFormatting sqref="B24:E24">
    <cfRule type="expression" dxfId="23" priority="3865" stopIfTrue="1">
      <formula>OR($A24="username", $A24="phonenumber", $A24="start", $A24="end", $A24="deviceid", $A24="subscriberid", $A24="simserial", $A24="caseid")</formula>
    </cfRule>
  </conditionalFormatting>
  <conditionalFormatting sqref="B24:E24">
    <cfRule type="expression" dxfId="24" priority="3866" stopIfTrue="1">
      <formula>OR(AND(LEFT($A24, 16)="select_multiple ", LEN($A24)&gt;16, NOT(ISNUMBER(SEARCH(" ", $A24, 17)))), AND(LEFT($A24, 11)="select_one ", LEN($A24)&gt;11, NOT(ISNUMBER(SEARCH(" ", $A24, 12)))))</formula>
    </cfRule>
  </conditionalFormatting>
  <conditionalFormatting sqref="B24:E24">
    <cfRule type="expression" dxfId="25" priority="3867" stopIfTrue="1">
      <formula>$A24="decimal"</formula>
    </cfRule>
  </conditionalFormatting>
  <conditionalFormatting sqref="B24:E24">
    <cfRule type="expression" dxfId="26" priority="3868" stopIfTrue="1">
      <formula>$A24="integer"</formula>
    </cfRule>
  </conditionalFormatting>
  <conditionalFormatting sqref="B24:E24">
    <cfRule type="expression" dxfId="27" priority="3869" stopIfTrue="1">
      <formula>$A24="text"</formula>
    </cfRule>
  </conditionalFormatting>
  <conditionalFormatting sqref="B24:E24">
    <cfRule type="expression" dxfId="28" priority="3870" stopIfTrue="1">
      <formula>$A24="end repeat"</formula>
    </cfRule>
  </conditionalFormatting>
  <conditionalFormatting sqref="B24:E24">
    <cfRule type="expression" dxfId="28" priority="3871" stopIfTrue="1">
      <formula>$A24="begin repeat"</formula>
    </cfRule>
  </conditionalFormatting>
  <conditionalFormatting sqref="B24:E24">
    <cfRule type="expression" dxfId="29" priority="3872" stopIfTrue="1">
      <formula>$A24="end group"</formula>
    </cfRule>
  </conditionalFormatting>
  <conditionalFormatting sqref="B24:E24">
    <cfRule type="expression" dxfId="29" priority="3873" stopIfTrue="1">
      <formula>$A24="begin group"</formula>
    </cfRule>
  </conditionalFormatting>
  <conditionalFormatting sqref="B24">
    <cfRule type="expression" dxfId="30" priority="3874" stopIfTrue="1">
      <formula>$A24="comments"</formula>
    </cfRule>
  </conditionalFormatting>
  <conditionalFormatting sqref="B24">
    <cfRule type="expression" dxfId="36" priority="3875" stopIfTrue="1">
      <formula>OR(AND(LEFT($A24, 14)="sensor_stream ", LEN($A24)&gt;14, NOT(ISNUMBER(SEARCH(" ", $A24, 15)))), AND(LEFT($A24, 17)="sensor_statistic ", LEN($A24)&gt;17, NOT(ISNUMBER(SEARCH(" ", $A24, 18)))))</formula>
    </cfRule>
  </conditionalFormatting>
  <conditionalFormatting sqref="B20:C20">
    <cfRule type="expression" dxfId="0" priority="3876" stopIfTrue="1">
      <formula>$A20="begin group"</formula>
    </cfRule>
  </conditionalFormatting>
  <conditionalFormatting sqref="B20:C20">
    <cfRule type="expression" dxfId="1" priority="3877" stopIfTrue="1">
      <formula>$A20="begin repeat"</formula>
    </cfRule>
  </conditionalFormatting>
  <conditionalFormatting sqref="B20:E20">
    <cfRule type="expression" dxfId="31" priority="3878" stopIfTrue="1">
      <formula>$A20="enumerator"</formula>
    </cfRule>
  </conditionalFormatting>
  <conditionalFormatting sqref="B20:E20">
    <cfRule type="expression" dxfId="2" priority="3879" stopIfTrue="1">
      <formula>$A20="text"</formula>
    </cfRule>
  </conditionalFormatting>
  <conditionalFormatting sqref="B20:E20">
    <cfRule type="expression" dxfId="3" priority="3880" stopIfTrue="1">
      <formula>$A20="integer"</formula>
    </cfRule>
  </conditionalFormatting>
  <conditionalFormatting sqref="B20:E20">
    <cfRule type="expression" dxfId="4" priority="3881" stopIfTrue="1">
      <formula>$A20="decimal"</formula>
    </cfRule>
  </conditionalFormatting>
  <conditionalFormatting sqref="B20:C20">
    <cfRule type="expression" dxfId="5" priority="3882" stopIfTrue="1">
      <formula>OR(AND(LEFT($A20, 16)="select_multiple ", LEN($A20)&gt;16, NOT(ISNUMBER(SEARCH(" ", $A20, 17)))), AND(LEFT($A20, 11)="select_one ", LEN($A20)&gt;11, NOT(ISNUMBER(SEARCH(" ", $A20, 12)))))</formula>
    </cfRule>
  </conditionalFormatting>
  <conditionalFormatting sqref="B20">
    <cfRule type="expression" dxfId="6" priority="3883" stopIfTrue="1">
      <formula>OR($A20="audio audit", $A20="text audit", $A20="speed violations count", $A20="speed violations list", $A20="speed violations audit")</formula>
    </cfRule>
  </conditionalFormatting>
  <conditionalFormatting sqref="B20:C20">
    <cfRule type="expression" dxfId="32" priority="3884" stopIfTrue="1">
      <formula>$A20="file"</formula>
    </cfRule>
  </conditionalFormatting>
  <conditionalFormatting sqref="B20:C20">
    <cfRule type="expression" dxfId="7" priority="3885" stopIfTrue="1">
      <formula>$A20="note"</formula>
    </cfRule>
  </conditionalFormatting>
  <conditionalFormatting sqref="B20:C20">
    <cfRule type="expression" dxfId="8" priority="3886" stopIfTrue="1">
      <formula>$A20="barcode"</formula>
    </cfRule>
  </conditionalFormatting>
  <conditionalFormatting sqref="B20:C20">
    <cfRule type="expression" dxfId="9" priority="3887" stopIfTrue="1">
      <formula>OR($A20="geopoint", $A20="geoshape", $A20="geotrace")</formula>
    </cfRule>
  </conditionalFormatting>
  <conditionalFormatting sqref="B20">
    <cfRule type="expression" dxfId="10" priority="3888" stopIfTrue="1">
      <formula>OR($A20="calculate", $A20="calculate_here")</formula>
    </cfRule>
  </conditionalFormatting>
  <conditionalFormatting sqref="B20:C20">
    <cfRule type="expression" dxfId="11" priority="3889" stopIfTrue="1">
      <formula>OR($A20="date", $A20="datetime", $A20="time")</formula>
    </cfRule>
  </conditionalFormatting>
  <conditionalFormatting sqref="B20:C20">
    <cfRule type="expression" dxfId="12" priority="3890" stopIfTrue="1">
      <formula>$A20="image"</formula>
    </cfRule>
  </conditionalFormatting>
  <conditionalFormatting sqref="B20:C20">
    <cfRule type="expression" dxfId="13" priority="3891" stopIfTrue="1">
      <formula>OR($A20="audio", $A20="video")</formula>
    </cfRule>
  </conditionalFormatting>
  <conditionalFormatting sqref="B20:E20">
    <cfRule type="expression" dxfId="33" priority="3892" stopIfTrue="1">
      <formula>$A20="file"</formula>
    </cfRule>
  </conditionalFormatting>
  <conditionalFormatting sqref="B20:E20">
    <cfRule type="expression" dxfId="34" priority="3893" stopIfTrue="1">
      <formula>$A20="enumerator"</formula>
    </cfRule>
  </conditionalFormatting>
  <conditionalFormatting sqref="B20:E20">
    <cfRule type="expression" dxfId="35" priority="3894" stopIfTrue="1">
      <formula>OR(AND(LEFT($A20, 14)="sensor_stream ", LEN($A20)&gt;14, NOT(ISNUMBER(SEARCH(" ", $A20, 15)))), AND(LEFT($A20, 17)="sensor_statistic ", LEN($A20)&gt;17, NOT(ISNUMBER(SEARCH(" ", $A20, 18)))))</formula>
    </cfRule>
  </conditionalFormatting>
  <conditionalFormatting sqref="B20:E20">
    <cfRule type="expression" dxfId="14" priority="3895" stopIfTrue="1">
      <formula>$A20="comments"</formula>
    </cfRule>
  </conditionalFormatting>
  <conditionalFormatting sqref="B20:E20">
    <cfRule type="expression" dxfId="15" priority="3896" stopIfTrue="1">
      <formula>OR($A20="audio", $A20="video")</formula>
    </cfRule>
  </conditionalFormatting>
  <conditionalFormatting sqref="B20:E20">
    <cfRule type="expression" dxfId="16" priority="3897" stopIfTrue="1">
      <formula>$A20="image"</formula>
    </cfRule>
  </conditionalFormatting>
  <conditionalFormatting sqref="B20:E20">
    <cfRule type="expression" dxfId="17" priority="3898" stopIfTrue="1">
      <formula>OR($A20="date", $A20="datetime", $A20="time")</formula>
    </cfRule>
  </conditionalFormatting>
  <conditionalFormatting sqref="B20:E20">
    <cfRule type="expression" dxfId="18" priority="3899" stopIfTrue="1">
      <formula>OR($A20="calculate", $A20="calculate_here")</formula>
    </cfRule>
  </conditionalFormatting>
  <conditionalFormatting sqref="B20:E20">
    <cfRule type="expression" dxfId="19" priority="3900" stopIfTrue="1">
      <formula>$A20="note"</formula>
    </cfRule>
  </conditionalFormatting>
  <conditionalFormatting sqref="B20:E20">
    <cfRule type="expression" dxfId="20" priority="3901" stopIfTrue="1">
      <formula>$A20="barcode"</formula>
    </cfRule>
  </conditionalFormatting>
  <conditionalFormatting sqref="B20:E20">
    <cfRule type="expression" dxfId="21" priority="3902" stopIfTrue="1">
      <formula>OR($A20="geopoint", $A20="geoshape", $A20="geotrace")</formula>
    </cfRule>
  </conditionalFormatting>
  <conditionalFormatting sqref="B20:E20">
    <cfRule type="expression" dxfId="22" priority="3903" stopIfTrue="1">
      <formula>OR($A20="audio audit", $A20="text audit", $A20="speed violations count", $A20="speed violations list", $A20="speed violations audit")</formula>
    </cfRule>
  </conditionalFormatting>
  <conditionalFormatting sqref="B20:E20">
    <cfRule type="expression" dxfId="23" priority="3904" stopIfTrue="1">
      <formula>OR($A20="username", $A20="phonenumber", $A20="start", $A20="end", $A20="deviceid", $A20="subscriberid", $A20="simserial", $A20="caseid")</formula>
    </cfRule>
  </conditionalFormatting>
  <conditionalFormatting sqref="B20:E20">
    <cfRule type="expression" dxfId="24" priority="3905" stopIfTrue="1">
      <formula>OR(AND(LEFT($A20, 16)="select_multiple ", LEN($A20)&gt;16, NOT(ISNUMBER(SEARCH(" ", $A20, 17)))), AND(LEFT($A20, 11)="select_one ", LEN($A20)&gt;11, NOT(ISNUMBER(SEARCH(" ", $A20, 12)))))</formula>
    </cfRule>
  </conditionalFormatting>
  <conditionalFormatting sqref="B20:E20">
    <cfRule type="expression" dxfId="25" priority="3906" stopIfTrue="1">
      <formula>$A20="decimal"</formula>
    </cfRule>
  </conditionalFormatting>
  <conditionalFormatting sqref="B20:E20">
    <cfRule type="expression" dxfId="26" priority="3907" stopIfTrue="1">
      <formula>$A20="integer"</formula>
    </cfRule>
  </conditionalFormatting>
  <conditionalFormatting sqref="B20:E20">
    <cfRule type="expression" dxfId="27" priority="3908" stopIfTrue="1">
      <formula>$A20="text"</formula>
    </cfRule>
  </conditionalFormatting>
  <conditionalFormatting sqref="B20:E20">
    <cfRule type="expression" dxfId="28" priority="3909" stopIfTrue="1">
      <formula>$A20="end repeat"</formula>
    </cfRule>
  </conditionalFormatting>
  <conditionalFormatting sqref="B20:E20">
    <cfRule type="expression" dxfId="28" priority="3910" stopIfTrue="1">
      <formula>$A20="begin repeat"</formula>
    </cfRule>
  </conditionalFormatting>
  <conditionalFormatting sqref="B20:E20">
    <cfRule type="expression" dxfId="29" priority="3911" stopIfTrue="1">
      <formula>$A20="end group"</formula>
    </cfRule>
  </conditionalFormatting>
  <conditionalFormatting sqref="B20:E20">
    <cfRule type="expression" dxfId="29" priority="3912" stopIfTrue="1">
      <formula>$A20="begin group"</formula>
    </cfRule>
  </conditionalFormatting>
  <conditionalFormatting sqref="B20">
    <cfRule type="expression" dxfId="30" priority="3913" stopIfTrue="1">
      <formula>$A20="comments"</formula>
    </cfRule>
  </conditionalFormatting>
  <conditionalFormatting sqref="B20">
    <cfRule type="expression" dxfId="36" priority="3914" stopIfTrue="1">
      <formula>OR(AND(LEFT($A20, 14)="sensor_stream ", LEN($A20)&gt;14, NOT(ISNUMBER(SEARCH(" ", $A20, 15)))), AND(LEFT($A20, 17)="sensor_statistic ", LEN($A20)&gt;17, NOT(ISNUMBER(SEARCH(" ", $A20, 18)))))</formula>
    </cfRule>
  </conditionalFormatting>
  <conditionalFormatting sqref="B18:C18">
    <cfRule type="expression" dxfId="0" priority="3915" stopIfTrue="1">
      <formula>$A18="begin group"</formula>
    </cfRule>
  </conditionalFormatting>
  <conditionalFormatting sqref="B18:C18">
    <cfRule type="expression" dxfId="1" priority="3916" stopIfTrue="1">
      <formula>$A18="begin repeat"</formula>
    </cfRule>
  </conditionalFormatting>
  <conditionalFormatting sqref="B18:E18">
    <cfRule type="expression" dxfId="31" priority="3917" stopIfTrue="1">
      <formula>$A18="enumerator"</formula>
    </cfRule>
  </conditionalFormatting>
  <conditionalFormatting sqref="B18:E18">
    <cfRule type="expression" dxfId="2" priority="3918" stopIfTrue="1">
      <formula>$A18="text"</formula>
    </cfRule>
  </conditionalFormatting>
  <conditionalFormatting sqref="B18:E18">
    <cfRule type="expression" dxfId="3" priority="3919" stopIfTrue="1">
      <formula>$A18="integer"</formula>
    </cfRule>
  </conditionalFormatting>
  <conditionalFormatting sqref="B18:E18">
    <cfRule type="expression" dxfId="4" priority="3920" stopIfTrue="1">
      <formula>$A18="decimal"</formula>
    </cfRule>
  </conditionalFormatting>
  <conditionalFormatting sqref="B18:C18">
    <cfRule type="expression" dxfId="5" priority="3921" stopIfTrue="1">
      <formula>OR(AND(LEFT($A18, 16)="select_multiple ", LEN($A18)&gt;16, NOT(ISNUMBER(SEARCH(" ", $A18, 17)))), AND(LEFT($A18, 11)="select_one ", LEN($A18)&gt;11, NOT(ISNUMBER(SEARCH(" ", $A18, 12)))))</formula>
    </cfRule>
  </conditionalFormatting>
  <conditionalFormatting sqref="B18">
    <cfRule type="expression" dxfId="6" priority="3922" stopIfTrue="1">
      <formula>OR($A18="audio audit", $A18="text audit", $A18="speed violations count", $A18="speed violations list", $A18="speed violations audit")</formula>
    </cfRule>
  </conditionalFormatting>
  <conditionalFormatting sqref="B18:C18">
    <cfRule type="expression" dxfId="32" priority="3923" stopIfTrue="1">
      <formula>$A18="file"</formula>
    </cfRule>
  </conditionalFormatting>
  <conditionalFormatting sqref="B18:C18">
    <cfRule type="expression" dxfId="7" priority="3924" stopIfTrue="1">
      <formula>$A18="note"</formula>
    </cfRule>
  </conditionalFormatting>
  <conditionalFormatting sqref="B18:C18">
    <cfRule type="expression" dxfId="8" priority="3925" stopIfTrue="1">
      <formula>$A18="barcode"</formula>
    </cfRule>
  </conditionalFormatting>
  <conditionalFormatting sqref="B18:C18">
    <cfRule type="expression" dxfId="9" priority="3926" stopIfTrue="1">
      <formula>OR($A18="geopoint", $A18="geoshape", $A18="geotrace")</formula>
    </cfRule>
  </conditionalFormatting>
  <conditionalFormatting sqref="B18">
    <cfRule type="expression" dxfId="10" priority="3927" stopIfTrue="1">
      <formula>OR($A18="calculate", $A18="calculate_here")</formula>
    </cfRule>
  </conditionalFormatting>
  <conditionalFormatting sqref="B18:C18">
    <cfRule type="expression" dxfId="11" priority="3928" stopIfTrue="1">
      <formula>OR($A18="date", $A18="datetime", $A18="time")</formula>
    </cfRule>
  </conditionalFormatting>
  <conditionalFormatting sqref="B18:C18">
    <cfRule type="expression" dxfId="12" priority="3929" stopIfTrue="1">
      <formula>$A18="image"</formula>
    </cfRule>
  </conditionalFormatting>
  <conditionalFormatting sqref="B18:C18">
    <cfRule type="expression" dxfId="13" priority="3930" stopIfTrue="1">
      <formula>OR($A18="audio", $A18="video")</formula>
    </cfRule>
  </conditionalFormatting>
  <conditionalFormatting sqref="B18:E18">
    <cfRule type="expression" dxfId="33" priority="3931" stopIfTrue="1">
      <formula>$A18="file"</formula>
    </cfRule>
  </conditionalFormatting>
  <conditionalFormatting sqref="B18:E18">
    <cfRule type="expression" dxfId="34" priority="3932" stopIfTrue="1">
      <formula>$A18="enumerator"</formula>
    </cfRule>
  </conditionalFormatting>
  <conditionalFormatting sqref="B18:E18">
    <cfRule type="expression" dxfId="35" priority="3933" stopIfTrue="1">
      <formula>OR(AND(LEFT($A18, 14)="sensor_stream ", LEN($A18)&gt;14, NOT(ISNUMBER(SEARCH(" ", $A18, 15)))), AND(LEFT($A18, 17)="sensor_statistic ", LEN($A18)&gt;17, NOT(ISNUMBER(SEARCH(" ", $A18, 18)))))</formula>
    </cfRule>
  </conditionalFormatting>
  <conditionalFormatting sqref="B18:E18">
    <cfRule type="expression" dxfId="14" priority="3934" stopIfTrue="1">
      <formula>$A18="comments"</formula>
    </cfRule>
  </conditionalFormatting>
  <conditionalFormatting sqref="B18:E18">
    <cfRule type="expression" dxfId="15" priority="3935" stopIfTrue="1">
      <formula>OR($A18="audio", $A18="video")</formula>
    </cfRule>
  </conditionalFormatting>
  <conditionalFormatting sqref="B18:E18">
    <cfRule type="expression" dxfId="16" priority="3936" stopIfTrue="1">
      <formula>$A18="image"</formula>
    </cfRule>
  </conditionalFormatting>
  <conditionalFormatting sqref="B18:E18">
    <cfRule type="expression" dxfId="17" priority="3937" stopIfTrue="1">
      <formula>OR($A18="date", $A18="datetime", $A18="time")</formula>
    </cfRule>
  </conditionalFormatting>
  <conditionalFormatting sqref="B18:E18">
    <cfRule type="expression" dxfId="18" priority="3938" stopIfTrue="1">
      <formula>OR($A18="calculate", $A18="calculate_here")</formula>
    </cfRule>
  </conditionalFormatting>
  <conditionalFormatting sqref="B18:E18">
    <cfRule type="expression" dxfId="19" priority="3939" stopIfTrue="1">
      <formula>$A18="note"</formula>
    </cfRule>
  </conditionalFormatting>
  <conditionalFormatting sqref="B18:E18">
    <cfRule type="expression" dxfId="20" priority="3940" stopIfTrue="1">
      <formula>$A18="barcode"</formula>
    </cfRule>
  </conditionalFormatting>
  <conditionalFormatting sqref="B18:E18">
    <cfRule type="expression" dxfId="21" priority="3941" stopIfTrue="1">
      <formula>OR($A18="geopoint", $A18="geoshape", $A18="geotrace")</formula>
    </cfRule>
  </conditionalFormatting>
  <conditionalFormatting sqref="B18:E18">
    <cfRule type="expression" dxfId="22" priority="3942" stopIfTrue="1">
      <formula>OR($A18="audio audit", $A18="text audit", $A18="speed violations count", $A18="speed violations list", $A18="speed violations audit")</formula>
    </cfRule>
  </conditionalFormatting>
  <conditionalFormatting sqref="B18:E18">
    <cfRule type="expression" dxfId="23" priority="3943" stopIfTrue="1">
      <formula>OR($A18="username", $A18="phonenumber", $A18="start", $A18="end", $A18="deviceid", $A18="subscriberid", $A18="simserial", $A18="caseid")</formula>
    </cfRule>
  </conditionalFormatting>
  <conditionalFormatting sqref="B18:E18">
    <cfRule type="expression" dxfId="24" priority="3944" stopIfTrue="1">
      <formula>OR(AND(LEFT($A18, 16)="select_multiple ", LEN($A18)&gt;16, NOT(ISNUMBER(SEARCH(" ", $A18, 17)))), AND(LEFT($A18, 11)="select_one ", LEN($A18)&gt;11, NOT(ISNUMBER(SEARCH(" ", $A18, 12)))))</formula>
    </cfRule>
  </conditionalFormatting>
  <conditionalFormatting sqref="B18:E18">
    <cfRule type="expression" dxfId="25" priority="3945" stopIfTrue="1">
      <formula>$A18="decimal"</formula>
    </cfRule>
  </conditionalFormatting>
  <conditionalFormatting sqref="B18:E18">
    <cfRule type="expression" dxfId="26" priority="3946" stopIfTrue="1">
      <formula>$A18="integer"</formula>
    </cfRule>
  </conditionalFormatting>
  <conditionalFormatting sqref="B18:E18">
    <cfRule type="expression" dxfId="27" priority="3947" stopIfTrue="1">
      <formula>$A18="text"</formula>
    </cfRule>
  </conditionalFormatting>
  <conditionalFormatting sqref="B18:E18">
    <cfRule type="expression" dxfId="28" priority="3948" stopIfTrue="1">
      <formula>$A18="end repeat"</formula>
    </cfRule>
  </conditionalFormatting>
  <conditionalFormatting sqref="B18:E18">
    <cfRule type="expression" dxfId="28" priority="3949" stopIfTrue="1">
      <formula>$A18="begin repeat"</formula>
    </cfRule>
  </conditionalFormatting>
  <conditionalFormatting sqref="B18:E18">
    <cfRule type="expression" dxfId="29" priority="3950" stopIfTrue="1">
      <formula>$A18="end group"</formula>
    </cfRule>
  </conditionalFormatting>
  <conditionalFormatting sqref="B18:E18">
    <cfRule type="expression" dxfId="29" priority="3951" stopIfTrue="1">
      <formula>$A18="begin group"</formula>
    </cfRule>
  </conditionalFormatting>
  <conditionalFormatting sqref="B18">
    <cfRule type="expression" dxfId="30" priority="3952" stopIfTrue="1">
      <formula>$A18="comments"</formula>
    </cfRule>
  </conditionalFormatting>
  <conditionalFormatting sqref="B18">
    <cfRule type="expression" dxfId="36" priority="3953" stopIfTrue="1">
      <formula>OR(AND(LEFT($A18, 14)="sensor_stream ", LEN($A18)&gt;14, NOT(ISNUMBER(SEARCH(" ", $A18, 15)))), AND(LEFT($A18, 17)="sensor_statistic ", LEN($A18)&gt;17, NOT(ISNUMBER(SEARCH(" ", $A18, 18)))))</formula>
    </cfRule>
  </conditionalFormatting>
  <conditionalFormatting sqref="B14:C16">
    <cfRule type="expression" dxfId="0" priority="3954" stopIfTrue="1">
      <formula>$A14="begin group"</formula>
    </cfRule>
  </conditionalFormatting>
  <conditionalFormatting sqref="B14:C16">
    <cfRule type="expression" dxfId="1" priority="3955" stopIfTrue="1">
      <formula>$A14="begin repeat"</formula>
    </cfRule>
  </conditionalFormatting>
  <conditionalFormatting sqref="B14:E16">
    <cfRule type="expression" dxfId="31" priority="3956" stopIfTrue="1">
      <formula>$A14="enumerator"</formula>
    </cfRule>
  </conditionalFormatting>
  <conditionalFormatting sqref="B14:E16">
    <cfRule type="expression" dxfId="2" priority="3957" stopIfTrue="1">
      <formula>$A14="text"</formula>
    </cfRule>
  </conditionalFormatting>
  <conditionalFormatting sqref="B14:E16">
    <cfRule type="expression" dxfId="3" priority="3958" stopIfTrue="1">
      <formula>$A14="integer"</formula>
    </cfRule>
  </conditionalFormatting>
  <conditionalFormatting sqref="B14:E16">
    <cfRule type="expression" dxfId="4" priority="3959" stopIfTrue="1">
      <formula>$A14="decimal"</formula>
    </cfRule>
  </conditionalFormatting>
  <conditionalFormatting sqref="B14:C16">
    <cfRule type="expression" dxfId="5" priority="3960" stopIfTrue="1">
      <formula>OR(AND(LEFT($A14, 16)="select_multiple ", LEN($A14)&gt;16, NOT(ISNUMBER(SEARCH(" ", $A14, 17)))), AND(LEFT($A14, 11)="select_one ", LEN($A14)&gt;11, NOT(ISNUMBER(SEARCH(" ", $A14, 12)))))</formula>
    </cfRule>
  </conditionalFormatting>
  <conditionalFormatting sqref="B14:B16">
    <cfRule type="expression" dxfId="6" priority="3961" stopIfTrue="1">
      <formula>OR($A14="audio audit", $A14="text audit", $A14="speed violations count", $A14="speed violations list", $A14="speed violations audit")</formula>
    </cfRule>
  </conditionalFormatting>
  <conditionalFormatting sqref="B14:C16">
    <cfRule type="expression" dxfId="32" priority="3962" stopIfTrue="1">
      <formula>$A14="file"</formula>
    </cfRule>
  </conditionalFormatting>
  <conditionalFormatting sqref="B14:C16">
    <cfRule type="expression" dxfId="7" priority="3963" stopIfTrue="1">
      <formula>$A14="note"</formula>
    </cfRule>
  </conditionalFormatting>
  <conditionalFormatting sqref="B14:C16">
    <cfRule type="expression" dxfId="8" priority="3964" stopIfTrue="1">
      <formula>$A14="barcode"</formula>
    </cfRule>
  </conditionalFormatting>
  <conditionalFormatting sqref="B14:C16">
    <cfRule type="expression" dxfId="9" priority="3965" stopIfTrue="1">
      <formula>OR($A14="geopoint", $A14="geoshape", $A14="geotrace")</formula>
    </cfRule>
  </conditionalFormatting>
  <conditionalFormatting sqref="B14:B16">
    <cfRule type="expression" dxfId="10" priority="3966" stopIfTrue="1">
      <formula>OR($A14="calculate", $A14="calculate_here")</formula>
    </cfRule>
  </conditionalFormatting>
  <conditionalFormatting sqref="B14:C16">
    <cfRule type="expression" dxfId="11" priority="3967" stopIfTrue="1">
      <formula>OR($A14="date", $A14="datetime", $A14="time")</formula>
    </cfRule>
  </conditionalFormatting>
  <conditionalFormatting sqref="B14:C16">
    <cfRule type="expression" dxfId="12" priority="3968" stopIfTrue="1">
      <formula>$A14="image"</formula>
    </cfRule>
  </conditionalFormatting>
  <conditionalFormatting sqref="B14:C16">
    <cfRule type="expression" dxfId="13" priority="3969" stopIfTrue="1">
      <formula>OR($A14="audio", $A14="video")</formula>
    </cfRule>
  </conditionalFormatting>
  <conditionalFormatting sqref="B14:E16">
    <cfRule type="expression" dxfId="33" priority="3970" stopIfTrue="1">
      <formula>$A14="file"</formula>
    </cfRule>
  </conditionalFormatting>
  <conditionalFormatting sqref="B14:E16">
    <cfRule type="expression" dxfId="34" priority="3971" stopIfTrue="1">
      <formula>$A14="enumerator"</formula>
    </cfRule>
  </conditionalFormatting>
  <conditionalFormatting sqref="B14:E16">
    <cfRule type="expression" dxfId="35" priority="3972" stopIfTrue="1">
      <formula>OR(AND(LEFT($A14, 14)="sensor_stream ", LEN($A14)&gt;14, NOT(ISNUMBER(SEARCH(" ", $A14, 15)))), AND(LEFT($A14, 17)="sensor_statistic ", LEN($A14)&gt;17, NOT(ISNUMBER(SEARCH(" ", $A14, 18)))))</formula>
    </cfRule>
  </conditionalFormatting>
  <conditionalFormatting sqref="B14:E16">
    <cfRule type="expression" dxfId="14" priority="3973" stopIfTrue="1">
      <formula>$A14="comments"</formula>
    </cfRule>
  </conditionalFormatting>
  <conditionalFormatting sqref="B14:E16">
    <cfRule type="expression" dxfId="15" priority="3974" stopIfTrue="1">
      <formula>OR($A14="audio", $A14="video")</formula>
    </cfRule>
  </conditionalFormatting>
  <conditionalFormatting sqref="B14:E16">
    <cfRule type="expression" dxfId="16" priority="3975" stopIfTrue="1">
      <formula>$A14="image"</formula>
    </cfRule>
  </conditionalFormatting>
  <conditionalFormatting sqref="B14:E16">
    <cfRule type="expression" dxfId="17" priority="3976" stopIfTrue="1">
      <formula>OR($A14="date", $A14="datetime", $A14="time")</formula>
    </cfRule>
  </conditionalFormatting>
  <conditionalFormatting sqref="B14:E16">
    <cfRule type="expression" dxfId="18" priority="3977" stopIfTrue="1">
      <formula>OR($A14="calculate", $A14="calculate_here")</formula>
    </cfRule>
  </conditionalFormatting>
  <conditionalFormatting sqref="B14:E16">
    <cfRule type="expression" dxfId="19" priority="3978" stopIfTrue="1">
      <formula>$A14="note"</formula>
    </cfRule>
  </conditionalFormatting>
  <conditionalFormatting sqref="B14:E16">
    <cfRule type="expression" dxfId="20" priority="3979" stopIfTrue="1">
      <formula>$A14="barcode"</formula>
    </cfRule>
  </conditionalFormatting>
  <conditionalFormatting sqref="B14:E16">
    <cfRule type="expression" dxfId="21" priority="3980" stopIfTrue="1">
      <formula>OR($A14="geopoint", $A14="geoshape", $A14="geotrace")</formula>
    </cfRule>
  </conditionalFormatting>
  <conditionalFormatting sqref="B14:E16">
    <cfRule type="expression" dxfId="22" priority="3981" stopIfTrue="1">
      <formula>OR($A14="audio audit", $A14="text audit", $A14="speed violations count", $A14="speed violations list", $A14="speed violations audit")</formula>
    </cfRule>
  </conditionalFormatting>
  <conditionalFormatting sqref="B14:E16">
    <cfRule type="expression" dxfId="23" priority="3982" stopIfTrue="1">
      <formula>OR($A14="username", $A14="phonenumber", $A14="start", $A14="end", $A14="deviceid", $A14="subscriberid", $A14="simserial", $A14="caseid")</formula>
    </cfRule>
  </conditionalFormatting>
  <conditionalFormatting sqref="B14:E16">
    <cfRule type="expression" dxfId="24" priority="3983" stopIfTrue="1">
      <formula>OR(AND(LEFT($A14, 16)="select_multiple ", LEN($A14)&gt;16, NOT(ISNUMBER(SEARCH(" ", $A14, 17)))), AND(LEFT($A14, 11)="select_one ", LEN($A14)&gt;11, NOT(ISNUMBER(SEARCH(" ", $A14, 12)))))</formula>
    </cfRule>
  </conditionalFormatting>
  <conditionalFormatting sqref="B14:E16">
    <cfRule type="expression" dxfId="25" priority="3984" stopIfTrue="1">
      <formula>$A14="decimal"</formula>
    </cfRule>
  </conditionalFormatting>
  <conditionalFormatting sqref="B14:E16">
    <cfRule type="expression" dxfId="26" priority="3985" stopIfTrue="1">
      <formula>$A14="integer"</formula>
    </cfRule>
  </conditionalFormatting>
  <conditionalFormatting sqref="B14:E16">
    <cfRule type="expression" dxfId="27" priority="3986" stopIfTrue="1">
      <formula>$A14="text"</formula>
    </cfRule>
  </conditionalFormatting>
  <conditionalFormatting sqref="B14:E16">
    <cfRule type="expression" dxfId="28" priority="3987" stopIfTrue="1">
      <formula>$A14="end repeat"</formula>
    </cfRule>
  </conditionalFormatting>
  <conditionalFormatting sqref="B14:E16">
    <cfRule type="expression" dxfId="28" priority="3988" stopIfTrue="1">
      <formula>$A14="begin repeat"</formula>
    </cfRule>
  </conditionalFormatting>
  <conditionalFormatting sqref="B14:E16">
    <cfRule type="expression" dxfId="29" priority="3989" stopIfTrue="1">
      <formula>$A14="end group"</formula>
    </cfRule>
  </conditionalFormatting>
  <conditionalFormatting sqref="B14:E16">
    <cfRule type="expression" dxfId="29" priority="3990" stopIfTrue="1">
      <formula>$A14="begin group"</formula>
    </cfRule>
  </conditionalFormatting>
  <conditionalFormatting sqref="B14:B16">
    <cfRule type="expression" dxfId="30" priority="3991" stopIfTrue="1">
      <formula>$A14="comments"</formula>
    </cfRule>
  </conditionalFormatting>
  <conditionalFormatting sqref="B14:B16">
    <cfRule type="expression" dxfId="36" priority="3992" stopIfTrue="1">
      <formula>OR(AND(LEFT($A14, 14)="sensor_stream ", LEN($A14)&gt;14, NOT(ISNUMBER(SEARCH(" ", $A14, 15)))), AND(LEFT($A14, 17)="sensor_statistic ", LEN($A14)&gt;17, NOT(ISNUMBER(SEARCH(" ", $A14, 18)))))</formula>
    </cfRule>
  </conditionalFormatting>
  <conditionalFormatting sqref="B10:C10">
    <cfRule type="expression" dxfId="0" priority="3993" stopIfTrue="1">
      <formula>$A10="begin group"</formula>
    </cfRule>
  </conditionalFormatting>
  <conditionalFormatting sqref="B10:C10">
    <cfRule type="expression" dxfId="1" priority="3994" stopIfTrue="1">
      <formula>$A10="begin repeat"</formula>
    </cfRule>
  </conditionalFormatting>
  <conditionalFormatting sqref="B10:E10">
    <cfRule type="expression" dxfId="31" priority="3995" stopIfTrue="1">
      <formula>$A10="enumerator"</formula>
    </cfRule>
  </conditionalFormatting>
  <conditionalFormatting sqref="B10:E10">
    <cfRule type="expression" dxfId="2" priority="3996" stopIfTrue="1">
      <formula>$A10="text"</formula>
    </cfRule>
  </conditionalFormatting>
  <conditionalFormatting sqref="B10:E10">
    <cfRule type="expression" dxfId="3" priority="3997" stopIfTrue="1">
      <formula>$A10="integer"</formula>
    </cfRule>
  </conditionalFormatting>
  <conditionalFormatting sqref="B10:E10">
    <cfRule type="expression" dxfId="4" priority="3998" stopIfTrue="1">
      <formula>$A10="decimal"</formula>
    </cfRule>
  </conditionalFormatting>
  <conditionalFormatting sqref="B10:C10">
    <cfRule type="expression" dxfId="5" priority="3999" stopIfTrue="1">
      <formula>OR(AND(LEFT($A10, 16)="select_multiple ", LEN($A10)&gt;16, NOT(ISNUMBER(SEARCH(" ", $A10, 17)))), AND(LEFT($A10, 11)="select_one ", LEN($A10)&gt;11, NOT(ISNUMBER(SEARCH(" ", $A10, 12)))))</formula>
    </cfRule>
  </conditionalFormatting>
  <conditionalFormatting sqref="B10">
    <cfRule type="expression" dxfId="6" priority="4000" stopIfTrue="1">
      <formula>OR($A10="audio audit", $A10="text audit", $A10="speed violations count", $A10="speed violations list", $A10="speed violations audit")</formula>
    </cfRule>
  </conditionalFormatting>
  <conditionalFormatting sqref="B10:C10">
    <cfRule type="expression" dxfId="32" priority="4001" stopIfTrue="1">
      <formula>$A10="file"</formula>
    </cfRule>
  </conditionalFormatting>
  <conditionalFormatting sqref="B10:C10">
    <cfRule type="expression" dxfId="7" priority="4002" stopIfTrue="1">
      <formula>$A10="note"</formula>
    </cfRule>
  </conditionalFormatting>
  <conditionalFormatting sqref="B10:C10">
    <cfRule type="expression" dxfId="8" priority="4003" stopIfTrue="1">
      <formula>$A10="barcode"</formula>
    </cfRule>
  </conditionalFormatting>
  <conditionalFormatting sqref="B10:C10">
    <cfRule type="expression" dxfId="9" priority="4004" stopIfTrue="1">
      <formula>OR($A10="geopoint", $A10="geoshape", $A10="geotrace")</formula>
    </cfRule>
  </conditionalFormatting>
  <conditionalFormatting sqref="B10">
    <cfRule type="expression" dxfId="10" priority="4005" stopIfTrue="1">
      <formula>OR($A10="calculate", $A10="calculate_here")</formula>
    </cfRule>
  </conditionalFormatting>
  <conditionalFormatting sqref="B10:C10">
    <cfRule type="expression" dxfId="11" priority="4006" stopIfTrue="1">
      <formula>OR($A10="date", $A10="datetime", $A10="time")</formula>
    </cfRule>
  </conditionalFormatting>
  <conditionalFormatting sqref="B10:C10">
    <cfRule type="expression" dxfId="12" priority="4007" stopIfTrue="1">
      <formula>$A10="image"</formula>
    </cfRule>
  </conditionalFormatting>
  <conditionalFormatting sqref="B10:C10">
    <cfRule type="expression" dxfId="13" priority="4008" stopIfTrue="1">
      <formula>OR($A10="audio", $A10="video")</formula>
    </cfRule>
  </conditionalFormatting>
  <conditionalFormatting sqref="B10:E10">
    <cfRule type="expression" dxfId="33" priority="4009" stopIfTrue="1">
      <formula>$A10="file"</formula>
    </cfRule>
  </conditionalFormatting>
  <conditionalFormatting sqref="B10:E10">
    <cfRule type="expression" dxfId="34" priority="4010" stopIfTrue="1">
      <formula>$A10="enumerator"</formula>
    </cfRule>
  </conditionalFormatting>
  <conditionalFormatting sqref="B10:E10">
    <cfRule type="expression" dxfId="35" priority="4011" stopIfTrue="1">
      <formula>OR(AND(LEFT($A10, 14)="sensor_stream ", LEN($A10)&gt;14, NOT(ISNUMBER(SEARCH(" ", $A10, 15)))), AND(LEFT($A10, 17)="sensor_statistic ", LEN($A10)&gt;17, NOT(ISNUMBER(SEARCH(" ", $A10, 18)))))</formula>
    </cfRule>
  </conditionalFormatting>
  <conditionalFormatting sqref="B10:E10">
    <cfRule type="expression" dxfId="14" priority="4012" stopIfTrue="1">
      <formula>$A10="comments"</formula>
    </cfRule>
  </conditionalFormatting>
  <conditionalFormatting sqref="B10:E10">
    <cfRule type="expression" dxfId="15" priority="4013" stopIfTrue="1">
      <formula>OR($A10="audio", $A10="video")</formula>
    </cfRule>
  </conditionalFormatting>
  <conditionalFormatting sqref="B10:E10">
    <cfRule type="expression" dxfId="16" priority="4014" stopIfTrue="1">
      <formula>$A10="image"</formula>
    </cfRule>
  </conditionalFormatting>
  <conditionalFormatting sqref="B10:E10">
    <cfRule type="expression" dxfId="17" priority="4015" stopIfTrue="1">
      <formula>OR($A10="date", $A10="datetime", $A10="time")</formula>
    </cfRule>
  </conditionalFormatting>
  <conditionalFormatting sqref="B10:E10">
    <cfRule type="expression" dxfId="18" priority="4016" stopIfTrue="1">
      <formula>OR($A10="calculate", $A10="calculate_here")</formula>
    </cfRule>
  </conditionalFormatting>
  <conditionalFormatting sqref="B10:E10">
    <cfRule type="expression" dxfId="19" priority="4017" stopIfTrue="1">
      <formula>$A10="note"</formula>
    </cfRule>
  </conditionalFormatting>
  <conditionalFormatting sqref="B10:E10">
    <cfRule type="expression" dxfId="20" priority="4018" stopIfTrue="1">
      <formula>$A10="barcode"</formula>
    </cfRule>
  </conditionalFormatting>
  <conditionalFormatting sqref="B10:E10">
    <cfRule type="expression" dxfId="21" priority="4019" stopIfTrue="1">
      <formula>OR($A10="geopoint", $A10="geoshape", $A10="geotrace")</formula>
    </cfRule>
  </conditionalFormatting>
  <conditionalFormatting sqref="B10:E10">
    <cfRule type="expression" dxfId="22" priority="4020" stopIfTrue="1">
      <formula>OR($A10="audio audit", $A10="text audit", $A10="speed violations count", $A10="speed violations list", $A10="speed violations audit")</formula>
    </cfRule>
  </conditionalFormatting>
  <conditionalFormatting sqref="B10:E10">
    <cfRule type="expression" dxfId="23" priority="4021" stopIfTrue="1">
      <formula>OR($A10="username", $A10="phonenumber", $A10="start", $A10="end", $A10="deviceid", $A10="subscriberid", $A10="simserial", $A10="caseid")</formula>
    </cfRule>
  </conditionalFormatting>
  <conditionalFormatting sqref="B10:E10">
    <cfRule type="expression" dxfId="24" priority="4022" stopIfTrue="1">
      <formula>OR(AND(LEFT($A10, 16)="select_multiple ", LEN($A10)&gt;16, NOT(ISNUMBER(SEARCH(" ", $A10, 17)))), AND(LEFT($A10, 11)="select_one ", LEN($A10)&gt;11, NOT(ISNUMBER(SEARCH(" ", $A10, 12)))))</formula>
    </cfRule>
  </conditionalFormatting>
  <conditionalFormatting sqref="B10:E10">
    <cfRule type="expression" dxfId="25" priority="4023" stopIfTrue="1">
      <formula>$A10="decimal"</formula>
    </cfRule>
  </conditionalFormatting>
  <conditionalFormatting sqref="B10:E10">
    <cfRule type="expression" dxfId="26" priority="4024" stopIfTrue="1">
      <formula>$A10="integer"</formula>
    </cfRule>
  </conditionalFormatting>
  <conditionalFormatting sqref="B10:E10">
    <cfRule type="expression" dxfId="27" priority="4025" stopIfTrue="1">
      <formula>$A10="text"</formula>
    </cfRule>
  </conditionalFormatting>
  <conditionalFormatting sqref="B10:E10">
    <cfRule type="expression" dxfId="28" priority="4026" stopIfTrue="1">
      <formula>$A10="end repeat"</formula>
    </cfRule>
  </conditionalFormatting>
  <conditionalFormatting sqref="B10:E10">
    <cfRule type="expression" dxfId="28" priority="4027" stopIfTrue="1">
      <formula>$A10="begin repeat"</formula>
    </cfRule>
  </conditionalFormatting>
  <conditionalFormatting sqref="B10:E10">
    <cfRule type="expression" dxfId="29" priority="4028" stopIfTrue="1">
      <formula>$A10="end group"</formula>
    </cfRule>
  </conditionalFormatting>
  <conditionalFormatting sqref="B10:E10">
    <cfRule type="expression" dxfId="29" priority="4029" stopIfTrue="1">
      <formula>$A10="begin group"</formula>
    </cfRule>
  </conditionalFormatting>
  <conditionalFormatting sqref="B10">
    <cfRule type="expression" dxfId="30" priority="4030" stopIfTrue="1">
      <formula>$A10="comments"</formula>
    </cfRule>
  </conditionalFormatting>
  <conditionalFormatting sqref="B10">
    <cfRule type="expression" dxfId="36" priority="4031" stopIfTrue="1">
      <formula>OR(AND(LEFT($A10, 14)="sensor_stream ", LEN($A10)&gt;14, NOT(ISNUMBER(SEARCH(" ", $A10, 15)))), AND(LEFT($A10, 17)="sensor_statistic ", LEN($A10)&gt;17, NOT(ISNUMBER(SEARCH(" ", $A10, 18)))))</formula>
    </cfRule>
  </conditionalFormatting>
  <conditionalFormatting sqref="B1:C1">
    <cfRule type="expression" dxfId="0" priority="4032" stopIfTrue="1">
      <formula>$A1="begin group"</formula>
    </cfRule>
  </conditionalFormatting>
  <conditionalFormatting sqref="B1:C1">
    <cfRule type="expression" dxfId="1" priority="4033" stopIfTrue="1">
      <formula>$A1="begin repeat"</formula>
    </cfRule>
  </conditionalFormatting>
  <conditionalFormatting sqref="B1:E1">
    <cfRule type="expression" dxfId="31" priority="4034" stopIfTrue="1">
      <formula>$A1="enumerator"</formula>
    </cfRule>
  </conditionalFormatting>
  <conditionalFormatting sqref="B1:E1">
    <cfRule type="expression" dxfId="2" priority="4035" stopIfTrue="1">
      <formula>$A1="text"</formula>
    </cfRule>
  </conditionalFormatting>
  <conditionalFormatting sqref="B1:E1">
    <cfRule type="expression" dxfId="3" priority="4036" stopIfTrue="1">
      <formula>$A1="integer"</formula>
    </cfRule>
  </conditionalFormatting>
  <conditionalFormatting sqref="B1:E1">
    <cfRule type="expression" dxfId="4" priority="4037" stopIfTrue="1">
      <formula>$A1="decimal"</formula>
    </cfRule>
  </conditionalFormatting>
  <conditionalFormatting sqref="B1:C1">
    <cfRule type="expression" dxfId="5" priority="4038" stopIfTrue="1">
      <formula>OR(AND(LEFT($A1, 16)="select_multiple ", LEN($A1)&gt;16, NOT(ISNUMBER(SEARCH(" ", $A1, 17)))), AND(LEFT($A1, 11)="select_one ", LEN($A1)&gt;11, NOT(ISNUMBER(SEARCH(" ", $A1, 12)))))</formula>
    </cfRule>
  </conditionalFormatting>
  <conditionalFormatting sqref="B1">
    <cfRule type="expression" dxfId="6" priority="4039" stopIfTrue="1">
      <formula>OR($A1="audio audit", $A1="text audit", $A1="speed violations count", $A1="speed violations list", $A1="speed violations audit")</formula>
    </cfRule>
  </conditionalFormatting>
  <conditionalFormatting sqref="B1:C1">
    <cfRule type="expression" dxfId="32" priority="4040" stopIfTrue="1">
      <formula>$A1="file"</formula>
    </cfRule>
  </conditionalFormatting>
  <conditionalFormatting sqref="B1:C1">
    <cfRule type="expression" dxfId="7" priority="4041" stopIfTrue="1">
      <formula>$A1="note"</formula>
    </cfRule>
  </conditionalFormatting>
  <conditionalFormatting sqref="B1:C1">
    <cfRule type="expression" dxfId="8" priority="4042" stopIfTrue="1">
      <formula>$A1="barcode"</formula>
    </cfRule>
  </conditionalFormatting>
  <conditionalFormatting sqref="B1:C1">
    <cfRule type="expression" dxfId="9" priority="4043" stopIfTrue="1">
      <formula>OR($A1="geopoint", $A1="geoshape", $A1="geotrace")</formula>
    </cfRule>
  </conditionalFormatting>
  <conditionalFormatting sqref="B1">
    <cfRule type="expression" dxfId="10" priority="4044" stopIfTrue="1">
      <formula>OR($A1="calculate", $A1="calculate_here")</formula>
    </cfRule>
  </conditionalFormatting>
  <conditionalFormatting sqref="B1:C1">
    <cfRule type="expression" dxfId="11" priority="4045" stopIfTrue="1">
      <formula>OR($A1="date", $A1="datetime", $A1="time")</formula>
    </cfRule>
  </conditionalFormatting>
  <conditionalFormatting sqref="B1:C1">
    <cfRule type="expression" dxfId="12" priority="4046" stopIfTrue="1">
      <formula>$A1="image"</formula>
    </cfRule>
  </conditionalFormatting>
  <conditionalFormatting sqref="B1:C1">
    <cfRule type="expression" dxfId="13" priority="4047" stopIfTrue="1">
      <formula>OR($A1="audio", $A1="video")</formula>
    </cfRule>
  </conditionalFormatting>
  <conditionalFormatting sqref="B1:E1">
    <cfRule type="expression" dxfId="33" priority="4048" stopIfTrue="1">
      <formula>$A1="file"</formula>
    </cfRule>
  </conditionalFormatting>
  <conditionalFormatting sqref="B1:E1">
    <cfRule type="expression" dxfId="34" priority="4049" stopIfTrue="1">
      <formula>$A1="enumerator"</formula>
    </cfRule>
  </conditionalFormatting>
  <conditionalFormatting sqref="B1:E1">
    <cfRule type="expression" dxfId="35" priority="4050" stopIfTrue="1">
      <formula>OR(AND(LEFT($A1, 14)="sensor_stream ", LEN($A1)&gt;14, NOT(ISNUMBER(SEARCH(" ", $A1, 15)))), AND(LEFT($A1, 17)="sensor_statistic ", LEN($A1)&gt;17, NOT(ISNUMBER(SEARCH(" ", $A1, 18)))))</formula>
    </cfRule>
  </conditionalFormatting>
  <conditionalFormatting sqref="B1:E1">
    <cfRule type="expression" dxfId="14" priority="4051" stopIfTrue="1">
      <formula>$A1="comments"</formula>
    </cfRule>
  </conditionalFormatting>
  <conditionalFormatting sqref="B1:E1">
    <cfRule type="expression" dxfId="15" priority="4052" stopIfTrue="1">
      <formula>OR($A1="audio", $A1="video")</formula>
    </cfRule>
  </conditionalFormatting>
  <conditionalFormatting sqref="B1:E1">
    <cfRule type="expression" dxfId="16" priority="4053" stopIfTrue="1">
      <formula>$A1="image"</formula>
    </cfRule>
  </conditionalFormatting>
  <conditionalFormatting sqref="B1:E1">
    <cfRule type="expression" dxfId="17" priority="4054" stopIfTrue="1">
      <formula>OR($A1="date", $A1="datetime", $A1="time")</formula>
    </cfRule>
  </conditionalFormatting>
  <conditionalFormatting sqref="B1:E1">
    <cfRule type="expression" dxfId="18" priority="4055" stopIfTrue="1">
      <formula>OR($A1="calculate", $A1="calculate_here")</formula>
    </cfRule>
  </conditionalFormatting>
  <conditionalFormatting sqref="B1:E1">
    <cfRule type="expression" dxfId="19" priority="4056" stopIfTrue="1">
      <formula>$A1="note"</formula>
    </cfRule>
  </conditionalFormatting>
  <conditionalFormatting sqref="B1:E1">
    <cfRule type="expression" dxfId="20" priority="4057" stopIfTrue="1">
      <formula>$A1="barcode"</formula>
    </cfRule>
  </conditionalFormatting>
  <conditionalFormatting sqref="B1:E1">
    <cfRule type="expression" dxfId="21" priority="4058" stopIfTrue="1">
      <formula>OR($A1="geopoint", $A1="geoshape", $A1="geotrace")</formula>
    </cfRule>
  </conditionalFormatting>
  <conditionalFormatting sqref="B1:E1">
    <cfRule type="expression" dxfId="22" priority="4059" stopIfTrue="1">
      <formula>OR($A1="audio audit", $A1="text audit", $A1="speed violations count", $A1="speed violations list", $A1="speed violations audit")</formula>
    </cfRule>
  </conditionalFormatting>
  <conditionalFormatting sqref="B1:E1">
    <cfRule type="expression" dxfId="23" priority="4060" stopIfTrue="1">
      <formula>OR($A1="username", $A1="phonenumber", $A1="start", $A1="end", $A1="deviceid", $A1="subscriberid", $A1="simserial", $A1="caseid")</formula>
    </cfRule>
  </conditionalFormatting>
  <conditionalFormatting sqref="B1:E1">
    <cfRule type="expression" dxfId="24" priority="4061" stopIfTrue="1">
      <formula>OR(AND(LEFT($A1, 16)="select_multiple ", LEN($A1)&gt;16, NOT(ISNUMBER(SEARCH(" ", $A1, 17)))), AND(LEFT($A1, 11)="select_one ", LEN($A1)&gt;11, NOT(ISNUMBER(SEARCH(" ", $A1, 12)))))</formula>
    </cfRule>
  </conditionalFormatting>
  <conditionalFormatting sqref="B1:E1">
    <cfRule type="expression" dxfId="25" priority="4062" stopIfTrue="1">
      <formula>$A1="decimal"</formula>
    </cfRule>
  </conditionalFormatting>
  <conditionalFormatting sqref="B1:E1">
    <cfRule type="expression" dxfId="26" priority="4063" stopIfTrue="1">
      <formula>$A1="integer"</formula>
    </cfRule>
  </conditionalFormatting>
  <conditionalFormatting sqref="B1:E1">
    <cfRule type="expression" dxfId="27" priority="4064" stopIfTrue="1">
      <formula>$A1="text"</formula>
    </cfRule>
  </conditionalFormatting>
  <conditionalFormatting sqref="B1:E1">
    <cfRule type="expression" dxfId="28" priority="4065" stopIfTrue="1">
      <formula>$A1="end repeat"</formula>
    </cfRule>
  </conditionalFormatting>
  <conditionalFormatting sqref="B1:E1">
    <cfRule type="expression" dxfId="28" priority="4066" stopIfTrue="1">
      <formula>$A1="begin repeat"</formula>
    </cfRule>
  </conditionalFormatting>
  <conditionalFormatting sqref="B1:E1">
    <cfRule type="expression" dxfId="29" priority="4067" stopIfTrue="1">
      <formula>$A1="end group"</formula>
    </cfRule>
  </conditionalFormatting>
  <conditionalFormatting sqref="B1:E1">
    <cfRule type="expression" dxfId="29" priority="4068" stopIfTrue="1">
      <formula>$A1="begin group"</formula>
    </cfRule>
  </conditionalFormatting>
  <conditionalFormatting sqref="B1">
    <cfRule type="expression" dxfId="30" priority="4069" stopIfTrue="1">
      <formula>$A1="comments"</formula>
    </cfRule>
  </conditionalFormatting>
  <conditionalFormatting sqref="B1">
    <cfRule type="expression" dxfId="36" priority="4070" stopIfTrue="1">
      <formula>OR(AND(LEFT($A1, 14)="sensor_stream ", LEN($A1)&gt;14, NOT(ISNUMBER(SEARCH(" ", $A1, 15)))), AND(LEFT($A1, 17)="sensor_statistic ", LEN($A1)&gt;17, NOT(ISNUMBER(SEARCH(" ", $A1, 18)))))</formula>
    </cfRule>
  </conditionalFormatting>
  <conditionalFormatting sqref="A2001:A2836">
    <cfRule type="expression" dxfId="33" priority="4071" stopIfTrue="1">
      <formula>$A2001="file"</formula>
    </cfRule>
  </conditionalFormatting>
  <conditionalFormatting sqref="A2001:A2836">
    <cfRule type="expression" dxfId="34" priority="4072" stopIfTrue="1">
      <formula>$A2001="enumerator"</formula>
    </cfRule>
  </conditionalFormatting>
  <conditionalFormatting sqref="A2001:A2836">
    <cfRule type="expression" dxfId="35" priority="4073" stopIfTrue="1">
      <formula>OR(AND(LEFT($A2001, 14)="sensor_stream ", LEN($A2001)&gt;14, NOT(ISNUMBER(SEARCH(" ", $A2001, 15)))), AND(LEFT($A2001, 17)="sensor_statistic ", LEN($A2001)&gt;17, NOT(ISNUMBER(SEARCH(" ", $A2001, 18)))))</formula>
    </cfRule>
  </conditionalFormatting>
  <conditionalFormatting sqref="A2001:A2836">
    <cfRule type="expression" dxfId="14" priority="4074" stopIfTrue="1">
      <formula>$A2001="comments"</formula>
    </cfRule>
  </conditionalFormatting>
  <conditionalFormatting sqref="A2001:A2836">
    <cfRule type="expression" dxfId="15" priority="4075" stopIfTrue="1">
      <formula>OR($A2001="audio", $A2001="video")</formula>
    </cfRule>
  </conditionalFormatting>
  <conditionalFormatting sqref="A2001:A2836">
    <cfRule type="expression" dxfId="16" priority="4076" stopIfTrue="1">
      <formula>$A2001="image"</formula>
    </cfRule>
  </conditionalFormatting>
  <conditionalFormatting sqref="A2001:A2836">
    <cfRule type="expression" dxfId="17" priority="4077" stopIfTrue="1">
      <formula>OR($A2001="date", $A2001="datetime", $A2001="time")</formula>
    </cfRule>
  </conditionalFormatting>
  <conditionalFormatting sqref="A2001:A2836">
    <cfRule type="expression" dxfId="18" priority="4078" stopIfTrue="1">
      <formula>OR($A2001="calculate", $A2001="calculate_here")</formula>
    </cfRule>
  </conditionalFormatting>
  <conditionalFormatting sqref="A2001:A2836">
    <cfRule type="expression" dxfId="19" priority="4079" stopIfTrue="1">
      <formula>$A2001="note"</formula>
    </cfRule>
  </conditionalFormatting>
  <conditionalFormatting sqref="A2001:A2836">
    <cfRule type="expression" dxfId="20" priority="4080" stopIfTrue="1">
      <formula>$A2001="barcode"</formula>
    </cfRule>
  </conditionalFormatting>
  <conditionalFormatting sqref="A2001:A2836">
    <cfRule type="expression" dxfId="21" priority="4081" stopIfTrue="1">
      <formula>OR($A2001="geopoint", $A2001="geoshape", $A2001="geotrace")</formula>
    </cfRule>
  </conditionalFormatting>
  <conditionalFormatting sqref="A2001:A2836">
    <cfRule type="expression" dxfId="22" priority="4082" stopIfTrue="1">
      <formula>OR($A2001="audio audit", $A2001="text audit", $A2001="speed violations count", $A2001="speed violations list", $A2001="speed violations audit")</formula>
    </cfRule>
  </conditionalFormatting>
  <conditionalFormatting sqref="A2001:A2836">
    <cfRule type="expression" dxfId="23" priority="4083" stopIfTrue="1">
      <formula>OR($A2001="username", $A2001="phonenumber", $A2001="start", $A2001="end", $A2001="deviceid", $A2001="subscriberid", $A2001="simserial", $A2001="caseid")</formula>
    </cfRule>
  </conditionalFormatting>
  <conditionalFormatting sqref="A2001:A2836">
    <cfRule type="expression" dxfId="24" priority="4084" stopIfTrue="1">
      <formula>OR(AND(LEFT($A2001, 16)="select_multiple ", LEN($A2001)&gt;16, NOT(ISNUMBER(SEARCH(" ", $A2001, 17)))), AND(LEFT($A2001, 11)="select_one ", LEN($A2001)&gt;11, NOT(ISNUMBER(SEARCH(" ", $A2001, 12)))))</formula>
    </cfRule>
  </conditionalFormatting>
  <conditionalFormatting sqref="A2001:A2836">
    <cfRule type="expression" dxfId="25" priority="4085" stopIfTrue="1">
      <formula>$A2001="decimal"</formula>
    </cfRule>
  </conditionalFormatting>
  <conditionalFormatting sqref="A2001:A2836">
    <cfRule type="expression" dxfId="26" priority="4086" stopIfTrue="1">
      <formula>$A2001="integer"</formula>
    </cfRule>
  </conditionalFormatting>
  <conditionalFormatting sqref="A2001:A2836">
    <cfRule type="expression" dxfId="27" priority="4087" stopIfTrue="1">
      <formula>$A2001="text"</formula>
    </cfRule>
  </conditionalFormatting>
  <conditionalFormatting sqref="A2001:A2836">
    <cfRule type="expression" dxfId="28" priority="4088" stopIfTrue="1">
      <formula>$A2001="end repeat"</formula>
    </cfRule>
  </conditionalFormatting>
  <conditionalFormatting sqref="A2001:A2836">
    <cfRule type="expression" dxfId="28" priority="4089" stopIfTrue="1">
      <formula>$A2001="begin repeat"</formula>
    </cfRule>
  </conditionalFormatting>
  <conditionalFormatting sqref="A2001:A2836">
    <cfRule type="expression" dxfId="29" priority="4090" stopIfTrue="1">
      <formula>$A2001="end group"</formula>
    </cfRule>
  </conditionalFormatting>
  <conditionalFormatting sqref="A2001:A2836">
    <cfRule type="expression" dxfId="29" priority="4091" stopIfTrue="1">
      <formula>$A2001="begin group"</formula>
    </cfRule>
  </conditionalFormatting>
  <conditionalFormatting sqref="A815">
    <cfRule type="expression" dxfId="33" priority="4092" stopIfTrue="1">
      <formula>$A815="file"</formula>
    </cfRule>
  </conditionalFormatting>
  <conditionalFormatting sqref="A815">
    <cfRule type="expression" dxfId="34" priority="4093" stopIfTrue="1">
      <formula>$A815="enumerator"</formula>
    </cfRule>
  </conditionalFormatting>
  <conditionalFormatting sqref="A815">
    <cfRule type="expression" dxfId="35" priority="4094" stopIfTrue="1">
      <formula>OR(AND(LEFT($A815, 14)="sensor_stream ", LEN($A815)&gt;14, NOT(ISNUMBER(SEARCH(" ", $A815, 15)))), AND(LEFT($A815, 17)="sensor_statistic ", LEN($A815)&gt;17, NOT(ISNUMBER(SEARCH(" ", $A815, 18)))))</formula>
    </cfRule>
  </conditionalFormatting>
  <conditionalFormatting sqref="A815">
    <cfRule type="expression" dxfId="14" priority="4095" stopIfTrue="1">
      <formula>$A815="comments"</formula>
    </cfRule>
  </conditionalFormatting>
  <conditionalFormatting sqref="A815">
    <cfRule type="expression" dxfId="15" priority="4096" stopIfTrue="1">
      <formula>OR($A815="audio", $A815="video")</formula>
    </cfRule>
  </conditionalFormatting>
  <conditionalFormatting sqref="A815">
    <cfRule type="expression" dxfId="16" priority="4097" stopIfTrue="1">
      <formula>$A815="image"</formula>
    </cfRule>
  </conditionalFormatting>
  <conditionalFormatting sqref="A815">
    <cfRule type="expression" dxfId="17" priority="4098" stopIfTrue="1">
      <formula>OR($A815="date", $A815="datetime", $A815="time")</formula>
    </cfRule>
  </conditionalFormatting>
  <conditionalFormatting sqref="A815">
    <cfRule type="expression" dxfId="18" priority="4099" stopIfTrue="1">
      <formula>OR($A815="calculate", $A815="calculate_here")</formula>
    </cfRule>
  </conditionalFormatting>
  <conditionalFormatting sqref="A815">
    <cfRule type="expression" dxfId="19" priority="4100" stopIfTrue="1">
      <formula>$A815="note"</formula>
    </cfRule>
  </conditionalFormatting>
  <conditionalFormatting sqref="A815">
    <cfRule type="expression" dxfId="20" priority="4101" stopIfTrue="1">
      <formula>$A815="barcode"</formula>
    </cfRule>
  </conditionalFormatting>
  <conditionalFormatting sqref="A815">
    <cfRule type="expression" dxfId="21" priority="4102" stopIfTrue="1">
      <formula>OR($A815="geopoint", $A815="geoshape", $A815="geotrace")</formula>
    </cfRule>
  </conditionalFormatting>
  <conditionalFormatting sqref="A815">
    <cfRule type="expression" dxfId="22" priority="4103" stopIfTrue="1">
      <formula>OR($A815="audio audit", $A815="text audit", $A815="speed violations count", $A815="speed violations list", $A815="speed violations audit")</formula>
    </cfRule>
  </conditionalFormatting>
  <conditionalFormatting sqref="A815">
    <cfRule type="expression" dxfId="23" priority="4104" stopIfTrue="1">
      <formula>OR($A815="username", $A815="phonenumber", $A815="start", $A815="end", $A815="deviceid", $A815="subscriberid", $A815="simserial", $A815="caseid")</formula>
    </cfRule>
  </conditionalFormatting>
  <conditionalFormatting sqref="A815">
    <cfRule type="expression" dxfId="24" priority="4105" stopIfTrue="1">
      <formula>OR(AND(LEFT($A815, 16)="select_multiple ", LEN($A815)&gt;16, NOT(ISNUMBER(SEARCH(" ", $A815, 17)))), AND(LEFT($A815, 11)="select_one ", LEN($A815)&gt;11, NOT(ISNUMBER(SEARCH(" ", $A815, 12)))))</formula>
    </cfRule>
  </conditionalFormatting>
  <conditionalFormatting sqref="A815">
    <cfRule type="expression" dxfId="25" priority="4106" stopIfTrue="1">
      <formula>$A815="decimal"</formula>
    </cfRule>
  </conditionalFormatting>
  <conditionalFormatting sqref="A815">
    <cfRule type="expression" dxfId="26" priority="4107" stopIfTrue="1">
      <formula>$A815="integer"</formula>
    </cfRule>
  </conditionalFormatting>
  <conditionalFormatting sqref="A815">
    <cfRule type="expression" dxfId="27" priority="4108" stopIfTrue="1">
      <formula>$A815="text"</formula>
    </cfRule>
  </conditionalFormatting>
  <conditionalFormatting sqref="A815">
    <cfRule type="expression" dxfId="28" priority="4109" stopIfTrue="1">
      <formula>$A815="end repeat"</formula>
    </cfRule>
  </conditionalFormatting>
  <conditionalFormatting sqref="A815">
    <cfRule type="expression" dxfId="28" priority="4110" stopIfTrue="1">
      <formula>$A815="begin repeat"</formula>
    </cfRule>
  </conditionalFormatting>
  <conditionalFormatting sqref="A815">
    <cfRule type="expression" dxfId="29" priority="4111" stopIfTrue="1">
      <formula>$A815="end group"</formula>
    </cfRule>
  </conditionalFormatting>
  <conditionalFormatting sqref="A815">
    <cfRule type="expression" dxfId="29" priority="4112" stopIfTrue="1">
      <formula>$A815="begin group"</formula>
    </cfRule>
  </conditionalFormatting>
  <conditionalFormatting sqref="A804:A808">
    <cfRule type="expression" dxfId="33" priority="4113" stopIfTrue="1">
      <formula>$A804="file"</formula>
    </cfRule>
  </conditionalFormatting>
  <conditionalFormatting sqref="A804:A808">
    <cfRule type="expression" dxfId="34" priority="4114" stopIfTrue="1">
      <formula>$A804="enumerator"</formula>
    </cfRule>
  </conditionalFormatting>
  <conditionalFormatting sqref="A804:A808">
    <cfRule type="expression" dxfId="35" priority="4115" stopIfTrue="1">
      <formula>OR(AND(LEFT($A804, 14)="sensor_stream ", LEN($A804)&gt;14, NOT(ISNUMBER(SEARCH(" ", $A804, 15)))), AND(LEFT($A804, 17)="sensor_statistic ", LEN($A804)&gt;17, NOT(ISNUMBER(SEARCH(" ", $A804, 18)))))</formula>
    </cfRule>
  </conditionalFormatting>
  <conditionalFormatting sqref="A804:A808">
    <cfRule type="expression" dxfId="14" priority="4116" stopIfTrue="1">
      <formula>$A804="comments"</formula>
    </cfRule>
  </conditionalFormatting>
  <conditionalFormatting sqref="A804:A808">
    <cfRule type="expression" dxfId="15" priority="4117" stopIfTrue="1">
      <formula>OR($A804="audio", $A804="video")</formula>
    </cfRule>
  </conditionalFormatting>
  <conditionalFormatting sqref="A804:A808">
    <cfRule type="expression" dxfId="16" priority="4118" stopIfTrue="1">
      <formula>$A804="image"</formula>
    </cfRule>
  </conditionalFormatting>
  <conditionalFormatting sqref="A804:A808">
    <cfRule type="expression" dxfId="17" priority="4119" stopIfTrue="1">
      <formula>OR($A804="date", $A804="datetime", $A804="time")</formula>
    </cfRule>
  </conditionalFormatting>
  <conditionalFormatting sqref="A804:A808">
    <cfRule type="expression" dxfId="18" priority="4120" stopIfTrue="1">
      <formula>OR($A804="calculate", $A804="calculate_here")</formula>
    </cfRule>
  </conditionalFormatting>
  <conditionalFormatting sqref="A804:A808">
    <cfRule type="expression" dxfId="19" priority="4121" stopIfTrue="1">
      <formula>$A804="note"</formula>
    </cfRule>
  </conditionalFormatting>
  <conditionalFormatting sqref="A804:A808">
    <cfRule type="expression" dxfId="20" priority="4122" stopIfTrue="1">
      <formula>$A804="barcode"</formula>
    </cfRule>
  </conditionalFormatting>
  <conditionalFormatting sqref="A804:A808">
    <cfRule type="expression" dxfId="21" priority="4123" stopIfTrue="1">
      <formula>OR($A804="geopoint", $A804="geoshape", $A804="geotrace")</formula>
    </cfRule>
  </conditionalFormatting>
  <conditionalFormatting sqref="A804:A808">
    <cfRule type="expression" dxfId="22" priority="4124" stopIfTrue="1">
      <formula>OR($A804="audio audit", $A804="text audit", $A804="speed violations count", $A804="speed violations list", $A804="speed violations audit")</formula>
    </cfRule>
  </conditionalFormatting>
  <conditionalFormatting sqref="A804:A808">
    <cfRule type="expression" dxfId="23" priority="4125" stopIfTrue="1">
      <formula>OR($A804="username", $A804="phonenumber", $A804="start", $A804="end", $A804="deviceid", $A804="subscriberid", $A804="simserial", $A804="caseid")</formula>
    </cfRule>
  </conditionalFormatting>
  <conditionalFormatting sqref="A804:A808">
    <cfRule type="expression" dxfId="24" priority="4126" stopIfTrue="1">
      <formula>OR(AND(LEFT($A804, 16)="select_multiple ", LEN($A804)&gt;16, NOT(ISNUMBER(SEARCH(" ", $A804, 17)))), AND(LEFT($A804, 11)="select_one ", LEN($A804)&gt;11, NOT(ISNUMBER(SEARCH(" ", $A804, 12)))))</formula>
    </cfRule>
  </conditionalFormatting>
  <conditionalFormatting sqref="A804:A808">
    <cfRule type="expression" dxfId="25" priority="4127" stopIfTrue="1">
      <formula>$A804="decimal"</formula>
    </cfRule>
  </conditionalFormatting>
  <conditionalFormatting sqref="A804:A808">
    <cfRule type="expression" dxfId="26" priority="4128" stopIfTrue="1">
      <formula>$A804="integer"</formula>
    </cfRule>
  </conditionalFormatting>
  <conditionalFormatting sqref="A804:A808">
    <cfRule type="expression" dxfId="27" priority="4129" stopIfTrue="1">
      <formula>$A804="text"</formula>
    </cfRule>
  </conditionalFormatting>
  <conditionalFormatting sqref="A804:A808">
    <cfRule type="expression" dxfId="28" priority="4130" stopIfTrue="1">
      <formula>$A804="end repeat"</formula>
    </cfRule>
  </conditionalFormatting>
  <conditionalFormatting sqref="A804:A808">
    <cfRule type="expression" dxfId="28" priority="4131" stopIfTrue="1">
      <formula>$A804="begin repeat"</formula>
    </cfRule>
  </conditionalFormatting>
  <conditionalFormatting sqref="A804:A808">
    <cfRule type="expression" dxfId="29" priority="4132" stopIfTrue="1">
      <formula>$A804="end group"</formula>
    </cfRule>
  </conditionalFormatting>
  <conditionalFormatting sqref="A804:A808">
    <cfRule type="expression" dxfId="29" priority="4133" stopIfTrue="1">
      <formula>$A804="begin group"</formula>
    </cfRule>
  </conditionalFormatting>
  <conditionalFormatting sqref="A795:A800">
    <cfRule type="expression" dxfId="33" priority="4134" stopIfTrue="1">
      <formula>$A795="file"</formula>
    </cfRule>
  </conditionalFormatting>
  <conditionalFormatting sqref="A795:A800">
    <cfRule type="expression" dxfId="34" priority="4135" stopIfTrue="1">
      <formula>$A795="enumerator"</formula>
    </cfRule>
  </conditionalFormatting>
  <conditionalFormatting sqref="A795:A800">
    <cfRule type="expression" dxfId="35" priority="4136" stopIfTrue="1">
      <formula>OR(AND(LEFT($A795, 14)="sensor_stream ", LEN($A795)&gt;14, NOT(ISNUMBER(SEARCH(" ", $A795, 15)))), AND(LEFT($A795, 17)="sensor_statistic ", LEN($A795)&gt;17, NOT(ISNUMBER(SEARCH(" ", $A795, 18)))))</formula>
    </cfRule>
  </conditionalFormatting>
  <conditionalFormatting sqref="A795:A800">
    <cfRule type="expression" dxfId="14" priority="4137" stopIfTrue="1">
      <formula>$A795="comments"</formula>
    </cfRule>
  </conditionalFormatting>
  <conditionalFormatting sqref="A795:A800">
    <cfRule type="expression" dxfId="15" priority="4138" stopIfTrue="1">
      <formula>OR($A795="audio", $A795="video")</formula>
    </cfRule>
  </conditionalFormatting>
  <conditionalFormatting sqref="A795:A800">
    <cfRule type="expression" dxfId="16" priority="4139" stopIfTrue="1">
      <formula>$A795="image"</formula>
    </cfRule>
  </conditionalFormatting>
  <conditionalFormatting sqref="A795:A800">
    <cfRule type="expression" dxfId="17" priority="4140" stopIfTrue="1">
      <formula>OR($A795="date", $A795="datetime", $A795="time")</formula>
    </cfRule>
  </conditionalFormatting>
  <conditionalFormatting sqref="A795:A800">
    <cfRule type="expression" dxfId="18" priority="4141" stopIfTrue="1">
      <formula>OR($A795="calculate", $A795="calculate_here")</formula>
    </cfRule>
  </conditionalFormatting>
  <conditionalFormatting sqref="A795:A800">
    <cfRule type="expression" dxfId="19" priority="4142" stopIfTrue="1">
      <formula>$A795="note"</formula>
    </cfRule>
  </conditionalFormatting>
  <conditionalFormatting sqref="A795:A800">
    <cfRule type="expression" dxfId="20" priority="4143" stopIfTrue="1">
      <formula>$A795="barcode"</formula>
    </cfRule>
  </conditionalFormatting>
  <conditionalFormatting sqref="A795:A800">
    <cfRule type="expression" dxfId="21" priority="4144" stopIfTrue="1">
      <formula>OR($A795="geopoint", $A795="geoshape", $A795="geotrace")</formula>
    </cfRule>
  </conditionalFormatting>
  <conditionalFormatting sqref="A795:A800">
    <cfRule type="expression" dxfId="22" priority="4145" stopIfTrue="1">
      <formula>OR($A795="audio audit", $A795="text audit", $A795="speed violations count", $A795="speed violations list", $A795="speed violations audit")</formula>
    </cfRule>
  </conditionalFormatting>
  <conditionalFormatting sqref="A795:A800">
    <cfRule type="expression" dxfId="23" priority="4146" stopIfTrue="1">
      <formula>OR($A795="username", $A795="phonenumber", $A795="start", $A795="end", $A795="deviceid", $A795="subscriberid", $A795="simserial", $A795="caseid")</formula>
    </cfRule>
  </conditionalFormatting>
  <conditionalFormatting sqref="A795:A800">
    <cfRule type="expression" dxfId="24" priority="4147" stopIfTrue="1">
      <formula>OR(AND(LEFT($A795, 16)="select_multiple ", LEN($A795)&gt;16, NOT(ISNUMBER(SEARCH(" ", $A795, 17)))), AND(LEFT($A795, 11)="select_one ", LEN($A795)&gt;11, NOT(ISNUMBER(SEARCH(" ", $A795, 12)))))</formula>
    </cfRule>
  </conditionalFormatting>
  <conditionalFormatting sqref="A795:A800">
    <cfRule type="expression" dxfId="25" priority="4148" stopIfTrue="1">
      <formula>$A795="decimal"</formula>
    </cfRule>
  </conditionalFormatting>
  <conditionalFormatting sqref="A795:A800">
    <cfRule type="expression" dxfId="26" priority="4149" stopIfTrue="1">
      <formula>$A795="integer"</formula>
    </cfRule>
  </conditionalFormatting>
  <conditionalFormatting sqref="A795:A800">
    <cfRule type="expression" dxfId="27" priority="4150" stopIfTrue="1">
      <formula>$A795="text"</formula>
    </cfRule>
  </conditionalFormatting>
  <conditionalFormatting sqref="A795:A800">
    <cfRule type="expression" dxfId="28" priority="4151" stopIfTrue="1">
      <formula>$A795="end repeat"</formula>
    </cfRule>
  </conditionalFormatting>
  <conditionalFormatting sqref="A795:A800">
    <cfRule type="expression" dxfId="28" priority="4152" stopIfTrue="1">
      <formula>$A795="begin repeat"</formula>
    </cfRule>
  </conditionalFormatting>
  <conditionalFormatting sqref="A795:A800">
    <cfRule type="expression" dxfId="29" priority="4153" stopIfTrue="1">
      <formula>$A795="end group"</formula>
    </cfRule>
  </conditionalFormatting>
  <conditionalFormatting sqref="A795:A800">
    <cfRule type="expression" dxfId="29" priority="4154" stopIfTrue="1">
      <formula>$A795="begin group"</formula>
    </cfRule>
  </conditionalFormatting>
  <conditionalFormatting sqref="A791:A792">
    <cfRule type="expression" dxfId="33" priority="4155" stopIfTrue="1">
      <formula>$A791="file"</formula>
    </cfRule>
  </conditionalFormatting>
  <conditionalFormatting sqref="A791:A792">
    <cfRule type="expression" dxfId="34" priority="4156" stopIfTrue="1">
      <formula>$A791="enumerator"</formula>
    </cfRule>
  </conditionalFormatting>
  <conditionalFormatting sqref="A791:A792">
    <cfRule type="expression" dxfId="35" priority="4157" stopIfTrue="1">
      <formula>OR(AND(LEFT($A791, 14)="sensor_stream ", LEN($A791)&gt;14, NOT(ISNUMBER(SEARCH(" ", $A791, 15)))), AND(LEFT($A791, 17)="sensor_statistic ", LEN($A791)&gt;17, NOT(ISNUMBER(SEARCH(" ", $A791, 18)))))</formula>
    </cfRule>
  </conditionalFormatting>
  <conditionalFormatting sqref="A791:A792">
    <cfRule type="expression" dxfId="14" priority="4158" stopIfTrue="1">
      <formula>$A791="comments"</formula>
    </cfRule>
  </conditionalFormatting>
  <conditionalFormatting sqref="A791:A792">
    <cfRule type="expression" dxfId="15" priority="4159" stopIfTrue="1">
      <formula>OR($A791="audio", $A791="video")</formula>
    </cfRule>
  </conditionalFormatting>
  <conditionalFormatting sqref="A791:A792">
    <cfRule type="expression" dxfId="16" priority="4160" stopIfTrue="1">
      <formula>$A791="image"</formula>
    </cfRule>
  </conditionalFormatting>
  <conditionalFormatting sqref="A791:A792">
    <cfRule type="expression" dxfId="17" priority="4161" stopIfTrue="1">
      <formula>OR($A791="date", $A791="datetime", $A791="time")</formula>
    </cfRule>
  </conditionalFormatting>
  <conditionalFormatting sqref="A791:A792">
    <cfRule type="expression" dxfId="18" priority="4162" stopIfTrue="1">
      <formula>OR($A791="calculate", $A791="calculate_here")</formula>
    </cfRule>
  </conditionalFormatting>
  <conditionalFormatting sqref="A791:A792">
    <cfRule type="expression" dxfId="19" priority="4163" stopIfTrue="1">
      <formula>$A791="note"</formula>
    </cfRule>
  </conditionalFormatting>
  <conditionalFormatting sqref="A791:A792">
    <cfRule type="expression" dxfId="20" priority="4164" stopIfTrue="1">
      <formula>$A791="barcode"</formula>
    </cfRule>
  </conditionalFormatting>
  <conditionalFormatting sqref="A791:A792">
    <cfRule type="expression" dxfId="21" priority="4165" stopIfTrue="1">
      <formula>OR($A791="geopoint", $A791="geoshape", $A791="geotrace")</formula>
    </cfRule>
  </conditionalFormatting>
  <conditionalFormatting sqref="A791:A792">
    <cfRule type="expression" dxfId="22" priority="4166" stopIfTrue="1">
      <formula>OR($A791="audio audit", $A791="text audit", $A791="speed violations count", $A791="speed violations list", $A791="speed violations audit")</formula>
    </cfRule>
  </conditionalFormatting>
  <conditionalFormatting sqref="A791:A792">
    <cfRule type="expression" dxfId="23" priority="4167" stopIfTrue="1">
      <formula>OR($A791="username", $A791="phonenumber", $A791="start", $A791="end", $A791="deviceid", $A791="subscriberid", $A791="simserial", $A791="caseid")</formula>
    </cfRule>
  </conditionalFormatting>
  <conditionalFormatting sqref="A791:A792">
    <cfRule type="expression" dxfId="24" priority="4168" stopIfTrue="1">
      <formula>OR(AND(LEFT($A791, 16)="select_multiple ", LEN($A791)&gt;16, NOT(ISNUMBER(SEARCH(" ", $A791, 17)))), AND(LEFT($A791, 11)="select_one ", LEN($A791)&gt;11, NOT(ISNUMBER(SEARCH(" ", $A791, 12)))))</formula>
    </cfRule>
  </conditionalFormatting>
  <conditionalFormatting sqref="A791:A792">
    <cfRule type="expression" dxfId="25" priority="4169" stopIfTrue="1">
      <formula>$A791="decimal"</formula>
    </cfRule>
  </conditionalFormatting>
  <conditionalFormatting sqref="A791:A792">
    <cfRule type="expression" dxfId="26" priority="4170" stopIfTrue="1">
      <formula>$A791="integer"</formula>
    </cfRule>
  </conditionalFormatting>
  <conditionalFormatting sqref="A791:A792">
    <cfRule type="expression" dxfId="27" priority="4171" stopIfTrue="1">
      <formula>$A791="text"</formula>
    </cfRule>
  </conditionalFormatting>
  <conditionalFormatting sqref="A791:A792">
    <cfRule type="expression" dxfId="28" priority="4172" stopIfTrue="1">
      <formula>$A791="end repeat"</formula>
    </cfRule>
  </conditionalFormatting>
  <conditionalFormatting sqref="A791:A792">
    <cfRule type="expression" dxfId="28" priority="4173" stopIfTrue="1">
      <formula>$A791="begin repeat"</formula>
    </cfRule>
  </conditionalFormatting>
  <conditionalFormatting sqref="A791:A792">
    <cfRule type="expression" dxfId="29" priority="4174" stopIfTrue="1">
      <formula>$A791="end group"</formula>
    </cfRule>
  </conditionalFormatting>
  <conditionalFormatting sqref="A791:A792">
    <cfRule type="expression" dxfId="29" priority="4175" stopIfTrue="1">
      <formula>$A791="begin group"</formula>
    </cfRule>
  </conditionalFormatting>
  <conditionalFormatting sqref="A783:A789">
    <cfRule type="expression" dxfId="33" priority="4176" stopIfTrue="1">
      <formula>$A783="file"</formula>
    </cfRule>
  </conditionalFormatting>
  <conditionalFormatting sqref="A783:A789">
    <cfRule type="expression" dxfId="34" priority="4177" stopIfTrue="1">
      <formula>$A783="enumerator"</formula>
    </cfRule>
  </conditionalFormatting>
  <conditionalFormatting sqref="A783:A789">
    <cfRule type="expression" dxfId="35" priority="4178" stopIfTrue="1">
      <formula>OR(AND(LEFT($A783, 14)="sensor_stream ", LEN($A783)&gt;14, NOT(ISNUMBER(SEARCH(" ", $A783, 15)))), AND(LEFT($A783, 17)="sensor_statistic ", LEN($A783)&gt;17, NOT(ISNUMBER(SEARCH(" ", $A783, 18)))))</formula>
    </cfRule>
  </conditionalFormatting>
  <conditionalFormatting sqref="A783:A789">
    <cfRule type="expression" dxfId="14" priority="4179" stopIfTrue="1">
      <formula>$A783="comments"</formula>
    </cfRule>
  </conditionalFormatting>
  <conditionalFormatting sqref="A783:A789">
    <cfRule type="expression" dxfId="15" priority="4180" stopIfTrue="1">
      <formula>OR($A783="audio", $A783="video")</formula>
    </cfRule>
  </conditionalFormatting>
  <conditionalFormatting sqref="A783:A789">
    <cfRule type="expression" dxfId="16" priority="4181" stopIfTrue="1">
      <formula>$A783="image"</formula>
    </cfRule>
  </conditionalFormatting>
  <conditionalFormatting sqref="A783:A789">
    <cfRule type="expression" dxfId="17" priority="4182" stopIfTrue="1">
      <formula>OR($A783="date", $A783="datetime", $A783="time")</formula>
    </cfRule>
  </conditionalFormatting>
  <conditionalFormatting sqref="A783:A789">
    <cfRule type="expression" dxfId="18" priority="4183" stopIfTrue="1">
      <formula>OR($A783="calculate", $A783="calculate_here")</formula>
    </cfRule>
  </conditionalFormatting>
  <conditionalFormatting sqref="A783:A789">
    <cfRule type="expression" dxfId="19" priority="4184" stopIfTrue="1">
      <formula>$A783="note"</formula>
    </cfRule>
  </conditionalFormatting>
  <conditionalFormatting sqref="A783:A789">
    <cfRule type="expression" dxfId="20" priority="4185" stopIfTrue="1">
      <formula>$A783="barcode"</formula>
    </cfRule>
  </conditionalFormatting>
  <conditionalFormatting sqref="A783:A789">
    <cfRule type="expression" dxfId="21" priority="4186" stopIfTrue="1">
      <formula>OR($A783="geopoint", $A783="geoshape", $A783="geotrace")</formula>
    </cfRule>
  </conditionalFormatting>
  <conditionalFormatting sqref="A783:A789">
    <cfRule type="expression" dxfId="22" priority="4187" stopIfTrue="1">
      <formula>OR($A783="audio audit", $A783="text audit", $A783="speed violations count", $A783="speed violations list", $A783="speed violations audit")</formula>
    </cfRule>
  </conditionalFormatting>
  <conditionalFormatting sqref="A783:A789">
    <cfRule type="expression" dxfId="23" priority="4188" stopIfTrue="1">
      <formula>OR($A783="username", $A783="phonenumber", $A783="start", $A783="end", $A783="deviceid", $A783="subscriberid", $A783="simserial", $A783="caseid")</formula>
    </cfRule>
  </conditionalFormatting>
  <conditionalFormatting sqref="A783:A789">
    <cfRule type="expression" dxfId="24" priority="4189" stopIfTrue="1">
      <formula>OR(AND(LEFT($A783, 16)="select_multiple ", LEN($A783)&gt;16, NOT(ISNUMBER(SEARCH(" ", $A783, 17)))), AND(LEFT($A783, 11)="select_one ", LEN($A783)&gt;11, NOT(ISNUMBER(SEARCH(" ", $A783, 12)))))</formula>
    </cfRule>
  </conditionalFormatting>
  <conditionalFormatting sqref="A783:A789">
    <cfRule type="expression" dxfId="25" priority="4190" stopIfTrue="1">
      <formula>$A783="decimal"</formula>
    </cfRule>
  </conditionalFormatting>
  <conditionalFormatting sqref="A783:A789">
    <cfRule type="expression" dxfId="26" priority="4191" stopIfTrue="1">
      <formula>$A783="integer"</formula>
    </cfRule>
  </conditionalFormatting>
  <conditionalFormatting sqref="A783:A789">
    <cfRule type="expression" dxfId="27" priority="4192" stopIfTrue="1">
      <formula>$A783="text"</formula>
    </cfRule>
  </conditionalFormatting>
  <conditionalFormatting sqref="A783:A789">
    <cfRule type="expression" dxfId="28" priority="4193" stopIfTrue="1">
      <formula>$A783="end repeat"</formula>
    </cfRule>
  </conditionalFormatting>
  <conditionalFormatting sqref="A783:A789">
    <cfRule type="expression" dxfId="28" priority="4194" stopIfTrue="1">
      <formula>$A783="begin repeat"</formula>
    </cfRule>
  </conditionalFormatting>
  <conditionalFormatting sqref="A783:A789">
    <cfRule type="expression" dxfId="29" priority="4195" stopIfTrue="1">
      <formula>$A783="end group"</formula>
    </cfRule>
  </conditionalFormatting>
  <conditionalFormatting sqref="A783:A789">
    <cfRule type="expression" dxfId="29" priority="4196" stopIfTrue="1">
      <formula>$A783="begin group"</formula>
    </cfRule>
  </conditionalFormatting>
  <conditionalFormatting sqref="A779:A780">
    <cfRule type="expression" dxfId="33" priority="4197" stopIfTrue="1">
      <formula>$A779="file"</formula>
    </cfRule>
  </conditionalFormatting>
  <conditionalFormatting sqref="A779:A780">
    <cfRule type="expression" dxfId="34" priority="4198" stopIfTrue="1">
      <formula>$A779="enumerator"</formula>
    </cfRule>
  </conditionalFormatting>
  <conditionalFormatting sqref="A779:A780">
    <cfRule type="expression" dxfId="35" priority="4199" stopIfTrue="1">
      <formula>OR(AND(LEFT($A779, 14)="sensor_stream ", LEN($A779)&gt;14, NOT(ISNUMBER(SEARCH(" ", $A779, 15)))), AND(LEFT($A779, 17)="sensor_statistic ", LEN($A779)&gt;17, NOT(ISNUMBER(SEARCH(" ", $A779, 18)))))</formula>
    </cfRule>
  </conditionalFormatting>
  <conditionalFormatting sqref="A779:A780">
    <cfRule type="expression" dxfId="14" priority="4200" stopIfTrue="1">
      <formula>$A779="comments"</formula>
    </cfRule>
  </conditionalFormatting>
  <conditionalFormatting sqref="A779:A780">
    <cfRule type="expression" dxfId="15" priority="4201" stopIfTrue="1">
      <formula>OR($A779="audio", $A779="video")</formula>
    </cfRule>
  </conditionalFormatting>
  <conditionalFormatting sqref="A779:A780">
    <cfRule type="expression" dxfId="16" priority="4202" stopIfTrue="1">
      <formula>$A779="image"</formula>
    </cfRule>
  </conditionalFormatting>
  <conditionalFormatting sqref="A779:A780">
    <cfRule type="expression" dxfId="17" priority="4203" stopIfTrue="1">
      <formula>OR($A779="date", $A779="datetime", $A779="time")</formula>
    </cfRule>
  </conditionalFormatting>
  <conditionalFormatting sqref="A779:A780">
    <cfRule type="expression" dxfId="18" priority="4204" stopIfTrue="1">
      <formula>OR($A779="calculate", $A779="calculate_here")</formula>
    </cfRule>
  </conditionalFormatting>
  <conditionalFormatting sqref="A779:A780">
    <cfRule type="expression" dxfId="19" priority="4205" stopIfTrue="1">
      <formula>$A779="note"</formula>
    </cfRule>
  </conditionalFormatting>
  <conditionalFormatting sqref="A779:A780">
    <cfRule type="expression" dxfId="20" priority="4206" stopIfTrue="1">
      <formula>$A779="barcode"</formula>
    </cfRule>
  </conditionalFormatting>
  <conditionalFormatting sqref="A779:A780">
    <cfRule type="expression" dxfId="21" priority="4207" stopIfTrue="1">
      <formula>OR($A779="geopoint", $A779="geoshape", $A779="geotrace")</formula>
    </cfRule>
  </conditionalFormatting>
  <conditionalFormatting sqref="A779:A780">
    <cfRule type="expression" dxfId="22" priority="4208" stopIfTrue="1">
      <formula>OR($A779="audio audit", $A779="text audit", $A779="speed violations count", $A779="speed violations list", $A779="speed violations audit")</formula>
    </cfRule>
  </conditionalFormatting>
  <conditionalFormatting sqref="A779:A780">
    <cfRule type="expression" dxfId="23" priority="4209" stopIfTrue="1">
      <formula>OR($A779="username", $A779="phonenumber", $A779="start", $A779="end", $A779="deviceid", $A779="subscriberid", $A779="simserial", $A779="caseid")</formula>
    </cfRule>
  </conditionalFormatting>
  <conditionalFormatting sqref="A779:A780">
    <cfRule type="expression" dxfId="24" priority="4210" stopIfTrue="1">
      <formula>OR(AND(LEFT($A779, 16)="select_multiple ", LEN($A779)&gt;16, NOT(ISNUMBER(SEARCH(" ", $A779, 17)))), AND(LEFT($A779, 11)="select_one ", LEN($A779)&gt;11, NOT(ISNUMBER(SEARCH(" ", $A779, 12)))))</formula>
    </cfRule>
  </conditionalFormatting>
  <conditionalFormatting sqref="A779:A780">
    <cfRule type="expression" dxfId="25" priority="4211" stopIfTrue="1">
      <formula>$A779="decimal"</formula>
    </cfRule>
  </conditionalFormatting>
  <conditionalFormatting sqref="A779:A780">
    <cfRule type="expression" dxfId="26" priority="4212" stopIfTrue="1">
      <formula>$A779="integer"</formula>
    </cfRule>
  </conditionalFormatting>
  <conditionalFormatting sqref="A779:A780">
    <cfRule type="expression" dxfId="27" priority="4213" stopIfTrue="1">
      <formula>$A779="text"</formula>
    </cfRule>
  </conditionalFormatting>
  <conditionalFormatting sqref="A779:A780">
    <cfRule type="expression" dxfId="28" priority="4214" stopIfTrue="1">
      <formula>$A779="end repeat"</formula>
    </cfRule>
  </conditionalFormatting>
  <conditionalFormatting sqref="A779:A780">
    <cfRule type="expression" dxfId="28" priority="4215" stopIfTrue="1">
      <formula>$A779="begin repeat"</formula>
    </cfRule>
  </conditionalFormatting>
  <conditionalFormatting sqref="A779:A780">
    <cfRule type="expression" dxfId="29" priority="4216" stopIfTrue="1">
      <formula>$A779="end group"</formula>
    </cfRule>
  </conditionalFormatting>
  <conditionalFormatting sqref="A779:A780">
    <cfRule type="expression" dxfId="29" priority="4217" stopIfTrue="1">
      <formula>$A779="begin group"</formula>
    </cfRule>
  </conditionalFormatting>
  <conditionalFormatting sqref="A777">
    <cfRule type="expression" dxfId="33" priority="4218" stopIfTrue="1">
      <formula>$A777="file"</formula>
    </cfRule>
  </conditionalFormatting>
  <conditionalFormatting sqref="A777">
    <cfRule type="expression" dxfId="34" priority="4219" stopIfTrue="1">
      <formula>$A777="enumerator"</formula>
    </cfRule>
  </conditionalFormatting>
  <conditionalFormatting sqref="A777">
    <cfRule type="expression" dxfId="35" priority="4220" stopIfTrue="1">
      <formula>OR(AND(LEFT($A777, 14)="sensor_stream ", LEN($A777)&gt;14, NOT(ISNUMBER(SEARCH(" ", $A777, 15)))), AND(LEFT($A777, 17)="sensor_statistic ", LEN($A777)&gt;17, NOT(ISNUMBER(SEARCH(" ", $A777, 18)))))</formula>
    </cfRule>
  </conditionalFormatting>
  <conditionalFormatting sqref="A777">
    <cfRule type="expression" dxfId="14" priority="4221" stopIfTrue="1">
      <formula>$A777="comments"</formula>
    </cfRule>
  </conditionalFormatting>
  <conditionalFormatting sqref="A777">
    <cfRule type="expression" dxfId="15" priority="4222" stopIfTrue="1">
      <formula>OR($A777="audio", $A777="video")</formula>
    </cfRule>
  </conditionalFormatting>
  <conditionalFormatting sqref="A777">
    <cfRule type="expression" dxfId="16" priority="4223" stopIfTrue="1">
      <formula>$A777="image"</formula>
    </cfRule>
  </conditionalFormatting>
  <conditionalFormatting sqref="A777">
    <cfRule type="expression" dxfId="17" priority="4224" stopIfTrue="1">
      <formula>OR($A777="date", $A777="datetime", $A777="time")</formula>
    </cfRule>
  </conditionalFormatting>
  <conditionalFormatting sqref="A777">
    <cfRule type="expression" dxfId="18" priority="4225" stopIfTrue="1">
      <formula>OR($A777="calculate", $A777="calculate_here")</formula>
    </cfRule>
  </conditionalFormatting>
  <conditionalFormatting sqref="A777">
    <cfRule type="expression" dxfId="19" priority="4226" stopIfTrue="1">
      <formula>$A777="note"</formula>
    </cfRule>
  </conditionalFormatting>
  <conditionalFormatting sqref="A777">
    <cfRule type="expression" dxfId="20" priority="4227" stopIfTrue="1">
      <formula>$A777="barcode"</formula>
    </cfRule>
  </conditionalFormatting>
  <conditionalFormatting sqref="A777">
    <cfRule type="expression" dxfId="21" priority="4228" stopIfTrue="1">
      <formula>OR($A777="geopoint", $A777="geoshape", $A777="geotrace")</formula>
    </cfRule>
  </conditionalFormatting>
  <conditionalFormatting sqref="A777">
    <cfRule type="expression" dxfId="22" priority="4229" stopIfTrue="1">
      <formula>OR($A777="audio audit", $A777="text audit", $A777="speed violations count", $A777="speed violations list", $A777="speed violations audit")</formula>
    </cfRule>
  </conditionalFormatting>
  <conditionalFormatting sqref="A777">
    <cfRule type="expression" dxfId="23" priority="4230" stopIfTrue="1">
      <formula>OR($A777="username", $A777="phonenumber", $A777="start", $A777="end", $A777="deviceid", $A777="subscriberid", $A777="simserial", $A777="caseid")</formula>
    </cfRule>
  </conditionalFormatting>
  <conditionalFormatting sqref="A777">
    <cfRule type="expression" dxfId="24" priority="4231" stopIfTrue="1">
      <formula>OR(AND(LEFT($A777, 16)="select_multiple ", LEN($A777)&gt;16, NOT(ISNUMBER(SEARCH(" ", $A777, 17)))), AND(LEFT($A777, 11)="select_one ", LEN($A777)&gt;11, NOT(ISNUMBER(SEARCH(" ", $A777, 12)))))</formula>
    </cfRule>
  </conditionalFormatting>
  <conditionalFormatting sqref="A777">
    <cfRule type="expression" dxfId="25" priority="4232" stopIfTrue="1">
      <formula>$A777="decimal"</formula>
    </cfRule>
  </conditionalFormatting>
  <conditionalFormatting sqref="A777">
    <cfRule type="expression" dxfId="26" priority="4233" stopIfTrue="1">
      <formula>$A777="integer"</formula>
    </cfRule>
  </conditionalFormatting>
  <conditionalFormatting sqref="A777">
    <cfRule type="expression" dxfId="27" priority="4234" stopIfTrue="1">
      <formula>$A777="text"</formula>
    </cfRule>
  </conditionalFormatting>
  <conditionalFormatting sqref="A777">
    <cfRule type="expression" dxfId="28" priority="4235" stopIfTrue="1">
      <formula>$A777="end repeat"</formula>
    </cfRule>
  </conditionalFormatting>
  <conditionalFormatting sqref="A777">
    <cfRule type="expression" dxfId="28" priority="4236" stopIfTrue="1">
      <formula>$A777="begin repeat"</formula>
    </cfRule>
  </conditionalFormatting>
  <conditionalFormatting sqref="A777">
    <cfRule type="expression" dxfId="29" priority="4237" stopIfTrue="1">
      <formula>$A777="end group"</formula>
    </cfRule>
  </conditionalFormatting>
  <conditionalFormatting sqref="A777">
    <cfRule type="expression" dxfId="29" priority="4238" stopIfTrue="1">
      <formula>$A777="begin group"</formula>
    </cfRule>
  </conditionalFormatting>
  <conditionalFormatting sqref="A775">
    <cfRule type="expression" dxfId="33" priority="4239" stopIfTrue="1">
      <formula>$A775="file"</formula>
    </cfRule>
  </conditionalFormatting>
  <conditionalFormatting sqref="A775">
    <cfRule type="expression" dxfId="34" priority="4240" stopIfTrue="1">
      <formula>$A775="enumerator"</formula>
    </cfRule>
  </conditionalFormatting>
  <conditionalFormatting sqref="A775">
    <cfRule type="expression" dxfId="35" priority="4241" stopIfTrue="1">
      <formula>OR(AND(LEFT($A775, 14)="sensor_stream ", LEN($A775)&gt;14, NOT(ISNUMBER(SEARCH(" ", $A775, 15)))), AND(LEFT($A775, 17)="sensor_statistic ", LEN($A775)&gt;17, NOT(ISNUMBER(SEARCH(" ", $A775, 18)))))</formula>
    </cfRule>
  </conditionalFormatting>
  <conditionalFormatting sqref="A775">
    <cfRule type="expression" dxfId="14" priority="4242" stopIfTrue="1">
      <formula>$A775="comments"</formula>
    </cfRule>
  </conditionalFormatting>
  <conditionalFormatting sqref="A775">
    <cfRule type="expression" dxfId="15" priority="4243" stopIfTrue="1">
      <formula>OR($A775="audio", $A775="video")</formula>
    </cfRule>
  </conditionalFormatting>
  <conditionalFormatting sqref="A775">
    <cfRule type="expression" dxfId="16" priority="4244" stopIfTrue="1">
      <formula>$A775="image"</formula>
    </cfRule>
  </conditionalFormatting>
  <conditionalFormatting sqref="A775">
    <cfRule type="expression" dxfId="17" priority="4245" stopIfTrue="1">
      <formula>OR($A775="date", $A775="datetime", $A775="time")</formula>
    </cfRule>
  </conditionalFormatting>
  <conditionalFormatting sqref="A775">
    <cfRule type="expression" dxfId="18" priority="4246" stopIfTrue="1">
      <formula>OR($A775="calculate", $A775="calculate_here")</formula>
    </cfRule>
  </conditionalFormatting>
  <conditionalFormatting sqref="A775">
    <cfRule type="expression" dxfId="19" priority="4247" stopIfTrue="1">
      <formula>$A775="note"</formula>
    </cfRule>
  </conditionalFormatting>
  <conditionalFormatting sqref="A775">
    <cfRule type="expression" dxfId="20" priority="4248" stopIfTrue="1">
      <formula>$A775="barcode"</formula>
    </cfRule>
  </conditionalFormatting>
  <conditionalFormatting sqref="A775">
    <cfRule type="expression" dxfId="21" priority="4249" stopIfTrue="1">
      <formula>OR($A775="geopoint", $A775="geoshape", $A775="geotrace")</formula>
    </cfRule>
  </conditionalFormatting>
  <conditionalFormatting sqref="A775">
    <cfRule type="expression" dxfId="22" priority="4250" stopIfTrue="1">
      <formula>OR($A775="audio audit", $A775="text audit", $A775="speed violations count", $A775="speed violations list", $A775="speed violations audit")</formula>
    </cfRule>
  </conditionalFormatting>
  <conditionalFormatting sqref="A775">
    <cfRule type="expression" dxfId="23" priority="4251" stopIfTrue="1">
      <formula>OR($A775="username", $A775="phonenumber", $A775="start", $A775="end", $A775="deviceid", $A775="subscriberid", $A775="simserial", $A775="caseid")</formula>
    </cfRule>
  </conditionalFormatting>
  <conditionalFormatting sqref="A775">
    <cfRule type="expression" dxfId="24" priority="4252" stopIfTrue="1">
      <formula>OR(AND(LEFT($A775, 16)="select_multiple ", LEN($A775)&gt;16, NOT(ISNUMBER(SEARCH(" ", $A775, 17)))), AND(LEFT($A775, 11)="select_one ", LEN($A775)&gt;11, NOT(ISNUMBER(SEARCH(" ", $A775, 12)))))</formula>
    </cfRule>
  </conditionalFormatting>
  <conditionalFormatting sqref="A775">
    <cfRule type="expression" dxfId="25" priority="4253" stopIfTrue="1">
      <formula>$A775="decimal"</formula>
    </cfRule>
  </conditionalFormatting>
  <conditionalFormatting sqref="A775">
    <cfRule type="expression" dxfId="26" priority="4254" stopIfTrue="1">
      <formula>$A775="integer"</formula>
    </cfRule>
  </conditionalFormatting>
  <conditionalFormatting sqref="A775">
    <cfRule type="expression" dxfId="27" priority="4255" stopIfTrue="1">
      <formula>$A775="text"</formula>
    </cfRule>
  </conditionalFormatting>
  <conditionalFormatting sqref="A775">
    <cfRule type="expression" dxfId="28" priority="4256" stopIfTrue="1">
      <formula>$A775="end repeat"</formula>
    </cfRule>
  </conditionalFormatting>
  <conditionalFormatting sqref="A775">
    <cfRule type="expression" dxfId="28" priority="4257" stopIfTrue="1">
      <formula>$A775="begin repeat"</formula>
    </cfRule>
  </conditionalFormatting>
  <conditionalFormatting sqref="A775">
    <cfRule type="expression" dxfId="29" priority="4258" stopIfTrue="1">
      <formula>$A775="end group"</formula>
    </cfRule>
  </conditionalFormatting>
  <conditionalFormatting sqref="A775">
    <cfRule type="expression" dxfId="29" priority="4259" stopIfTrue="1">
      <formula>$A775="begin group"</formula>
    </cfRule>
  </conditionalFormatting>
  <conditionalFormatting sqref="A761:A773">
    <cfRule type="expression" dxfId="33" priority="4260" stopIfTrue="1">
      <formula>$A761="file"</formula>
    </cfRule>
  </conditionalFormatting>
  <conditionalFormatting sqref="A761:A773">
    <cfRule type="expression" dxfId="34" priority="4261" stopIfTrue="1">
      <formula>$A761="enumerator"</formula>
    </cfRule>
  </conditionalFormatting>
  <conditionalFormatting sqref="A761:A773">
    <cfRule type="expression" dxfId="35" priority="4262" stopIfTrue="1">
      <formula>OR(AND(LEFT($A761, 14)="sensor_stream ", LEN($A761)&gt;14, NOT(ISNUMBER(SEARCH(" ", $A761, 15)))), AND(LEFT($A761, 17)="sensor_statistic ", LEN($A761)&gt;17, NOT(ISNUMBER(SEARCH(" ", $A761, 18)))))</formula>
    </cfRule>
  </conditionalFormatting>
  <conditionalFormatting sqref="A761:A773">
    <cfRule type="expression" dxfId="14" priority="4263" stopIfTrue="1">
      <formula>$A761="comments"</formula>
    </cfRule>
  </conditionalFormatting>
  <conditionalFormatting sqref="A761:A773">
    <cfRule type="expression" dxfId="15" priority="4264" stopIfTrue="1">
      <formula>OR($A761="audio", $A761="video")</formula>
    </cfRule>
  </conditionalFormatting>
  <conditionalFormatting sqref="A761:A773">
    <cfRule type="expression" dxfId="16" priority="4265" stopIfTrue="1">
      <formula>$A761="image"</formula>
    </cfRule>
  </conditionalFormatting>
  <conditionalFormatting sqref="A761:A773">
    <cfRule type="expression" dxfId="17" priority="4266" stopIfTrue="1">
      <formula>OR($A761="date", $A761="datetime", $A761="time")</formula>
    </cfRule>
  </conditionalFormatting>
  <conditionalFormatting sqref="A761:A773">
    <cfRule type="expression" dxfId="18" priority="4267" stopIfTrue="1">
      <formula>OR($A761="calculate", $A761="calculate_here")</formula>
    </cfRule>
  </conditionalFormatting>
  <conditionalFormatting sqref="A761:A773">
    <cfRule type="expression" dxfId="19" priority="4268" stopIfTrue="1">
      <formula>$A761="note"</formula>
    </cfRule>
  </conditionalFormatting>
  <conditionalFormatting sqref="A761:A773">
    <cfRule type="expression" dxfId="20" priority="4269" stopIfTrue="1">
      <formula>$A761="barcode"</formula>
    </cfRule>
  </conditionalFormatting>
  <conditionalFormatting sqref="A761:A773">
    <cfRule type="expression" dxfId="21" priority="4270" stopIfTrue="1">
      <formula>OR($A761="geopoint", $A761="geoshape", $A761="geotrace")</formula>
    </cfRule>
  </conditionalFormatting>
  <conditionalFormatting sqref="A761:A773">
    <cfRule type="expression" dxfId="22" priority="4271" stopIfTrue="1">
      <formula>OR($A761="audio audit", $A761="text audit", $A761="speed violations count", $A761="speed violations list", $A761="speed violations audit")</formula>
    </cfRule>
  </conditionalFormatting>
  <conditionalFormatting sqref="A761:A773">
    <cfRule type="expression" dxfId="23" priority="4272" stopIfTrue="1">
      <formula>OR($A761="username", $A761="phonenumber", $A761="start", $A761="end", $A761="deviceid", $A761="subscriberid", $A761="simserial", $A761="caseid")</formula>
    </cfRule>
  </conditionalFormatting>
  <conditionalFormatting sqref="A761:A773">
    <cfRule type="expression" dxfId="24" priority="4273" stopIfTrue="1">
      <formula>OR(AND(LEFT($A761, 16)="select_multiple ", LEN($A761)&gt;16, NOT(ISNUMBER(SEARCH(" ", $A761, 17)))), AND(LEFT($A761, 11)="select_one ", LEN($A761)&gt;11, NOT(ISNUMBER(SEARCH(" ", $A761, 12)))))</formula>
    </cfRule>
  </conditionalFormatting>
  <conditionalFormatting sqref="A761:A773">
    <cfRule type="expression" dxfId="25" priority="4274" stopIfTrue="1">
      <formula>$A761="decimal"</formula>
    </cfRule>
  </conditionalFormatting>
  <conditionalFormatting sqref="A761:A773">
    <cfRule type="expression" dxfId="26" priority="4275" stopIfTrue="1">
      <formula>$A761="integer"</formula>
    </cfRule>
  </conditionalFormatting>
  <conditionalFormatting sqref="A761:A773">
    <cfRule type="expression" dxfId="27" priority="4276" stopIfTrue="1">
      <formula>$A761="text"</formula>
    </cfRule>
  </conditionalFormatting>
  <conditionalFormatting sqref="A761:A773">
    <cfRule type="expression" dxfId="28" priority="4277" stopIfTrue="1">
      <formula>$A761="end repeat"</formula>
    </cfRule>
  </conditionalFormatting>
  <conditionalFormatting sqref="A761:A773">
    <cfRule type="expression" dxfId="28" priority="4278" stopIfTrue="1">
      <formula>$A761="begin repeat"</formula>
    </cfRule>
  </conditionalFormatting>
  <conditionalFormatting sqref="A761:A773">
    <cfRule type="expression" dxfId="29" priority="4279" stopIfTrue="1">
      <formula>$A761="end group"</formula>
    </cfRule>
  </conditionalFormatting>
  <conditionalFormatting sqref="A761:A773">
    <cfRule type="expression" dxfId="29" priority="4280" stopIfTrue="1">
      <formula>$A761="begin group"</formula>
    </cfRule>
  </conditionalFormatting>
  <conditionalFormatting sqref="A742:A746">
    <cfRule type="expression" dxfId="33" priority="4281" stopIfTrue="1">
      <formula>$A742="file"</formula>
    </cfRule>
  </conditionalFormatting>
  <conditionalFormatting sqref="A742:A746">
    <cfRule type="expression" dxfId="34" priority="4282" stopIfTrue="1">
      <formula>$A742="enumerator"</formula>
    </cfRule>
  </conditionalFormatting>
  <conditionalFormatting sqref="A742:A746">
    <cfRule type="expression" dxfId="35" priority="4283" stopIfTrue="1">
      <formula>OR(AND(LEFT($A742, 14)="sensor_stream ", LEN($A742)&gt;14, NOT(ISNUMBER(SEARCH(" ", $A742, 15)))), AND(LEFT($A742, 17)="sensor_statistic ", LEN($A742)&gt;17, NOT(ISNUMBER(SEARCH(" ", $A742, 18)))))</formula>
    </cfRule>
  </conditionalFormatting>
  <conditionalFormatting sqref="A742:A746">
    <cfRule type="expression" dxfId="14" priority="4284" stopIfTrue="1">
      <formula>$A742="comments"</formula>
    </cfRule>
  </conditionalFormatting>
  <conditionalFormatting sqref="A742:A746">
    <cfRule type="expression" dxfId="15" priority="4285" stopIfTrue="1">
      <formula>OR($A742="audio", $A742="video")</formula>
    </cfRule>
  </conditionalFormatting>
  <conditionalFormatting sqref="A742:A746">
    <cfRule type="expression" dxfId="16" priority="4286" stopIfTrue="1">
      <formula>$A742="image"</formula>
    </cfRule>
  </conditionalFormatting>
  <conditionalFormatting sqref="A742:A746">
    <cfRule type="expression" dxfId="17" priority="4287" stopIfTrue="1">
      <formula>OR($A742="date", $A742="datetime", $A742="time")</formula>
    </cfRule>
  </conditionalFormatting>
  <conditionalFormatting sqref="A742:A746">
    <cfRule type="expression" dxfId="18" priority="4288" stopIfTrue="1">
      <formula>OR($A742="calculate", $A742="calculate_here")</formula>
    </cfRule>
  </conditionalFormatting>
  <conditionalFormatting sqref="A742:A746">
    <cfRule type="expression" dxfId="19" priority="4289" stopIfTrue="1">
      <formula>$A742="note"</formula>
    </cfRule>
  </conditionalFormatting>
  <conditionalFormatting sqref="A742:A746">
    <cfRule type="expression" dxfId="20" priority="4290" stopIfTrue="1">
      <formula>$A742="barcode"</formula>
    </cfRule>
  </conditionalFormatting>
  <conditionalFormatting sqref="A742:A746">
    <cfRule type="expression" dxfId="21" priority="4291" stopIfTrue="1">
      <formula>OR($A742="geopoint", $A742="geoshape", $A742="geotrace")</formula>
    </cfRule>
  </conditionalFormatting>
  <conditionalFormatting sqref="A742:A746">
    <cfRule type="expression" dxfId="22" priority="4292" stopIfTrue="1">
      <formula>OR($A742="audio audit", $A742="text audit", $A742="speed violations count", $A742="speed violations list", $A742="speed violations audit")</formula>
    </cfRule>
  </conditionalFormatting>
  <conditionalFormatting sqref="A742:A746">
    <cfRule type="expression" dxfId="23" priority="4293" stopIfTrue="1">
      <formula>OR($A742="username", $A742="phonenumber", $A742="start", $A742="end", $A742="deviceid", $A742="subscriberid", $A742="simserial", $A742="caseid")</formula>
    </cfRule>
  </conditionalFormatting>
  <conditionalFormatting sqref="A742:A746">
    <cfRule type="expression" dxfId="24" priority="4294" stopIfTrue="1">
      <formula>OR(AND(LEFT($A742, 16)="select_multiple ", LEN($A742)&gt;16, NOT(ISNUMBER(SEARCH(" ", $A742, 17)))), AND(LEFT($A742, 11)="select_one ", LEN($A742)&gt;11, NOT(ISNUMBER(SEARCH(" ", $A742, 12)))))</formula>
    </cfRule>
  </conditionalFormatting>
  <conditionalFormatting sqref="A742:A746">
    <cfRule type="expression" dxfId="25" priority="4295" stopIfTrue="1">
      <formula>$A742="decimal"</formula>
    </cfRule>
  </conditionalFormatting>
  <conditionalFormatting sqref="A742:A746">
    <cfRule type="expression" dxfId="26" priority="4296" stopIfTrue="1">
      <formula>$A742="integer"</formula>
    </cfRule>
  </conditionalFormatting>
  <conditionalFormatting sqref="A742:A746">
    <cfRule type="expression" dxfId="27" priority="4297" stopIfTrue="1">
      <formula>$A742="text"</formula>
    </cfRule>
  </conditionalFormatting>
  <conditionalFormatting sqref="A742:A746">
    <cfRule type="expression" dxfId="28" priority="4298" stopIfTrue="1">
      <formula>$A742="end repeat"</formula>
    </cfRule>
  </conditionalFormatting>
  <conditionalFormatting sqref="A742:A746">
    <cfRule type="expression" dxfId="28" priority="4299" stopIfTrue="1">
      <formula>$A742="begin repeat"</formula>
    </cfRule>
  </conditionalFormatting>
  <conditionalFormatting sqref="A742:A746">
    <cfRule type="expression" dxfId="29" priority="4300" stopIfTrue="1">
      <formula>$A742="end group"</formula>
    </cfRule>
  </conditionalFormatting>
  <conditionalFormatting sqref="A742:A746">
    <cfRule type="expression" dxfId="29" priority="4301" stopIfTrue="1">
      <formula>$A742="begin group"</formula>
    </cfRule>
  </conditionalFormatting>
  <conditionalFormatting sqref="A739">
    <cfRule type="expression" dxfId="33" priority="4302" stopIfTrue="1">
      <formula>$A739="file"</formula>
    </cfRule>
  </conditionalFormatting>
  <conditionalFormatting sqref="A739">
    <cfRule type="expression" dxfId="34" priority="4303" stopIfTrue="1">
      <formula>$A739="enumerator"</formula>
    </cfRule>
  </conditionalFormatting>
  <conditionalFormatting sqref="A739">
    <cfRule type="expression" dxfId="35" priority="4304" stopIfTrue="1">
      <formula>OR(AND(LEFT($A739, 14)="sensor_stream ", LEN($A739)&gt;14, NOT(ISNUMBER(SEARCH(" ", $A739, 15)))), AND(LEFT($A739, 17)="sensor_statistic ", LEN($A739)&gt;17, NOT(ISNUMBER(SEARCH(" ", $A739, 18)))))</formula>
    </cfRule>
  </conditionalFormatting>
  <conditionalFormatting sqref="A739">
    <cfRule type="expression" dxfId="14" priority="4305" stopIfTrue="1">
      <formula>$A739="comments"</formula>
    </cfRule>
  </conditionalFormatting>
  <conditionalFormatting sqref="A739">
    <cfRule type="expression" dxfId="15" priority="4306" stopIfTrue="1">
      <formula>OR($A739="audio", $A739="video")</formula>
    </cfRule>
  </conditionalFormatting>
  <conditionalFormatting sqref="A739">
    <cfRule type="expression" dxfId="16" priority="4307" stopIfTrue="1">
      <formula>$A739="image"</formula>
    </cfRule>
  </conditionalFormatting>
  <conditionalFormatting sqref="A739">
    <cfRule type="expression" dxfId="17" priority="4308" stopIfTrue="1">
      <formula>OR($A739="date", $A739="datetime", $A739="time")</formula>
    </cfRule>
  </conditionalFormatting>
  <conditionalFormatting sqref="A739">
    <cfRule type="expression" dxfId="18" priority="4309" stopIfTrue="1">
      <formula>OR($A739="calculate", $A739="calculate_here")</formula>
    </cfRule>
  </conditionalFormatting>
  <conditionalFormatting sqref="A739">
    <cfRule type="expression" dxfId="19" priority="4310" stopIfTrue="1">
      <formula>$A739="note"</formula>
    </cfRule>
  </conditionalFormatting>
  <conditionalFormatting sqref="A739">
    <cfRule type="expression" dxfId="20" priority="4311" stopIfTrue="1">
      <formula>$A739="barcode"</formula>
    </cfRule>
  </conditionalFormatting>
  <conditionalFormatting sqref="A739">
    <cfRule type="expression" dxfId="21" priority="4312" stopIfTrue="1">
      <formula>OR($A739="geopoint", $A739="geoshape", $A739="geotrace")</formula>
    </cfRule>
  </conditionalFormatting>
  <conditionalFormatting sqref="A739">
    <cfRule type="expression" dxfId="22" priority="4313" stopIfTrue="1">
      <formula>OR($A739="audio audit", $A739="text audit", $A739="speed violations count", $A739="speed violations list", $A739="speed violations audit")</formula>
    </cfRule>
  </conditionalFormatting>
  <conditionalFormatting sqref="A739">
    <cfRule type="expression" dxfId="23" priority="4314" stopIfTrue="1">
      <formula>OR($A739="username", $A739="phonenumber", $A739="start", $A739="end", $A739="deviceid", $A739="subscriberid", $A739="simserial", $A739="caseid")</formula>
    </cfRule>
  </conditionalFormatting>
  <conditionalFormatting sqref="A739">
    <cfRule type="expression" dxfId="24" priority="4315" stopIfTrue="1">
      <formula>OR(AND(LEFT($A739, 16)="select_multiple ", LEN($A739)&gt;16, NOT(ISNUMBER(SEARCH(" ", $A739, 17)))), AND(LEFT($A739, 11)="select_one ", LEN($A739)&gt;11, NOT(ISNUMBER(SEARCH(" ", $A739, 12)))))</formula>
    </cfRule>
  </conditionalFormatting>
  <conditionalFormatting sqref="A739">
    <cfRule type="expression" dxfId="25" priority="4316" stopIfTrue="1">
      <formula>$A739="decimal"</formula>
    </cfRule>
  </conditionalFormatting>
  <conditionalFormatting sqref="A739">
    <cfRule type="expression" dxfId="26" priority="4317" stopIfTrue="1">
      <formula>$A739="integer"</formula>
    </cfRule>
  </conditionalFormatting>
  <conditionalFormatting sqref="A739">
    <cfRule type="expression" dxfId="27" priority="4318" stopIfTrue="1">
      <formula>$A739="text"</formula>
    </cfRule>
  </conditionalFormatting>
  <conditionalFormatting sqref="A739">
    <cfRule type="expression" dxfId="28" priority="4319" stopIfTrue="1">
      <formula>$A739="end repeat"</formula>
    </cfRule>
  </conditionalFormatting>
  <conditionalFormatting sqref="A739">
    <cfRule type="expression" dxfId="28" priority="4320" stopIfTrue="1">
      <formula>$A739="begin repeat"</formula>
    </cfRule>
  </conditionalFormatting>
  <conditionalFormatting sqref="A739">
    <cfRule type="expression" dxfId="29" priority="4321" stopIfTrue="1">
      <formula>$A739="end group"</formula>
    </cfRule>
  </conditionalFormatting>
  <conditionalFormatting sqref="A739">
    <cfRule type="expression" dxfId="29" priority="4322" stopIfTrue="1">
      <formula>$A739="begin group"</formula>
    </cfRule>
  </conditionalFormatting>
  <conditionalFormatting sqref="A736">
    <cfRule type="expression" dxfId="33" priority="4323" stopIfTrue="1">
      <formula>$A736="file"</formula>
    </cfRule>
  </conditionalFormatting>
  <conditionalFormatting sqref="A736">
    <cfRule type="expression" dxfId="34" priority="4324" stopIfTrue="1">
      <formula>$A736="enumerator"</formula>
    </cfRule>
  </conditionalFormatting>
  <conditionalFormatting sqref="A736">
    <cfRule type="expression" dxfId="35" priority="4325" stopIfTrue="1">
      <formula>OR(AND(LEFT($A736, 14)="sensor_stream ", LEN($A736)&gt;14, NOT(ISNUMBER(SEARCH(" ", $A736, 15)))), AND(LEFT($A736, 17)="sensor_statistic ", LEN($A736)&gt;17, NOT(ISNUMBER(SEARCH(" ", $A736, 18)))))</formula>
    </cfRule>
  </conditionalFormatting>
  <conditionalFormatting sqref="A736">
    <cfRule type="expression" dxfId="14" priority="4326" stopIfTrue="1">
      <formula>$A736="comments"</formula>
    </cfRule>
  </conditionalFormatting>
  <conditionalFormatting sqref="A736">
    <cfRule type="expression" dxfId="15" priority="4327" stopIfTrue="1">
      <formula>OR($A736="audio", $A736="video")</formula>
    </cfRule>
  </conditionalFormatting>
  <conditionalFormatting sqref="A736">
    <cfRule type="expression" dxfId="16" priority="4328" stopIfTrue="1">
      <formula>$A736="image"</formula>
    </cfRule>
  </conditionalFormatting>
  <conditionalFormatting sqref="A736">
    <cfRule type="expression" dxfId="17" priority="4329" stopIfTrue="1">
      <formula>OR($A736="date", $A736="datetime", $A736="time")</formula>
    </cfRule>
  </conditionalFormatting>
  <conditionalFormatting sqref="A736">
    <cfRule type="expression" dxfId="18" priority="4330" stopIfTrue="1">
      <formula>OR($A736="calculate", $A736="calculate_here")</formula>
    </cfRule>
  </conditionalFormatting>
  <conditionalFormatting sqref="A736">
    <cfRule type="expression" dxfId="19" priority="4331" stopIfTrue="1">
      <formula>$A736="note"</formula>
    </cfRule>
  </conditionalFormatting>
  <conditionalFormatting sqref="A736">
    <cfRule type="expression" dxfId="20" priority="4332" stopIfTrue="1">
      <formula>$A736="barcode"</formula>
    </cfRule>
  </conditionalFormatting>
  <conditionalFormatting sqref="A736">
    <cfRule type="expression" dxfId="21" priority="4333" stopIfTrue="1">
      <formula>OR($A736="geopoint", $A736="geoshape", $A736="geotrace")</formula>
    </cfRule>
  </conditionalFormatting>
  <conditionalFormatting sqref="A736">
    <cfRule type="expression" dxfId="22" priority="4334" stopIfTrue="1">
      <formula>OR($A736="audio audit", $A736="text audit", $A736="speed violations count", $A736="speed violations list", $A736="speed violations audit")</formula>
    </cfRule>
  </conditionalFormatting>
  <conditionalFormatting sqref="A736">
    <cfRule type="expression" dxfId="23" priority="4335" stopIfTrue="1">
      <formula>OR($A736="username", $A736="phonenumber", $A736="start", $A736="end", $A736="deviceid", $A736="subscriberid", $A736="simserial", $A736="caseid")</formula>
    </cfRule>
  </conditionalFormatting>
  <conditionalFormatting sqref="A736">
    <cfRule type="expression" dxfId="24" priority="4336" stopIfTrue="1">
      <formula>OR(AND(LEFT($A736, 16)="select_multiple ", LEN($A736)&gt;16, NOT(ISNUMBER(SEARCH(" ", $A736, 17)))), AND(LEFT($A736, 11)="select_one ", LEN($A736)&gt;11, NOT(ISNUMBER(SEARCH(" ", $A736, 12)))))</formula>
    </cfRule>
  </conditionalFormatting>
  <conditionalFormatting sqref="A736">
    <cfRule type="expression" dxfId="25" priority="4337" stopIfTrue="1">
      <formula>$A736="decimal"</formula>
    </cfRule>
  </conditionalFormatting>
  <conditionalFormatting sqref="A736">
    <cfRule type="expression" dxfId="26" priority="4338" stopIfTrue="1">
      <formula>$A736="integer"</formula>
    </cfRule>
  </conditionalFormatting>
  <conditionalFormatting sqref="A736">
    <cfRule type="expression" dxfId="27" priority="4339" stopIfTrue="1">
      <formula>$A736="text"</formula>
    </cfRule>
  </conditionalFormatting>
  <conditionalFormatting sqref="A736">
    <cfRule type="expression" dxfId="28" priority="4340" stopIfTrue="1">
      <formula>$A736="end repeat"</formula>
    </cfRule>
  </conditionalFormatting>
  <conditionalFormatting sqref="A736">
    <cfRule type="expression" dxfId="28" priority="4341" stopIfTrue="1">
      <formula>$A736="begin repeat"</formula>
    </cfRule>
  </conditionalFormatting>
  <conditionalFormatting sqref="A736">
    <cfRule type="expression" dxfId="29" priority="4342" stopIfTrue="1">
      <formula>$A736="end group"</formula>
    </cfRule>
  </conditionalFormatting>
  <conditionalFormatting sqref="A736">
    <cfRule type="expression" dxfId="29" priority="4343" stopIfTrue="1">
      <formula>$A736="begin group"</formula>
    </cfRule>
  </conditionalFormatting>
  <conditionalFormatting sqref="A734">
    <cfRule type="expression" dxfId="33" priority="4344" stopIfTrue="1">
      <formula>$A734="file"</formula>
    </cfRule>
  </conditionalFormatting>
  <conditionalFormatting sqref="A734">
    <cfRule type="expression" dxfId="34" priority="4345" stopIfTrue="1">
      <formula>$A734="enumerator"</formula>
    </cfRule>
  </conditionalFormatting>
  <conditionalFormatting sqref="A734">
    <cfRule type="expression" dxfId="35" priority="4346" stopIfTrue="1">
      <formula>OR(AND(LEFT($A734, 14)="sensor_stream ", LEN($A734)&gt;14, NOT(ISNUMBER(SEARCH(" ", $A734, 15)))), AND(LEFT($A734, 17)="sensor_statistic ", LEN($A734)&gt;17, NOT(ISNUMBER(SEARCH(" ", $A734, 18)))))</formula>
    </cfRule>
  </conditionalFormatting>
  <conditionalFormatting sqref="A734">
    <cfRule type="expression" dxfId="14" priority="4347" stopIfTrue="1">
      <formula>$A734="comments"</formula>
    </cfRule>
  </conditionalFormatting>
  <conditionalFormatting sqref="A734">
    <cfRule type="expression" dxfId="15" priority="4348" stopIfTrue="1">
      <formula>OR($A734="audio", $A734="video")</formula>
    </cfRule>
  </conditionalFormatting>
  <conditionalFormatting sqref="A734">
    <cfRule type="expression" dxfId="16" priority="4349" stopIfTrue="1">
      <formula>$A734="image"</formula>
    </cfRule>
  </conditionalFormatting>
  <conditionalFormatting sqref="A734">
    <cfRule type="expression" dxfId="17" priority="4350" stopIfTrue="1">
      <formula>OR($A734="date", $A734="datetime", $A734="time")</formula>
    </cfRule>
  </conditionalFormatting>
  <conditionalFormatting sqref="A734">
    <cfRule type="expression" dxfId="18" priority="4351" stopIfTrue="1">
      <formula>OR($A734="calculate", $A734="calculate_here")</formula>
    </cfRule>
  </conditionalFormatting>
  <conditionalFormatting sqref="A734">
    <cfRule type="expression" dxfId="19" priority="4352" stopIfTrue="1">
      <formula>$A734="note"</formula>
    </cfRule>
  </conditionalFormatting>
  <conditionalFormatting sqref="A734">
    <cfRule type="expression" dxfId="20" priority="4353" stopIfTrue="1">
      <formula>$A734="barcode"</formula>
    </cfRule>
  </conditionalFormatting>
  <conditionalFormatting sqref="A734">
    <cfRule type="expression" dxfId="21" priority="4354" stopIfTrue="1">
      <formula>OR($A734="geopoint", $A734="geoshape", $A734="geotrace")</formula>
    </cfRule>
  </conditionalFormatting>
  <conditionalFormatting sqref="A734">
    <cfRule type="expression" dxfId="22" priority="4355" stopIfTrue="1">
      <formula>OR($A734="audio audit", $A734="text audit", $A734="speed violations count", $A734="speed violations list", $A734="speed violations audit")</formula>
    </cfRule>
  </conditionalFormatting>
  <conditionalFormatting sqref="A734">
    <cfRule type="expression" dxfId="23" priority="4356" stopIfTrue="1">
      <formula>OR($A734="username", $A734="phonenumber", $A734="start", $A734="end", $A734="deviceid", $A734="subscriberid", $A734="simserial", $A734="caseid")</formula>
    </cfRule>
  </conditionalFormatting>
  <conditionalFormatting sqref="A734">
    <cfRule type="expression" dxfId="24" priority="4357" stopIfTrue="1">
      <formula>OR(AND(LEFT($A734, 16)="select_multiple ", LEN($A734)&gt;16, NOT(ISNUMBER(SEARCH(" ", $A734, 17)))), AND(LEFT($A734, 11)="select_one ", LEN($A734)&gt;11, NOT(ISNUMBER(SEARCH(" ", $A734, 12)))))</formula>
    </cfRule>
  </conditionalFormatting>
  <conditionalFormatting sqref="A734">
    <cfRule type="expression" dxfId="25" priority="4358" stopIfTrue="1">
      <formula>$A734="decimal"</formula>
    </cfRule>
  </conditionalFormatting>
  <conditionalFormatting sqref="A734">
    <cfRule type="expression" dxfId="26" priority="4359" stopIfTrue="1">
      <formula>$A734="integer"</formula>
    </cfRule>
  </conditionalFormatting>
  <conditionalFormatting sqref="A734">
    <cfRule type="expression" dxfId="27" priority="4360" stopIfTrue="1">
      <formula>$A734="text"</formula>
    </cfRule>
  </conditionalFormatting>
  <conditionalFormatting sqref="A734">
    <cfRule type="expression" dxfId="28" priority="4361" stopIfTrue="1">
      <formula>$A734="end repeat"</formula>
    </cfRule>
  </conditionalFormatting>
  <conditionalFormatting sqref="A734">
    <cfRule type="expression" dxfId="28" priority="4362" stopIfTrue="1">
      <formula>$A734="begin repeat"</formula>
    </cfRule>
  </conditionalFormatting>
  <conditionalFormatting sqref="A734">
    <cfRule type="expression" dxfId="29" priority="4363" stopIfTrue="1">
      <formula>$A734="end group"</formula>
    </cfRule>
  </conditionalFormatting>
  <conditionalFormatting sqref="A734">
    <cfRule type="expression" dxfId="29" priority="4364" stopIfTrue="1">
      <formula>$A734="begin group"</formula>
    </cfRule>
  </conditionalFormatting>
  <conditionalFormatting sqref="A731">
    <cfRule type="expression" dxfId="33" priority="4365" stopIfTrue="1">
      <formula>$A731="file"</formula>
    </cfRule>
  </conditionalFormatting>
  <conditionalFormatting sqref="A731">
    <cfRule type="expression" dxfId="34" priority="4366" stopIfTrue="1">
      <formula>$A731="enumerator"</formula>
    </cfRule>
  </conditionalFormatting>
  <conditionalFormatting sqref="A731">
    <cfRule type="expression" dxfId="35" priority="4367" stopIfTrue="1">
      <formula>OR(AND(LEFT($A731, 14)="sensor_stream ", LEN($A731)&gt;14, NOT(ISNUMBER(SEARCH(" ", $A731, 15)))), AND(LEFT($A731, 17)="sensor_statistic ", LEN($A731)&gt;17, NOT(ISNUMBER(SEARCH(" ", $A731, 18)))))</formula>
    </cfRule>
  </conditionalFormatting>
  <conditionalFormatting sqref="A731">
    <cfRule type="expression" dxfId="14" priority="4368" stopIfTrue="1">
      <formula>$A731="comments"</formula>
    </cfRule>
  </conditionalFormatting>
  <conditionalFormatting sqref="A731">
    <cfRule type="expression" dxfId="15" priority="4369" stopIfTrue="1">
      <formula>OR($A731="audio", $A731="video")</formula>
    </cfRule>
  </conditionalFormatting>
  <conditionalFormatting sqref="A731">
    <cfRule type="expression" dxfId="16" priority="4370" stopIfTrue="1">
      <formula>$A731="image"</formula>
    </cfRule>
  </conditionalFormatting>
  <conditionalFormatting sqref="A731">
    <cfRule type="expression" dxfId="17" priority="4371" stopIfTrue="1">
      <formula>OR($A731="date", $A731="datetime", $A731="time")</formula>
    </cfRule>
  </conditionalFormatting>
  <conditionalFormatting sqref="A731">
    <cfRule type="expression" dxfId="18" priority="4372" stopIfTrue="1">
      <formula>OR($A731="calculate", $A731="calculate_here")</formula>
    </cfRule>
  </conditionalFormatting>
  <conditionalFormatting sqref="A731">
    <cfRule type="expression" dxfId="19" priority="4373" stopIfTrue="1">
      <formula>$A731="note"</formula>
    </cfRule>
  </conditionalFormatting>
  <conditionalFormatting sqref="A731">
    <cfRule type="expression" dxfId="20" priority="4374" stopIfTrue="1">
      <formula>$A731="barcode"</formula>
    </cfRule>
  </conditionalFormatting>
  <conditionalFormatting sqref="A731">
    <cfRule type="expression" dxfId="21" priority="4375" stopIfTrue="1">
      <formula>OR($A731="geopoint", $A731="geoshape", $A731="geotrace")</formula>
    </cfRule>
  </conditionalFormatting>
  <conditionalFormatting sqref="A731">
    <cfRule type="expression" dxfId="22" priority="4376" stopIfTrue="1">
      <formula>OR($A731="audio audit", $A731="text audit", $A731="speed violations count", $A731="speed violations list", $A731="speed violations audit")</formula>
    </cfRule>
  </conditionalFormatting>
  <conditionalFormatting sqref="A731">
    <cfRule type="expression" dxfId="23" priority="4377" stopIfTrue="1">
      <formula>OR($A731="username", $A731="phonenumber", $A731="start", $A731="end", $A731="deviceid", $A731="subscriberid", $A731="simserial", $A731="caseid")</formula>
    </cfRule>
  </conditionalFormatting>
  <conditionalFormatting sqref="A731">
    <cfRule type="expression" dxfId="24" priority="4378" stopIfTrue="1">
      <formula>OR(AND(LEFT($A731, 16)="select_multiple ", LEN($A731)&gt;16, NOT(ISNUMBER(SEARCH(" ", $A731, 17)))), AND(LEFT($A731, 11)="select_one ", LEN($A731)&gt;11, NOT(ISNUMBER(SEARCH(" ", $A731, 12)))))</formula>
    </cfRule>
  </conditionalFormatting>
  <conditionalFormatting sqref="A731">
    <cfRule type="expression" dxfId="25" priority="4379" stopIfTrue="1">
      <formula>$A731="decimal"</formula>
    </cfRule>
  </conditionalFormatting>
  <conditionalFormatting sqref="A731">
    <cfRule type="expression" dxfId="26" priority="4380" stopIfTrue="1">
      <formula>$A731="integer"</formula>
    </cfRule>
  </conditionalFormatting>
  <conditionalFormatting sqref="A731">
    <cfRule type="expression" dxfId="27" priority="4381" stopIfTrue="1">
      <formula>$A731="text"</formula>
    </cfRule>
  </conditionalFormatting>
  <conditionalFormatting sqref="A731">
    <cfRule type="expression" dxfId="28" priority="4382" stopIfTrue="1">
      <formula>$A731="end repeat"</formula>
    </cfRule>
  </conditionalFormatting>
  <conditionalFormatting sqref="A731">
    <cfRule type="expression" dxfId="28" priority="4383" stopIfTrue="1">
      <formula>$A731="begin repeat"</formula>
    </cfRule>
  </conditionalFormatting>
  <conditionalFormatting sqref="A731">
    <cfRule type="expression" dxfId="29" priority="4384" stopIfTrue="1">
      <formula>$A731="end group"</formula>
    </cfRule>
  </conditionalFormatting>
  <conditionalFormatting sqref="A731">
    <cfRule type="expression" dxfId="29" priority="4385" stopIfTrue="1">
      <formula>$A731="begin group"</formula>
    </cfRule>
  </conditionalFormatting>
  <conditionalFormatting sqref="A715:A725">
    <cfRule type="expression" dxfId="33" priority="4386" stopIfTrue="1">
      <formula>$A715="file"</formula>
    </cfRule>
  </conditionalFormatting>
  <conditionalFormatting sqref="A715:A725">
    <cfRule type="expression" dxfId="34" priority="4387" stopIfTrue="1">
      <formula>$A715="enumerator"</formula>
    </cfRule>
  </conditionalFormatting>
  <conditionalFormatting sqref="A715:A725">
    <cfRule type="expression" dxfId="35" priority="4388" stopIfTrue="1">
      <formula>OR(AND(LEFT($A715, 14)="sensor_stream ", LEN($A715)&gt;14, NOT(ISNUMBER(SEARCH(" ", $A715, 15)))), AND(LEFT($A715, 17)="sensor_statistic ", LEN($A715)&gt;17, NOT(ISNUMBER(SEARCH(" ", $A715, 18)))))</formula>
    </cfRule>
  </conditionalFormatting>
  <conditionalFormatting sqref="A715:A725">
    <cfRule type="expression" dxfId="14" priority="4389" stopIfTrue="1">
      <formula>$A715="comments"</formula>
    </cfRule>
  </conditionalFormatting>
  <conditionalFormatting sqref="A715:A725">
    <cfRule type="expression" dxfId="15" priority="4390" stopIfTrue="1">
      <formula>OR($A715="audio", $A715="video")</formula>
    </cfRule>
  </conditionalFormatting>
  <conditionalFormatting sqref="A715:A725">
    <cfRule type="expression" dxfId="16" priority="4391" stopIfTrue="1">
      <formula>$A715="image"</formula>
    </cfRule>
  </conditionalFormatting>
  <conditionalFormatting sqref="A715:A725">
    <cfRule type="expression" dxfId="17" priority="4392" stopIfTrue="1">
      <formula>OR($A715="date", $A715="datetime", $A715="time")</formula>
    </cfRule>
  </conditionalFormatting>
  <conditionalFormatting sqref="A715:A725">
    <cfRule type="expression" dxfId="18" priority="4393" stopIfTrue="1">
      <formula>OR($A715="calculate", $A715="calculate_here")</formula>
    </cfRule>
  </conditionalFormatting>
  <conditionalFormatting sqref="A715:A725">
    <cfRule type="expression" dxfId="19" priority="4394" stopIfTrue="1">
      <formula>$A715="note"</formula>
    </cfRule>
  </conditionalFormatting>
  <conditionalFormatting sqref="A715:A725">
    <cfRule type="expression" dxfId="20" priority="4395" stopIfTrue="1">
      <formula>$A715="barcode"</formula>
    </cfRule>
  </conditionalFormatting>
  <conditionalFormatting sqref="A715:A725">
    <cfRule type="expression" dxfId="21" priority="4396" stopIfTrue="1">
      <formula>OR($A715="geopoint", $A715="geoshape", $A715="geotrace")</formula>
    </cfRule>
  </conditionalFormatting>
  <conditionalFormatting sqref="A715:A725">
    <cfRule type="expression" dxfId="22" priority="4397" stopIfTrue="1">
      <formula>OR($A715="audio audit", $A715="text audit", $A715="speed violations count", $A715="speed violations list", $A715="speed violations audit")</formula>
    </cfRule>
  </conditionalFormatting>
  <conditionalFormatting sqref="A715:A725">
    <cfRule type="expression" dxfId="23" priority="4398" stopIfTrue="1">
      <formula>OR($A715="username", $A715="phonenumber", $A715="start", $A715="end", $A715="deviceid", $A715="subscriberid", $A715="simserial", $A715="caseid")</formula>
    </cfRule>
  </conditionalFormatting>
  <conditionalFormatting sqref="A715:A725">
    <cfRule type="expression" dxfId="24" priority="4399" stopIfTrue="1">
      <formula>OR(AND(LEFT($A715, 16)="select_multiple ", LEN($A715)&gt;16, NOT(ISNUMBER(SEARCH(" ", $A715, 17)))), AND(LEFT($A715, 11)="select_one ", LEN($A715)&gt;11, NOT(ISNUMBER(SEARCH(" ", $A715, 12)))))</formula>
    </cfRule>
  </conditionalFormatting>
  <conditionalFormatting sqref="A715:A725">
    <cfRule type="expression" dxfId="25" priority="4400" stopIfTrue="1">
      <formula>$A715="decimal"</formula>
    </cfRule>
  </conditionalFormatting>
  <conditionalFormatting sqref="A715:A725">
    <cfRule type="expression" dxfId="26" priority="4401" stopIfTrue="1">
      <formula>$A715="integer"</formula>
    </cfRule>
  </conditionalFormatting>
  <conditionalFormatting sqref="A715:A725">
    <cfRule type="expression" dxfId="27" priority="4402" stopIfTrue="1">
      <formula>$A715="text"</formula>
    </cfRule>
  </conditionalFormatting>
  <conditionalFormatting sqref="A715:A725">
    <cfRule type="expression" dxfId="28" priority="4403" stopIfTrue="1">
      <formula>$A715="end repeat"</formula>
    </cfRule>
  </conditionalFormatting>
  <conditionalFormatting sqref="A715:A725">
    <cfRule type="expression" dxfId="28" priority="4404" stopIfTrue="1">
      <formula>$A715="begin repeat"</formula>
    </cfRule>
  </conditionalFormatting>
  <conditionalFormatting sqref="A715:A725">
    <cfRule type="expression" dxfId="29" priority="4405" stopIfTrue="1">
      <formula>$A715="end group"</formula>
    </cfRule>
  </conditionalFormatting>
  <conditionalFormatting sqref="A715:A725">
    <cfRule type="expression" dxfId="29" priority="4406" stopIfTrue="1">
      <formula>$A715="begin group"</formula>
    </cfRule>
  </conditionalFormatting>
  <conditionalFormatting sqref="A705:A711">
    <cfRule type="expression" dxfId="33" priority="4407" stopIfTrue="1">
      <formula>$A705="file"</formula>
    </cfRule>
  </conditionalFormatting>
  <conditionalFormatting sqref="A705:A711">
    <cfRule type="expression" dxfId="34" priority="4408" stopIfTrue="1">
      <formula>$A705="enumerator"</formula>
    </cfRule>
  </conditionalFormatting>
  <conditionalFormatting sqref="A705:A711">
    <cfRule type="expression" dxfId="35" priority="4409" stopIfTrue="1">
      <formula>OR(AND(LEFT($A705, 14)="sensor_stream ", LEN($A705)&gt;14, NOT(ISNUMBER(SEARCH(" ", $A705, 15)))), AND(LEFT($A705, 17)="sensor_statistic ", LEN($A705)&gt;17, NOT(ISNUMBER(SEARCH(" ", $A705, 18)))))</formula>
    </cfRule>
  </conditionalFormatting>
  <conditionalFormatting sqref="A705:A711">
    <cfRule type="expression" dxfId="14" priority="4410" stopIfTrue="1">
      <formula>$A705="comments"</formula>
    </cfRule>
  </conditionalFormatting>
  <conditionalFormatting sqref="A705:A711">
    <cfRule type="expression" dxfId="15" priority="4411" stopIfTrue="1">
      <formula>OR($A705="audio", $A705="video")</formula>
    </cfRule>
  </conditionalFormatting>
  <conditionalFormatting sqref="A705:A711">
    <cfRule type="expression" dxfId="16" priority="4412" stopIfTrue="1">
      <formula>$A705="image"</formula>
    </cfRule>
  </conditionalFormatting>
  <conditionalFormatting sqref="A705:A711">
    <cfRule type="expression" dxfId="17" priority="4413" stopIfTrue="1">
      <formula>OR($A705="date", $A705="datetime", $A705="time")</formula>
    </cfRule>
  </conditionalFormatting>
  <conditionalFormatting sqref="A705:A711">
    <cfRule type="expression" dxfId="18" priority="4414" stopIfTrue="1">
      <formula>OR($A705="calculate", $A705="calculate_here")</formula>
    </cfRule>
  </conditionalFormatting>
  <conditionalFormatting sqref="A705:A711">
    <cfRule type="expression" dxfId="19" priority="4415" stopIfTrue="1">
      <formula>$A705="note"</formula>
    </cfRule>
  </conditionalFormatting>
  <conditionalFormatting sqref="A705:A711">
    <cfRule type="expression" dxfId="20" priority="4416" stopIfTrue="1">
      <formula>$A705="barcode"</formula>
    </cfRule>
  </conditionalFormatting>
  <conditionalFormatting sqref="A705:A711">
    <cfRule type="expression" dxfId="21" priority="4417" stopIfTrue="1">
      <formula>OR($A705="geopoint", $A705="geoshape", $A705="geotrace")</formula>
    </cfRule>
  </conditionalFormatting>
  <conditionalFormatting sqref="A705:A711">
    <cfRule type="expression" dxfId="22" priority="4418" stopIfTrue="1">
      <formula>OR($A705="audio audit", $A705="text audit", $A705="speed violations count", $A705="speed violations list", $A705="speed violations audit")</formula>
    </cfRule>
  </conditionalFormatting>
  <conditionalFormatting sqref="A705:A711">
    <cfRule type="expression" dxfId="23" priority="4419" stopIfTrue="1">
      <formula>OR($A705="username", $A705="phonenumber", $A705="start", $A705="end", $A705="deviceid", $A705="subscriberid", $A705="simserial", $A705="caseid")</formula>
    </cfRule>
  </conditionalFormatting>
  <conditionalFormatting sqref="A705:A711">
    <cfRule type="expression" dxfId="24" priority="4420" stopIfTrue="1">
      <formula>OR(AND(LEFT($A705, 16)="select_multiple ", LEN($A705)&gt;16, NOT(ISNUMBER(SEARCH(" ", $A705, 17)))), AND(LEFT($A705, 11)="select_one ", LEN($A705)&gt;11, NOT(ISNUMBER(SEARCH(" ", $A705, 12)))))</formula>
    </cfRule>
  </conditionalFormatting>
  <conditionalFormatting sqref="A705:A711">
    <cfRule type="expression" dxfId="25" priority="4421" stopIfTrue="1">
      <formula>$A705="decimal"</formula>
    </cfRule>
  </conditionalFormatting>
  <conditionalFormatting sqref="A705:A711">
    <cfRule type="expression" dxfId="26" priority="4422" stopIfTrue="1">
      <formula>$A705="integer"</formula>
    </cfRule>
  </conditionalFormatting>
  <conditionalFormatting sqref="A705:A711">
    <cfRule type="expression" dxfId="27" priority="4423" stopIfTrue="1">
      <formula>$A705="text"</formula>
    </cfRule>
  </conditionalFormatting>
  <conditionalFormatting sqref="A705:A711">
    <cfRule type="expression" dxfId="28" priority="4424" stopIfTrue="1">
      <formula>$A705="end repeat"</formula>
    </cfRule>
  </conditionalFormatting>
  <conditionalFormatting sqref="A705:A711">
    <cfRule type="expression" dxfId="28" priority="4425" stopIfTrue="1">
      <formula>$A705="begin repeat"</formula>
    </cfRule>
  </conditionalFormatting>
  <conditionalFormatting sqref="A705:A711">
    <cfRule type="expression" dxfId="29" priority="4426" stopIfTrue="1">
      <formula>$A705="end group"</formula>
    </cfRule>
  </conditionalFormatting>
  <conditionalFormatting sqref="A705:A711">
    <cfRule type="expression" dxfId="29" priority="4427" stopIfTrue="1">
      <formula>$A705="begin group"</formula>
    </cfRule>
  </conditionalFormatting>
  <conditionalFormatting sqref="A696:A699">
    <cfRule type="expression" dxfId="33" priority="4428" stopIfTrue="1">
      <formula>$A696="file"</formula>
    </cfRule>
  </conditionalFormatting>
  <conditionalFormatting sqref="A696:A699">
    <cfRule type="expression" dxfId="34" priority="4429" stopIfTrue="1">
      <formula>$A696="enumerator"</formula>
    </cfRule>
  </conditionalFormatting>
  <conditionalFormatting sqref="A696:A699">
    <cfRule type="expression" dxfId="35" priority="4430" stopIfTrue="1">
      <formula>OR(AND(LEFT($A696, 14)="sensor_stream ", LEN($A696)&gt;14, NOT(ISNUMBER(SEARCH(" ", $A696, 15)))), AND(LEFT($A696, 17)="sensor_statistic ", LEN($A696)&gt;17, NOT(ISNUMBER(SEARCH(" ", $A696, 18)))))</formula>
    </cfRule>
  </conditionalFormatting>
  <conditionalFormatting sqref="A696:A699">
    <cfRule type="expression" dxfId="14" priority="4431" stopIfTrue="1">
      <formula>$A696="comments"</formula>
    </cfRule>
  </conditionalFormatting>
  <conditionalFormatting sqref="A696:A699">
    <cfRule type="expression" dxfId="15" priority="4432" stopIfTrue="1">
      <formula>OR($A696="audio", $A696="video")</formula>
    </cfRule>
  </conditionalFormatting>
  <conditionalFormatting sqref="A696:A699">
    <cfRule type="expression" dxfId="16" priority="4433" stopIfTrue="1">
      <formula>$A696="image"</formula>
    </cfRule>
  </conditionalFormatting>
  <conditionalFormatting sqref="A696:A699">
    <cfRule type="expression" dxfId="17" priority="4434" stopIfTrue="1">
      <formula>OR($A696="date", $A696="datetime", $A696="time")</formula>
    </cfRule>
  </conditionalFormatting>
  <conditionalFormatting sqref="A696:A699">
    <cfRule type="expression" dxfId="18" priority="4435" stopIfTrue="1">
      <formula>OR($A696="calculate", $A696="calculate_here")</formula>
    </cfRule>
  </conditionalFormatting>
  <conditionalFormatting sqref="A696:A699">
    <cfRule type="expression" dxfId="19" priority="4436" stopIfTrue="1">
      <formula>$A696="note"</formula>
    </cfRule>
  </conditionalFormatting>
  <conditionalFormatting sqref="A696:A699">
    <cfRule type="expression" dxfId="20" priority="4437" stopIfTrue="1">
      <formula>$A696="barcode"</formula>
    </cfRule>
  </conditionalFormatting>
  <conditionalFormatting sqref="A696:A699">
    <cfRule type="expression" dxfId="21" priority="4438" stopIfTrue="1">
      <formula>OR($A696="geopoint", $A696="geoshape", $A696="geotrace")</formula>
    </cfRule>
  </conditionalFormatting>
  <conditionalFormatting sqref="A696:A699">
    <cfRule type="expression" dxfId="22" priority="4439" stopIfTrue="1">
      <formula>OR($A696="audio audit", $A696="text audit", $A696="speed violations count", $A696="speed violations list", $A696="speed violations audit")</formula>
    </cfRule>
  </conditionalFormatting>
  <conditionalFormatting sqref="A696:A699">
    <cfRule type="expression" dxfId="23" priority="4440" stopIfTrue="1">
      <formula>OR($A696="username", $A696="phonenumber", $A696="start", $A696="end", $A696="deviceid", $A696="subscriberid", $A696="simserial", $A696="caseid")</formula>
    </cfRule>
  </conditionalFormatting>
  <conditionalFormatting sqref="A696:A699">
    <cfRule type="expression" dxfId="24" priority="4441" stopIfTrue="1">
      <formula>OR(AND(LEFT($A696, 16)="select_multiple ", LEN($A696)&gt;16, NOT(ISNUMBER(SEARCH(" ", $A696, 17)))), AND(LEFT($A696, 11)="select_one ", LEN($A696)&gt;11, NOT(ISNUMBER(SEARCH(" ", $A696, 12)))))</formula>
    </cfRule>
  </conditionalFormatting>
  <conditionalFormatting sqref="A696:A699">
    <cfRule type="expression" dxfId="25" priority="4442" stopIfTrue="1">
      <formula>$A696="decimal"</formula>
    </cfRule>
  </conditionalFormatting>
  <conditionalFormatting sqref="A696:A699">
    <cfRule type="expression" dxfId="26" priority="4443" stopIfTrue="1">
      <formula>$A696="integer"</formula>
    </cfRule>
  </conditionalFormatting>
  <conditionalFormatting sqref="A696:A699">
    <cfRule type="expression" dxfId="27" priority="4444" stopIfTrue="1">
      <formula>$A696="text"</formula>
    </cfRule>
  </conditionalFormatting>
  <conditionalFormatting sqref="A696:A699">
    <cfRule type="expression" dxfId="28" priority="4445" stopIfTrue="1">
      <formula>$A696="end repeat"</formula>
    </cfRule>
  </conditionalFormatting>
  <conditionalFormatting sqref="A696:A699">
    <cfRule type="expression" dxfId="28" priority="4446" stopIfTrue="1">
      <formula>$A696="begin repeat"</formula>
    </cfRule>
  </conditionalFormatting>
  <conditionalFormatting sqref="A696:A699">
    <cfRule type="expression" dxfId="29" priority="4447" stopIfTrue="1">
      <formula>$A696="end group"</formula>
    </cfRule>
  </conditionalFormatting>
  <conditionalFormatting sqref="A696:A699">
    <cfRule type="expression" dxfId="29" priority="4448" stopIfTrue="1">
      <formula>$A696="begin group"</formula>
    </cfRule>
  </conditionalFormatting>
  <conditionalFormatting sqref="A689:A693">
    <cfRule type="expression" dxfId="33" priority="4449" stopIfTrue="1">
      <formula>$A689="file"</formula>
    </cfRule>
  </conditionalFormatting>
  <conditionalFormatting sqref="A689:A693">
    <cfRule type="expression" dxfId="34" priority="4450" stopIfTrue="1">
      <formula>$A689="enumerator"</formula>
    </cfRule>
  </conditionalFormatting>
  <conditionalFormatting sqref="A689:A693">
    <cfRule type="expression" dxfId="35" priority="4451" stopIfTrue="1">
      <formula>OR(AND(LEFT($A689, 14)="sensor_stream ", LEN($A689)&gt;14, NOT(ISNUMBER(SEARCH(" ", $A689, 15)))), AND(LEFT($A689, 17)="sensor_statistic ", LEN($A689)&gt;17, NOT(ISNUMBER(SEARCH(" ", $A689, 18)))))</formula>
    </cfRule>
  </conditionalFormatting>
  <conditionalFormatting sqref="A689:A693">
    <cfRule type="expression" dxfId="14" priority="4452" stopIfTrue="1">
      <formula>$A689="comments"</formula>
    </cfRule>
  </conditionalFormatting>
  <conditionalFormatting sqref="A689:A693">
    <cfRule type="expression" dxfId="15" priority="4453" stopIfTrue="1">
      <formula>OR($A689="audio", $A689="video")</formula>
    </cfRule>
  </conditionalFormatting>
  <conditionalFormatting sqref="A689:A693">
    <cfRule type="expression" dxfId="16" priority="4454" stopIfTrue="1">
      <formula>$A689="image"</formula>
    </cfRule>
  </conditionalFormatting>
  <conditionalFormatting sqref="A689:A693">
    <cfRule type="expression" dxfId="17" priority="4455" stopIfTrue="1">
      <formula>OR($A689="date", $A689="datetime", $A689="time")</formula>
    </cfRule>
  </conditionalFormatting>
  <conditionalFormatting sqref="A689:A693">
    <cfRule type="expression" dxfId="18" priority="4456" stopIfTrue="1">
      <formula>OR($A689="calculate", $A689="calculate_here")</formula>
    </cfRule>
  </conditionalFormatting>
  <conditionalFormatting sqref="A689:A693">
    <cfRule type="expression" dxfId="19" priority="4457" stopIfTrue="1">
      <formula>$A689="note"</formula>
    </cfRule>
  </conditionalFormatting>
  <conditionalFormatting sqref="A689:A693">
    <cfRule type="expression" dxfId="20" priority="4458" stopIfTrue="1">
      <formula>$A689="barcode"</formula>
    </cfRule>
  </conditionalFormatting>
  <conditionalFormatting sqref="A689:A693">
    <cfRule type="expression" dxfId="21" priority="4459" stopIfTrue="1">
      <formula>OR($A689="geopoint", $A689="geoshape", $A689="geotrace")</formula>
    </cfRule>
  </conditionalFormatting>
  <conditionalFormatting sqref="A689:A693">
    <cfRule type="expression" dxfId="22" priority="4460" stopIfTrue="1">
      <formula>OR($A689="audio audit", $A689="text audit", $A689="speed violations count", $A689="speed violations list", $A689="speed violations audit")</formula>
    </cfRule>
  </conditionalFormatting>
  <conditionalFormatting sqref="A689:A693">
    <cfRule type="expression" dxfId="23" priority="4461" stopIfTrue="1">
      <formula>OR($A689="username", $A689="phonenumber", $A689="start", $A689="end", $A689="deviceid", $A689="subscriberid", $A689="simserial", $A689="caseid")</formula>
    </cfRule>
  </conditionalFormatting>
  <conditionalFormatting sqref="A689:A693">
    <cfRule type="expression" dxfId="24" priority="4462" stopIfTrue="1">
      <formula>OR(AND(LEFT($A689, 16)="select_multiple ", LEN($A689)&gt;16, NOT(ISNUMBER(SEARCH(" ", $A689, 17)))), AND(LEFT($A689, 11)="select_one ", LEN($A689)&gt;11, NOT(ISNUMBER(SEARCH(" ", $A689, 12)))))</formula>
    </cfRule>
  </conditionalFormatting>
  <conditionalFormatting sqref="A689:A693">
    <cfRule type="expression" dxfId="25" priority="4463" stopIfTrue="1">
      <formula>$A689="decimal"</formula>
    </cfRule>
  </conditionalFormatting>
  <conditionalFormatting sqref="A689:A693">
    <cfRule type="expression" dxfId="26" priority="4464" stopIfTrue="1">
      <formula>$A689="integer"</formula>
    </cfRule>
  </conditionalFormatting>
  <conditionalFormatting sqref="A689:A693">
    <cfRule type="expression" dxfId="27" priority="4465" stopIfTrue="1">
      <formula>$A689="text"</formula>
    </cfRule>
  </conditionalFormatting>
  <conditionalFormatting sqref="A689:A693">
    <cfRule type="expression" dxfId="28" priority="4466" stopIfTrue="1">
      <formula>$A689="end repeat"</formula>
    </cfRule>
  </conditionalFormatting>
  <conditionalFormatting sqref="A689:A693">
    <cfRule type="expression" dxfId="28" priority="4467" stopIfTrue="1">
      <formula>$A689="begin repeat"</formula>
    </cfRule>
  </conditionalFormatting>
  <conditionalFormatting sqref="A689:A693">
    <cfRule type="expression" dxfId="29" priority="4468" stopIfTrue="1">
      <formula>$A689="end group"</formula>
    </cfRule>
  </conditionalFormatting>
  <conditionalFormatting sqref="A689:A693">
    <cfRule type="expression" dxfId="29" priority="4469" stopIfTrue="1">
      <formula>$A689="begin group"</formula>
    </cfRule>
  </conditionalFormatting>
  <conditionalFormatting sqref="A683:A684">
    <cfRule type="expression" dxfId="33" priority="4470" stopIfTrue="1">
      <formula>$A683="file"</formula>
    </cfRule>
  </conditionalFormatting>
  <conditionalFormatting sqref="A683:A684">
    <cfRule type="expression" dxfId="34" priority="4471" stopIfTrue="1">
      <formula>$A683="enumerator"</formula>
    </cfRule>
  </conditionalFormatting>
  <conditionalFormatting sqref="A683:A684">
    <cfRule type="expression" dxfId="35" priority="4472" stopIfTrue="1">
      <formula>OR(AND(LEFT($A683, 14)="sensor_stream ", LEN($A683)&gt;14, NOT(ISNUMBER(SEARCH(" ", $A683, 15)))), AND(LEFT($A683, 17)="sensor_statistic ", LEN($A683)&gt;17, NOT(ISNUMBER(SEARCH(" ", $A683, 18)))))</formula>
    </cfRule>
  </conditionalFormatting>
  <conditionalFormatting sqref="A683:A684">
    <cfRule type="expression" dxfId="14" priority="4473" stopIfTrue="1">
      <formula>$A683="comments"</formula>
    </cfRule>
  </conditionalFormatting>
  <conditionalFormatting sqref="A683:A684">
    <cfRule type="expression" dxfId="15" priority="4474" stopIfTrue="1">
      <formula>OR($A683="audio", $A683="video")</formula>
    </cfRule>
  </conditionalFormatting>
  <conditionalFormatting sqref="A683:A684">
    <cfRule type="expression" dxfId="16" priority="4475" stopIfTrue="1">
      <formula>$A683="image"</formula>
    </cfRule>
  </conditionalFormatting>
  <conditionalFormatting sqref="A683:A684">
    <cfRule type="expression" dxfId="17" priority="4476" stopIfTrue="1">
      <formula>OR($A683="date", $A683="datetime", $A683="time")</formula>
    </cfRule>
  </conditionalFormatting>
  <conditionalFormatting sqref="A683:A684">
    <cfRule type="expression" dxfId="18" priority="4477" stopIfTrue="1">
      <formula>OR($A683="calculate", $A683="calculate_here")</formula>
    </cfRule>
  </conditionalFormatting>
  <conditionalFormatting sqref="A683:A684">
    <cfRule type="expression" dxfId="19" priority="4478" stopIfTrue="1">
      <formula>$A683="note"</formula>
    </cfRule>
  </conditionalFormatting>
  <conditionalFormatting sqref="A683:A684">
    <cfRule type="expression" dxfId="20" priority="4479" stopIfTrue="1">
      <formula>$A683="barcode"</formula>
    </cfRule>
  </conditionalFormatting>
  <conditionalFormatting sqref="A683:A684">
    <cfRule type="expression" dxfId="21" priority="4480" stopIfTrue="1">
      <formula>OR($A683="geopoint", $A683="geoshape", $A683="geotrace")</formula>
    </cfRule>
  </conditionalFormatting>
  <conditionalFormatting sqref="A683:A684">
    <cfRule type="expression" dxfId="22" priority="4481" stopIfTrue="1">
      <formula>OR($A683="audio audit", $A683="text audit", $A683="speed violations count", $A683="speed violations list", $A683="speed violations audit")</formula>
    </cfRule>
  </conditionalFormatting>
  <conditionalFormatting sqref="A683:A684">
    <cfRule type="expression" dxfId="23" priority="4482" stopIfTrue="1">
      <formula>OR($A683="username", $A683="phonenumber", $A683="start", $A683="end", $A683="deviceid", $A683="subscriberid", $A683="simserial", $A683="caseid")</formula>
    </cfRule>
  </conditionalFormatting>
  <conditionalFormatting sqref="A683:A684">
    <cfRule type="expression" dxfId="24" priority="4483" stopIfTrue="1">
      <formula>OR(AND(LEFT($A683, 16)="select_multiple ", LEN($A683)&gt;16, NOT(ISNUMBER(SEARCH(" ", $A683, 17)))), AND(LEFT($A683, 11)="select_one ", LEN($A683)&gt;11, NOT(ISNUMBER(SEARCH(" ", $A683, 12)))))</formula>
    </cfRule>
  </conditionalFormatting>
  <conditionalFormatting sqref="A683:A684">
    <cfRule type="expression" dxfId="25" priority="4484" stopIfTrue="1">
      <formula>$A683="decimal"</formula>
    </cfRule>
  </conditionalFormatting>
  <conditionalFormatting sqref="A683:A684">
    <cfRule type="expression" dxfId="26" priority="4485" stopIfTrue="1">
      <formula>$A683="integer"</formula>
    </cfRule>
  </conditionalFormatting>
  <conditionalFormatting sqref="A683:A684">
    <cfRule type="expression" dxfId="27" priority="4486" stopIfTrue="1">
      <formula>$A683="text"</formula>
    </cfRule>
  </conditionalFormatting>
  <conditionalFormatting sqref="A683:A684">
    <cfRule type="expression" dxfId="28" priority="4487" stopIfTrue="1">
      <formula>$A683="end repeat"</formula>
    </cfRule>
  </conditionalFormatting>
  <conditionalFormatting sqref="A683:A684">
    <cfRule type="expression" dxfId="28" priority="4488" stopIfTrue="1">
      <formula>$A683="begin repeat"</formula>
    </cfRule>
  </conditionalFormatting>
  <conditionalFormatting sqref="A683:A684">
    <cfRule type="expression" dxfId="29" priority="4489" stopIfTrue="1">
      <formula>$A683="end group"</formula>
    </cfRule>
  </conditionalFormatting>
  <conditionalFormatting sqref="A683:A684">
    <cfRule type="expression" dxfId="29" priority="4490" stopIfTrue="1">
      <formula>$A683="begin group"</formula>
    </cfRule>
  </conditionalFormatting>
  <conditionalFormatting sqref="A681">
    <cfRule type="expression" dxfId="33" priority="4491" stopIfTrue="1">
      <formula>$A681="file"</formula>
    </cfRule>
  </conditionalFormatting>
  <conditionalFormatting sqref="A681">
    <cfRule type="expression" dxfId="34" priority="4492" stopIfTrue="1">
      <formula>$A681="enumerator"</formula>
    </cfRule>
  </conditionalFormatting>
  <conditionalFormatting sqref="A681">
    <cfRule type="expression" dxfId="35" priority="4493" stopIfTrue="1">
      <formula>OR(AND(LEFT($A681, 14)="sensor_stream ", LEN($A681)&gt;14, NOT(ISNUMBER(SEARCH(" ", $A681, 15)))), AND(LEFT($A681, 17)="sensor_statistic ", LEN($A681)&gt;17, NOT(ISNUMBER(SEARCH(" ", $A681, 18)))))</formula>
    </cfRule>
  </conditionalFormatting>
  <conditionalFormatting sqref="A681">
    <cfRule type="expression" dxfId="14" priority="4494" stopIfTrue="1">
      <formula>$A681="comments"</formula>
    </cfRule>
  </conditionalFormatting>
  <conditionalFormatting sqref="A681">
    <cfRule type="expression" dxfId="15" priority="4495" stopIfTrue="1">
      <formula>OR($A681="audio", $A681="video")</formula>
    </cfRule>
  </conditionalFormatting>
  <conditionalFormatting sqref="A681">
    <cfRule type="expression" dxfId="16" priority="4496" stopIfTrue="1">
      <formula>$A681="image"</formula>
    </cfRule>
  </conditionalFormatting>
  <conditionalFormatting sqref="A681">
    <cfRule type="expression" dxfId="17" priority="4497" stopIfTrue="1">
      <formula>OR($A681="date", $A681="datetime", $A681="time")</formula>
    </cfRule>
  </conditionalFormatting>
  <conditionalFormatting sqref="A681">
    <cfRule type="expression" dxfId="18" priority="4498" stopIfTrue="1">
      <formula>OR($A681="calculate", $A681="calculate_here")</formula>
    </cfRule>
  </conditionalFormatting>
  <conditionalFormatting sqref="A681">
    <cfRule type="expression" dxfId="19" priority="4499" stopIfTrue="1">
      <formula>$A681="note"</formula>
    </cfRule>
  </conditionalFormatting>
  <conditionalFormatting sqref="A681">
    <cfRule type="expression" dxfId="20" priority="4500" stopIfTrue="1">
      <formula>$A681="barcode"</formula>
    </cfRule>
  </conditionalFormatting>
  <conditionalFormatting sqref="A681">
    <cfRule type="expression" dxfId="21" priority="4501" stopIfTrue="1">
      <formula>OR($A681="geopoint", $A681="geoshape", $A681="geotrace")</formula>
    </cfRule>
  </conditionalFormatting>
  <conditionalFormatting sqref="A681">
    <cfRule type="expression" dxfId="22" priority="4502" stopIfTrue="1">
      <formula>OR($A681="audio audit", $A681="text audit", $A681="speed violations count", $A681="speed violations list", $A681="speed violations audit")</formula>
    </cfRule>
  </conditionalFormatting>
  <conditionalFormatting sqref="A681">
    <cfRule type="expression" dxfId="23" priority="4503" stopIfTrue="1">
      <formula>OR($A681="username", $A681="phonenumber", $A681="start", $A681="end", $A681="deviceid", $A681="subscriberid", $A681="simserial", $A681="caseid")</formula>
    </cfRule>
  </conditionalFormatting>
  <conditionalFormatting sqref="A681">
    <cfRule type="expression" dxfId="24" priority="4504" stopIfTrue="1">
      <formula>OR(AND(LEFT($A681, 16)="select_multiple ", LEN($A681)&gt;16, NOT(ISNUMBER(SEARCH(" ", $A681, 17)))), AND(LEFT($A681, 11)="select_one ", LEN($A681)&gt;11, NOT(ISNUMBER(SEARCH(" ", $A681, 12)))))</formula>
    </cfRule>
  </conditionalFormatting>
  <conditionalFormatting sqref="A681">
    <cfRule type="expression" dxfId="25" priority="4505" stopIfTrue="1">
      <formula>$A681="decimal"</formula>
    </cfRule>
  </conditionalFormatting>
  <conditionalFormatting sqref="A681">
    <cfRule type="expression" dxfId="26" priority="4506" stopIfTrue="1">
      <formula>$A681="integer"</formula>
    </cfRule>
  </conditionalFormatting>
  <conditionalFormatting sqref="A681">
    <cfRule type="expression" dxfId="27" priority="4507" stopIfTrue="1">
      <formula>$A681="text"</formula>
    </cfRule>
  </conditionalFormatting>
  <conditionalFormatting sqref="A681">
    <cfRule type="expression" dxfId="28" priority="4508" stopIfTrue="1">
      <formula>$A681="end repeat"</formula>
    </cfRule>
  </conditionalFormatting>
  <conditionalFormatting sqref="A681">
    <cfRule type="expression" dxfId="28" priority="4509" stopIfTrue="1">
      <formula>$A681="begin repeat"</formula>
    </cfRule>
  </conditionalFormatting>
  <conditionalFormatting sqref="A681">
    <cfRule type="expression" dxfId="29" priority="4510" stopIfTrue="1">
      <formula>$A681="end group"</formula>
    </cfRule>
  </conditionalFormatting>
  <conditionalFormatting sqref="A681">
    <cfRule type="expression" dxfId="29" priority="4511" stopIfTrue="1">
      <formula>$A681="begin group"</formula>
    </cfRule>
  </conditionalFormatting>
  <conditionalFormatting sqref="A675:A676">
    <cfRule type="expression" dxfId="33" priority="4512" stopIfTrue="1">
      <formula>$A675="file"</formula>
    </cfRule>
  </conditionalFormatting>
  <conditionalFormatting sqref="A675:A676">
    <cfRule type="expression" dxfId="34" priority="4513" stopIfTrue="1">
      <formula>$A675="enumerator"</formula>
    </cfRule>
  </conditionalFormatting>
  <conditionalFormatting sqref="A675:A676">
    <cfRule type="expression" dxfId="35" priority="4514" stopIfTrue="1">
      <formula>OR(AND(LEFT($A675, 14)="sensor_stream ", LEN($A675)&gt;14, NOT(ISNUMBER(SEARCH(" ", $A675, 15)))), AND(LEFT($A675, 17)="sensor_statistic ", LEN($A675)&gt;17, NOT(ISNUMBER(SEARCH(" ", $A675, 18)))))</formula>
    </cfRule>
  </conditionalFormatting>
  <conditionalFormatting sqref="A675:A676">
    <cfRule type="expression" dxfId="14" priority="4515" stopIfTrue="1">
      <formula>$A675="comments"</formula>
    </cfRule>
  </conditionalFormatting>
  <conditionalFormatting sqref="A675:A676">
    <cfRule type="expression" dxfId="15" priority="4516" stopIfTrue="1">
      <formula>OR($A675="audio", $A675="video")</formula>
    </cfRule>
  </conditionalFormatting>
  <conditionalFormatting sqref="A675:A676">
    <cfRule type="expression" dxfId="16" priority="4517" stopIfTrue="1">
      <formula>$A675="image"</formula>
    </cfRule>
  </conditionalFormatting>
  <conditionalFormatting sqref="A675:A676">
    <cfRule type="expression" dxfId="17" priority="4518" stopIfTrue="1">
      <formula>OR($A675="date", $A675="datetime", $A675="time")</formula>
    </cfRule>
  </conditionalFormatting>
  <conditionalFormatting sqref="A675:A676">
    <cfRule type="expression" dxfId="18" priority="4519" stopIfTrue="1">
      <formula>OR($A675="calculate", $A675="calculate_here")</formula>
    </cfRule>
  </conditionalFormatting>
  <conditionalFormatting sqref="A675:A676">
    <cfRule type="expression" dxfId="19" priority="4520" stopIfTrue="1">
      <formula>$A675="note"</formula>
    </cfRule>
  </conditionalFormatting>
  <conditionalFormatting sqref="A675:A676">
    <cfRule type="expression" dxfId="20" priority="4521" stopIfTrue="1">
      <formula>$A675="barcode"</formula>
    </cfRule>
  </conditionalFormatting>
  <conditionalFormatting sqref="A675:A676">
    <cfRule type="expression" dxfId="21" priority="4522" stopIfTrue="1">
      <formula>OR($A675="geopoint", $A675="geoshape", $A675="geotrace")</formula>
    </cfRule>
  </conditionalFormatting>
  <conditionalFormatting sqref="A675:A676">
    <cfRule type="expression" dxfId="22" priority="4523" stopIfTrue="1">
      <formula>OR($A675="audio audit", $A675="text audit", $A675="speed violations count", $A675="speed violations list", $A675="speed violations audit")</formula>
    </cfRule>
  </conditionalFormatting>
  <conditionalFormatting sqref="A675:A676">
    <cfRule type="expression" dxfId="23" priority="4524" stopIfTrue="1">
      <formula>OR($A675="username", $A675="phonenumber", $A675="start", $A675="end", $A675="deviceid", $A675="subscriberid", $A675="simserial", $A675="caseid")</formula>
    </cfRule>
  </conditionalFormatting>
  <conditionalFormatting sqref="A675:A676">
    <cfRule type="expression" dxfId="24" priority="4525" stopIfTrue="1">
      <formula>OR(AND(LEFT($A675, 16)="select_multiple ", LEN($A675)&gt;16, NOT(ISNUMBER(SEARCH(" ", $A675, 17)))), AND(LEFT($A675, 11)="select_one ", LEN($A675)&gt;11, NOT(ISNUMBER(SEARCH(" ", $A675, 12)))))</formula>
    </cfRule>
  </conditionalFormatting>
  <conditionalFormatting sqref="A675:A676">
    <cfRule type="expression" dxfId="25" priority="4526" stopIfTrue="1">
      <formula>$A675="decimal"</formula>
    </cfRule>
  </conditionalFormatting>
  <conditionalFormatting sqref="A675:A676">
    <cfRule type="expression" dxfId="26" priority="4527" stopIfTrue="1">
      <formula>$A675="integer"</formula>
    </cfRule>
  </conditionalFormatting>
  <conditionalFormatting sqref="A675:A676">
    <cfRule type="expression" dxfId="27" priority="4528" stopIfTrue="1">
      <formula>$A675="text"</formula>
    </cfRule>
  </conditionalFormatting>
  <conditionalFormatting sqref="A675:A676">
    <cfRule type="expression" dxfId="28" priority="4529" stopIfTrue="1">
      <formula>$A675="end repeat"</formula>
    </cfRule>
  </conditionalFormatting>
  <conditionalFormatting sqref="A675:A676">
    <cfRule type="expression" dxfId="28" priority="4530" stopIfTrue="1">
      <formula>$A675="begin repeat"</formula>
    </cfRule>
  </conditionalFormatting>
  <conditionalFormatting sqref="A675:A676">
    <cfRule type="expression" dxfId="29" priority="4531" stopIfTrue="1">
      <formula>$A675="end group"</formula>
    </cfRule>
  </conditionalFormatting>
  <conditionalFormatting sqref="A675:A676">
    <cfRule type="expression" dxfId="29" priority="4532" stopIfTrue="1">
      <formula>$A675="begin group"</formula>
    </cfRule>
  </conditionalFormatting>
  <conditionalFormatting sqref="A669:A671">
    <cfRule type="expression" dxfId="33" priority="4533" stopIfTrue="1">
      <formula>$A669="file"</formula>
    </cfRule>
  </conditionalFormatting>
  <conditionalFormatting sqref="A669:A671">
    <cfRule type="expression" dxfId="34" priority="4534" stopIfTrue="1">
      <formula>$A669="enumerator"</formula>
    </cfRule>
  </conditionalFormatting>
  <conditionalFormatting sqref="A669:A671">
    <cfRule type="expression" dxfId="35" priority="4535" stopIfTrue="1">
      <formula>OR(AND(LEFT($A669, 14)="sensor_stream ", LEN($A669)&gt;14, NOT(ISNUMBER(SEARCH(" ", $A669, 15)))), AND(LEFT($A669, 17)="sensor_statistic ", LEN($A669)&gt;17, NOT(ISNUMBER(SEARCH(" ", $A669, 18)))))</formula>
    </cfRule>
  </conditionalFormatting>
  <conditionalFormatting sqref="A669:A671">
    <cfRule type="expression" dxfId="14" priority="4536" stopIfTrue="1">
      <formula>$A669="comments"</formula>
    </cfRule>
  </conditionalFormatting>
  <conditionalFormatting sqref="A669:A671">
    <cfRule type="expression" dxfId="15" priority="4537" stopIfTrue="1">
      <formula>OR($A669="audio", $A669="video")</formula>
    </cfRule>
  </conditionalFormatting>
  <conditionalFormatting sqref="A669:A671">
    <cfRule type="expression" dxfId="16" priority="4538" stopIfTrue="1">
      <formula>$A669="image"</formula>
    </cfRule>
  </conditionalFormatting>
  <conditionalFormatting sqref="A669:A671">
    <cfRule type="expression" dxfId="17" priority="4539" stopIfTrue="1">
      <formula>OR($A669="date", $A669="datetime", $A669="time")</formula>
    </cfRule>
  </conditionalFormatting>
  <conditionalFormatting sqref="A669:A671">
    <cfRule type="expression" dxfId="18" priority="4540" stopIfTrue="1">
      <formula>OR($A669="calculate", $A669="calculate_here")</formula>
    </cfRule>
  </conditionalFormatting>
  <conditionalFormatting sqref="A669:A671">
    <cfRule type="expression" dxfId="19" priority="4541" stopIfTrue="1">
      <formula>$A669="note"</formula>
    </cfRule>
  </conditionalFormatting>
  <conditionalFormatting sqref="A669:A671">
    <cfRule type="expression" dxfId="20" priority="4542" stopIfTrue="1">
      <formula>$A669="barcode"</formula>
    </cfRule>
  </conditionalFormatting>
  <conditionalFormatting sqref="A669:A671">
    <cfRule type="expression" dxfId="21" priority="4543" stopIfTrue="1">
      <formula>OR($A669="geopoint", $A669="geoshape", $A669="geotrace")</formula>
    </cfRule>
  </conditionalFormatting>
  <conditionalFormatting sqref="A669:A671">
    <cfRule type="expression" dxfId="22" priority="4544" stopIfTrue="1">
      <formula>OR($A669="audio audit", $A669="text audit", $A669="speed violations count", $A669="speed violations list", $A669="speed violations audit")</formula>
    </cfRule>
  </conditionalFormatting>
  <conditionalFormatting sqref="A669:A671">
    <cfRule type="expression" dxfId="23" priority="4545" stopIfTrue="1">
      <formula>OR($A669="username", $A669="phonenumber", $A669="start", $A669="end", $A669="deviceid", $A669="subscriberid", $A669="simserial", $A669="caseid")</formula>
    </cfRule>
  </conditionalFormatting>
  <conditionalFormatting sqref="A669:A671">
    <cfRule type="expression" dxfId="24" priority="4546" stopIfTrue="1">
      <formula>OR(AND(LEFT($A669, 16)="select_multiple ", LEN($A669)&gt;16, NOT(ISNUMBER(SEARCH(" ", $A669, 17)))), AND(LEFT($A669, 11)="select_one ", LEN($A669)&gt;11, NOT(ISNUMBER(SEARCH(" ", $A669, 12)))))</formula>
    </cfRule>
  </conditionalFormatting>
  <conditionalFormatting sqref="A669:A671">
    <cfRule type="expression" dxfId="25" priority="4547" stopIfTrue="1">
      <formula>$A669="decimal"</formula>
    </cfRule>
  </conditionalFormatting>
  <conditionalFormatting sqref="A669:A671">
    <cfRule type="expression" dxfId="26" priority="4548" stopIfTrue="1">
      <formula>$A669="integer"</formula>
    </cfRule>
  </conditionalFormatting>
  <conditionalFormatting sqref="A669:A671">
    <cfRule type="expression" dxfId="27" priority="4549" stopIfTrue="1">
      <formula>$A669="text"</formula>
    </cfRule>
  </conditionalFormatting>
  <conditionalFormatting sqref="A669:A671">
    <cfRule type="expression" dxfId="28" priority="4550" stopIfTrue="1">
      <formula>$A669="end repeat"</formula>
    </cfRule>
  </conditionalFormatting>
  <conditionalFormatting sqref="A669:A671">
    <cfRule type="expression" dxfId="28" priority="4551" stopIfTrue="1">
      <formula>$A669="begin repeat"</formula>
    </cfRule>
  </conditionalFormatting>
  <conditionalFormatting sqref="A669:A671">
    <cfRule type="expression" dxfId="29" priority="4552" stopIfTrue="1">
      <formula>$A669="end group"</formula>
    </cfRule>
  </conditionalFormatting>
  <conditionalFormatting sqref="A669:A671">
    <cfRule type="expression" dxfId="29" priority="4553" stopIfTrue="1">
      <formula>$A669="begin group"</formula>
    </cfRule>
  </conditionalFormatting>
  <conditionalFormatting sqref="A660:A665">
    <cfRule type="expression" dxfId="33" priority="4554" stopIfTrue="1">
      <formula>$A660="file"</formula>
    </cfRule>
  </conditionalFormatting>
  <conditionalFormatting sqref="A660:A665">
    <cfRule type="expression" dxfId="34" priority="4555" stopIfTrue="1">
      <formula>$A660="enumerator"</formula>
    </cfRule>
  </conditionalFormatting>
  <conditionalFormatting sqref="A660:A665">
    <cfRule type="expression" dxfId="35" priority="4556" stopIfTrue="1">
      <formula>OR(AND(LEFT($A660, 14)="sensor_stream ", LEN($A660)&gt;14, NOT(ISNUMBER(SEARCH(" ", $A660, 15)))), AND(LEFT($A660, 17)="sensor_statistic ", LEN($A660)&gt;17, NOT(ISNUMBER(SEARCH(" ", $A660, 18)))))</formula>
    </cfRule>
  </conditionalFormatting>
  <conditionalFormatting sqref="A660:A665">
    <cfRule type="expression" dxfId="14" priority="4557" stopIfTrue="1">
      <formula>$A660="comments"</formula>
    </cfRule>
  </conditionalFormatting>
  <conditionalFormatting sqref="A660:A665">
    <cfRule type="expression" dxfId="15" priority="4558" stopIfTrue="1">
      <formula>OR($A660="audio", $A660="video")</formula>
    </cfRule>
  </conditionalFormatting>
  <conditionalFormatting sqref="A660:A665">
    <cfRule type="expression" dxfId="16" priority="4559" stopIfTrue="1">
      <formula>$A660="image"</formula>
    </cfRule>
  </conditionalFormatting>
  <conditionalFormatting sqref="A660:A665">
    <cfRule type="expression" dxfId="17" priority="4560" stopIfTrue="1">
      <formula>OR($A660="date", $A660="datetime", $A660="time")</formula>
    </cfRule>
  </conditionalFormatting>
  <conditionalFormatting sqref="A660:A665">
    <cfRule type="expression" dxfId="18" priority="4561" stopIfTrue="1">
      <formula>OR($A660="calculate", $A660="calculate_here")</formula>
    </cfRule>
  </conditionalFormatting>
  <conditionalFormatting sqref="A660:A665">
    <cfRule type="expression" dxfId="19" priority="4562" stopIfTrue="1">
      <formula>$A660="note"</formula>
    </cfRule>
  </conditionalFormatting>
  <conditionalFormatting sqref="A660:A665">
    <cfRule type="expression" dxfId="20" priority="4563" stopIfTrue="1">
      <formula>$A660="barcode"</formula>
    </cfRule>
  </conditionalFormatting>
  <conditionalFormatting sqref="A660:A665">
    <cfRule type="expression" dxfId="21" priority="4564" stopIfTrue="1">
      <formula>OR($A660="geopoint", $A660="geoshape", $A660="geotrace")</formula>
    </cfRule>
  </conditionalFormatting>
  <conditionalFormatting sqref="A660:A665">
    <cfRule type="expression" dxfId="22" priority="4565" stopIfTrue="1">
      <formula>OR($A660="audio audit", $A660="text audit", $A660="speed violations count", $A660="speed violations list", $A660="speed violations audit")</formula>
    </cfRule>
  </conditionalFormatting>
  <conditionalFormatting sqref="A660:A665">
    <cfRule type="expression" dxfId="23" priority="4566" stopIfTrue="1">
      <formula>OR($A660="username", $A660="phonenumber", $A660="start", $A660="end", $A660="deviceid", $A660="subscriberid", $A660="simserial", $A660="caseid")</formula>
    </cfRule>
  </conditionalFormatting>
  <conditionalFormatting sqref="A660:A665">
    <cfRule type="expression" dxfId="24" priority="4567" stopIfTrue="1">
      <formula>OR(AND(LEFT($A660, 16)="select_multiple ", LEN($A660)&gt;16, NOT(ISNUMBER(SEARCH(" ", $A660, 17)))), AND(LEFT($A660, 11)="select_one ", LEN($A660)&gt;11, NOT(ISNUMBER(SEARCH(" ", $A660, 12)))))</formula>
    </cfRule>
  </conditionalFormatting>
  <conditionalFormatting sqref="A660:A665">
    <cfRule type="expression" dxfId="25" priority="4568" stopIfTrue="1">
      <formula>$A660="decimal"</formula>
    </cfRule>
  </conditionalFormatting>
  <conditionalFormatting sqref="A660:A665">
    <cfRule type="expression" dxfId="26" priority="4569" stopIfTrue="1">
      <formula>$A660="integer"</formula>
    </cfRule>
  </conditionalFormatting>
  <conditionalFormatting sqref="A660:A665">
    <cfRule type="expression" dxfId="27" priority="4570" stopIfTrue="1">
      <formula>$A660="text"</formula>
    </cfRule>
  </conditionalFormatting>
  <conditionalFormatting sqref="A660:A665">
    <cfRule type="expression" dxfId="28" priority="4571" stopIfTrue="1">
      <formula>$A660="end repeat"</formula>
    </cfRule>
  </conditionalFormatting>
  <conditionalFormatting sqref="A660:A665">
    <cfRule type="expression" dxfId="28" priority="4572" stopIfTrue="1">
      <formula>$A660="begin repeat"</formula>
    </cfRule>
  </conditionalFormatting>
  <conditionalFormatting sqref="A660:A665">
    <cfRule type="expression" dxfId="29" priority="4573" stopIfTrue="1">
      <formula>$A660="end group"</formula>
    </cfRule>
  </conditionalFormatting>
  <conditionalFormatting sqref="A660:A665">
    <cfRule type="expression" dxfId="29" priority="4574" stopIfTrue="1">
      <formula>$A660="begin group"</formula>
    </cfRule>
  </conditionalFormatting>
  <conditionalFormatting sqref="A653:A658">
    <cfRule type="expression" dxfId="33" priority="4575" stopIfTrue="1">
      <formula>$A653="file"</formula>
    </cfRule>
  </conditionalFormatting>
  <conditionalFormatting sqref="A653:A658">
    <cfRule type="expression" dxfId="34" priority="4576" stopIfTrue="1">
      <formula>$A653="enumerator"</formula>
    </cfRule>
  </conditionalFormatting>
  <conditionalFormatting sqref="A653:A658">
    <cfRule type="expression" dxfId="35" priority="4577" stopIfTrue="1">
      <formula>OR(AND(LEFT($A653, 14)="sensor_stream ", LEN($A653)&gt;14, NOT(ISNUMBER(SEARCH(" ", $A653, 15)))), AND(LEFT($A653, 17)="sensor_statistic ", LEN($A653)&gt;17, NOT(ISNUMBER(SEARCH(" ", $A653, 18)))))</formula>
    </cfRule>
  </conditionalFormatting>
  <conditionalFormatting sqref="A653:A658">
    <cfRule type="expression" dxfId="14" priority="4578" stopIfTrue="1">
      <formula>$A653="comments"</formula>
    </cfRule>
  </conditionalFormatting>
  <conditionalFormatting sqref="A653:A658">
    <cfRule type="expression" dxfId="15" priority="4579" stopIfTrue="1">
      <formula>OR($A653="audio", $A653="video")</formula>
    </cfRule>
  </conditionalFormatting>
  <conditionalFormatting sqref="A653:A658">
    <cfRule type="expression" dxfId="16" priority="4580" stopIfTrue="1">
      <formula>$A653="image"</formula>
    </cfRule>
  </conditionalFormatting>
  <conditionalFormatting sqref="A653:A658">
    <cfRule type="expression" dxfId="17" priority="4581" stopIfTrue="1">
      <formula>OR($A653="date", $A653="datetime", $A653="time")</formula>
    </cfRule>
  </conditionalFormatting>
  <conditionalFormatting sqref="A653:A658">
    <cfRule type="expression" dxfId="18" priority="4582" stopIfTrue="1">
      <formula>OR($A653="calculate", $A653="calculate_here")</formula>
    </cfRule>
  </conditionalFormatting>
  <conditionalFormatting sqref="A653:A658">
    <cfRule type="expression" dxfId="19" priority="4583" stopIfTrue="1">
      <formula>$A653="note"</formula>
    </cfRule>
  </conditionalFormatting>
  <conditionalFormatting sqref="A653:A658">
    <cfRule type="expression" dxfId="20" priority="4584" stopIfTrue="1">
      <formula>$A653="barcode"</formula>
    </cfRule>
  </conditionalFormatting>
  <conditionalFormatting sqref="A653:A658">
    <cfRule type="expression" dxfId="21" priority="4585" stopIfTrue="1">
      <formula>OR($A653="geopoint", $A653="geoshape", $A653="geotrace")</formula>
    </cfRule>
  </conditionalFormatting>
  <conditionalFormatting sqref="A653:A658">
    <cfRule type="expression" dxfId="22" priority="4586" stopIfTrue="1">
      <formula>OR($A653="audio audit", $A653="text audit", $A653="speed violations count", $A653="speed violations list", $A653="speed violations audit")</formula>
    </cfRule>
  </conditionalFormatting>
  <conditionalFormatting sqref="A653:A658">
    <cfRule type="expression" dxfId="23" priority="4587" stopIfTrue="1">
      <formula>OR($A653="username", $A653="phonenumber", $A653="start", $A653="end", $A653="deviceid", $A653="subscriberid", $A653="simserial", $A653="caseid")</formula>
    </cfRule>
  </conditionalFormatting>
  <conditionalFormatting sqref="A653:A658">
    <cfRule type="expression" dxfId="24" priority="4588" stopIfTrue="1">
      <formula>OR(AND(LEFT($A653, 16)="select_multiple ", LEN($A653)&gt;16, NOT(ISNUMBER(SEARCH(" ", $A653, 17)))), AND(LEFT($A653, 11)="select_one ", LEN($A653)&gt;11, NOT(ISNUMBER(SEARCH(" ", $A653, 12)))))</formula>
    </cfRule>
  </conditionalFormatting>
  <conditionalFormatting sqref="A653:A658">
    <cfRule type="expression" dxfId="25" priority="4589" stopIfTrue="1">
      <formula>$A653="decimal"</formula>
    </cfRule>
  </conditionalFormatting>
  <conditionalFormatting sqref="A653:A658">
    <cfRule type="expression" dxfId="26" priority="4590" stopIfTrue="1">
      <formula>$A653="integer"</formula>
    </cfRule>
  </conditionalFormatting>
  <conditionalFormatting sqref="A653:A658">
    <cfRule type="expression" dxfId="27" priority="4591" stopIfTrue="1">
      <formula>$A653="text"</formula>
    </cfRule>
  </conditionalFormatting>
  <conditionalFormatting sqref="A653:A658">
    <cfRule type="expression" dxfId="28" priority="4592" stopIfTrue="1">
      <formula>$A653="end repeat"</formula>
    </cfRule>
  </conditionalFormatting>
  <conditionalFormatting sqref="A653:A658">
    <cfRule type="expression" dxfId="28" priority="4593" stopIfTrue="1">
      <formula>$A653="begin repeat"</formula>
    </cfRule>
  </conditionalFormatting>
  <conditionalFormatting sqref="A653:A658">
    <cfRule type="expression" dxfId="29" priority="4594" stopIfTrue="1">
      <formula>$A653="end group"</formula>
    </cfRule>
  </conditionalFormatting>
  <conditionalFormatting sqref="A653:A658">
    <cfRule type="expression" dxfId="29" priority="4595" stopIfTrue="1">
      <formula>$A653="begin group"</formula>
    </cfRule>
  </conditionalFormatting>
  <conditionalFormatting sqref="A613:A647">
    <cfRule type="expression" dxfId="33" priority="4596" stopIfTrue="1">
      <formula>$A613="file"</formula>
    </cfRule>
  </conditionalFormatting>
  <conditionalFormatting sqref="A613:A647">
    <cfRule type="expression" dxfId="34" priority="4597" stopIfTrue="1">
      <formula>$A613="enumerator"</formula>
    </cfRule>
  </conditionalFormatting>
  <conditionalFormatting sqref="A613:A647">
    <cfRule type="expression" dxfId="35" priority="4598" stopIfTrue="1">
      <formula>OR(AND(LEFT($A613, 14)="sensor_stream ", LEN($A613)&gt;14, NOT(ISNUMBER(SEARCH(" ", $A613, 15)))), AND(LEFT($A613, 17)="sensor_statistic ", LEN($A613)&gt;17, NOT(ISNUMBER(SEARCH(" ", $A613, 18)))))</formula>
    </cfRule>
  </conditionalFormatting>
  <conditionalFormatting sqref="A613:A647">
    <cfRule type="expression" dxfId="14" priority="4599" stopIfTrue="1">
      <formula>$A613="comments"</formula>
    </cfRule>
  </conditionalFormatting>
  <conditionalFormatting sqref="A613:A647">
    <cfRule type="expression" dxfId="15" priority="4600" stopIfTrue="1">
      <formula>OR($A613="audio", $A613="video")</formula>
    </cfRule>
  </conditionalFormatting>
  <conditionalFormatting sqref="A613:A647">
    <cfRule type="expression" dxfId="16" priority="4601" stopIfTrue="1">
      <formula>$A613="image"</formula>
    </cfRule>
  </conditionalFormatting>
  <conditionalFormatting sqref="A613:A647">
    <cfRule type="expression" dxfId="17" priority="4602" stopIfTrue="1">
      <formula>OR($A613="date", $A613="datetime", $A613="time")</formula>
    </cfRule>
  </conditionalFormatting>
  <conditionalFormatting sqref="A613:A647">
    <cfRule type="expression" dxfId="18" priority="4603" stopIfTrue="1">
      <formula>OR($A613="calculate", $A613="calculate_here")</formula>
    </cfRule>
  </conditionalFormatting>
  <conditionalFormatting sqref="A613:A647">
    <cfRule type="expression" dxfId="19" priority="4604" stopIfTrue="1">
      <formula>$A613="note"</formula>
    </cfRule>
  </conditionalFormatting>
  <conditionalFormatting sqref="A613:A647">
    <cfRule type="expression" dxfId="20" priority="4605" stopIfTrue="1">
      <formula>$A613="barcode"</formula>
    </cfRule>
  </conditionalFormatting>
  <conditionalFormatting sqref="A613:A647">
    <cfRule type="expression" dxfId="21" priority="4606" stopIfTrue="1">
      <formula>OR($A613="geopoint", $A613="geoshape", $A613="geotrace")</formula>
    </cfRule>
  </conditionalFormatting>
  <conditionalFormatting sqref="A613:A647">
    <cfRule type="expression" dxfId="22" priority="4607" stopIfTrue="1">
      <formula>OR($A613="audio audit", $A613="text audit", $A613="speed violations count", $A613="speed violations list", $A613="speed violations audit")</formula>
    </cfRule>
  </conditionalFormatting>
  <conditionalFormatting sqref="A613:A647">
    <cfRule type="expression" dxfId="23" priority="4608" stopIfTrue="1">
      <formula>OR($A613="username", $A613="phonenumber", $A613="start", $A613="end", $A613="deviceid", $A613="subscriberid", $A613="simserial", $A613="caseid")</formula>
    </cfRule>
  </conditionalFormatting>
  <conditionalFormatting sqref="A613:A647">
    <cfRule type="expression" dxfId="24" priority="4609" stopIfTrue="1">
      <formula>OR(AND(LEFT($A613, 16)="select_multiple ", LEN($A613)&gt;16, NOT(ISNUMBER(SEARCH(" ", $A613, 17)))), AND(LEFT($A613, 11)="select_one ", LEN($A613)&gt;11, NOT(ISNUMBER(SEARCH(" ", $A613, 12)))))</formula>
    </cfRule>
  </conditionalFormatting>
  <conditionalFormatting sqref="A613:A647">
    <cfRule type="expression" dxfId="25" priority="4610" stopIfTrue="1">
      <formula>$A613="decimal"</formula>
    </cfRule>
  </conditionalFormatting>
  <conditionalFormatting sqref="A613:A647">
    <cfRule type="expression" dxfId="26" priority="4611" stopIfTrue="1">
      <formula>$A613="integer"</formula>
    </cfRule>
  </conditionalFormatting>
  <conditionalFormatting sqref="A613:A647">
    <cfRule type="expression" dxfId="27" priority="4612" stopIfTrue="1">
      <formula>$A613="text"</formula>
    </cfRule>
  </conditionalFormatting>
  <conditionalFormatting sqref="A613:A647">
    <cfRule type="expression" dxfId="28" priority="4613" stopIfTrue="1">
      <formula>$A613="end repeat"</formula>
    </cfRule>
  </conditionalFormatting>
  <conditionalFormatting sqref="A613:A647">
    <cfRule type="expression" dxfId="28" priority="4614" stopIfTrue="1">
      <formula>$A613="begin repeat"</formula>
    </cfRule>
  </conditionalFormatting>
  <conditionalFormatting sqref="A613:A647">
    <cfRule type="expression" dxfId="29" priority="4615" stopIfTrue="1">
      <formula>$A613="end group"</formula>
    </cfRule>
  </conditionalFormatting>
  <conditionalFormatting sqref="A613:A647">
    <cfRule type="expression" dxfId="29" priority="4616" stopIfTrue="1">
      <formula>$A613="begin group"</formula>
    </cfRule>
  </conditionalFormatting>
  <conditionalFormatting sqref="A604:A606">
    <cfRule type="expression" dxfId="33" priority="4617" stopIfTrue="1">
      <formula>$A604="file"</formula>
    </cfRule>
  </conditionalFormatting>
  <conditionalFormatting sqref="A604:A606">
    <cfRule type="expression" dxfId="34" priority="4618" stopIfTrue="1">
      <formula>$A604="enumerator"</formula>
    </cfRule>
  </conditionalFormatting>
  <conditionalFormatting sqref="A604:A606">
    <cfRule type="expression" dxfId="35" priority="4619" stopIfTrue="1">
      <formula>OR(AND(LEFT($A604, 14)="sensor_stream ", LEN($A604)&gt;14, NOT(ISNUMBER(SEARCH(" ", $A604, 15)))), AND(LEFT($A604, 17)="sensor_statistic ", LEN($A604)&gt;17, NOT(ISNUMBER(SEARCH(" ", $A604, 18)))))</formula>
    </cfRule>
  </conditionalFormatting>
  <conditionalFormatting sqref="A604:A606">
    <cfRule type="expression" dxfId="14" priority="4620" stopIfTrue="1">
      <formula>$A604="comments"</formula>
    </cfRule>
  </conditionalFormatting>
  <conditionalFormatting sqref="A604:A606">
    <cfRule type="expression" dxfId="15" priority="4621" stopIfTrue="1">
      <formula>OR($A604="audio", $A604="video")</formula>
    </cfRule>
  </conditionalFormatting>
  <conditionalFormatting sqref="A604:A606">
    <cfRule type="expression" dxfId="16" priority="4622" stopIfTrue="1">
      <formula>$A604="image"</formula>
    </cfRule>
  </conditionalFormatting>
  <conditionalFormatting sqref="A604:A606">
    <cfRule type="expression" dxfId="17" priority="4623" stopIfTrue="1">
      <formula>OR($A604="date", $A604="datetime", $A604="time")</formula>
    </cfRule>
  </conditionalFormatting>
  <conditionalFormatting sqref="A604:A606">
    <cfRule type="expression" dxfId="18" priority="4624" stopIfTrue="1">
      <formula>OR($A604="calculate", $A604="calculate_here")</formula>
    </cfRule>
  </conditionalFormatting>
  <conditionalFormatting sqref="A604:A606">
    <cfRule type="expression" dxfId="19" priority="4625" stopIfTrue="1">
      <formula>$A604="note"</formula>
    </cfRule>
  </conditionalFormatting>
  <conditionalFormatting sqref="A604:A606">
    <cfRule type="expression" dxfId="20" priority="4626" stopIfTrue="1">
      <formula>$A604="barcode"</formula>
    </cfRule>
  </conditionalFormatting>
  <conditionalFormatting sqref="A604:A606">
    <cfRule type="expression" dxfId="21" priority="4627" stopIfTrue="1">
      <formula>OR($A604="geopoint", $A604="geoshape", $A604="geotrace")</formula>
    </cfRule>
  </conditionalFormatting>
  <conditionalFormatting sqref="A604:A606">
    <cfRule type="expression" dxfId="22" priority="4628" stopIfTrue="1">
      <formula>OR($A604="audio audit", $A604="text audit", $A604="speed violations count", $A604="speed violations list", $A604="speed violations audit")</formula>
    </cfRule>
  </conditionalFormatting>
  <conditionalFormatting sqref="A604:A606">
    <cfRule type="expression" dxfId="23" priority="4629" stopIfTrue="1">
      <formula>OR($A604="username", $A604="phonenumber", $A604="start", $A604="end", $A604="deviceid", $A604="subscriberid", $A604="simserial", $A604="caseid")</formula>
    </cfRule>
  </conditionalFormatting>
  <conditionalFormatting sqref="A604:A606">
    <cfRule type="expression" dxfId="24" priority="4630" stopIfTrue="1">
      <formula>OR(AND(LEFT($A604, 16)="select_multiple ", LEN($A604)&gt;16, NOT(ISNUMBER(SEARCH(" ", $A604, 17)))), AND(LEFT($A604, 11)="select_one ", LEN($A604)&gt;11, NOT(ISNUMBER(SEARCH(" ", $A604, 12)))))</formula>
    </cfRule>
  </conditionalFormatting>
  <conditionalFormatting sqref="A604:A606">
    <cfRule type="expression" dxfId="25" priority="4631" stopIfTrue="1">
      <formula>$A604="decimal"</formula>
    </cfRule>
  </conditionalFormatting>
  <conditionalFormatting sqref="A604:A606">
    <cfRule type="expression" dxfId="26" priority="4632" stopIfTrue="1">
      <formula>$A604="integer"</formula>
    </cfRule>
  </conditionalFormatting>
  <conditionalFormatting sqref="A604:A606">
    <cfRule type="expression" dxfId="27" priority="4633" stopIfTrue="1">
      <formula>$A604="text"</formula>
    </cfRule>
  </conditionalFormatting>
  <conditionalFormatting sqref="A604:A606">
    <cfRule type="expression" dxfId="28" priority="4634" stopIfTrue="1">
      <formula>$A604="end repeat"</formula>
    </cfRule>
  </conditionalFormatting>
  <conditionalFormatting sqref="A604:A606">
    <cfRule type="expression" dxfId="28" priority="4635" stopIfTrue="1">
      <formula>$A604="begin repeat"</formula>
    </cfRule>
  </conditionalFormatting>
  <conditionalFormatting sqref="A604:A606">
    <cfRule type="expression" dxfId="29" priority="4636" stopIfTrue="1">
      <formula>$A604="end group"</formula>
    </cfRule>
  </conditionalFormatting>
  <conditionalFormatting sqref="A604:A606">
    <cfRule type="expression" dxfId="29" priority="4637" stopIfTrue="1">
      <formula>$A604="begin group"</formula>
    </cfRule>
  </conditionalFormatting>
  <conditionalFormatting sqref="A600:A602">
    <cfRule type="expression" dxfId="33" priority="4638" stopIfTrue="1">
      <formula>$A600="file"</formula>
    </cfRule>
  </conditionalFormatting>
  <conditionalFormatting sqref="A600:A602">
    <cfRule type="expression" dxfId="34" priority="4639" stopIfTrue="1">
      <formula>$A600="enumerator"</formula>
    </cfRule>
  </conditionalFormatting>
  <conditionalFormatting sqref="A600:A602">
    <cfRule type="expression" dxfId="35" priority="4640" stopIfTrue="1">
      <formula>OR(AND(LEFT($A600, 14)="sensor_stream ", LEN($A600)&gt;14, NOT(ISNUMBER(SEARCH(" ", $A600, 15)))), AND(LEFT($A600, 17)="sensor_statistic ", LEN($A600)&gt;17, NOT(ISNUMBER(SEARCH(" ", $A600, 18)))))</formula>
    </cfRule>
  </conditionalFormatting>
  <conditionalFormatting sqref="A600:A602">
    <cfRule type="expression" dxfId="14" priority="4641" stopIfTrue="1">
      <formula>$A600="comments"</formula>
    </cfRule>
  </conditionalFormatting>
  <conditionalFormatting sqref="A600:A602">
    <cfRule type="expression" dxfId="15" priority="4642" stopIfTrue="1">
      <formula>OR($A600="audio", $A600="video")</formula>
    </cfRule>
  </conditionalFormatting>
  <conditionalFormatting sqref="A600:A602">
    <cfRule type="expression" dxfId="16" priority="4643" stopIfTrue="1">
      <formula>$A600="image"</formula>
    </cfRule>
  </conditionalFormatting>
  <conditionalFormatting sqref="A600:A602">
    <cfRule type="expression" dxfId="17" priority="4644" stopIfTrue="1">
      <formula>OR($A600="date", $A600="datetime", $A600="time")</formula>
    </cfRule>
  </conditionalFormatting>
  <conditionalFormatting sqref="A600:A602">
    <cfRule type="expression" dxfId="18" priority="4645" stopIfTrue="1">
      <formula>OR($A600="calculate", $A600="calculate_here")</formula>
    </cfRule>
  </conditionalFormatting>
  <conditionalFormatting sqref="A600:A602">
    <cfRule type="expression" dxfId="19" priority="4646" stopIfTrue="1">
      <formula>$A600="note"</formula>
    </cfRule>
  </conditionalFormatting>
  <conditionalFormatting sqref="A600:A602">
    <cfRule type="expression" dxfId="20" priority="4647" stopIfTrue="1">
      <formula>$A600="barcode"</formula>
    </cfRule>
  </conditionalFormatting>
  <conditionalFormatting sqref="A600:A602">
    <cfRule type="expression" dxfId="21" priority="4648" stopIfTrue="1">
      <formula>OR($A600="geopoint", $A600="geoshape", $A600="geotrace")</formula>
    </cfRule>
  </conditionalFormatting>
  <conditionalFormatting sqref="A600:A602">
    <cfRule type="expression" dxfId="22" priority="4649" stopIfTrue="1">
      <formula>OR($A600="audio audit", $A600="text audit", $A600="speed violations count", $A600="speed violations list", $A600="speed violations audit")</formula>
    </cfRule>
  </conditionalFormatting>
  <conditionalFormatting sqref="A600:A602">
    <cfRule type="expression" dxfId="23" priority="4650" stopIfTrue="1">
      <formula>OR($A600="username", $A600="phonenumber", $A600="start", $A600="end", $A600="deviceid", $A600="subscriberid", $A600="simserial", $A600="caseid")</formula>
    </cfRule>
  </conditionalFormatting>
  <conditionalFormatting sqref="A600:A602">
    <cfRule type="expression" dxfId="24" priority="4651" stopIfTrue="1">
      <formula>OR(AND(LEFT($A600, 16)="select_multiple ", LEN($A600)&gt;16, NOT(ISNUMBER(SEARCH(" ", $A600, 17)))), AND(LEFT($A600, 11)="select_one ", LEN($A600)&gt;11, NOT(ISNUMBER(SEARCH(" ", $A600, 12)))))</formula>
    </cfRule>
  </conditionalFormatting>
  <conditionalFormatting sqref="A600:A602">
    <cfRule type="expression" dxfId="25" priority="4652" stopIfTrue="1">
      <formula>$A600="decimal"</formula>
    </cfRule>
  </conditionalFormatting>
  <conditionalFormatting sqref="A600:A602">
    <cfRule type="expression" dxfId="26" priority="4653" stopIfTrue="1">
      <formula>$A600="integer"</formula>
    </cfRule>
  </conditionalFormatting>
  <conditionalFormatting sqref="A600:A602">
    <cfRule type="expression" dxfId="27" priority="4654" stopIfTrue="1">
      <formula>$A600="text"</formula>
    </cfRule>
  </conditionalFormatting>
  <conditionalFormatting sqref="A600:A602">
    <cfRule type="expression" dxfId="28" priority="4655" stopIfTrue="1">
      <formula>$A600="end repeat"</formula>
    </cfRule>
  </conditionalFormatting>
  <conditionalFormatting sqref="A600:A602">
    <cfRule type="expression" dxfId="28" priority="4656" stopIfTrue="1">
      <formula>$A600="begin repeat"</formula>
    </cfRule>
  </conditionalFormatting>
  <conditionalFormatting sqref="A600:A602">
    <cfRule type="expression" dxfId="29" priority="4657" stopIfTrue="1">
      <formula>$A600="end group"</formula>
    </cfRule>
  </conditionalFormatting>
  <conditionalFormatting sqref="A600:A602">
    <cfRule type="expression" dxfId="29" priority="4658" stopIfTrue="1">
      <formula>$A600="begin group"</formula>
    </cfRule>
  </conditionalFormatting>
  <conditionalFormatting sqref="A594:A595">
    <cfRule type="expression" dxfId="33" priority="4659" stopIfTrue="1">
      <formula>$A594="file"</formula>
    </cfRule>
  </conditionalFormatting>
  <conditionalFormatting sqref="A594:A595">
    <cfRule type="expression" dxfId="34" priority="4660" stopIfTrue="1">
      <formula>$A594="enumerator"</formula>
    </cfRule>
  </conditionalFormatting>
  <conditionalFormatting sqref="A594:A595">
    <cfRule type="expression" dxfId="35" priority="4661" stopIfTrue="1">
      <formula>OR(AND(LEFT($A594, 14)="sensor_stream ", LEN($A594)&gt;14, NOT(ISNUMBER(SEARCH(" ", $A594, 15)))), AND(LEFT($A594, 17)="sensor_statistic ", LEN($A594)&gt;17, NOT(ISNUMBER(SEARCH(" ", $A594, 18)))))</formula>
    </cfRule>
  </conditionalFormatting>
  <conditionalFormatting sqref="A594:A595">
    <cfRule type="expression" dxfId="14" priority="4662" stopIfTrue="1">
      <formula>$A594="comments"</formula>
    </cfRule>
  </conditionalFormatting>
  <conditionalFormatting sqref="A594:A595">
    <cfRule type="expression" dxfId="15" priority="4663" stopIfTrue="1">
      <formula>OR($A594="audio", $A594="video")</formula>
    </cfRule>
  </conditionalFormatting>
  <conditionalFormatting sqref="A594:A595">
    <cfRule type="expression" dxfId="16" priority="4664" stopIfTrue="1">
      <formula>$A594="image"</formula>
    </cfRule>
  </conditionalFormatting>
  <conditionalFormatting sqref="A594:A595">
    <cfRule type="expression" dxfId="17" priority="4665" stopIfTrue="1">
      <formula>OR($A594="date", $A594="datetime", $A594="time")</formula>
    </cfRule>
  </conditionalFormatting>
  <conditionalFormatting sqref="A594:A595">
    <cfRule type="expression" dxfId="18" priority="4666" stopIfTrue="1">
      <formula>OR($A594="calculate", $A594="calculate_here")</formula>
    </cfRule>
  </conditionalFormatting>
  <conditionalFormatting sqref="A594:A595">
    <cfRule type="expression" dxfId="19" priority="4667" stopIfTrue="1">
      <formula>$A594="note"</formula>
    </cfRule>
  </conditionalFormatting>
  <conditionalFormatting sqref="A594:A595">
    <cfRule type="expression" dxfId="20" priority="4668" stopIfTrue="1">
      <formula>$A594="barcode"</formula>
    </cfRule>
  </conditionalFormatting>
  <conditionalFormatting sqref="A594:A595">
    <cfRule type="expression" dxfId="21" priority="4669" stopIfTrue="1">
      <formula>OR($A594="geopoint", $A594="geoshape", $A594="geotrace")</formula>
    </cfRule>
  </conditionalFormatting>
  <conditionalFormatting sqref="A594:A595">
    <cfRule type="expression" dxfId="22" priority="4670" stopIfTrue="1">
      <formula>OR($A594="audio audit", $A594="text audit", $A594="speed violations count", $A594="speed violations list", $A594="speed violations audit")</formula>
    </cfRule>
  </conditionalFormatting>
  <conditionalFormatting sqref="A594:A595">
    <cfRule type="expression" dxfId="23" priority="4671" stopIfTrue="1">
      <formula>OR($A594="username", $A594="phonenumber", $A594="start", $A594="end", $A594="deviceid", $A594="subscriberid", $A594="simserial", $A594="caseid")</formula>
    </cfRule>
  </conditionalFormatting>
  <conditionalFormatting sqref="A594:A595">
    <cfRule type="expression" dxfId="24" priority="4672" stopIfTrue="1">
      <formula>OR(AND(LEFT($A594, 16)="select_multiple ", LEN($A594)&gt;16, NOT(ISNUMBER(SEARCH(" ", $A594, 17)))), AND(LEFT($A594, 11)="select_one ", LEN($A594)&gt;11, NOT(ISNUMBER(SEARCH(" ", $A594, 12)))))</formula>
    </cfRule>
  </conditionalFormatting>
  <conditionalFormatting sqref="A594:A595">
    <cfRule type="expression" dxfId="25" priority="4673" stopIfTrue="1">
      <formula>$A594="decimal"</formula>
    </cfRule>
  </conditionalFormatting>
  <conditionalFormatting sqref="A594:A595">
    <cfRule type="expression" dxfId="26" priority="4674" stopIfTrue="1">
      <formula>$A594="integer"</formula>
    </cfRule>
  </conditionalFormatting>
  <conditionalFormatting sqref="A594:A595">
    <cfRule type="expression" dxfId="27" priority="4675" stopIfTrue="1">
      <formula>$A594="text"</formula>
    </cfRule>
  </conditionalFormatting>
  <conditionalFormatting sqref="A594:A595">
    <cfRule type="expression" dxfId="28" priority="4676" stopIfTrue="1">
      <formula>$A594="end repeat"</formula>
    </cfRule>
  </conditionalFormatting>
  <conditionalFormatting sqref="A594:A595">
    <cfRule type="expression" dxfId="28" priority="4677" stopIfTrue="1">
      <formula>$A594="begin repeat"</formula>
    </cfRule>
  </conditionalFormatting>
  <conditionalFormatting sqref="A594:A595">
    <cfRule type="expression" dxfId="29" priority="4678" stopIfTrue="1">
      <formula>$A594="end group"</formula>
    </cfRule>
  </conditionalFormatting>
  <conditionalFormatting sqref="A594:A595">
    <cfRule type="expression" dxfId="29" priority="4679" stopIfTrue="1">
      <formula>$A594="begin group"</formula>
    </cfRule>
  </conditionalFormatting>
  <conditionalFormatting sqref="A591:A592">
    <cfRule type="expression" dxfId="33" priority="4680" stopIfTrue="1">
      <formula>$A591="file"</formula>
    </cfRule>
  </conditionalFormatting>
  <conditionalFormatting sqref="A591:A592">
    <cfRule type="expression" dxfId="34" priority="4681" stopIfTrue="1">
      <formula>$A591="enumerator"</formula>
    </cfRule>
  </conditionalFormatting>
  <conditionalFormatting sqref="A591:A592">
    <cfRule type="expression" dxfId="35" priority="4682" stopIfTrue="1">
      <formula>OR(AND(LEFT($A591, 14)="sensor_stream ", LEN($A591)&gt;14, NOT(ISNUMBER(SEARCH(" ", $A591, 15)))), AND(LEFT($A591, 17)="sensor_statistic ", LEN($A591)&gt;17, NOT(ISNUMBER(SEARCH(" ", $A591, 18)))))</formula>
    </cfRule>
  </conditionalFormatting>
  <conditionalFormatting sqref="A591:A592">
    <cfRule type="expression" dxfId="14" priority="4683" stopIfTrue="1">
      <formula>$A591="comments"</formula>
    </cfRule>
  </conditionalFormatting>
  <conditionalFormatting sqref="A591:A592">
    <cfRule type="expression" dxfId="15" priority="4684" stopIfTrue="1">
      <formula>OR($A591="audio", $A591="video")</formula>
    </cfRule>
  </conditionalFormatting>
  <conditionalFormatting sqref="A591:A592">
    <cfRule type="expression" dxfId="16" priority="4685" stopIfTrue="1">
      <formula>$A591="image"</formula>
    </cfRule>
  </conditionalFormatting>
  <conditionalFormatting sqref="A591:A592">
    <cfRule type="expression" dxfId="17" priority="4686" stopIfTrue="1">
      <formula>OR($A591="date", $A591="datetime", $A591="time")</formula>
    </cfRule>
  </conditionalFormatting>
  <conditionalFormatting sqref="A591:A592">
    <cfRule type="expression" dxfId="18" priority="4687" stopIfTrue="1">
      <formula>OR($A591="calculate", $A591="calculate_here")</formula>
    </cfRule>
  </conditionalFormatting>
  <conditionalFormatting sqref="A591:A592">
    <cfRule type="expression" dxfId="19" priority="4688" stopIfTrue="1">
      <formula>$A591="note"</formula>
    </cfRule>
  </conditionalFormatting>
  <conditionalFormatting sqref="A591:A592">
    <cfRule type="expression" dxfId="20" priority="4689" stopIfTrue="1">
      <formula>$A591="barcode"</formula>
    </cfRule>
  </conditionalFormatting>
  <conditionalFormatting sqref="A591:A592">
    <cfRule type="expression" dxfId="21" priority="4690" stopIfTrue="1">
      <formula>OR($A591="geopoint", $A591="geoshape", $A591="geotrace")</formula>
    </cfRule>
  </conditionalFormatting>
  <conditionalFormatting sqref="A591:A592">
    <cfRule type="expression" dxfId="22" priority="4691" stopIfTrue="1">
      <formula>OR($A591="audio audit", $A591="text audit", $A591="speed violations count", $A591="speed violations list", $A591="speed violations audit")</formula>
    </cfRule>
  </conditionalFormatting>
  <conditionalFormatting sqref="A591:A592">
    <cfRule type="expression" dxfId="23" priority="4692" stopIfTrue="1">
      <formula>OR($A591="username", $A591="phonenumber", $A591="start", $A591="end", $A591="deviceid", $A591="subscriberid", $A591="simserial", $A591="caseid")</formula>
    </cfRule>
  </conditionalFormatting>
  <conditionalFormatting sqref="A591:A592">
    <cfRule type="expression" dxfId="24" priority="4693" stopIfTrue="1">
      <formula>OR(AND(LEFT($A591, 16)="select_multiple ", LEN($A591)&gt;16, NOT(ISNUMBER(SEARCH(" ", $A591, 17)))), AND(LEFT($A591, 11)="select_one ", LEN($A591)&gt;11, NOT(ISNUMBER(SEARCH(" ", $A591, 12)))))</formula>
    </cfRule>
  </conditionalFormatting>
  <conditionalFormatting sqref="A591:A592">
    <cfRule type="expression" dxfId="25" priority="4694" stopIfTrue="1">
      <formula>$A591="decimal"</formula>
    </cfRule>
  </conditionalFormatting>
  <conditionalFormatting sqref="A591:A592">
    <cfRule type="expression" dxfId="26" priority="4695" stopIfTrue="1">
      <formula>$A591="integer"</formula>
    </cfRule>
  </conditionalFormatting>
  <conditionalFormatting sqref="A591:A592">
    <cfRule type="expression" dxfId="27" priority="4696" stopIfTrue="1">
      <formula>$A591="text"</formula>
    </cfRule>
  </conditionalFormatting>
  <conditionalFormatting sqref="A591:A592">
    <cfRule type="expression" dxfId="28" priority="4697" stopIfTrue="1">
      <formula>$A591="end repeat"</formula>
    </cfRule>
  </conditionalFormatting>
  <conditionalFormatting sqref="A591:A592">
    <cfRule type="expression" dxfId="28" priority="4698" stopIfTrue="1">
      <formula>$A591="begin repeat"</formula>
    </cfRule>
  </conditionalFormatting>
  <conditionalFormatting sqref="A591:A592">
    <cfRule type="expression" dxfId="29" priority="4699" stopIfTrue="1">
      <formula>$A591="end group"</formula>
    </cfRule>
  </conditionalFormatting>
  <conditionalFormatting sqref="A591:A592">
    <cfRule type="expression" dxfId="29" priority="4700" stopIfTrue="1">
      <formula>$A591="begin group"</formula>
    </cfRule>
  </conditionalFormatting>
  <conditionalFormatting sqref="A587">
    <cfRule type="expression" dxfId="33" priority="4701" stopIfTrue="1">
      <formula>$A587="file"</formula>
    </cfRule>
  </conditionalFormatting>
  <conditionalFormatting sqref="A587">
    <cfRule type="expression" dxfId="34" priority="4702" stopIfTrue="1">
      <formula>$A587="enumerator"</formula>
    </cfRule>
  </conditionalFormatting>
  <conditionalFormatting sqref="A587">
    <cfRule type="expression" dxfId="35" priority="4703" stopIfTrue="1">
      <formula>OR(AND(LEFT($A587, 14)="sensor_stream ", LEN($A587)&gt;14, NOT(ISNUMBER(SEARCH(" ", $A587, 15)))), AND(LEFT($A587, 17)="sensor_statistic ", LEN($A587)&gt;17, NOT(ISNUMBER(SEARCH(" ", $A587, 18)))))</formula>
    </cfRule>
  </conditionalFormatting>
  <conditionalFormatting sqref="A587">
    <cfRule type="expression" dxfId="14" priority="4704" stopIfTrue="1">
      <formula>$A587="comments"</formula>
    </cfRule>
  </conditionalFormatting>
  <conditionalFormatting sqref="A587">
    <cfRule type="expression" dxfId="15" priority="4705" stopIfTrue="1">
      <formula>OR($A587="audio", $A587="video")</formula>
    </cfRule>
  </conditionalFormatting>
  <conditionalFormatting sqref="A587">
    <cfRule type="expression" dxfId="16" priority="4706" stopIfTrue="1">
      <formula>$A587="image"</formula>
    </cfRule>
  </conditionalFormatting>
  <conditionalFormatting sqref="A587">
    <cfRule type="expression" dxfId="17" priority="4707" stopIfTrue="1">
      <formula>OR($A587="date", $A587="datetime", $A587="time")</formula>
    </cfRule>
  </conditionalFormatting>
  <conditionalFormatting sqref="A587">
    <cfRule type="expression" dxfId="18" priority="4708" stopIfTrue="1">
      <formula>OR($A587="calculate", $A587="calculate_here")</formula>
    </cfRule>
  </conditionalFormatting>
  <conditionalFormatting sqref="A587">
    <cfRule type="expression" dxfId="19" priority="4709" stopIfTrue="1">
      <formula>$A587="note"</formula>
    </cfRule>
  </conditionalFormatting>
  <conditionalFormatting sqref="A587">
    <cfRule type="expression" dxfId="20" priority="4710" stopIfTrue="1">
      <formula>$A587="barcode"</formula>
    </cfRule>
  </conditionalFormatting>
  <conditionalFormatting sqref="A587">
    <cfRule type="expression" dxfId="21" priority="4711" stopIfTrue="1">
      <formula>OR($A587="geopoint", $A587="geoshape", $A587="geotrace")</formula>
    </cfRule>
  </conditionalFormatting>
  <conditionalFormatting sqref="A587">
    <cfRule type="expression" dxfId="22" priority="4712" stopIfTrue="1">
      <formula>OR($A587="audio audit", $A587="text audit", $A587="speed violations count", $A587="speed violations list", $A587="speed violations audit")</formula>
    </cfRule>
  </conditionalFormatting>
  <conditionalFormatting sqref="A587">
    <cfRule type="expression" dxfId="23" priority="4713" stopIfTrue="1">
      <formula>OR($A587="username", $A587="phonenumber", $A587="start", $A587="end", $A587="deviceid", $A587="subscriberid", $A587="simserial", $A587="caseid")</formula>
    </cfRule>
  </conditionalFormatting>
  <conditionalFormatting sqref="A587">
    <cfRule type="expression" dxfId="24" priority="4714" stopIfTrue="1">
      <formula>OR(AND(LEFT($A587, 16)="select_multiple ", LEN($A587)&gt;16, NOT(ISNUMBER(SEARCH(" ", $A587, 17)))), AND(LEFT($A587, 11)="select_one ", LEN($A587)&gt;11, NOT(ISNUMBER(SEARCH(" ", $A587, 12)))))</formula>
    </cfRule>
  </conditionalFormatting>
  <conditionalFormatting sqref="A587">
    <cfRule type="expression" dxfId="25" priority="4715" stopIfTrue="1">
      <formula>$A587="decimal"</formula>
    </cfRule>
  </conditionalFormatting>
  <conditionalFormatting sqref="A587">
    <cfRule type="expression" dxfId="26" priority="4716" stopIfTrue="1">
      <formula>$A587="integer"</formula>
    </cfRule>
  </conditionalFormatting>
  <conditionalFormatting sqref="A587">
    <cfRule type="expression" dxfId="27" priority="4717" stopIfTrue="1">
      <formula>$A587="text"</formula>
    </cfRule>
  </conditionalFormatting>
  <conditionalFormatting sqref="A587">
    <cfRule type="expression" dxfId="28" priority="4718" stopIfTrue="1">
      <formula>$A587="end repeat"</formula>
    </cfRule>
  </conditionalFormatting>
  <conditionalFormatting sqref="A587">
    <cfRule type="expression" dxfId="28" priority="4719" stopIfTrue="1">
      <formula>$A587="begin repeat"</formula>
    </cfRule>
  </conditionalFormatting>
  <conditionalFormatting sqref="A587">
    <cfRule type="expression" dxfId="29" priority="4720" stopIfTrue="1">
      <formula>$A587="end group"</formula>
    </cfRule>
  </conditionalFormatting>
  <conditionalFormatting sqref="A587">
    <cfRule type="expression" dxfId="29" priority="4721" stopIfTrue="1">
      <formula>$A587="begin group"</formula>
    </cfRule>
  </conditionalFormatting>
  <conditionalFormatting sqref="A579:A581">
    <cfRule type="expression" dxfId="33" priority="4722" stopIfTrue="1">
      <formula>$A579="file"</formula>
    </cfRule>
  </conditionalFormatting>
  <conditionalFormatting sqref="A579:A581">
    <cfRule type="expression" dxfId="34" priority="4723" stopIfTrue="1">
      <formula>$A579="enumerator"</formula>
    </cfRule>
  </conditionalFormatting>
  <conditionalFormatting sqref="A579:A581">
    <cfRule type="expression" dxfId="35" priority="4724" stopIfTrue="1">
      <formula>OR(AND(LEFT($A579, 14)="sensor_stream ", LEN($A579)&gt;14, NOT(ISNUMBER(SEARCH(" ", $A579, 15)))), AND(LEFT($A579, 17)="sensor_statistic ", LEN($A579)&gt;17, NOT(ISNUMBER(SEARCH(" ", $A579, 18)))))</formula>
    </cfRule>
  </conditionalFormatting>
  <conditionalFormatting sqref="A579:A581">
    <cfRule type="expression" dxfId="14" priority="4725" stopIfTrue="1">
      <formula>$A579="comments"</formula>
    </cfRule>
  </conditionalFormatting>
  <conditionalFormatting sqref="A579:A581">
    <cfRule type="expression" dxfId="15" priority="4726" stopIfTrue="1">
      <formula>OR($A579="audio", $A579="video")</formula>
    </cfRule>
  </conditionalFormatting>
  <conditionalFormatting sqref="A579:A581">
    <cfRule type="expression" dxfId="16" priority="4727" stopIfTrue="1">
      <formula>$A579="image"</formula>
    </cfRule>
  </conditionalFormatting>
  <conditionalFormatting sqref="A579:A581">
    <cfRule type="expression" dxfId="17" priority="4728" stopIfTrue="1">
      <formula>OR($A579="date", $A579="datetime", $A579="time")</formula>
    </cfRule>
  </conditionalFormatting>
  <conditionalFormatting sqref="A579:A581">
    <cfRule type="expression" dxfId="18" priority="4729" stopIfTrue="1">
      <formula>OR($A579="calculate", $A579="calculate_here")</formula>
    </cfRule>
  </conditionalFormatting>
  <conditionalFormatting sqref="A579:A581">
    <cfRule type="expression" dxfId="19" priority="4730" stopIfTrue="1">
      <formula>$A579="note"</formula>
    </cfRule>
  </conditionalFormatting>
  <conditionalFormatting sqref="A579:A581">
    <cfRule type="expression" dxfId="20" priority="4731" stopIfTrue="1">
      <formula>$A579="barcode"</formula>
    </cfRule>
  </conditionalFormatting>
  <conditionalFormatting sqref="A579:A581">
    <cfRule type="expression" dxfId="21" priority="4732" stopIfTrue="1">
      <formula>OR($A579="geopoint", $A579="geoshape", $A579="geotrace")</formula>
    </cfRule>
  </conditionalFormatting>
  <conditionalFormatting sqref="A579:A581">
    <cfRule type="expression" dxfId="22" priority="4733" stopIfTrue="1">
      <formula>OR($A579="audio audit", $A579="text audit", $A579="speed violations count", $A579="speed violations list", $A579="speed violations audit")</formula>
    </cfRule>
  </conditionalFormatting>
  <conditionalFormatting sqref="A579:A581">
    <cfRule type="expression" dxfId="23" priority="4734" stopIfTrue="1">
      <formula>OR($A579="username", $A579="phonenumber", $A579="start", $A579="end", $A579="deviceid", $A579="subscriberid", $A579="simserial", $A579="caseid")</formula>
    </cfRule>
  </conditionalFormatting>
  <conditionalFormatting sqref="A579:A581">
    <cfRule type="expression" dxfId="24" priority="4735" stopIfTrue="1">
      <formula>OR(AND(LEFT($A579, 16)="select_multiple ", LEN($A579)&gt;16, NOT(ISNUMBER(SEARCH(" ", $A579, 17)))), AND(LEFT($A579, 11)="select_one ", LEN($A579)&gt;11, NOT(ISNUMBER(SEARCH(" ", $A579, 12)))))</formula>
    </cfRule>
  </conditionalFormatting>
  <conditionalFormatting sqref="A579:A581">
    <cfRule type="expression" dxfId="25" priority="4736" stopIfTrue="1">
      <formula>$A579="decimal"</formula>
    </cfRule>
  </conditionalFormatting>
  <conditionalFormatting sqref="A579:A581">
    <cfRule type="expression" dxfId="26" priority="4737" stopIfTrue="1">
      <formula>$A579="integer"</formula>
    </cfRule>
  </conditionalFormatting>
  <conditionalFormatting sqref="A579:A581">
    <cfRule type="expression" dxfId="27" priority="4738" stopIfTrue="1">
      <formula>$A579="text"</formula>
    </cfRule>
  </conditionalFormatting>
  <conditionalFormatting sqref="A579:A581">
    <cfRule type="expression" dxfId="28" priority="4739" stopIfTrue="1">
      <formula>$A579="end repeat"</formula>
    </cfRule>
  </conditionalFormatting>
  <conditionalFormatting sqref="A579:A581">
    <cfRule type="expression" dxfId="28" priority="4740" stopIfTrue="1">
      <formula>$A579="begin repeat"</formula>
    </cfRule>
  </conditionalFormatting>
  <conditionalFormatting sqref="A579:A581">
    <cfRule type="expression" dxfId="29" priority="4741" stopIfTrue="1">
      <formula>$A579="end group"</formula>
    </cfRule>
  </conditionalFormatting>
  <conditionalFormatting sqref="A579:A581">
    <cfRule type="expression" dxfId="29" priority="4742" stopIfTrue="1">
      <formula>$A579="begin group"</formula>
    </cfRule>
  </conditionalFormatting>
  <conditionalFormatting sqref="A575:A577">
    <cfRule type="expression" dxfId="33" priority="4743" stopIfTrue="1">
      <formula>$A575="file"</formula>
    </cfRule>
  </conditionalFormatting>
  <conditionalFormatting sqref="A575:A577">
    <cfRule type="expression" dxfId="34" priority="4744" stopIfTrue="1">
      <formula>$A575="enumerator"</formula>
    </cfRule>
  </conditionalFormatting>
  <conditionalFormatting sqref="A575:A577">
    <cfRule type="expression" dxfId="35" priority="4745" stopIfTrue="1">
      <formula>OR(AND(LEFT($A575, 14)="sensor_stream ", LEN($A575)&gt;14, NOT(ISNUMBER(SEARCH(" ", $A575, 15)))), AND(LEFT($A575, 17)="sensor_statistic ", LEN($A575)&gt;17, NOT(ISNUMBER(SEARCH(" ", $A575, 18)))))</formula>
    </cfRule>
  </conditionalFormatting>
  <conditionalFormatting sqref="A575:A577">
    <cfRule type="expression" dxfId="14" priority="4746" stopIfTrue="1">
      <formula>$A575="comments"</formula>
    </cfRule>
  </conditionalFormatting>
  <conditionalFormatting sqref="A575:A577">
    <cfRule type="expression" dxfId="15" priority="4747" stopIfTrue="1">
      <formula>OR($A575="audio", $A575="video")</formula>
    </cfRule>
  </conditionalFormatting>
  <conditionalFormatting sqref="A575:A577">
    <cfRule type="expression" dxfId="16" priority="4748" stopIfTrue="1">
      <formula>$A575="image"</formula>
    </cfRule>
  </conditionalFormatting>
  <conditionalFormatting sqref="A575:A577">
    <cfRule type="expression" dxfId="17" priority="4749" stopIfTrue="1">
      <formula>OR($A575="date", $A575="datetime", $A575="time")</formula>
    </cfRule>
  </conditionalFormatting>
  <conditionalFormatting sqref="A575:A577">
    <cfRule type="expression" dxfId="18" priority="4750" stopIfTrue="1">
      <formula>OR($A575="calculate", $A575="calculate_here")</formula>
    </cfRule>
  </conditionalFormatting>
  <conditionalFormatting sqref="A575:A577">
    <cfRule type="expression" dxfId="19" priority="4751" stopIfTrue="1">
      <formula>$A575="note"</formula>
    </cfRule>
  </conditionalFormatting>
  <conditionalFormatting sqref="A575:A577">
    <cfRule type="expression" dxfId="20" priority="4752" stopIfTrue="1">
      <formula>$A575="barcode"</formula>
    </cfRule>
  </conditionalFormatting>
  <conditionalFormatting sqref="A575:A577">
    <cfRule type="expression" dxfId="21" priority="4753" stopIfTrue="1">
      <formula>OR($A575="geopoint", $A575="geoshape", $A575="geotrace")</formula>
    </cfRule>
  </conditionalFormatting>
  <conditionalFormatting sqref="A575:A577">
    <cfRule type="expression" dxfId="22" priority="4754" stopIfTrue="1">
      <formula>OR($A575="audio audit", $A575="text audit", $A575="speed violations count", $A575="speed violations list", $A575="speed violations audit")</formula>
    </cfRule>
  </conditionalFormatting>
  <conditionalFormatting sqref="A575:A577">
    <cfRule type="expression" dxfId="23" priority="4755" stopIfTrue="1">
      <formula>OR($A575="username", $A575="phonenumber", $A575="start", $A575="end", $A575="deviceid", $A575="subscriberid", $A575="simserial", $A575="caseid")</formula>
    </cfRule>
  </conditionalFormatting>
  <conditionalFormatting sqref="A575:A577">
    <cfRule type="expression" dxfId="24" priority="4756" stopIfTrue="1">
      <formula>OR(AND(LEFT($A575, 16)="select_multiple ", LEN($A575)&gt;16, NOT(ISNUMBER(SEARCH(" ", $A575, 17)))), AND(LEFT($A575, 11)="select_one ", LEN($A575)&gt;11, NOT(ISNUMBER(SEARCH(" ", $A575, 12)))))</formula>
    </cfRule>
  </conditionalFormatting>
  <conditionalFormatting sqref="A575:A577">
    <cfRule type="expression" dxfId="25" priority="4757" stopIfTrue="1">
      <formula>$A575="decimal"</formula>
    </cfRule>
  </conditionalFormatting>
  <conditionalFormatting sqref="A575:A577">
    <cfRule type="expression" dxfId="26" priority="4758" stopIfTrue="1">
      <formula>$A575="integer"</formula>
    </cfRule>
  </conditionalFormatting>
  <conditionalFormatting sqref="A575:A577">
    <cfRule type="expression" dxfId="27" priority="4759" stopIfTrue="1">
      <formula>$A575="text"</formula>
    </cfRule>
  </conditionalFormatting>
  <conditionalFormatting sqref="A575:A577">
    <cfRule type="expression" dxfId="28" priority="4760" stopIfTrue="1">
      <formula>$A575="end repeat"</formula>
    </cfRule>
  </conditionalFormatting>
  <conditionalFormatting sqref="A575:A577">
    <cfRule type="expression" dxfId="28" priority="4761" stopIfTrue="1">
      <formula>$A575="begin repeat"</formula>
    </cfRule>
  </conditionalFormatting>
  <conditionalFormatting sqref="A575:A577">
    <cfRule type="expression" dxfId="29" priority="4762" stopIfTrue="1">
      <formula>$A575="end group"</formula>
    </cfRule>
  </conditionalFormatting>
  <conditionalFormatting sqref="A575:A577">
    <cfRule type="expression" dxfId="29" priority="4763" stopIfTrue="1">
      <formula>$A575="begin group"</formula>
    </cfRule>
  </conditionalFormatting>
  <conditionalFormatting sqref="A563:A570">
    <cfRule type="expression" dxfId="33" priority="4764" stopIfTrue="1">
      <formula>$A563="file"</formula>
    </cfRule>
  </conditionalFormatting>
  <conditionalFormatting sqref="A563:A570">
    <cfRule type="expression" dxfId="34" priority="4765" stopIfTrue="1">
      <formula>$A563="enumerator"</formula>
    </cfRule>
  </conditionalFormatting>
  <conditionalFormatting sqref="A563:A570">
    <cfRule type="expression" dxfId="35" priority="4766" stopIfTrue="1">
      <formula>OR(AND(LEFT($A563, 14)="sensor_stream ", LEN($A563)&gt;14, NOT(ISNUMBER(SEARCH(" ", $A563, 15)))), AND(LEFT($A563, 17)="sensor_statistic ", LEN($A563)&gt;17, NOT(ISNUMBER(SEARCH(" ", $A563, 18)))))</formula>
    </cfRule>
  </conditionalFormatting>
  <conditionalFormatting sqref="A563:A570">
    <cfRule type="expression" dxfId="14" priority="4767" stopIfTrue="1">
      <formula>$A563="comments"</formula>
    </cfRule>
  </conditionalFormatting>
  <conditionalFormatting sqref="A563:A570">
    <cfRule type="expression" dxfId="15" priority="4768" stopIfTrue="1">
      <formula>OR($A563="audio", $A563="video")</formula>
    </cfRule>
  </conditionalFormatting>
  <conditionalFormatting sqref="A563:A570">
    <cfRule type="expression" dxfId="16" priority="4769" stopIfTrue="1">
      <formula>$A563="image"</formula>
    </cfRule>
  </conditionalFormatting>
  <conditionalFormatting sqref="A563:A570">
    <cfRule type="expression" dxfId="17" priority="4770" stopIfTrue="1">
      <formula>OR($A563="date", $A563="datetime", $A563="time")</formula>
    </cfRule>
  </conditionalFormatting>
  <conditionalFormatting sqref="A563:A570">
    <cfRule type="expression" dxfId="18" priority="4771" stopIfTrue="1">
      <formula>OR($A563="calculate", $A563="calculate_here")</formula>
    </cfRule>
  </conditionalFormatting>
  <conditionalFormatting sqref="A563:A570">
    <cfRule type="expression" dxfId="19" priority="4772" stopIfTrue="1">
      <formula>$A563="note"</formula>
    </cfRule>
  </conditionalFormatting>
  <conditionalFormatting sqref="A563:A570">
    <cfRule type="expression" dxfId="20" priority="4773" stopIfTrue="1">
      <formula>$A563="barcode"</formula>
    </cfRule>
  </conditionalFormatting>
  <conditionalFormatting sqref="A563:A570">
    <cfRule type="expression" dxfId="21" priority="4774" stopIfTrue="1">
      <formula>OR($A563="geopoint", $A563="geoshape", $A563="geotrace")</formula>
    </cfRule>
  </conditionalFormatting>
  <conditionalFormatting sqref="A563:A570">
    <cfRule type="expression" dxfId="22" priority="4775" stopIfTrue="1">
      <formula>OR($A563="audio audit", $A563="text audit", $A563="speed violations count", $A563="speed violations list", $A563="speed violations audit")</formula>
    </cfRule>
  </conditionalFormatting>
  <conditionalFormatting sqref="A563:A570">
    <cfRule type="expression" dxfId="23" priority="4776" stopIfTrue="1">
      <formula>OR($A563="username", $A563="phonenumber", $A563="start", $A563="end", $A563="deviceid", $A563="subscriberid", $A563="simserial", $A563="caseid")</formula>
    </cfRule>
  </conditionalFormatting>
  <conditionalFormatting sqref="A563:A570">
    <cfRule type="expression" dxfId="24" priority="4777" stopIfTrue="1">
      <formula>OR(AND(LEFT($A563, 16)="select_multiple ", LEN($A563)&gt;16, NOT(ISNUMBER(SEARCH(" ", $A563, 17)))), AND(LEFT($A563, 11)="select_one ", LEN($A563)&gt;11, NOT(ISNUMBER(SEARCH(" ", $A563, 12)))))</formula>
    </cfRule>
  </conditionalFormatting>
  <conditionalFormatting sqref="A563:A570">
    <cfRule type="expression" dxfId="25" priority="4778" stopIfTrue="1">
      <formula>$A563="decimal"</formula>
    </cfRule>
  </conditionalFormatting>
  <conditionalFormatting sqref="A563:A570">
    <cfRule type="expression" dxfId="26" priority="4779" stopIfTrue="1">
      <formula>$A563="integer"</formula>
    </cfRule>
  </conditionalFormatting>
  <conditionalFormatting sqref="A563:A570">
    <cfRule type="expression" dxfId="27" priority="4780" stopIfTrue="1">
      <formula>$A563="text"</formula>
    </cfRule>
  </conditionalFormatting>
  <conditionalFormatting sqref="A563:A570">
    <cfRule type="expression" dxfId="28" priority="4781" stopIfTrue="1">
      <formula>$A563="end repeat"</formula>
    </cfRule>
  </conditionalFormatting>
  <conditionalFormatting sqref="A563:A570">
    <cfRule type="expression" dxfId="28" priority="4782" stopIfTrue="1">
      <formula>$A563="begin repeat"</formula>
    </cfRule>
  </conditionalFormatting>
  <conditionalFormatting sqref="A563:A570">
    <cfRule type="expression" dxfId="29" priority="4783" stopIfTrue="1">
      <formula>$A563="end group"</formula>
    </cfRule>
  </conditionalFormatting>
  <conditionalFormatting sqref="A563:A570">
    <cfRule type="expression" dxfId="29" priority="4784" stopIfTrue="1">
      <formula>$A563="begin group"</formula>
    </cfRule>
  </conditionalFormatting>
  <conditionalFormatting sqref="A556:A561">
    <cfRule type="expression" dxfId="33" priority="4785" stopIfTrue="1">
      <formula>$A556="file"</formula>
    </cfRule>
  </conditionalFormatting>
  <conditionalFormatting sqref="A556:A561">
    <cfRule type="expression" dxfId="34" priority="4786" stopIfTrue="1">
      <formula>$A556="enumerator"</formula>
    </cfRule>
  </conditionalFormatting>
  <conditionalFormatting sqref="A556:A561">
    <cfRule type="expression" dxfId="35" priority="4787" stopIfTrue="1">
      <formula>OR(AND(LEFT($A556, 14)="sensor_stream ", LEN($A556)&gt;14, NOT(ISNUMBER(SEARCH(" ", $A556, 15)))), AND(LEFT($A556, 17)="sensor_statistic ", LEN($A556)&gt;17, NOT(ISNUMBER(SEARCH(" ", $A556, 18)))))</formula>
    </cfRule>
  </conditionalFormatting>
  <conditionalFormatting sqref="A556:A561">
    <cfRule type="expression" dxfId="14" priority="4788" stopIfTrue="1">
      <formula>$A556="comments"</formula>
    </cfRule>
  </conditionalFormatting>
  <conditionalFormatting sqref="A556:A561">
    <cfRule type="expression" dxfId="15" priority="4789" stopIfTrue="1">
      <formula>OR($A556="audio", $A556="video")</formula>
    </cfRule>
  </conditionalFormatting>
  <conditionalFormatting sqref="A556:A561">
    <cfRule type="expression" dxfId="16" priority="4790" stopIfTrue="1">
      <formula>$A556="image"</formula>
    </cfRule>
  </conditionalFormatting>
  <conditionalFormatting sqref="A556:A561">
    <cfRule type="expression" dxfId="17" priority="4791" stopIfTrue="1">
      <formula>OR($A556="date", $A556="datetime", $A556="time")</formula>
    </cfRule>
  </conditionalFormatting>
  <conditionalFormatting sqref="A556:A561">
    <cfRule type="expression" dxfId="18" priority="4792" stopIfTrue="1">
      <formula>OR($A556="calculate", $A556="calculate_here")</formula>
    </cfRule>
  </conditionalFormatting>
  <conditionalFormatting sqref="A556:A561">
    <cfRule type="expression" dxfId="19" priority="4793" stopIfTrue="1">
      <formula>$A556="note"</formula>
    </cfRule>
  </conditionalFormatting>
  <conditionalFormatting sqref="A556:A561">
    <cfRule type="expression" dxfId="20" priority="4794" stopIfTrue="1">
      <formula>$A556="barcode"</formula>
    </cfRule>
  </conditionalFormatting>
  <conditionalFormatting sqref="A556:A561">
    <cfRule type="expression" dxfId="21" priority="4795" stopIfTrue="1">
      <formula>OR($A556="geopoint", $A556="geoshape", $A556="geotrace")</formula>
    </cfRule>
  </conditionalFormatting>
  <conditionalFormatting sqref="A556:A561">
    <cfRule type="expression" dxfId="22" priority="4796" stopIfTrue="1">
      <formula>OR($A556="audio audit", $A556="text audit", $A556="speed violations count", $A556="speed violations list", $A556="speed violations audit")</formula>
    </cfRule>
  </conditionalFormatting>
  <conditionalFormatting sqref="A556:A561">
    <cfRule type="expression" dxfId="23" priority="4797" stopIfTrue="1">
      <formula>OR($A556="username", $A556="phonenumber", $A556="start", $A556="end", $A556="deviceid", $A556="subscriberid", $A556="simserial", $A556="caseid")</formula>
    </cfRule>
  </conditionalFormatting>
  <conditionalFormatting sqref="A556:A561">
    <cfRule type="expression" dxfId="24" priority="4798" stopIfTrue="1">
      <formula>OR(AND(LEFT($A556, 16)="select_multiple ", LEN($A556)&gt;16, NOT(ISNUMBER(SEARCH(" ", $A556, 17)))), AND(LEFT($A556, 11)="select_one ", LEN($A556)&gt;11, NOT(ISNUMBER(SEARCH(" ", $A556, 12)))))</formula>
    </cfRule>
  </conditionalFormatting>
  <conditionalFormatting sqref="A556:A561">
    <cfRule type="expression" dxfId="25" priority="4799" stopIfTrue="1">
      <formula>$A556="decimal"</formula>
    </cfRule>
  </conditionalFormatting>
  <conditionalFormatting sqref="A556:A561">
    <cfRule type="expression" dxfId="26" priority="4800" stopIfTrue="1">
      <formula>$A556="integer"</formula>
    </cfRule>
  </conditionalFormatting>
  <conditionalFormatting sqref="A556:A561">
    <cfRule type="expression" dxfId="27" priority="4801" stopIfTrue="1">
      <formula>$A556="text"</formula>
    </cfRule>
  </conditionalFormatting>
  <conditionalFormatting sqref="A556:A561">
    <cfRule type="expression" dxfId="28" priority="4802" stopIfTrue="1">
      <formula>$A556="end repeat"</formula>
    </cfRule>
  </conditionalFormatting>
  <conditionalFormatting sqref="A556:A561">
    <cfRule type="expression" dxfId="28" priority="4803" stopIfTrue="1">
      <formula>$A556="begin repeat"</formula>
    </cfRule>
  </conditionalFormatting>
  <conditionalFormatting sqref="A556:A561">
    <cfRule type="expression" dxfId="29" priority="4804" stopIfTrue="1">
      <formula>$A556="end group"</formula>
    </cfRule>
  </conditionalFormatting>
  <conditionalFormatting sqref="A556:A561">
    <cfRule type="expression" dxfId="29" priority="4805" stopIfTrue="1">
      <formula>$A556="begin group"</formula>
    </cfRule>
  </conditionalFormatting>
  <conditionalFormatting sqref="A550:A552">
    <cfRule type="expression" dxfId="33" priority="4806" stopIfTrue="1">
      <formula>$A550="file"</formula>
    </cfRule>
  </conditionalFormatting>
  <conditionalFormatting sqref="A550:A552">
    <cfRule type="expression" dxfId="34" priority="4807" stopIfTrue="1">
      <formula>$A550="enumerator"</formula>
    </cfRule>
  </conditionalFormatting>
  <conditionalFormatting sqref="A550:A552">
    <cfRule type="expression" dxfId="35" priority="4808" stopIfTrue="1">
      <formula>OR(AND(LEFT($A550, 14)="sensor_stream ", LEN($A550)&gt;14, NOT(ISNUMBER(SEARCH(" ", $A550, 15)))), AND(LEFT($A550, 17)="sensor_statistic ", LEN($A550)&gt;17, NOT(ISNUMBER(SEARCH(" ", $A550, 18)))))</formula>
    </cfRule>
  </conditionalFormatting>
  <conditionalFormatting sqref="A550:A552">
    <cfRule type="expression" dxfId="14" priority="4809" stopIfTrue="1">
      <formula>$A550="comments"</formula>
    </cfRule>
  </conditionalFormatting>
  <conditionalFormatting sqref="A550:A552">
    <cfRule type="expression" dxfId="15" priority="4810" stopIfTrue="1">
      <formula>OR($A550="audio", $A550="video")</formula>
    </cfRule>
  </conditionalFormatting>
  <conditionalFormatting sqref="A550:A552">
    <cfRule type="expression" dxfId="16" priority="4811" stopIfTrue="1">
      <formula>$A550="image"</formula>
    </cfRule>
  </conditionalFormatting>
  <conditionalFormatting sqref="A550:A552">
    <cfRule type="expression" dxfId="17" priority="4812" stopIfTrue="1">
      <formula>OR($A550="date", $A550="datetime", $A550="time")</formula>
    </cfRule>
  </conditionalFormatting>
  <conditionalFormatting sqref="A550:A552">
    <cfRule type="expression" dxfId="18" priority="4813" stopIfTrue="1">
      <formula>OR($A550="calculate", $A550="calculate_here")</formula>
    </cfRule>
  </conditionalFormatting>
  <conditionalFormatting sqref="A550:A552">
    <cfRule type="expression" dxfId="19" priority="4814" stopIfTrue="1">
      <formula>$A550="note"</formula>
    </cfRule>
  </conditionalFormatting>
  <conditionalFormatting sqref="A550:A552">
    <cfRule type="expression" dxfId="20" priority="4815" stopIfTrue="1">
      <formula>$A550="barcode"</formula>
    </cfRule>
  </conditionalFormatting>
  <conditionalFormatting sqref="A550:A552">
    <cfRule type="expression" dxfId="21" priority="4816" stopIfTrue="1">
      <formula>OR($A550="geopoint", $A550="geoshape", $A550="geotrace")</formula>
    </cfRule>
  </conditionalFormatting>
  <conditionalFormatting sqref="A550:A552">
    <cfRule type="expression" dxfId="22" priority="4817" stopIfTrue="1">
      <formula>OR($A550="audio audit", $A550="text audit", $A550="speed violations count", $A550="speed violations list", $A550="speed violations audit")</formula>
    </cfRule>
  </conditionalFormatting>
  <conditionalFormatting sqref="A550:A552">
    <cfRule type="expression" dxfId="23" priority="4818" stopIfTrue="1">
      <formula>OR($A550="username", $A550="phonenumber", $A550="start", $A550="end", $A550="deviceid", $A550="subscriberid", $A550="simserial", $A550="caseid")</formula>
    </cfRule>
  </conditionalFormatting>
  <conditionalFormatting sqref="A550:A552">
    <cfRule type="expression" dxfId="24" priority="4819" stopIfTrue="1">
      <formula>OR(AND(LEFT($A550, 16)="select_multiple ", LEN($A550)&gt;16, NOT(ISNUMBER(SEARCH(" ", $A550, 17)))), AND(LEFT($A550, 11)="select_one ", LEN($A550)&gt;11, NOT(ISNUMBER(SEARCH(" ", $A550, 12)))))</formula>
    </cfRule>
  </conditionalFormatting>
  <conditionalFormatting sqref="A550:A552">
    <cfRule type="expression" dxfId="25" priority="4820" stopIfTrue="1">
      <formula>$A550="decimal"</formula>
    </cfRule>
  </conditionalFormatting>
  <conditionalFormatting sqref="A550:A552">
    <cfRule type="expression" dxfId="26" priority="4821" stopIfTrue="1">
      <formula>$A550="integer"</formula>
    </cfRule>
  </conditionalFormatting>
  <conditionalFormatting sqref="A550:A552">
    <cfRule type="expression" dxfId="27" priority="4822" stopIfTrue="1">
      <formula>$A550="text"</formula>
    </cfRule>
  </conditionalFormatting>
  <conditionalFormatting sqref="A550:A552">
    <cfRule type="expression" dxfId="28" priority="4823" stopIfTrue="1">
      <formula>$A550="end repeat"</formula>
    </cfRule>
  </conditionalFormatting>
  <conditionalFormatting sqref="A550:A552">
    <cfRule type="expression" dxfId="28" priority="4824" stopIfTrue="1">
      <formula>$A550="begin repeat"</formula>
    </cfRule>
  </conditionalFormatting>
  <conditionalFormatting sqref="A550:A552">
    <cfRule type="expression" dxfId="29" priority="4825" stopIfTrue="1">
      <formula>$A550="end group"</formula>
    </cfRule>
  </conditionalFormatting>
  <conditionalFormatting sqref="A550:A552">
    <cfRule type="expression" dxfId="29" priority="4826" stopIfTrue="1">
      <formula>$A550="begin group"</formula>
    </cfRule>
  </conditionalFormatting>
  <conditionalFormatting sqref="A545:A546">
    <cfRule type="expression" dxfId="33" priority="4827" stopIfTrue="1">
      <formula>$A545="file"</formula>
    </cfRule>
  </conditionalFormatting>
  <conditionalFormatting sqref="A545:A546">
    <cfRule type="expression" dxfId="34" priority="4828" stopIfTrue="1">
      <formula>$A545="enumerator"</formula>
    </cfRule>
  </conditionalFormatting>
  <conditionalFormatting sqref="A545:A546">
    <cfRule type="expression" dxfId="35" priority="4829" stopIfTrue="1">
      <formula>OR(AND(LEFT($A545, 14)="sensor_stream ", LEN($A545)&gt;14, NOT(ISNUMBER(SEARCH(" ", $A545, 15)))), AND(LEFT($A545, 17)="sensor_statistic ", LEN($A545)&gt;17, NOT(ISNUMBER(SEARCH(" ", $A545, 18)))))</formula>
    </cfRule>
  </conditionalFormatting>
  <conditionalFormatting sqref="A545:A546">
    <cfRule type="expression" dxfId="14" priority="4830" stopIfTrue="1">
      <formula>$A545="comments"</formula>
    </cfRule>
  </conditionalFormatting>
  <conditionalFormatting sqref="A545:A546">
    <cfRule type="expression" dxfId="15" priority="4831" stopIfTrue="1">
      <formula>OR($A545="audio", $A545="video")</formula>
    </cfRule>
  </conditionalFormatting>
  <conditionalFormatting sqref="A545:A546">
    <cfRule type="expression" dxfId="16" priority="4832" stopIfTrue="1">
      <formula>$A545="image"</formula>
    </cfRule>
  </conditionalFormatting>
  <conditionalFormatting sqref="A545:A546">
    <cfRule type="expression" dxfId="17" priority="4833" stopIfTrue="1">
      <formula>OR($A545="date", $A545="datetime", $A545="time")</formula>
    </cfRule>
  </conditionalFormatting>
  <conditionalFormatting sqref="A545:A546">
    <cfRule type="expression" dxfId="18" priority="4834" stopIfTrue="1">
      <formula>OR($A545="calculate", $A545="calculate_here")</formula>
    </cfRule>
  </conditionalFormatting>
  <conditionalFormatting sqref="A545:A546">
    <cfRule type="expression" dxfId="19" priority="4835" stopIfTrue="1">
      <formula>$A545="note"</formula>
    </cfRule>
  </conditionalFormatting>
  <conditionalFormatting sqref="A545:A546">
    <cfRule type="expression" dxfId="20" priority="4836" stopIfTrue="1">
      <formula>$A545="barcode"</formula>
    </cfRule>
  </conditionalFormatting>
  <conditionalFormatting sqref="A545:A546">
    <cfRule type="expression" dxfId="21" priority="4837" stopIfTrue="1">
      <formula>OR($A545="geopoint", $A545="geoshape", $A545="geotrace")</formula>
    </cfRule>
  </conditionalFormatting>
  <conditionalFormatting sqref="A545:A546">
    <cfRule type="expression" dxfId="22" priority="4838" stopIfTrue="1">
      <formula>OR($A545="audio audit", $A545="text audit", $A545="speed violations count", $A545="speed violations list", $A545="speed violations audit")</formula>
    </cfRule>
  </conditionalFormatting>
  <conditionalFormatting sqref="A545:A546">
    <cfRule type="expression" dxfId="23" priority="4839" stopIfTrue="1">
      <formula>OR($A545="username", $A545="phonenumber", $A545="start", $A545="end", $A545="deviceid", $A545="subscriberid", $A545="simserial", $A545="caseid")</formula>
    </cfRule>
  </conditionalFormatting>
  <conditionalFormatting sqref="A545:A546">
    <cfRule type="expression" dxfId="24" priority="4840" stopIfTrue="1">
      <formula>OR(AND(LEFT($A545, 16)="select_multiple ", LEN($A545)&gt;16, NOT(ISNUMBER(SEARCH(" ", $A545, 17)))), AND(LEFT($A545, 11)="select_one ", LEN($A545)&gt;11, NOT(ISNUMBER(SEARCH(" ", $A545, 12)))))</formula>
    </cfRule>
  </conditionalFormatting>
  <conditionalFormatting sqref="A545:A546">
    <cfRule type="expression" dxfId="25" priority="4841" stopIfTrue="1">
      <formula>$A545="decimal"</formula>
    </cfRule>
  </conditionalFormatting>
  <conditionalFormatting sqref="A545:A546">
    <cfRule type="expression" dxfId="26" priority="4842" stopIfTrue="1">
      <formula>$A545="integer"</formula>
    </cfRule>
  </conditionalFormatting>
  <conditionalFormatting sqref="A545:A546">
    <cfRule type="expression" dxfId="27" priority="4843" stopIfTrue="1">
      <formula>$A545="text"</formula>
    </cfRule>
  </conditionalFormatting>
  <conditionalFormatting sqref="A545:A546">
    <cfRule type="expression" dxfId="28" priority="4844" stopIfTrue="1">
      <formula>$A545="end repeat"</formula>
    </cfRule>
  </conditionalFormatting>
  <conditionalFormatting sqref="A545:A546">
    <cfRule type="expression" dxfId="28" priority="4845" stopIfTrue="1">
      <formula>$A545="begin repeat"</formula>
    </cfRule>
  </conditionalFormatting>
  <conditionalFormatting sqref="A545:A546">
    <cfRule type="expression" dxfId="29" priority="4846" stopIfTrue="1">
      <formula>$A545="end group"</formula>
    </cfRule>
  </conditionalFormatting>
  <conditionalFormatting sqref="A545:A546">
    <cfRule type="expression" dxfId="29" priority="4847" stopIfTrue="1">
      <formula>$A545="begin group"</formula>
    </cfRule>
  </conditionalFormatting>
  <conditionalFormatting sqref="A533:A535">
    <cfRule type="expression" dxfId="33" priority="4848" stopIfTrue="1">
      <formula>$A533="file"</formula>
    </cfRule>
  </conditionalFormatting>
  <conditionalFormatting sqref="A533:A535">
    <cfRule type="expression" dxfId="34" priority="4849" stopIfTrue="1">
      <formula>$A533="enumerator"</formula>
    </cfRule>
  </conditionalFormatting>
  <conditionalFormatting sqref="A533:A535">
    <cfRule type="expression" dxfId="35" priority="4850" stopIfTrue="1">
      <formula>OR(AND(LEFT($A533, 14)="sensor_stream ", LEN($A533)&gt;14, NOT(ISNUMBER(SEARCH(" ", $A533, 15)))), AND(LEFT($A533, 17)="sensor_statistic ", LEN($A533)&gt;17, NOT(ISNUMBER(SEARCH(" ", $A533, 18)))))</formula>
    </cfRule>
  </conditionalFormatting>
  <conditionalFormatting sqref="A533:A535">
    <cfRule type="expression" dxfId="14" priority="4851" stopIfTrue="1">
      <formula>$A533="comments"</formula>
    </cfRule>
  </conditionalFormatting>
  <conditionalFormatting sqref="A533:A535">
    <cfRule type="expression" dxfId="15" priority="4852" stopIfTrue="1">
      <formula>OR($A533="audio", $A533="video")</formula>
    </cfRule>
  </conditionalFormatting>
  <conditionalFormatting sqref="A533:A535">
    <cfRule type="expression" dxfId="16" priority="4853" stopIfTrue="1">
      <formula>$A533="image"</formula>
    </cfRule>
  </conditionalFormatting>
  <conditionalFormatting sqref="A533:A535">
    <cfRule type="expression" dxfId="17" priority="4854" stopIfTrue="1">
      <formula>OR($A533="date", $A533="datetime", $A533="time")</formula>
    </cfRule>
  </conditionalFormatting>
  <conditionalFormatting sqref="A533:A535">
    <cfRule type="expression" dxfId="18" priority="4855" stopIfTrue="1">
      <formula>OR($A533="calculate", $A533="calculate_here")</formula>
    </cfRule>
  </conditionalFormatting>
  <conditionalFormatting sqref="A533:A535">
    <cfRule type="expression" dxfId="19" priority="4856" stopIfTrue="1">
      <formula>$A533="note"</formula>
    </cfRule>
  </conditionalFormatting>
  <conditionalFormatting sqref="A533:A535">
    <cfRule type="expression" dxfId="20" priority="4857" stopIfTrue="1">
      <formula>$A533="barcode"</formula>
    </cfRule>
  </conditionalFormatting>
  <conditionalFormatting sqref="A533:A535">
    <cfRule type="expression" dxfId="21" priority="4858" stopIfTrue="1">
      <formula>OR($A533="geopoint", $A533="geoshape", $A533="geotrace")</formula>
    </cfRule>
  </conditionalFormatting>
  <conditionalFormatting sqref="A533:A535">
    <cfRule type="expression" dxfId="22" priority="4859" stopIfTrue="1">
      <formula>OR($A533="audio audit", $A533="text audit", $A533="speed violations count", $A533="speed violations list", $A533="speed violations audit")</formula>
    </cfRule>
  </conditionalFormatting>
  <conditionalFormatting sqref="A533:A535">
    <cfRule type="expression" dxfId="23" priority="4860" stopIfTrue="1">
      <formula>OR($A533="username", $A533="phonenumber", $A533="start", $A533="end", $A533="deviceid", $A533="subscriberid", $A533="simserial", $A533="caseid")</formula>
    </cfRule>
  </conditionalFormatting>
  <conditionalFormatting sqref="A533:A535">
    <cfRule type="expression" dxfId="24" priority="4861" stopIfTrue="1">
      <formula>OR(AND(LEFT($A533, 16)="select_multiple ", LEN($A533)&gt;16, NOT(ISNUMBER(SEARCH(" ", $A533, 17)))), AND(LEFT($A533, 11)="select_one ", LEN($A533)&gt;11, NOT(ISNUMBER(SEARCH(" ", $A533, 12)))))</formula>
    </cfRule>
  </conditionalFormatting>
  <conditionalFormatting sqref="A533:A535">
    <cfRule type="expression" dxfId="25" priority="4862" stopIfTrue="1">
      <formula>$A533="decimal"</formula>
    </cfRule>
  </conditionalFormatting>
  <conditionalFormatting sqref="A533:A535">
    <cfRule type="expression" dxfId="26" priority="4863" stopIfTrue="1">
      <formula>$A533="integer"</formula>
    </cfRule>
  </conditionalFormatting>
  <conditionalFormatting sqref="A533:A535">
    <cfRule type="expression" dxfId="27" priority="4864" stopIfTrue="1">
      <formula>$A533="text"</formula>
    </cfRule>
  </conditionalFormatting>
  <conditionalFormatting sqref="A533:A535">
    <cfRule type="expression" dxfId="28" priority="4865" stopIfTrue="1">
      <formula>$A533="end repeat"</formula>
    </cfRule>
  </conditionalFormatting>
  <conditionalFormatting sqref="A533:A535">
    <cfRule type="expression" dxfId="28" priority="4866" stopIfTrue="1">
      <formula>$A533="begin repeat"</formula>
    </cfRule>
  </conditionalFormatting>
  <conditionalFormatting sqref="A533:A535">
    <cfRule type="expression" dxfId="29" priority="4867" stopIfTrue="1">
      <formula>$A533="end group"</formula>
    </cfRule>
  </conditionalFormatting>
  <conditionalFormatting sqref="A533:A535">
    <cfRule type="expression" dxfId="29" priority="4868" stopIfTrue="1">
      <formula>$A533="begin group"</formula>
    </cfRule>
  </conditionalFormatting>
  <conditionalFormatting sqref="A527:A528">
    <cfRule type="expression" dxfId="33" priority="4869" stopIfTrue="1">
      <formula>$A527="file"</formula>
    </cfRule>
  </conditionalFormatting>
  <conditionalFormatting sqref="A527:A528">
    <cfRule type="expression" dxfId="34" priority="4870" stopIfTrue="1">
      <formula>$A527="enumerator"</formula>
    </cfRule>
  </conditionalFormatting>
  <conditionalFormatting sqref="A527:A528">
    <cfRule type="expression" dxfId="35" priority="4871" stopIfTrue="1">
      <formula>OR(AND(LEFT($A527, 14)="sensor_stream ", LEN($A527)&gt;14, NOT(ISNUMBER(SEARCH(" ", $A527, 15)))), AND(LEFT($A527, 17)="sensor_statistic ", LEN($A527)&gt;17, NOT(ISNUMBER(SEARCH(" ", $A527, 18)))))</formula>
    </cfRule>
  </conditionalFormatting>
  <conditionalFormatting sqref="A527:A528">
    <cfRule type="expression" dxfId="14" priority="4872" stopIfTrue="1">
      <formula>$A527="comments"</formula>
    </cfRule>
  </conditionalFormatting>
  <conditionalFormatting sqref="A527:A528">
    <cfRule type="expression" dxfId="15" priority="4873" stopIfTrue="1">
      <formula>OR($A527="audio", $A527="video")</formula>
    </cfRule>
  </conditionalFormatting>
  <conditionalFormatting sqref="A527:A528">
    <cfRule type="expression" dxfId="16" priority="4874" stopIfTrue="1">
      <formula>$A527="image"</formula>
    </cfRule>
  </conditionalFormatting>
  <conditionalFormatting sqref="A527:A528">
    <cfRule type="expression" dxfId="17" priority="4875" stopIfTrue="1">
      <formula>OR($A527="date", $A527="datetime", $A527="time")</formula>
    </cfRule>
  </conditionalFormatting>
  <conditionalFormatting sqref="A527:A528">
    <cfRule type="expression" dxfId="18" priority="4876" stopIfTrue="1">
      <formula>OR($A527="calculate", $A527="calculate_here")</formula>
    </cfRule>
  </conditionalFormatting>
  <conditionalFormatting sqref="A527:A528">
    <cfRule type="expression" dxfId="19" priority="4877" stopIfTrue="1">
      <formula>$A527="note"</formula>
    </cfRule>
  </conditionalFormatting>
  <conditionalFormatting sqref="A527:A528">
    <cfRule type="expression" dxfId="20" priority="4878" stopIfTrue="1">
      <formula>$A527="barcode"</formula>
    </cfRule>
  </conditionalFormatting>
  <conditionalFormatting sqref="A527:A528">
    <cfRule type="expression" dxfId="21" priority="4879" stopIfTrue="1">
      <formula>OR($A527="geopoint", $A527="geoshape", $A527="geotrace")</formula>
    </cfRule>
  </conditionalFormatting>
  <conditionalFormatting sqref="A527:A528">
    <cfRule type="expression" dxfId="22" priority="4880" stopIfTrue="1">
      <formula>OR($A527="audio audit", $A527="text audit", $A527="speed violations count", $A527="speed violations list", $A527="speed violations audit")</formula>
    </cfRule>
  </conditionalFormatting>
  <conditionalFormatting sqref="A527:A528">
    <cfRule type="expression" dxfId="23" priority="4881" stopIfTrue="1">
      <formula>OR($A527="username", $A527="phonenumber", $A527="start", $A527="end", $A527="deviceid", $A527="subscriberid", $A527="simserial", $A527="caseid")</formula>
    </cfRule>
  </conditionalFormatting>
  <conditionalFormatting sqref="A527:A528">
    <cfRule type="expression" dxfId="24" priority="4882" stopIfTrue="1">
      <formula>OR(AND(LEFT($A527, 16)="select_multiple ", LEN($A527)&gt;16, NOT(ISNUMBER(SEARCH(" ", $A527, 17)))), AND(LEFT($A527, 11)="select_one ", LEN($A527)&gt;11, NOT(ISNUMBER(SEARCH(" ", $A527, 12)))))</formula>
    </cfRule>
  </conditionalFormatting>
  <conditionalFormatting sqref="A527:A528">
    <cfRule type="expression" dxfId="25" priority="4883" stopIfTrue="1">
      <formula>$A527="decimal"</formula>
    </cfRule>
  </conditionalFormatting>
  <conditionalFormatting sqref="A527:A528">
    <cfRule type="expression" dxfId="26" priority="4884" stopIfTrue="1">
      <formula>$A527="integer"</formula>
    </cfRule>
  </conditionalFormatting>
  <conditionalFormatting sqref="A527:A528">
    <cfRule type="expression" dxfId="27" priority="4885" stopIfTrue="1">
      <formula>$A527="text"</formula>
    </cfRule>
  </conditionalFormatting>
  <conditionalFormatting sqref="A527:A528">
    <cfRule type="expression" dxfId="28" priority="4886" stopIfTrue="1">
      <formula>$A527="end repeat"</formula>
    </cfRule>
  </conditionalFormatting>
  <conditionalFormatting sqref="A527:A528">
    <cfRule type="expression" dxfId="28" priority="4887" stopIfTrue="1">
      <formula>$A527="begin repeat"</formula>
    </cfRule>
  </conditionalFormatting>
  <conditionalFormatting sqref="A527:A528">
    <cfRule type="expression" dxfId="29" priority="4888" stopIfTrue="1">
      <formula>$A527="end group"</formula>
    </cfRule>
  </conditionalFormatting>
  <conditionalFormatting sqref="A527:A528">
    <cfRule type="expression" dxfId="29" priority="4889" stopIfTrue="1">
      <formula>$A527="begin group"</formula>
    </cfRule>
  </conditionalFormatting>
  <conditionalFormatting sqref="A518:A520">
    <cfRule type="expression" dxfId="33" priority="4890" stopIfTrue="1">
      <formula>$A518="file"</formula>
    </cfRule>
  </conditionalFormatting>
  <conditionalFormatting sqref="A518:A520">
    <cfRule type="expression" dxfId="34" priority="4891" stopIfTrue="1">
      <formula>$A518="enumerator"</formula>
    </cfRule>
  </conditionalFormatting>
  <conditionalFormatting sqref="A518:A520">
    <cfRule type="expression" dxfId="35" priority="4892" stopIfTrue="1">
      <formula>OR(AND(LEFT($A518, 14)="sensor_stream ", LEN($A518)&gt;14, NOT(ISNUMBER(SEARCH(" ", $A518, 15)))), AND(LEFT($A518, 17)="sensor_statistic ", LEN($A518)&gt;17, NOT(ISNUMBER(SEARCH(" ", $A518, 18)))))</formula>
    </cfRule>
  </conditionalFormatting>
  <conditionalFormatting sqref="A518:A520">
    <cfRule type="expression" dxfId="14" priority="4893" stopIfTrue="1">
      <formula>$A518="comments"</formula>
    </cfRule>
  </conditionalFormatting>
  <conditionalFormatting sqref="A518:A520">
    <cfRule type="expression" dxfId="15" priority="4894" stopIfTrue="1">
      <formula>OR($A518="audio", $A518="video")</formula>
    </cfRule>
  </conditionalFormatting>
  <conditionalFormatting sqref="A518:A520">
    <cfRule type="expression" dxfId="16" priority="4895" stopIfTrue="1">
      <formula>$A518="image"</formula>
    </cfRule>
  </conditionalFormatting>
  <conditionalFormatting sqref="A518:A520">
    <cfRule type="expression" dxfId="17" priority="4896" stopIfTrue="1">
      <formula>OR($A518="date", $A518="datetime", $A518="time")</formula>
    </cfRule>
  </conditionalFormatting>
  <conditionalFormatting sqref="A518:A520">
    <cfRule type="expression" dxfId="18" priority="4897" stopIfTrue="1">
      <formula>OR($A518="calculate", $A518="calculate_here")</formula>
    </cfRule>
  </conditionalFormatting>
  <conditionalFormatting sqref="A518:A520">
    <cfRule type="expression" dxfId="19" priority="4898" stopIfTrue="1">
      <formula>$A518="note"</formula>
    </cfRule>
  </conditionalFormatting>
  <conditionalFormatting sqref="A518:A520">
    <cfRule type="expression" dxfId="20" priority="4899" stopIfTrue="1">
      <formula>$A518="barcode"</formula>
    </cfRule>
  </conditionalFormatting>
  <conditionalFormatting sqref="A518:A520">
    <cfRule type="expression" dxfId="21" priority="4900" stopIfTrue="1">
      <formula>OR($A518="geopoint", $A518="geoshape", $A518="geotrace")</formula>
    </cfRule>
  </conditionalFormatting>
  <conditionalFormatting sqref="A518:A520">
    <cfRule type="expression" dxfId="22" priority="4901" stopIfTrue="1">
      <formula>OR($A518="audio audit", $A518="text audit", $A518="speed violations count", $A518="speed violations list", $A518="speed violations audit")</formula>
    </cfRule>
  </conditionalFormatting>
  <conditionalFormatting sqref="A518:A520">
    <cfRule type="expression" dxfId="23" priority="4902" stopIfTrue="1">
      <formula>OR($A518="username", $A518="phonenumber", $A518="start", $A518="end", $A518="deviceid", $A518="subscriberid", $A518="simserial", $A518="caseid")</formula>
    </cfRule>
  </conditionalFormatting>
  <conditionalFormatting sqref="A518:A520">
    <cfRule type="expression" dxfId="24" priority="4903" stopIfTrue="1">
      <formula>OR(AND(LEFT($A518, 16)="select_multiple ", LEN($A518)&gt;16, NOT(ISNUMBER(SEARCH(" ", $A518, 17)))), AND(LEFT($A518, 11)="select_one ", LEN($A518)&gt;11, NOT(ISNUMBER(SEARCH(" ", $A518, 12)))))</formula>
    </cfRule>
  </conditionalFormatting>
  <conditionalFormatting sqref="A518:A520">
    <cfRule type="expression" dxfId="25" priority="4904" stopIfTrue="1">
      <formula>$A518="decimal"</formula>
    </cfRule>
  </conditionalFormatting>
  <conditionalFormatting sqref="A518:A520">
    <cfRule type="expression" dxfId="26" priority="4905" stopIfTrue="1">
      <formula>$A518="integer"</formula>
    </cfRule>
  </conditionalFormatting>
  <conditionalFormatting sqref="A518:A520">
    <cfRule type="expression" dxfId="27" priority="4906" stopIfTrue="1">
      <formula>$A518="text"</formula>
    </cfRule>
  </conditionalFormatting>
  <conditionalFormatting sqref="A518:A520">
    <cfRule type="expression" dxfId="28" priority="4907" stopIfTrue="1">
      <formula>$A518="end repeat"</formula>
    </cfRule>
  </conditionalFormatting>
  <conditionalFormatting sqref="A518:A520">
    <cfRule type="expression" dxfId="28" priority="4908" stopIfTrue="1">
      <formula>$A518="begin repeat"</formula>
    </cfRule>
  </conditionalFormatting>
  <conditionalFormatting sqref="A518:A520">
    <cfRule type="expression" dxfId="29" priority="4909" stopIfTrue="1">
      <formula>$A518="end group"</formula>
    </cfRule>
  </conditionalFormatting>
  <conditionalFormatting sqref="A518:A520">
    <cfRule type="expression" dxfId="29" priority="4910" stopIfTrue="1">
      <formula>$A518="begin group"</formula>
    </cfRule>
  </conditionalFormatting>
  <conditionalFormatting sqref="A512:A516">
    <cfRule type="expression" dxfId="33" priority="4911" stopIfTrue="1">
      <formula>$A512="file"</formula>
    </cfRule>
  </conditionalFormatting>
  <conditionalFormatting sqref="A512:A516">
    <cfRule type="expression" dxfId="34" priority="4912" stopIfTrue="1">
      <formula>$A512="enumerator"</formula>
    </cfRule>
  </conditionalFormatting>
  <conditionalFormatting sqref="A512:A516">
    <cfRule type="expression" dxfId="35" priority="4913" stopIfTrue="1">
      <formula>OR(AND(LEFT($A512, 14)="sensor_stream ", LEN($A512)&gt;14, NOT(ISNUMBER(SEARCH(" ", $A512, 15)))), AND(LEFT($A512, 17)="sensor_statistic ", LEN($A512)&gt;17, NOT(ISNUMBER(SEARCH(" ", $A512, 18)))))</formula>
    </cfRule>
  </conditionalFormatting>
  <conditionalFormatting sqref="A512:A516">
    <cfRule type="expression" dxfId="14" priority="4914" stopIfTrue="1">
      <formula>$A512="comments"</formula>
    </cfRule>
  </conditionalFormatting>
  <conditionalFormatting sqref="A512:A516">
    <cfRule type="expression" dxfId="15" priority="4915" stopIfTrue="1">
      <formula>OR($A512="audio", $A512="video")</formula>
    </cfRule>
  </conditionalFormatting>
  <conditionalFormatting sqref="A512:A516">
    <cfRule type="expression" dxfId="16" priority="4916" stopIfTrue="1">
      <formula>$A512="image"</formula>
    </cfRule>
  </conditionalFormatting>
  <conditionalFormatting sqref="A512:A516">
    <cfRule type="expression" dxfId="17" priority="4917" stopIfTrue="1">
      <formula>OR($A512="date", $A512="datetime", $A512="time")</formula>
    </cfRule>
  </conditionalFormatting>
  <conditionalFormatting sqref="A512:A516">
    <cfRule type="expression" dxfId="18" priority="4918" stopIfTrue="1">
      <formula>OR($A512="calculate", $A512="calculate_here")</formula>
    </cfRule>
  </conditionalFormatting>
  <conditionalFormatting sqref="A512:A516">
    <cfRule type="expression" dxfId="19" priority="4919" stopIfTrue="1">
      <formula>$A512="note"</formula>
    </cfRule>
  </conditionalFormatting>
  <conditionalFormatting sqref="A512:A516">
    <cfRule type="expression" dxfId="20" priority="4920" stopIfTrue="1">
      <formula>$A512="barcode"</formula>
    </cfRule>
  </conditionalFormatting>
  <conditionalFormatting sqref="A512:A516">
    <cfRule type="expression" dxfId="21" priority="4921" stopIfTrue="1">
      <formula>OR($A512="geopoint", $A512="geoshape", $A512="geotrace")</formula>
    </cfRule>
  </conditionalFormatting>
  <conditionalFormatting sqref="A512:A516">
    <cfRule type="expression" dxfId="22" priority="4922" stopIfTrue="1">
      <formula>OR($A512="audio audit", $A512="text audit", $A512="speed violations count", $A512="speed violations list", $A512="speed violations audit")</formula>
    </cfRule>
  </conditionalFormatting>
  <conditionalFormatting sqref="A512:A516">
    <cfRule type="expression" dxfId="23" priority="4923" stopIfTrue="1">
      <formula>OR($A512="username", $A512="phonenumber", $A512="start", $A512="end", $A512="deviceid", $A512="subscriberid", $A512="simserial", $A512="caseid")</formula>
    </cfRule>
  </conditionalFormatting>
  <conditionalFormatting sqref="A512:A516">
    <cfRule type="expression" dxfId="24" priority="4924" stopIfTrue="1">
      <formula>OR(AND(LEFT($A512, 16)="select_multiple ", LEN($A512)&gt;16, NOT(ISNUMBER(SEARCH(" ", $A512, 17)))), AND(LEFT($A512, 11)="select_one ", LEN($A512)&gt;11, NOT(ISNUMBER(SEARCH(" ", $A512, 12)))))</formula>
    </cfRule>
  </conditionalFormatting>
  <conditionalFormatting sqref="A512:A516">
    <cfRule type="expression" dxfId="25" priority="4925" stopIfTrue="1">
      <formula>$A512="decimal"</formula>
    </cfRule>
  </conditionalFormatting>
  <conditionalFormatting sqref="A512:A516">
    <cfRule type="expression" dxfId="26" priority="4926" stopIfTrue="1">
      <formula>$A512="integer"</formula>
    </cfRule>
  </conditionalFormatting>
  <conditionalFormatting sqref="A512:A516">
    <cfRule type="expression" dxfId="27" priority="4927" stopIfTrue="1">
      <formula>$A512="text"</formula>
    </cfRule>
  </conditionalFormatting>
  <conditionalFormatting sqref="A512:A516">
    <cfRule type="expression" dxfId="28" priority="4928" stopIfTrue="1">
      <formula>$A512="end repeat"</formula>
    </cfRule>
  </conditionalFormatting>
  <conditionalFormatting sqref="A512:A516">
    <cfRule type="expression" dxfId="28" priority="4929" stopIfTrue="1">
      <formula>$A512="begin repeat"</formula>
    </cfRule>
  </conditionalFormatting>
  <conditionalFormatting sqref="A512:A516">
    <cfRule type="expression" dxfId="29" priority="4930" stopIfTrue="1">
      <formula>$A512="end group"</formula>
    </cfRule>
  </conditionalFormatting>
  <conditionalFormatting sqref="A512:A516">
    <cfRule type="expression" dxfId="29" priority="4931" stopIfTrue="1">
      <formula>$A512="begin group"</formula>
    </cfRule>
  </conditionalFormatting>
  <conditionalFormatting sqref="A510">
    <cfRule type="expression" dxfId="33" priority="4932" stopIfTrue="1">
      <formula>$A510="file"</formula>
    </cfRule>
  </conditionalFormatting>
  <conditionalFormatting sqref="A510">
    <cfRule type="expression" dxfId="34" priority="4933" stopIfTrue="1">
      <formula>$A510="enumerator"</formula>
    </cfRule>
  </conditionalFormatting>
  <conditionalFormatting sqref="A510">
    <cfRule type="expression" dxfId="35" priority="4934" stopIfTrue="1">
      <formula>OR(AND(LEFT($A510, 14)="sensor_stream ", LEN($A510)&gt;14, NOT(ISNUMBER(SEARCH(" ", $A510, 15)))), AND(LEFT($A510, 17)="sensor_statistic ", LEN($A510)&gt;17, NOT(ISNUMBER(SEARCH(" ", $A510, 18)))))</formula>
    </cfRule>
  </conditionalFormatting>
  <conditionalFormatting sqref="A510">
    <cfRule type="expression" dxfId="14" priority="4935" stopIfTrue="1">
      <formula>$A510="comments"</formula>
    </cfRule>
  </conditionalFormatting>
  <conditionalFormatting sqref="A510">
    <cfRule type="expression" dxfId="15" priority="4936" stopIfTrue="1">
      <formula>OR($A510="audio", $A510="video")</formula>
    </cfRule>
  </conditionalFormatting>
  <conditionalFormatting sqref="A510">
    <cfRule type="expression" dxfId="16" priority="4937" stopIfTrue="1">
      <formula>$A510="image"</formula>
    </cfRule>
  </conditionalFormatting>
  <conditionalFormatting sqref="A510">
    <cfRule type="expression" dxfId="17" priority="4938" stopIfTrue="1">
      <formula>OR($A510="date", $A510="datetime", $A510="time")</formula>
    </cfRule>
  </conditionalFormatting>
  <conditionalFormatting sqref="A510">
    <cfRule type="expression" dxfId="18" priority="4939" stopIfTrue="1">
      <formula>OR($A510="calculate", $A510="calculate_here")</formula>
    </cfRule>
  </conditionalFormatting>
  <conditionalFormatting sqref="A510">
    <cfRule type="expression" dxfId="19" priority="4940" stopIfTrue="1">
      <formula>$A510="note"</formula>
    </cfRule>
  </conditionalFormatting>
  <conditionalFormatting sqref="A510">
    <cfRule type="expression" dxfId="20" priority="4941" stopIfTrue="1">
      <formula>$A510="barcode"</formula>
    </cfRule>
  </conditionalFormatting>
  <conditionalFormatting sqref="A510">
    <cfRule type="expression" dxfId="21" priority="4942" stopIfTrue="1">
      <formula>OR($A510="geopoint", $A510="geoshape", $A510="geotrace")</formula>
    </cfRule>
  </conditionalFormatting>
  <conditionalFormatting sqref="A510">
    <cfRule type="expression" dxfId="22" priority="4943" stopIfTrue="1">
      <formula>OR($A510="audio audit", $A510="text audit", $A510="speed violations count", $A510="speed violations list", $A510="speed violations audit")</formula>
    </cfRule>
  </conditionalFormatting>
  <conditionalFormatting sqref="A510">
    <cfRule type="expression" dxfId="23" priority="4944" stopIfTrue="1">
      <formula>OR($A510="username", $A510="phonenumber", $A510="start", $A510="end", $A510="deviceid", $A510="subscriberid", $A510="simserial", $A510="caseid")</formula>
    </cfRule>
  </conditionalFormatting>
  <conditionalFormatting sqref="A510">
    <cfRule type="expression" dxfId="24" priority="4945" stopIfTrue="1">
      <formula>OR(AND(LEFT($A510, 16)="select_multiple ", LEN($A510)&gt;16, NOT(ISNUMBER(SEARCH(" ", $A510, 17)))), AND(LEFT($A510, 11)="select_one ", LEN($A510)&gt;11, NOT(ISNUMBER(SEARCH(" ", $A510, 12)))))</formula>
    </cfRule>
  </conditionalFormatting>
  <conditionalFormatting sqref="A510">
    <cfRule type="expression" dxfId="25" priority="4946" stopIfTrue="1">
      <formula>$A510="decimal"</formula>
    </cfRule>
  </conditionalFormatting>
  <conditionalFormatting sqref="A510">
    <cfRule type="expression" dxfId="26" priority="4947" stopIfTrue="1">
      <formula>$A510="integer"</formula>
    </cfRule>
  </conditionalFormatting>
  <conditionalFormatting sqref="A510">
    <cfRule type="expression" dxfId="27" priority="4948" stopIfTrue="1">
      <formula>$A510="text"</formula>
    </cfRule>
  </conditionalFormatting>
  <conditionalFormatting sqref="A510">
    <cfRule type="expression" dxfId="28" priority="4949" stopIfTrue="1">
      <formula>$A510="end repeat"</formula>
    </cfRule>
  </conditionalFormatting>
  <conditionalFormatting sqref="A510">
    <cfRule type="expression" dxfId="28" priority="4950" stopIfTrue="1">
      <formula>$A510="begin repeat"</formula>
    </cfRule>
  </conditionalFormatting>
  <conditionalFormatting sqref="A510">
    <cfRule type="expression" dxfId="29" priority="4951" stopIfTrue="1">
      <formula>$A510="end group"</formula>
    </cfRule>
  </conditionalFormatting>
  <conditionalFormatting sqref="A510">
    <cfRule type="expression" dxfId="29" priority="4952" stopIfTrue="1">
      <formula>$A510="begin group"</formula>
    </cfRule>
  </conditionalFormatting>
  <conditionalFormatting sqref="A503:A505">
    <cfRule type="expression" dxfId="33" priority="4953" stopIfTrue="1">
      <formula>$A503="file"</formula>
    </cfRule>
  </conditionalFormatting>
  <conditionalFormatting sqref="A503:A505">
    <cfRule type="expression" dxfId="34" priority="4954" stopIfTrue="1">
      <formula>$A503="enumerator"</formula>
    </cfRule>
  </conditionalFormatting>
  <conditionalFormatting sqref="A503:A505">
    <cfRule type="expression" dxfId="35" priority="4955" stopIfTrue="1">
      <formula>OR(AND(LEFT($A503, 14)="sensor_stream ", LEN($A503)&gt;14, NOT(ISNUMBER(SEARCH(" ", $A503, 15)))), AND(LEFT($A503, 17)="sensor_statistic ", LEN($A503)&gt;17, NOT(ISNUMBER(SEARCH(" ", $A503, 18)))))</formula>
    </cfRule>
  </conditionalFormatting>
  <conditionalFormatting sqref="A503:A505">
    <cfRule type="expression" dxfId="14" priority="4956" stopIfTrue="1">
      <formula>$A503="comments"</formula>
    </cfRule>
  </conditionalFormatting>
  <conditionalFormatting sqref="A503:A505">
    <cfRule type="expression" dxfId="15" priority="4957" stopIfTrue="1">
      <formula>OR($A503="audio", $A503="video")</formula>
    </cfRule>
  </conditionalFormatting>
  <conditionalFormatting sqref="A503:A505">
    <cfRule type="expression" dxfId="16" priority="4958" stopIfTrue="1">
      <formula>$A503="image"</formula>
    </cfRule>
  </conditionalFormatting>
  <conditionalFormatting sqref="A503:A505">
    <cfRule type="expression" dxfId="17" priority="4959" stopIfTrue="1">
      <formula>OR($A503="date", $A503="datetime", $A503="time")</formula>
    </cfRule>
  </conditionalFormatting>
  <conditionalFormatting sqref="A503:A505">
    <cfRule type="expression" dxfId="18" priority="4960" stopIfTrue="1">
      <formula>OR($A503="calculate", $A503="calculate_here")</formula>
    </cfRule>
  </conditionalFormatting>
  <conditionalFormatting sqref="A503:A505">
    <cfRule type="expression" dxfId="19" priority="4961" stopIfTrue="1">
      <formula>$A503="note"</formula>
    </cfRule>
  </conditionalFormatting>
  <conditionalFormatting sqref="A503:A505">
    <cfRule type="expression" dxfId="20" priority="4962" stopIfTrue="1">
      <formula>$A503="barcode"</formula>
    </cfRule>
  </conditionalFormatting>
  <conditionalFormatting sqref="A503:A505">
    <cfRule type="expression" dxfId="21" priority="4963" stopIfTrue="1">
      <formula>OR($A503="geopoint", $A503="geoshape", $A503="geotrace")</formula>
    </cfRule>
  </conditionalFormatting>
  <conditionalFormatting sqref="A503:A505">
    <cfRule type="expression" dxfId="22" priority="4964" stopIfTrue="1">
      <formula>OR($A503="audio audit", $A503="text audit", $A503="speed violations count", $A503="speed violations list", $A503="speed violations audit")</formula>
    </cfRule>
  </conditionalFormatting>
  <conditionalFormatting sqref="A503:A505">
    <cfRule type="expression" dxfId="23" priority="4965" stopIfTrue="1">
      <formula>OR($A503="username", $A503="phonenumber", $A503="start", $A503="end", $A503="deviceid", $A503="subscriberid", $A503="simserial", $A503="caseid")</formula>
    </cfRule>
  </conditionalFormatting>
  <conditionalFormatting sqref="A503:A505">
    <cfRule type="expression" dxfId="24" priority="4966" stopIfTrue="1">
      <formula>OR(AND(LEFT($A503, 16)="select_multiple ", LEN($A503)&gt;16, NOT(ISNUMBER(SEARCH(" ", $A503, 17)))), AND(LEFT($A503, 11)="select_one ", LEN($A503)&gt;11, NOT(ISNUMBER(SEARCH(" ", $A503, 12)))))</formula>
    </cfRule>
  </conditionalFormatting>
  <conditionalFormatting sqref="A503:A505">
    <cfRule type="expression" dxfId="25" priority="4967" stopIfTrue="1">
      <formula>$A503="decimal"</formula>
    </cfRule>
  </conditionalFormatting>
  <conditionalFormatting sqref="A503:A505">
    <cfRule type="expression" dxfId="26" priority="4968" stopIfTrue="1">
      <formula>$A503="integer"</formula>
    </cfRule>
  </conditionalFormatting>
  <conditionalFormatting sqref="A503:A505">
    <cfRule type="expression" dxfId="27" priority="4969" stopIfTrue="1">
      <formula>$A503="text"</formula>
    </cfRule>
  </conditionalFormatting>
  <conditionalFormatting sqref="A503:A505">
    <cfRule type="expression" dxfId="28" priority="4970" stopIfTrue="1">
      <formula>$A503="end repeat"</formula>
    </cfRule>
  </conditionalFormatting>
  <conditionalFormatting sqref="A503:A505">
    <cfRule type="expression" dxfId="28" priority="4971" stopIfTrue="1">
      <formula>$A503="begin repeat"</formula>
    </cfRule>
  </conditionalFormatting>
  <conditionalFormatting sqref="A503:A505">
    <cfRule type="expression" dxfId="29" priority="4972" stopIfTrue="1">
      <formula>$A503="end group"</formula>
    </cfRule>
  </conditionalFormatting>
  <conditionalFormatting sqref="A503:A505">
    <cfRule type="expression" dxfId="29" priority="4973" stopIfTrue="1">
      <formula>$A503="begin group"</formula>
    </cfRule>
  </conditionalFormatting>
  <conditionalFormatting sqref="A493:A497">
    <cfRule type="expression" dxfId="33" priority="4974" stopIfTrue="1">
      <formula>$A493="file"</formula>
    </cfRule>
  </conditionalFormatting>
  <conditionalFormatting sqref="A493:A497">
    <cfRule type="expression" dxfId="34" priority="4975" stopIfTrue="1">
      <formula>$A493="enumerator"</formula>
    </cfRule>
  </conditionalFormatting>
  <conditionalFormatting sqref="A493:A497">
    <cfRule type="expression" dxfId="35" priority="4976" stopIfTrue="1">
      <formula>OR(AND(LEFT($A493, 14)="sensor_stream ", LEN($A493)&gt;14, NOT(ISNUMBER(SEARCH(" ", $A493, 15)))), AND(LEFT($A493, 17)="sensor_statistic ", LEN($A493)&gt;17, NOT(ISNUMBER(SEARCH(" ", $A493, 18)))))</formula>
    </cfRule>
  </conditionalFormatting>
  <conditionalFormatting sqref="A493:A497">
    <cfRule type="expression" dxfId="14" priority="4977" stopIfTrue="1">
      <formula>$A493="comments"</formula>
    </cfRule>
  </conditionalFormatting>
  <conditionalFormatting sqref="A493:A497">
    <cfRule type="expression" dxfId="15" priority="4978" stopIfTrue="1">
      <formula>OR($A493="audio", $A493="video")</formula>
    </cfRule>
  </conditionalFormatting>
  <conditionalFormatting sqref="A493:A497">
    <cfRule type="expression" dxfId="16" priority="4979" stopIfTrue="1">
      <formula>$A493="image"</formula>
    </cfRule>
  </conditionalFormatting>
  <conditionalFormatting sqref="A493:A497">
    <cfRule type="expression" dxfId="17" priority="4980" stopIfTrue="1">
      <formula>OR($A493="date", $A493="datetime", $A493="time")</formula>
    </cfRule>
  </conditionalFormatting>
  <conditionalFormatting sqref="A493:A497">
    <cfRule type="expression" dxfId="18" priority="4981" stopIfTrue="1">
      <formula>OR($A493="calculate", $A493="calculate_here")</formula>
    </cfRule>
  </conditionalFormatting>
  <conditionalFormatting sqref="A493:A497">
    <cfRule type="expression" dxfId="19" priority="4982" stopIfTrue="1">
      <formula>$A493="note"</formula>
    </cfRule>
  </conditionalFormatting>
  <conditionalFormatting sqref="A493:A497">
    <cfRule type="expression" dxfId="20" priority="4983" stopIfTrue="1">
      <formula>$A493="barcode"</formula>
    </cfRule>
  </conditionalFormatting>
  <conditionalFormatting sqref="A493:A497">
    <cfRule type="expression" dxfId="21" priority="4984" stopIfTrue="1">
      <formula>OR($A493="geopoint", $A493="geoshape", $A493="geotrace")</formula>
    </cfRule>
  </conditionalFormatting>
  <conditionalFormatting sqref="A493:A497">
    <cfRule type="expression" dxfId="22" priority="4985" stopIfTrue="1">
      <formula>OR($A493="audio audit", $A493="text audit", $A493="speed violations count", $A493="speed violations list", $A493="speed violations audit")</formula>
    </cfRule>
  </conditionalFormatting>
  <conditionalFormatting sqref="A493:A497">
    <cfRule type="expression" dxfId="23" priority="4986" stopIfTrue="1">
      <formula>OR($A493="username", $A493="phonenumber", $A493="start", $A493="end", $A493="deviceid", $A493="subscriberid", $A493="simserial", $A493="caseid")</formula>
    </cfRule>
  </conditionalFormatting>
  <conditionalFormatting sqref="A493:A497">
    <cfRule type="expression" dxfId="24" priority="4987" stopIfTrue="1">
      <formula>OR(AND(LEFT($A493, 16)="select_multiple ", LEN($A493)&gt;16, NOT(ISNUMBER(SEARCH(" ", $A493, 17)))), AND(LEFT($A493, 11)="select_one ", LEN($A493)&gt;11, NOT(ISNUMBER(SEARCH(" ", $A493, 12)))))</formula>
    </cfRule>
  </conditionalFormatting>
  <conditionalFormatting sqref="A493:A497">
    <cfRule type="expression" dxfId="25" priority="4988" stopIfTrue="1">
      <formula>$A493="decimal"</formula>
    </cfRule>
  </conditionalFormatting>
  <conditionalFormatting sqref="A493:A497">
    <cfRule type="expression" dxfId="26" priority="4989" stopIfTrue="1">
      <formula>$A493="integer"</formula>
    </cfRule>
  </conditionalFormatting>
  <conditionalFormatting sqref="A493:A497">
    <cfRule type="expression" dxfId="27" priority="4990" stopIfTrue="1">
      <formula>$A493="text"</formula>
    </cfRule>
  </conditionalFormatting>
  <conditionalFormatting sqref="A493:A497">
    <cfRule type="expression" dxfId="28" priority="4991" stopIfTrue="1">
      <formula>$A493="end repeat"</formula>
    </cfRule>
  </conditionalFormatting>
  <conditionalFormatting sqref="A493:A497">
    <cfRule type="expression" dxfId="28" priority="4992" stopIfTrue="1">
      <formula>$A493="begin repeat"</formula>
    </cfRule>
  </conditionalFormatting>
  <conditionalFormatting sqref="A493:A497">
    <cfRule type="expression" dxfId="29" priority="4993" stopIfTrue="1">
      <formula>$A493="end group"</formula>
    </cfRule>
  </conditionalFormatting>
  <conditionalFormatting sqref="A493:A497">
    <cfRule type="expression" dxfId="29" priority="4994" stopIfTrue="1">
      <formula>$A493="begin group"</formula>
    </cfRule>
  </conditionalFormatting>
  <conditionalFormatting sqref="A487:A488">
    <cfRule type="expression" dxfId="33" priority="4995" stopIfTrue="1">
      <formula>$A487="file"</formula>
    </cfRule>
  </conditionalFormatting>
  <conditionalFormatting sqref="A487:A488">
    <cfRule type="expression" dxfId="34" priority="4996" stopIfTrue="1">
      <formula>$A487="enumerator"</formula>
    </cfRule>
  </conditionalFormatting>
  <conditionalFormatting sqref="A487:A488">
    <cfRule type="expression" dxfId="35" priority="4997" stopIfTrue="1">
      <formula>OR(AND(LEFT($A487, 14)="sensor_stream ", LEN($A487)&gt;14, NOT(ISNUMBER(SEARCH(" ", $A487, 15)))), AND(LEFT($A487, 17)="sensor_statistic ", LEN($A487)&gt;17, NOT(ISNUMBER(SEARCH(" ", $A487, 18)))))</formula>
    </cfRule>
  </conditionalFormatting>
  <conditionalFormatting sqref="A487:A488">
    <cfRule type="expression" dxfId="14" priority="4998" stopIfTrue="1">
      <formula>$A487="comments"</formula>
    </cfRule>
  </conditionalFormatting>
  <conditionalFormatting sqref="A487:A488">
    <cfRule type="expression" dxfId="15" priority="4999" stopIfTrue="1">
      <formula>OR($A487="audio", $A487="video")</formula>
    </cfRule>
  </conditionalFormatting>
  <conditionalFormatting sqref="A487:A488">
    <cfRule type="expression" dxfId="16" priority="5000" stopIfTrue="1">
      <formula>$A487="image"</formula>
    </cfRule>
  </conditionalFormatting>
  <conditionalFormatting sqref="A487:A488">
    <cfRule type="expression" dxfId="17" priority="5001" stopIfTrue="1">
      <formula>OR($A487="date", $A487="datetime", $A487="time")</formula>
    </cfRule>
  </conditionalFormatting>
  <conditionalFormatting sqref="A487:A488">
    <cfRule type="expression" dxfId="18" priority="5002" stopIfTrue="1">
      <formula>OR($A487="calculate", $A487="calculate_here")</formula>
    </cfRule>
  </conditionalFormatting>
  <conditionalFormatting sqref="A487:A488">
    <cfRule type="expression" dxfId="19" priority="5003" stopIfTrue="1">
      <formula>$A487="note"</formula>
    </cfRule>
  </conditionalFormatting>
  <conditionalFormatting sqref="A487:A488">
    <cfRule type="expression" dxfId="20" priority="5004" stopIfTrue="1">
      <formula>$A487="barcode"</formula>
    </cfRule>
  </conditionalFormatting>
  <conditionalFormatting sqref="A487:A488">
    <cfRule type="expression" dxfId="21" priority="5005" stopIfTrue="1">
      <formula>OR($A487="geopoint", $A487="geoshape", $A487="geotrace")</formula>
    </cfRule>
  </conditionalFormatting>
  <conditionalFormatting sqref="A487:A488">
    <cfRule type="expression" dxfId="22" priority="5006" stopIfTrue="1">
      <formula>OR($A487="audio audit", $A487="text audit", $A487="speed violations count", $A487="speed violations list", $A487="speed violations audit")</formula>
    </cfRule>
  </conditionalFormatting>
  <conditionalFormatting sqref="A487:A488">
    <cfRule type="expression" dxfId="23" priority="5007" stopIfTrue="1">
      <formula>OR($A487="username", $A487="phonenumber", $A487="start", $A487="end", $A487="deviceid", $A487="subscriberid", $A487="simserial", $A487="caseid")</formula>
    </cfRule>
  </conditionalFormatting>
  <conditionalFormatting sqref="A487:A488">
    <cfRule type="expression" dxfId="24" priority="5008" stopIfTrue="1">
      <formula>OR(AND(LEFT($A487, 16)="select_multiple ", LEN($A487)&gt;16, NOT(ISNUMBER(SEARCH(" ", $A487, 17)))), AND(LEFT($A487, 11)="select_one ", LEN($A487)&gt;11, NOT(ISNUMBER(SEARCH(" ", $A487, 12)))))</formula>
    </cfRule>
  </conditionalFormatting>
  <conditionalFormatting sqref="A487:A488">
    <cfRule type="expression" dxfId="25" priority="5009" stopIfTrue="1">
      <formula>$A487="decimal"</formula>
    </cfRule>
  </conditionalFormatting>
  <conditionalFormatting sqref="A487:A488">
    <cfRule type="expression" dxfId="26" priority="5010" stopIfTrue="1">
      <formula>$A487="integer"</formula>
    </cfRule>
  </conditionalFormatting>
  <conditionalFormatting sqref="A487:A488">
    <cfRule type="expression" dxfId="27" priority="5011" stopIfTrue="1">
      <formula>$A487="text"</formula>
    </cfRule>
  </conditionalFormatting>
  <conditionalFormatting sqref="A487:A488">
    <cfRule type="expression" dxfId="28" priority="5012" stopIfTrue="1">
      <formula>$A487="end repeat"</formula>
    </cfRule>
  </conditionalFormatting>
  <conditionalFormatting sqref="A487:A488">
    <cfRule type="expression" dxfId="28" priority="5013" stopIfTrue="1">
      <formula>$A487="begin repeat"</formula>
    </cfRule>
  </conditionalFormatting>
  <conditionalFormatting sqref="A487:A488">
    <cfRule type="expression" dxfId="29" priority="5014" stopIfTrue="1">
      <formula>$A487="end group"</formula>
    </cfRule>
  </conditionalFormatting>
  <conditionalFormatting sqref="A487:A488">
    <cfRule type="expression" dxfId="29" priority="5015" stopIfTrue="1">
      <formula>$A487="begin group"</formula>
    </cfRule>
  </conditionalFormatting>
  <conditionalFormatting sqref="A483:A485">
    <cfRule type="expression" dxfId="33" priority="5016" stopIfTrue="1">
      <formula>$A483="file"</formula>
    </cfRule>
  </conditionalFormatting>
  <conditionalFormatting sqref="A483:A485">
    <cfRule type="expression" dxfId="34" priority="5017" stopIfTrue="1">
      <formula>$A483="enumerator"</formula>
    </cfRule>
  </conditionalFormatting>
  <conditionalFormatting sqref="A483:A485">
    <cfRule type="expression" dxfId="35" priority="5018" stopIfTrue="1">
      <formula>OR(AND(LEFT($A483, 14)="sensor_stream ", LEN($A483)&gt;14, NOT(ISNUMBER(SEARCH(" ", $A483, 15)))), AND(LEFT($A483, 17)="sensor_statistic ", LEN($A483)&gt;17, NOT(ISNUMBER(SEARCH(" ", $A483, 18)))))</formula>
    </cfRule>
  </conditionalFormatting>
  <conditionalFormatting sqref="A483:A485">
    <cfRule type="expression" dxfId="14" priority="5019" stopIfTrue="1">
      <formula>$A483="comments"</formula>
    </cfRule>
  </conditionalFormatting>
  <conditionalFormatting sqref="A483:A485">
    <cfRule type="expression" dxfId="15" priority="5020" stopIfTrue="1">
      <formula>OR($A483="audio", $A483="video")</formula>
    </cfRule>
  </conditionalFormatting>
  <conditionalFormatting sqref="A483:A485">
    <cfRule type="expression" dxfId="16" priority="5021" stopIfTrue="1">
      <formula>$A483="image"</formula>
    </cfRule>
  </conditionalFormatting>
  <conditionalFormatting sqref="A483:A485">
    <cfRule type="expression" dxfId="17" priority="5022" stopIfTrue="1">
      <formula>OR($A483="date", $A483="datetime", $A483="time")</formula>
    </cfRule>
  </conditionalFormatting>
  <conditionalFormatting sqref="A483:A485">
    <cfRule type="expression" dxfId="18" priority="5023" stopIfTrue="1">
      <formula>OR($A483="calculate", $A483="calculate_here")</formula>
    </cfRule>
  </conditionalFormatting>
  <conditionalFormatting sqref="A483:A485">
    <cfRule type="expression" dxfId="19" priority="5024" stopIfTrue="1">
      <formula>$A483="note"</formula>
    </cfRule>
  </conditionalFormatting>
  <conditionalFormatting sqref="A483:A485">
    <cfRule type="expression" dxfId="20" priority="5025" stopIfTrue="1">
      <formula>$A483="barcode"</formula>
    </cfRule>
  </conditionalFormatting>
  <conditionalFormatting sqref="A483:A485">
    <cfRule type="expression" dxfId="21" priority="5026" stopIfTrue="1">
      <formula>OR($A483="geopoint", $A483="geoshape", $A483="geotrace")</formula>
    </cfRule>
  </conditionalFormatting>
  <conditionalFormatting sqref="A483:A485">
    <cfRule type="expression" dxfId="22" priority="5027" stopIfTrue="1">
      <formula>OR($A483="audio audit", $A483="text audit", $A483="speed violations count", $A483="speed violations list", $A483="speed violations audit")</formula>
    </cfRule>
  </conditionalFormatting>
  <conditionalFormatting sqref="A483:A485">
    <cfRule type="expression" dxfId="23" priority="5028" stopIfTrue="1">
      <formula>OR($A483="username", $A483="phonenumber", $A483="start", $A483="end", $A483="deviceid", $A483="subscriberid", $A483="simserial", $A483="caseid")</formula>
    </cfRule>
  </conditionalFormatting>
  <conditionalFormatting sqref="A483:A485">
    <cfRule type="expression" dxfId="24" priority="5029" stopIfTrue="1">
      <formula>OR(AND(LEFT($A483, 16)="select_multiple ", LEN($A483)&gt;16, NOT(ISNUMBER(SEARCH(" ", $A483, 17)))), AND(LEFT($A483, 11)="select_one ", LEN($A483)&gt;11, NOT(ISNUMBER(SEARCH(" ", $A483, 12)))))</formula>
    </cfRule>
  </conditionalFormatting>
  <conditionalFormatting sqref="A483:A485">
    <cfRule type="expression" dxfId="25" priority="5030" stopIfTrue="1">
      <formula>$A483="decimal"</formula>
    </cfRule>
  </conditionalFormatting>
  <conditionalFormatting sqref="A483:A485">
    <cfRule type="expression" dxfId="26" priority="5031" stopIfTrue="1">
      <formula>$A483="integer"</formula>
    </cfRule>
  </conditionalFormatting>
  <conditionalFormatting sqref="A483:A485">
    <cfRule type="expression" dxfId="27" priority="5032" stopIfTrue="1">
      <formula>$A483="text"</formula>
    </cfRule>
  </conditionalFormatting>
  <conditionalFormatting sqref="A483:A485">
    <cfRule type="expression" dxfId="28" priority="5033" stopIfTrue="1">
      <formula>$A483="end repeat"</formula>
    </cfRule>
  </conditionalFormatting>
  <conditionalFormatting sqref="A483:A485">
    <cfRule type="expression" dxfId="28" priority="5034" stopIfTrue="1">
      <formula>$A483="begin repeat"</formula>
    </cfRule>
  </conditionalFormatting>
  <conditionalFormatting sqref="A483:A485">
    <cfRule type="expression" dxfId="29" priority="5035" stopIfTrue="1">
      <formula>$A483="end group"</formula>
    </cfRule>
  </conditionalFormatting>
  <conditionalFormatting sqref="A483:A485">
    <cfRule type="expression" dxfId="29" priority="5036" stopIfTrue="1">
      <formula>$A483="begin group"</formula>
    </cfRule>
  </conditionalFormatting>
  <conditionalFormatting sqref="A481">
    <cfRule type="expression" dxfId="33" priority="5037" stopIfTrue="1">
      <formula>$A481="file"</formula>
    </cfRule>
  </conditionalFormatting>
  <conditionalFormatting sqref="A481">
    <cfRule type="expression" dxfId="34" priority="5038" stopIfTrue="1">
      <formula>$A481="enumerator"</formula>
    </cfRule>
  </conditionalFormatting>
  <conditionalFormatting sqref="A481">
    <cfRule type="expression" dxfId="35" priority="5039" stopIfTrue="1">
      <formula>OR(AND(LEFT($A481, 14)="sensor_stream ", LEN($A481)&gt;14, NOT(ISNUMBER(SEARCH(" ", $A481, 15)))), AND(LEFT($A481, 17)="sensor_statistic ", LEN($A481)&gt;17, NOT(ISNUMBER(SEARCH(" ", $A481, 18)))))</formula>
    </cfRule>
  </conditionalFormatting>
  <conditionalFormatting sqref="A481">
    <cfRule type="expression" dxfId="14" priority="5040" stopIfTrue="1">
      <formula>$A481="comments"</formula>
    </cfRule>
  </conditionalFormatting>
  <conditionalFormatting sqref="A481">
    <cfRule type="expression" dxfId="15" priority="5041" stopIfTrue="1">
      <formula>OR($A481="audio", $A481="video")</formula>
    </cfRule>
  </conditionalFormatting>
  <conditionalFormatting sqref="A481">
    <cfRule type="expression" dxfId="16" priority="5042" stopIfTrue="1">
      <formula>$A481="image"</formula>
    </cfRule>
  </conditionalFormatting>
  <conditionalFormatting sqref="A481">
    <cfRule type="expression" dxfId="17" priority="5043" stopIfTrue="1">
      <formula>OR($A481="date", $A481="datetime", $A481="time")</formula>
    </cfRule>
  </conditionalFormatting>
  <conditionalFormatting sqref="A481">
    <cfRule type="expression" dxfId="18" priority="5044" stopIfTrue="1">
      <formula>OR($A481="calculate", $A481="calculate_here")</formula>
    </cfRule>
  </conditionalFormatting>
  <conditionalFormatting sqref="A481">
    <cfRule type="expression" dxfId="19" priority="5045" stopIfTrue="1">
      <formula>$A481="note"</formula>
    </cfRule>
  </conditionalFormatting>
  <conditionalFormatting sqref="A481">
    <cfRule type="expression" dxfId="20" priority="5046" stopIfTrue="1">
      <formula>$A481="barcode"</formula>
    </cfRule>
  </conditionalFormatting>
  <conditionalFormatting sqref="A481">
    <cfRule type="expression" dxfId="21" priority="5047" stopIfTrue="1">
      <formula>OR($A481="geopoint", $A481="geoshape", $A481="geotrace")</formula>
    </cfRule>
  </conditionalFormatting>
  <conditionalFormatting sqref="A481">
    <cfRule type="expression" dxfId="22" priority="5048" stopIfTrue="1">
      <formula>OR($A481="audio audit", $A481="text audit", $A481="speed violations count", $A481="speed violations list", $A481="speed violations audit")</formula>
    </cfRule>
  </conditionalFormatting>
  <conditionalFormatting sqref="A481">
    <cfRule type="expression" dxfId="23" priority="5049" stopIfTrue="1">
      <formula>OR($A481="username", $A481="phonenumber", $A481="start", $A481="end", $A481="deviceid", $A481="subscriberid", $A481="simserial", $A481="caseid")</formula>
    </cfRule>
  </conditionalFormatting>
  <conditionalFormatting sqref="A481">
    <cfRule type="expression" dxfId="24" priority="5050" stopIfTrue="1">
      <formula>OR(AND(LEFT($A481, 16)="select_multiple ", LEN($A481)&gt;16, NOT(ISNUMBER(SEARCH(" ", $A481, 17)))), AND(LEFT($A481, 11)="select_one ", LEN($A481)&gt;11, NOT(ISNUMBER(SEARCH(" ", $A481, 12)))))</formula>
    </cfRule>
  </conditionalFormatting>
  <conditionalFormatting sqref="A481">
    <cfRule type="expression" dxfId="25" priority="5051" stopIfTrue="1">
      <formula>$A481="decimal"</formula>
    </cfRule>
  </conditionalFormatting>
  <conditionalFormatting sqref="A481">
    <cfRule type="expression" dxfId="26" priority="5052" stopIfTrue="1">
      <formula>$A481="integer"</formula>
    </cfRule>
  </conditionalFormatting>
  <conditionalFormatting sqref="A481">
    <cfRule type="expression" dxfId="27" priority="5053" stopIfTrue="1">
      <formula>$A481="text"</formula>
    </cfRule>
  </conditionalFormatting>
  <conditionalFormatting sqref="A481">
    <cfRule type="expression" dxfId="28" priority="5054" stopIfTrue="1">
      <formula>$A481="end repeat"</formula>
    </cfRule>
  </conditionalFormatting>
  <conditionalFormatting sqref="A481">
    <cfRule type="expression" dxfId="28" priority="5055" stopIfTrue="1">
      <formula>$A481="begin repeat"</formula>
    </cfRule>
  </conditionalFormatting>
  <conditionalFormatting sqref="A481">
    <cfRule type="expression" dxfId="29" priority="5056" stopIfTrue="1">
      <formula>$A481="end group"</formula>
    </cfRule>
  </conditionalFormatting>
  <conditionalFormatting sqref="A481">
    <cfRule type="expression" dxfId="29" priority="5057" stopIfTrue="1">
      <formula>$A481="begin group"</formula>
    </cfRule>
  </conditionalFormatting>
  <conditionalFormatting sqref="A478:A479">
    <cfRule type="expression" dxfId="33" priority="5058" stopIfTrue="1">
      <formula>$A478="file"</formula>
    </cfRule>
  </conditionalFormatting>
  <conditionalFormatting sqref="A478:A479">
    <cfRule type="expression" dxfId="34" priority="5059" stopIfTrue="1">
      <formula>$A478="enumerator"</formula>
    </cfRule>
  </conditionalFormatting>
  <conditionalFormatting sqref="A478:A479">
    <cfRule type="expression" dxfId="35" priority="5060" stopIfTrue="1">
      <formula>OR(AND(LEFT($A478, 14)="sensor_stream ", LEN($A478)&gt;14, NOT(ISNUMBER(SEARCH(" ", $A478, 15)))), AND(LEFT($A478, 17)="sensor_statistic ", LEN($A478)&gt;17, NOT(ISNUMBER(SEARCH(" ", $A478, 18)))))</formula>
    </cfRule>
  </conditionalFormatting>
  <conditionalFormatting sqref="A478:A479">
    <cfRule type="expression" dxfId="14" priority="5061" stopIfTrue="1">
      <formula>$A478="comments"</formula>
    </cfRule>
  </conditionalFormatting>
  <conditionalFormatting sqref="A478:A479">
    <cfRule type="expression" dxfId="15" priority="5062" stopIfTrue="1">
      <formula>OR($A478="audio", $A478="video")</formula>
    </cfRule>
  </conditionalFormatting>
  <conditionalFormatting sqref="A478:A479">
    <cfRule type="expression" dxfId="16" priority="5063" stopIfTrue="1">
      <formula>$A478="image"</formula>
    </cfRule>
  </conditionalFormatting>
  <conditionalFormatting sqref="A478:A479">
    <cfRule type="expression" dxfId="17" priority="5064" stopIfTrue="1">
      <formula>OR($A478="date", $A478="datetime", $A478="time")</formula>
    </cfRule>
  </conditionalFormatting>
  <conditionalFormatting sqref="A478:A479">
    <cfRule type="expression" dxfId="18" priority="5065" stopIfTrue="1">
      <formula>OR($A478="calculate", $A478="calculate_here")</formula>
    </cfRule>
  </conditionalFormatting>
  <conditionalFormatting sqref="A478:A479">
    <cfRule type="expression" dxfId="19" priority="5066" stopIfTrue="1">
      <formula>$A478="note"</formula>
    </cfRule>
  </conditionalFormatting>
  <conditionalFormatting sqref="A478:A479">
    <cfRule type="expression" dxfId="20" priority="5067" stopIfTrue="1">
      <formula>$A478="barcode"</formula>
    </cfRule>
  </conditionalFormatting>
  <conditionalFormatting sqref="A478:A479">
    <cfRule type="expression" dxfId="21" priority="5068" stopIfTrue="1">
      <formula>OR($A478="geopoint", $A478="geoshape", $A478="geotrace")</formula>
    </cfRule>
  </conditionalFormatting>
  <conditionalFormatting sqref="A478:A479">
    <cfRule type="expression" dxfId="22" priority="5069" stopIfTrue="1">
      <formula>OR($A478="audio audit", $A478="text audit", $A478="speed violations count", $A478="speed violations list", $A478="speed violations audit")</formula>
    </cfRule>
  </conditionalFormatting>
  <conditionalFormatting sqref="A478:A479">
    <cfRule type="expression" dxfId="23" priority="5070" stopIfTrue="1">
      <formula>OR($A478="username", $A478="phonenumber", $A478="start", $A478="end", $A478="deviceid", $A478="subscriberid", $A478="simserial", $A478="caseid")</formula>
    </cfRule>
  </conditionalFormatting>
  <conditionalFormatting sqref="A478:A479">
    <cfRule type="expression" dxfId="24" priority="5071" stopIfTrue="1">
      <formula>OR(AND(LEFT($A478, 16)="select_multiple ", LEN($A478)&gt;16, NOT(ISNUMBER(SEARCH(" ", $A478, 17)))), AND(LEFT($A478, 11)="select_one ", LEN($A478)&gt;11, NOT(ISNUMBER(SEARCH(" ", $A478, 12)))))</formula>
    </cfRule>
  </conditionalFormatting>
  <conditionalFormatting sqref="A478:A479">
    <cfRule type="expression" dxfId="25" priority="5072" stopIfTrue="1">
      <formula>$A478="decimal"</formula>
    </cfRule>
  </conditionalFormatting>
  <conditionalFormatting sqref="A478:A479">
    <cfRule type="expression" dxfId="26" priority="5073" stopIfTrue="1">
      <formula>$A478="integer"</formula>
    </cfRule>
  </conditionalFormatting>
  <conditionalFormatting sqref="A478:A479">
    <cfRule type="expression" dxfId="27" priority="5074" stopIfTrue="1">
      <formula>$A478="text"</formula>
    </cfRule>
  </conditionalFormatting>
  <conditionalFormatting sqref="A478:A479">
    <cfRule type="expression" dxfId="28" priority="5075" stopIfTrue="1">
      <formula>$A478="end repeat"</formula>
    </cfRule>
  </conditionalFormatting>
  <conditionalFormatting sqref="A478:A479">
    <cfRule type="expression" dxfId="28" priority="5076" stopIfTrue="1">
      <formula>$A478="begin repeat"</formula>
    </cfRule>
  </conditionalFormatting>
  <conditionalFormatting sqref="A478:A479">
    <cfRule type="expression" dxfId="29" priority="5077" stopIfTrue="1">
      <formula>$A478="end group"</formula>
    </cfRule>
  </conditionalFormatting>
  <conditionalFormatting sqref="A478:A479">
    <cfRule type="expression" dxfId="29" priority="5078" stopIfTrue="1">
      <formula>$A478="begin group"</formula>
    </cfRule>
  </conditionalFormatting>
  <conditionalFormatting sqref="A471:A473">
    <cfRule type="expression" dxfId="33" priority="5079" stopIfTrue="1">
      <formula>$A471="file"</formula>
    </cfRule>
  </conditionalFormatting>
  <conditionalFormatting sqref="A471:A473">
    <cfRule type="expression" dxfId="34" priority="5080" stopIfTrue="1">
      <formula>$A471="enumerator"</formula>
    </cfRule>
  </conditionalFormatting>
  <conditionalFormatting sqref="A471:A473">
    <cfRule type="expression" dxfId="35" priority="5081" stopIfTrue="1">
      <formula>OR(AND(LEFT($A471, 14)="sensor_stream ", LEN($A471)&gt;14, NOT(ISNUMBER(SEARCH(" ", $A471, 15)))), AND(LEFT($A471, 17)="sensor_statistic ", LEN($A471)&gt;17, NOT(ISNUMBER(SEARCH(" ", $A471, 18)))))</formula>
    </cfRule>
  </conditionalFormatting>
  <conditionalFormatting sqref="A471:A473">
    <cfRule type="expression" dxfId="14" priority="5082" stopIfTrue="1">
      <formula>$A471="comments"</formula>
    </cfRule>
  </conditionalFormatting>
  <conditionalFormatting sqref="A471:A473">
    <cfRule type="expression" dxfId="15" priority="5083" stopIfTrue="1">
      <formula>OR($A471="audio", $A471="video")</formula>
    </cfRule>
  </conditionalFormatting>
  <conditionalFormatting sqref="A471:A473">
    <cfRule type="expression" dxfId="16" priority="5084" stopIfTrue="1">
      <formula>$A471="image"</formula>
    </cfRule>
  </conditionalFormatting>
  <conditionalFormatting sqref="A471:A473">
    <cfRule type="expression" dxfId="17" priority="5085" stopIfTrue="1">
      <formula>OR($A471="date", $A471="datetime", $A471="time")</formula>
    </cfRule>
  </conditionalFormatting>
  <conditionalFormatting sqref="A471:A473">
    <cfRule type="expression" dxfId="18" priority="5086" stopIfTrue="1">
      <formula>OR($A471="calculate", $A471="calculate_here")</formula>
    </cfRule>
  </conditionalFormatting>
  <conditionalFormatting sqref="A471:A473">
    <cfRule type="expression" dxfId="19" priority="5087" stopIfTrue="1">
      <formula>$A471="note"</formula>
    </cfRule>
  </conditionalFormatting>
  <conditionalFormatting sqref="A471:A473">
    <cfRule type="expression" dxfId="20" priority="5088" stopIfTrue="1">
      <formula>$A471="barcode"</formula>
    </cfRule>
  </conditionalFormatting>
  <conditionalFormatting sqref="A471:A473">
    <cfRule type="expression" dxfId="21" priority="5089" stopIfTrue="1">
      <formula>OR($A471="geopoint", $A471="geoshape", $A471="geotrace")</formula>
    </cfRule>
  </conditionalFormatting>
  <conditionalFormatting sqref="A471:A473">
    <cfRule type="expression" dxfId="22" priority="5090" stopIfTrue="1">
      <formula>OR($A471="audio audit", $A471="text audit", $A471="speed violations count", $A471="speed violations list", $A471="speed violations audit")</formula>
    </cfRule>
  </conditionalFormatting>
  <conditionalFormatting sqref="A471:A473">
    <cfRule type="expression" dxfId="23" priority="5091" stopIfTrue="1">
      <formula>OR($A471="username", $A471="phonenumber", $A471="start", $A471="end", $A471="deviceid", $A471="subscriberid", $A471="simserial", $A471="caseid")</formula>
    </cfRule>
  </conditionalFormatting>
  <conditionalFormatting sqref="A471:A473">
    <cfRule type="expression" dxfId="24" priority="5092" stopIfTrue="1">
      <formula>OR(AND(LEFT($A471, 16)="select_multiple ", LEN($A471)&gt;16, NOT(ISNUMBER(SEARCH(" ", $A471, 17)))), AND(LEFT($A471, 11)="select_one ", LEN($A471)&gt;11, NOT(ISNUMBER(SEARCH(" ", $A471, 12)))))</formula>
    </cfRule>
  </conditionalFormatting>
  <conditionalFormatting sqref="A471:A473">
    <cfRule type="expression" dxfId="25" priority="5093" stopIfTrue="1">
      <formula>$A471="decimal"</formula>
    </cfRule>
  </conditionalFormatting>
  <conditionalFormatting sqref="A471:A473">
    <cfRule type="expression" dxfId="26" priority="5094" stopIfTrue="1">
      <formula>$A471="integer"</formula>
    </cfRule>
  </conditionalFormatting>
  <conditionalFormatting sqref="A471:A473">
    <cfRule type="expression" dxfId="27" priority="5095" stopIfTrue="1">
      <formula>$A471="text"</formula>
    </cfRule>
  </conditionalFormatting>
  <conditionalFormatting sqref="A471:A473">
    <cfRule type="expression" dxfId="28" priority="5096" stopIfTrue="1">
      <formula>$A471="end repeat"</formula>
    </cfRule>
  </conditionalFormatting>
  <conditionalFormatting sqref="A471:A473">
    <cfRule type="expression" dxfId="28" priority="5097" stopIfTrue="1">
      <formula>$A471="begin repeat"</formula>
    </cfRule>
  </conditionalFormatting>
  <conditionalFormatting sqref="A471:A473">
    <cfRule type="expression" dxfId="29" priority="5098" stopIfTrue="1">
      <formula>$A471="end group"</formula>
    </cfRule>
  </conditionalFormatting>
  <conditionalFormatting sqref="A471:A473">
    <cfRule type="expression" dxfId="29" priority="5099" stopIfTrue="1">
      <formula>$A471="begin group"</formula>
    </cfRule>
  </conditionalFormatting>
  <conditionalFormatting sqref="A462:A468">
    <cfRule type="expression" dxfId="33" priority="5100" stopIfTrue="1">
      <formula>$A462="file"</formula>
    </cfRule>
  </conditionalFormatting>
  <conditionalFormatting sqref="A462:A468">
    <cfRule type="expression" dxfId="34" priority="5101" stopIfTrue="1">
      <formula>$A462="enumerator"</formula>
    </cfRule>
  </conditionalFormatting>
  <conditionalFormatting sqref="A462:A468">
    <cfRule type="expression" dxfId="35" priority="5102" stopIfTrue="1">
      <formula>OR(AND(LEFT($A462, 14)="sensor_stream ", LEN($A462)&gt;14, NOT(ISNUMBER(SEARCH(" ", $A462, 15)))), AND(LEFT($A462, 17)="sensor_statistic ", LEN($A462)&gt;17, NOT(ISNUMBER(SEARCH(" ", $A462, 18)))))</formula>
    </cfRule>
  </conditionalFormatting>
  <conditionalFormatting sqref="A462:A468">
    <cfRule type="expression" dxfId="14" priority="5103" stopIfTrue="1">
      <formula>$A462="comments"</formula>
    </cfRule>
  </conditionalFormatting>
  <conditionalFormatting sqref="A462:A468">
    <cfRule type="expression" dxfId="15" priority="5104" stopIfTrue="1">
      <formula>OR($A462="audio", $A462="video")</formula>
    </cfRule>
  </conditionalFormatting>
  <conditionalFormatting sqref="A462:A468">
    <cfRule type="expression" dxfId="16" priority="5105" stopIfTrue="1">
      <formula>$A462="image"</formula>
    </cfRule>
  </conditionalFormatting>
  <conditionalFormatting sqref="A462:A468">
    <cfRule type="expression" dxfId="17" priority="5106" stopIfTrue="1">
      <formula>OR($A462="date", $A462="datetime", $A462="time")</formula>
    </cfRule>
  </conditionalFormatting>
  <conditionalFormatting sqref="A462:A468">
    <cfRule type="expression" dxfId="18" priority="5107" stopIfTrue="1">
      <formula>OR($A462="calculate", $A462="calculate_here")</formula>
    </cfRule>
  </conditionalFormatting>
  <conditionalFormatting sqref="A462:A468">
    <cfRule type="expression" dxfId="19" priority="5108" stopIfTrue="1">
      <formula>$A462="note"</formula>
    </cfRule>
  </conditionalFormatting>
  <conditionalFormatting sqref="A462:A468">
    <cfRule type="expression" dxfId="20" priority="5109" stopIfTrue="1">
      <formula>$A462="barcode"</formula>
    </cfRule>
  </conditionalFormatting>
  <conditionalFormatting sqref="A462:A468">
    <cfRule type="expression" dxfId="21" priority="5110" stopIfTrue="1">
      <formula>OR($A462="geopoint", $A462="geoshape", $A462="geotrace")</formula>
    </cfRule>
  </conditionalFormatting>
  <conditionalFormatting sqref="A462:A468">
    <cfRule type="expression" dxfId="22" priority="5111" stopIfTrue="1">
      <formula>OR($A462="audio audit", $A462="text audit", $A462="speed violations count", $A462="speed violations list", $A462="speed violations audit")</formula>
    </cfRule>
  </conditionalFormatting>
  <conditionalFormatting sqref="A462:A468">
    <cfRule type="expression" dxfId="23" priority="5112" stopIfTrue="1">
      <formula>OR($A462="username", $A462="phonenumber", $A462="start", $A462="end", $A462="deviceid", $A462="subscriberid", $A462="simserial", $A462="caseid")</formula>
    </cfRule>
  </conditionalFormatting>
  <conditionalFormatting sqref="A462:A468">
    <cfRule type="expression" dxfId="24" priority="5113" stopIfTrue="1">
      <formula>OR(AND(LEFT($A462, 16)="select_multiple ", LEN($A462)&gt;16, NOT(ISNUMBER(SEARCH(" ", $A462, 17)))), AND(LEFT($A462, 11)="select_one ", LEN($A462)&gt;11, NOT(ISNUMBER(SEARCH(" ", $A462, 12)))))</formula>
    </cfRule>
  </conditionalFormatting>
  <conditionalFormatting sqref="A462:A468">
    <cfRule type="expression" dxfId="25" priority="5114" stopIfTrue="1">
      <formula>$A462="decimal"</formula>
    </cfRule>
  </conditionalFormatting>
  <conditionalFormatting sqref="A462:A468">
    <cfRule type="expression" dxfId="26" priority="5115" stopIfTrue="1">
      <formula>$A462="integer"</formula>
    </cfRule>
  </conditionalFormatting>
  <conditionalFormatting sqref="A462:A468">
    <cfRule type="expression" dxfId="27" priority="5116" stopIfTrue="1">
      <formula>$A462="text"</formula>
    </cfRule>
  </conditionalFormatting>
  <conditionalFormatting sqref="A462:A468">
    <cfRule type="expression" dxfId="28" priority="5117" stopIfTrue="1">
      <formula>$A462="end repeat"</formula>
    </cfRule>
  </conditionalFormatting>
  <conditionalFormatting sqref="A462:A468">
    <cfRule type="expression" dxfId="28" priority="5118" stopIfTrue="1">
      <formula>$A462="begin repeat"</formula>
    </cfRule>
  </conditionalFormatting>
  <conditionalFormatting sqref="A462:A468">
    <cfRule type="expression" dxfId="29" priority="5119" stopIfTrue="1">
      <formula>$A462="end group"</formula>
    </cfRule>
  </conditionalFormatting>
  <conditionalFormatting sqref="A462:A468">
    <cfRule type="expression" dxfId="29" priority="5120" stopIfTrue="1">
      <formula>$A462="begin group"</formula>
    </cfRule>
  </conditionalFormatting>
  <conditionalFormatting sqref="A456:A457">
    <cfRule type="expression" dxfId="33" priority="5121" stopIfTrue="1">
      <formula>$A456="file"</formula>
    </cfRule>
  </conditionalFormatting>
  <conditionalFormatting sqref="A456:A457">
    <cfRule type="expression" dxfId="34" priority="5122" stopIfTrue="1">
      <formula>$A456="enumerator"</formula>
    </cfRule>
  </conditionalFormatting>
  <conditionalFormatting sqref="A456:A457">
    <cfRule type="expression" dxfId="35" priority="5123" stopIfTrue="1">
      <formula>OR(AND(LEFT($A456, 14)="sensor_stream ", LEN($A456)&gt;14, NOT(ISNUMBER(SEARCH(" ", $A456, 15)))), AND(LEFT($A456, 17)="sensor_statistic ", LEN($A456)&gt;17, NOT(ISNUMBER(SEARCH(" ", $A456, 18)))))</formula>
    </cfRule>
  </conditionalFormatting>
  <conditionalFormatting sqref="A456:A457">
    <cfRule type="expression" dxfId="14" priority="5124" stopIfTrue="1">
      <formula>$A456="comments"</formula>
    </cfRule>
  </conditionalFormatting>
  <conditionalFormatting sqref="A456:A457">
    <cfRule type="expression" dxfId="15" priority="5125" stopIfTrue="1">
      <formula>OR($A456="audio", $A456="video")</formula>
    </cfRule>
  </conditionalFormatting>
  <conditionalFormatting sqref="A456:A457">
    <cfRule type="expression" dxfId="16" priority="5126" stopIfTrue="1">
      <formula>$A456="image"</formula>
    </cfRule>
  </conditionalFormatting>
  <conditionalFormatting sqref="A456:A457">
    <cfRule type="expression" dxfId="17" priority="5127" stopIfTrue="1">
      <formula>OR($A456="date", $A456="datetime", $A456="time")</formula>
    </cfRule>
  </conditionalFormatting>
  <conditionalFormatting sqref="A456:A457">
    <cfRule type="expression" dxfId="18" priority="5128" stopIfTrue="1">
      <formula>OR($A456="calculate", $A456="calculate_here")</formula>
    </cfRule>
  </conditionalFormatting>
  <conditionalFormatting sqref="A456:A457">
    <cfRule type="expression" dxfId="19" priority="5129" stopIfTrue="1">
      <formula>$A456="note"</formula>
    </cfRule>
  </conditionalFormatting>
  <conditionalFormatting sqref="A456:A457">
    <cfRule type="expression" dxfId="20" priority="5130" stopIfTrue="1">
      <formula>$A456="barcode"</formula>
    </cfRule>
  </conditionalFormatting>
  <conditionalFormatting sqref="A456:A457">
    <cfRule type="expression" dxfId="21" priority="5131" stopIfTrue="1">
      <formula>OR($A456="geopoint", $A456="geoshape", $A456="geotrace")</formula>
    </cfRule>
  </conditionalFormatting>
  <conditionalFormatting sqref="A456:A457">
    <cfRule type="expression" dxfId="22" priority="5132" stopIfTrue="1">
      <formula>OR($A456="audio audit", $A456="text audit", $A456="speed violations count", $A456="speed violations list", $A456="speed violations audit")</formula>
    </cfRule>
  </conditionalFormatting>
  <conditionalFormatting sqref="A456:A457">
    <cfRule type="expression" dxfId="23" priority="5133" stopIfTrue="1">
      <formula>OR($A456="username", $A456="phonenumber", $A456="start", $A456="end", $A456="deviceid", $A456="subscriberid", $A456="simserial", $A456="caseid")</formula>
    </cfRule>
  </conditionalFormatting>
  <conditionalFormatting sqref="A456:A457">
    <cfRule type="expression" dxfId="24" priority="5134" stopIfTrue="1">
      <formula>OR(AND(LEFT($A456, 16)="select_multiple ", LEN($A456)&gt;16, NOT(ISNUMBER(SEARCH(" ", $A456, 17)))), AND(LEFT($A456, 11)="select_one ", LEN($A456)&gt;11, NOT(ISNUMBER(SEARCH(" ", $A456, 12)))))</formula>
    </cfRule>
  </conditionalFormatting>
  <conditionalFormatting sqref="A456:A457">
    <cfRule type="expression" dxfId="25" priority="5135" stopIfTrue="1">
      <formula>$A456="decimal"</formula>
    </cfRule>
  </conditionalFormatting>
  <conditionalFormatting sqref="A456:A457">
    <cfRule type="expression" dxfId="26" priority="5136" stopIfTrue="1">
      <formula>$A456="integer"</formula>
    </cfRule>
  </conditionalFormatting>
  <conditionalFormatting sqref="A456:A457">
    <cfRule type="expression" dxfId="27" priority="5137" stopIfTrue="1">
      <formula>$A456="text"</formula>
    </cfRule>
  </conditionalFormatting>
  <conditionalFormatting sqref="A456:A457">
    <cfRule type="expression" dxfId="28" priority="5138" stopIfTrue="1">
      <formula>$A456="end repeat"</formula>
    </cfRule>
  </conditionalFormatting>
  <conditionalFormatting sqref="A456:A457">
    <cfRule type="expression" dxfId="28" priority="5139" stopIfTrue="1">
      <formula>$A456="begin repeat"</formula>
    </cfRule>
  </conditionalFormatting>
  <conditionalFormatting sqref="A456:A457">
    <cfRule type="expression" dxfId="29" priority="5140" stopIfTrue="1">
      <formula>$A456="end group"</formula>
    </cfRule>
  </conditionalFormatting>
  <conditionalFormatting sqref="A456:A457">
    <cfRule type="expression" dxfId="29" priority="5141" stopIfTrue="1">
      <formula>$A456="begin group"</formula>
    </cfRule>
  </conditionalFormatting>
  <conditionalFormatting sqref="A448:A452">
    <cfRule type="expression" dxfId="33" priority="5142" stopIfTrue="1">
      <formula>$A448="file"</formula>
    </cfRule>
  </conditionalFormatting>
  <conditionalFormatting sqref="A448:A452">
    <cfRule type="expression" dxfId="34" priority="5143" stopIfTrue="1">
      <formula>$A448="enumerator"</formula>
    </cfRule>
  </conditionalFormatting>
  <conditionalFormatting sqref="A448:A452">
    <cfRule type="expression" dxfId="35" priority="5144" stopIfTrue="1">
      <formula>OR(AND(LEFT($A448, 14)="sensor_stream ", LEN($A448)&gt;14, NOT(ISNUMBER(SEARCH(" ", $A448, 15)))), AND(LEFT($A448, 17)="sensor_statistic ", LEN($A448)&gt;17, NOT(ISNUMBER(SEARCH(" ", $A448, 18)))))</formula>
    </cfRule>
  </conditionalFormatting>
  <conditionalFormatting sqref="A448:A452">
    <cfRule type="expression" dxfId="14" priority="5145" stopIfTrue="1">
      <formula>$A448="comments"</formula>
    </cfRule>
  </conditionalFormatting>
  <conditionalFormatting sqref="A448:A452">
    <cfRule type="expression" dxfId="15" priority="5146" stopIfTrue="1">
      <formula>OR($A448="audio", $A448="video")</formula>
    </cfRule>
  </conditionalFormatting>
  <conditionalFormatting sqref="A448:A452">
    <cfRule type="expression" dxfId="16" priority="5147" stopIfTrue="1">
      <formula>$A448="image"</formula>
    </cfRule>
  </conditionalFormatting>
  <conditionalFormatting sqref="A448:A452">
    <cfRule type="expression" dxfId="17" priority="5148" stopIfTrue="1">
      <formula>OR($A448="date", $A448="datetime", $A448="time")</formula>
    </cfRule>
  </conditionalFormatting>
  <conditionalFormatting sqref="A448:A452">
    <cfRule type="expression" dxfId="18" priority="5149" stopIfTrue="1">
      <formula>OR($A448="calculate", $A448="calculate_here")</formula>
    </cfRule>
  </conditionalFormatting>
  <conditionalFormatting sqref="A448:A452">
    <cfRule type="expression" dxfId="19" priority="5150" stopIfTrue="1">
      <formula>$A448="note"</formula>
    </cfRule>
  </conditionalFormatting>
  <conditionalFormatting sqref="A448:A452">
    <cfRule type="expression" dxfId="20" priority="5151" stopIfTrue="1">
      <formula>$A448="barcode"</formula>
    </cfRule>
  </conditionalFormatting>
  <conditionalFormatting sqref="A448:A452">
    <cfRule type="expression" dxfId="21" priority="5152" stopIfTrue="1">
      <formula>OR($A448="geopoint", $A448="geoshape", $A448="geotrace")</formula>
    </cfRule>
  </conditionalFormatting>
  <conditionalFormatting sqref="A448:A452">
    <cfRule type="expression" dxfId="22" priority="5153" stopIfTrue="1">
      <formula>OR($A448="audio audit", $A448="text audit", $A448="speed violations count", $A448="speed violations list", $A448="speed violations audit")</formula>
    </cfRule>
  </conditionalFormatting>
  <conditionalFormatting sqref="A448:A452">
    <cfRule type="expression" dxfId="23" priority="5154" stopIfTrue="1">
      <formula>OR($A448="username", $A448="phonenumber", $A448="start", $A448="end", $A448="deviceid", $A448="subscriberid", $A448="simserial", $A448="caseid")</formula>
    </cfRule>
  </conditionalFormatting>
  <conditionalFormatting sqref="A448:A452">
    <cfRule type="expression" dxfId="24" priority="5155" stopIfTrue="1">
      <formula>OR(AND(LEFT($A448, 16)="select_multiple ", LEN($A448)&gt;16, NOT(ISNUMBER(SEARCH(" ", $A448, 17)))), AND(LEFT($A448, 11)="select_one ", LEN($A448)&gt;11, NOT(ISNUMBER(SEARCH(" ", $A448, 12)))))</formula>
    </cfRule>
  </conditionalFormatting>
  <conditionalFormatting sqref="A448:A452">
    <cfRule type="expression" dxfId="25" priority="5156" stopIfTrue="1">
      <formula>$A448="decimal"</formula>
    </cfRule>
  </conditionalFormatting>
  <conditionalFormatting sqref="A448:A452">
    <cfRule type="expression" dxfId="26" priority="5157" stopIfTrue="1">
      <formula>$A448="integer"</formula>
    </cfRule>
  </conditionalFormatting>
  <conditionalFormatting sqref="A448:A452">
    <cfRule type="expression" dxfId="27" priority="5158" stopIfTrue="1">
      <formula>$A448="text"</formula>
    </cfRule>
  </conditionalFormatting>
  <conditionalFormatting sqref="A448:A452">
    <cfRule type="expression" dxfId="28" priority="5159" stopIfTrue="1">
      <formula>$A448="end repeat"</formula>
    </cfRule>
  </conditionalFormatting>
  <conditionalFormatting sqref="A448:A452">
    <cfRule type="expression" dxfId="28" priority="5160" stopIfTrue="1">
      <formula>$A448="begin repeat"</formula>
    </cfRule>
  </conditionalFormatting>
  <conditionalFormatting sqref="A448:A452">
    <cfRule type="expression" dxfId="29" priority="5161" stopIfTrue="1">
      <formula>$A448="end group"</formula>
    </cfRule>
  </conditionalFormatting>
  <conditionalFormatting sqref="A448:A452">
    <cfRule type="expression" dxfId="29" priority="5162" stopIfTrue="1">
      <formula>$A448="begin group"</formula>
    </cfRule>
  </conditionalFormatting>
  <conditionalFormatting sqref="A426:A432">
    <cfRule type="expression" dxfId="33" priority="5163" stopIfTrue="1">
      <formula>$A426="file"</formula>
    </cfRule>
  </conditionalFormatting>
  <conditionalFormatting sqref="A426:A432">
    <cfRule type="expression" dxfId="34" priority="5164" stopIfTrue="1">
      <formula>$A426="enumerator"</formula>
    </cfRule>
  </conditionalFormatting>
  <conditionalFormatting sqref="A426:A432">
    <cfRule type="expression" dxfId="35" priority="5165" stopIfTrue="1">
      <formula>OR(AND(LEFT($A426, 14)="sensor_stream ", LEN($A426)&gt;14, NOT(ISNUMBER(SEARCH(" ", $A426, 15)))), AND(LEFT($A426, 17)="sensor_statistic ", LEN($A426)&gt;17, NOT(ISNUMBER(SEARCH(" ", $A426, 18)))))</formula>
    </cfRule>
  </conditionalFormatting>
  <conditionalFormatting sqref="A426:A432">
    <cfRule type="expression" dxfId="14" priority="5166" stopIfTrue="1">
      <formula>$A426="comments"</formula>
    </cfRule>
  </conditionalFormatting>
  <conditionalFormatting sqref="A426:A432">
    <cfRule type="expression" dxfId="15" priority="5167" stopIfTrue="1">
      <formula>OR($A426="audio", $A426="video")</formula>
    </cfRule>
  </conditionalFormatting>
  <conditionalFormatting sqref="A426:A432">
    <cfRule type="expression" dxfId="16" priority="5168" stopIfTrue="1">
      <formula>$A426="image"</formula>
    </cfRule>
  </conditionalFormatting>
  <conditionalFormatting sqref="A426:A432">
    <cfRule type="expression" dxfId="17" priority="5169" stopIfTrue="1">
      <formula>OR($A426="date", $A426="datetime", $A426="time")</formula>
    </cfRule>
  </conditionalFormatting>
  <conditionalFormatting sqref="A426:A432">
    <cfRule type="expression" dxfId="18" priority="5170" stopIfTrue="1">
      <formula>OR($A426="calculate", $A426="calculate_here")</formula>
    </cfRule>
  </conditionalFormatting>
  <conditionalFormatting sqref="A426:A432">
    <cfRule type="expression" dxfId="19" priority="5171" stopIfTrue="1">
      <formula>$A426="note"</formula>
    </cfRule>
  </conditionalFormatting>
  <conditionalFormatting sqref="A426:A432">
    <cfRule type="expression" dxfId="20" priority="5172" stopIfTrue="1">
      <formula>$A426="barcode"</formula>
    </cfRule>
  </conditionalFormatting>
  <conditionalFormatting sqref="A426:A432">
    <cfRule type="expression" dxfId="21" priority="5173" stopIfTrue="1">
      <formula>OR($A426="geopoint", $A426="geoshape", $A426="geotrace")</formula>
    </cfRule>
  </conditionalFormatting>
  <conditionalFormatting sqref="A426:A432">
    <cfRule type="expression" dxfId="22" priority="5174" stopIfTrue="1">
      <formula>OR($A426="audio audit", $A426="text audit", $A426="speed violations count", $A426="speed violations list", $A426="speed violations audit")</formula>
    </cfRule>
  </conditionalFormatting>
  <conditionalFormatting sqref="A426:A432">
    <cfRule type="expression" dxfId="23" priority="5175" stopIfTrue="1">
      <formula>OR($A426="username", $A426="phonenumber", $A426="start", $A426="end", $A426="deviceid", $A426="subscriberid", $A426="simserial", $A426="caseid")</formula>
    </cfRule>
  </conditionalFormatting>
  <conditionalFormatting sqref="A426:A432">
    <cfRule type="expression" dxfId="24" priority="5176" stopIfTrue="1">
      <formula>OR(AND(LEFT($A426, 16)="select_multiple ", LEN($A426)&gt;16, NOT(ISNUMBER(SEARCH(" ", $A426, 17)))), AND(LEFT($A426, 11)="select_one ", LEN($A426)&gt;11, NOT(ISNUMBER(SEARCH(" ", $A426, 12)))))</formula>
    </cfRule>
  </conditionalFormatting>
  <conditionalFormatting sqref="A426:A432">
    <cfRule type="expression" dxfId="25" priority="5177" stopIfTrue="1">
      <formula>$A426="decimal"</formula>
    </cfRule>
  </conditionalFormatting>
  <conditionalFormatting sqref="A426:A432">
    <cfRule type="expression" dxfId="26" priority="5178" stopIfTrue="1">
      <formula>$A426="integer"</formula>
    </cfRule>
  </conditionalFormatting>
  <conditionalFormatting sqref="A426:A432">
    <cfRule type="expression" dxfId="27" priority="5179" stopIfTrue="1">
      <formula>$A426="text"</formula>
    </cfRule>
  </conditionalFormatting>
  <conditionalFormatting sqref="A426:A432">
    <cfRule type="expression" dxfId="28" priority="5180" stopIfTrue="1">
      <formula>$A426="end repeat"</formula>
    </cfRule>
  </conditionalFormatting>
  <conditionalFormatting sqref="A426:A432">
    <cfRule type="expression" dxfId="28" priority="5181" stopIfTrue="1">
      <formula>$A426="begin repeat"</formula>
    </cfRule>
  </conditionalFormatting>
  <conditionalFormatting sqref="A426:A432">
    <cfRule type="expression" dxfId="29" priority="5182" stopIfTrue="1">
      <formula>$A426="end group"</formula>
    </cfRule>
  </conditionalFormatting>
  <conditionalFormatting sqref="A426:A432">
    <cfRule type="expression" dxfId="29" priority="5183" stopIfTrue="1">
      <formula>$A426="begin group"</formula>
    </cfRule>
  </conditionalFormatting>
  <conditionalFormatting sqref="A419:A421">
    <cfRule type="expression" dxfId="33" priority="5184" stopIfTrue="1">
      <formula>$A419="file"</formula>
    </cfRule>
  </conditionalFormatting>
  <conditionalFormatting sqref="A419:A421">
    <cfRule type="expression" dxfId="34" priority="5185" stopIfTrue="1">
      <formula>$A419="enumerator"</formula>
    </cfRule>
  </conditionalFormatting>
  <conditionalFormatting sqref="A419:A421">
    <cfRule type="expression" dxfId="35" priority="5186" stopIfTrue="1">
      <formula>OR(AND(LEFT($A419, 14)="sensor_stream ", LEN($A419)&gt;14, NOT(ISNUMBER(SEARCH(" ", $A419, 15)))), AND(LEFT($A419, 17)="sensor_statistic ", LEN($A419)&gt;17, NOT(ISNUMBER(SEARCH(" ", $A419, 18)))))</formula>
    </cfRule>
  </conditionalFormatting>
  <conditionalFormatting sqref="A419:A421">
    <cfRule type="expression" dxfId="14" priority="5187" stopIfTrue="1">
      <formula>$A419="comments"</formula>
    </cfRule>
  </conditionalFormatting>
  <conditionalFormatting sqref="A419:A421">
    <cfRule type="expression" dxfId="15" priority="5188" stopIfTrue="1">
      <formula>OR($A419="audio", $A419="video")</formula>
    </cfRule>
  </conditionalFormatting>
  <conditionalFormatting sqref="A419:A421">
    <cfRule type="expression" dxfId="16" priority="5189" stopIfTrue="1">
      <formula>$A419="image"</formula>
    </cfRule>
  </conditionalFormatting>
  <conditionalFormatting sqref="A419:A421">
    <cfRule type="expression" dxfId="17" priority="5190" stopIfTrue="1">
      <formula>OR($A419="date", $A419="datetime", $A419="time")</formula>
    </cfRule>
  </conditionalFormatting>
  <conditionalFormatting sqref="A419:A421">
    <cfRule type="expression" dxfId="18" priority="5191" stopIfTrue="1">
      <formula>OR($A419="calculate", $A419="calculate_here")</formula>
    </cfRule>
  </conditionalFormatting>
  <conditionalFormatting sqref="A419:A421">
    <cfRule type="expression" dxfId="19" priority="5192" stopIfTrue="1">
      <formula>$A419="note"</formula>
    </cfRule>
  </conditionalFormatting>
  <conditionalFormatting sqref="A419:A421">
    <cfRule type="expression" dxfId="20" priority="5193" stopIfTrue="1">
      <formula>$A419="barcode"</formula>
    </cfRule>
  </conditionalFormatting>
  <conditionalFormatting sqref="A419:A421">
    <cfRule type="expression" dxfId="21" priority="5194" stopIfTrue="1">
      <formula>OR($A419="geopoint", $A419="geoshape", $A419="geotrace")</formula>
    </cfRule>
  </conditionalFormatting>
  <conditionalFormatting sqref="A419:A421">
    <cfRule type="expression" dxfId="22" priority="5195" stopIfTrue="1">
      <formula>OR($A419="audio audit", $A419="text audit", $A419="speed violations count", $A419="speed violations list", $A419="speed violations audit")</formula>
    </cfRule>
  </conditionalFormatting>
  <conditionalFormatting sqref="A419:A421">
    <cfRule type="expression" dxfId="23" priority="5196" stopIfTrue="1">
      <formula>OR($A419="username", $A419="phonenumber", $A419="start", $A419="end", $A419="deviceid", $A419="subscriberid", $A419="simserial", $A419="caseid")</formula>
    </cfRule>
  </conditionalFormatting>
  <conditionalFormatting sqref="A419:A421">
    <cfRule type="expression" dxfId="24" priority="5197" stopIfTrue="1">
      <formula>OR(AND(LEFT($A419, 16)="select_multiple ", LEN($A419)&gt;16, NOT(ISNUMBER(SEARCH(" ", $A419, 17)))), AND(LEFT($A419, 11)="select_one ", LEN($A419)&gt;11, NOT(ISNUMBER(SEARCH(" ", $A419, 12)))))</formula>
    </cfRule>
  </conditionalFormatting>
  <conditionalFormatting sqref="A419:A421">
    <cfRule type="expression" dxfId="25" priority="5198" stopIfTrue="1">
      <formula>$A419="decimal"</formula>
    </cfRule>
  </conditionalFormatting>
  <conditionalFormatting sqref="A419:A421">
    <cfRule type="expression" dxfId="26" priority="5199" stopIfTrue="1">
      <formula>$A419="integer"</formula>
    </cfRule>
  </conditionalFormatting>
  <conditionalFormatting sqref="A419:A421">
    <cfRule type="expression" dxfId="27" priority="5200" stopIfTrue="1">
      <formula>$A419="text"</formula>
    </cfRule>
  </conditionalFormatting>
  <conditionalFormatting sqref="A419:A421">
    <cfRule type="expression" dxfId="28" priority="5201" stopIfTrue="1">
      <formula>$A419="end repeat"</formula>
    </cfRule>
  </conditionalFormatting>
  <conditionalFormatting sqref="A419:A421">
    <cfRule type="expression" dxfId="28" priority="5202" stopIfTrue="1">
      <formula>$A419="begin repeat"</formula>
    </cfRule>
  </conditionalFormatting>
  <conditionalFormatting sqref="A419:A421">
    <cfRule type="expression" dxfId="29" priority="5203" stopIfTrue="1">
      <formula>$A419="end group"</formula>
    </cfRule>
  </conditionalFormatting>
  <conditionalFormatting sqref="A419:A421">
    <cfRule type="expression" dxfId="29" priority="5204" stopIfTrue="1">
      <formula>$A419="begin group"</formula>
    </cfRule>
  </conditionalFormatting>
  <conditionalFormatting sqref="A411:A415">
    <cfRule type="expression" dxfId="33" priority="5205" stopIfTrue="1">
      <formula>$A411="file"</formula>
    </cfRule>
  </conditionalFormatting>
  <conditionalFormatting sqref="A411:A415">
    <cfRule type="expression" dxfId="34" priority="5206" stopIfTrue="1">
      <formula>$A411="enumerator"</formula>
    </cfRule>
  </conditionalFormatting>
  <conditionalFormatting sqref="A411:A415">
    <cfRule type="expression" dxfId="35" priority="5207" stopIfTrue="1">
      <formula>OR(AND(LEFT($A411, 14)="sensor_stream ", LEN($A411)&gt;14, NOT(ISNUMBER(SEARCH(" ", $A411, 15)))), AND(LEFT($A411, 17)="sensor_statistic ", LEN($A411)&gt;17, NOT(ISNUMBER(SEARCH(" ", $A411, 18)))))</formula>
    </cfRule>
  </conditionalFormatting>
  <conditionalFormatting sqref="A411:A415">
    <cfRule type="expression" dxfId="14" priority="5208" stopIfTrue="1">
      <formula>$A411="comments"</formula>
    </cfRule>
  </conditionalFormatting>
  <conditionalFormatting sqref="A411:A415">
    <cfRule type="expression" dxfId="15" priority="5209" stopIfTrue="1">
      <formula>OR($A411="audio", $A411="video")</formula>
    </cfRule>
  </conditionalFormatting>
  <conditionalFormatting sqref="A411:A415">
    <cfRule type="expression" dxfId="16" priority="5210" stopIfTrue="1">
      <formula>$A411="image"</formula>
    </cfRule>
  </conditionalFormatting>
  <conditionalFormatting sqref="A411:A415">
    <cfRule type="expression" dxfId="17" priority="5211" stopIfTrue="1">
      <formula>OR($A411="date", $A411="datetime", $A411="time")</formula>
    </cfRule>
  </conditionalFormatting>
  <conditionalFormatting sqref="A411:A415">
    <cfRule type="expression" dxfId="18" priority="5212" stopIfTrue="1">
      <formula>OR($A411="calculate", $A411="calculate_here")</formula>
    </cfRule>
  </conditionalFormatting>
  <conditionalFormatting sqref="A411:A415">
    <cfRule type="expression" dxfId="19" priority="5213" stopIfTrue="1">
      <formula>$A411="note"</formula>
    </cfRule>
  </conditionalFormatting>
  <conditionalFormatting sqref="A411:A415">
    <cfRule type="expression" dxfId="20" priority="5214" stopIfTrue="1">
      <formula>$A411="barcode"</formula>
    </cfRule>
  </conditionalFormatting>
  <conditionalFormatting sqref="A411:A415">
    <cfRule type="expression" dxfId="21" priority="5215" stopIfTrue="1">
      <formula>OR($A411="geopoint", $A411="geoshape", $A411="geotrace")</formula>
    </cfRule>
  </conditionalFormatting>
  <conditionalFormatting sqref="A411:A415">
    <cfRule type="expression" dxfId="22" priority="5216" stopIfTrue="1">
      <formula>OR($A411="audio audit", $A411="text audit", $A411="speed violations count", $A411="speed violations list", $A411="speed violations audit")</formula>
    </cfRule>
  </conditionalFormatting>
  <conditionalFormatting sqref="A411:A415">
    <cfRule type="expression" dxfId="23" priority="5217" stopIfTrue="1">
      <formula>OR($A411="username", $A411="phonenumber", $A411="start", $A411="end", $A411="deviceid", $A411="subscriberid", $A411="simserial", $A411="caseid")</formula>
    </cfRule>
  </conditionalFormatting>
  <conditionalFormatting sqref="A411:A415">
    <cfRule type="expression" dxfId="24" priority="5218" stopIfTrue="1">
      <formula>OR(AND(LEFT($A411, 16)="select_multiple ", LEN($A411)&gt;16, NOT(ISNUMBER(SEARCH(" ", $A411, 17)))), AND(LEFT($A411, 11)="select_one ", LEN($A411)&gt;11, NOT(ISNUMBER(SEARCH(" ", $A411, 12)))))</formula>
    </cfRule>
  </conditionalFormatting>
  <conditionalFormatting sqref="A411:A415">
    <cfRule type="expression" dxfId="25" priority="5219" stopIfTrue="1">
      <formula>$A411="decimal"</formula>
    </cfRule>
  </conditionalFormatting>
  <conditionalFormatting sqref="A411:A415">
    <cfRule type="expression" dxfId="26" priority="5220" stopIfTrue="1">
      <formula>$A411="integer"</formula>
    </cfRule>
  </conditionalFormatting>
  <conditionalFormatting sqref="A411:A415">
    <cfRule type="expression" dxfId="27" priority="5221" stopIfTrue="1">
      <formula>$A411="text"</formula>
    </cfRule>
  </conditionalFormatting>
  <conditionalFormatting sqref="A411:A415">
    <cfRule type="expression" dxfId="28" priority="5222" stopIfTrue="1">
      <formula>$A411="end repeat"</formula>
    </cfRule>
  </conditionalFormatting>
  <conditionalFormatting sqref="A411:A415">
    <cfRule type="expression" dxfId="28" priority="5223" stopIfTrue="1">
      <formula>$A411="begin repeat"</formula>
    </cfRule>
  </conditionalFormatting>
  <conditionalFormatting sqref="A411:A415">
    <cfRule type="expression" dxfId="29" priority="5224" stopIfTrue="1">
      <formula>$A411="end group"</formula>
    </cfRule>
  </conditionalFormatting>
  <conditionalFormatting sqref="A411:A415">
    <cfRule type="expression" dxfId="29" priority="5225" stopIfTrue="1">
      <formula>$A411="begin group"</formula>
    </cfRule>
  </conditionalFormatting>
  <conditionalFormatting sqref="A398:A401">
    <cfRule type="expression" dxfId="33" priority="5226" stopIfTrue="1">
      <formula>$A398="file"</formula>
    </cfRule>
  </conditionalFormatting>
  <conditionalFormatting sqref="A398:A401">
    <cfRule type="expression" dxfId="34" priority="5227" stopIfTrue="1">
      <formula>$A398="enumerator"</formula>
    </cfRule>
  </conditionalFormatting>
  <conditionalFormatting sqref="A398:A401">
    <cfRule type="expression" dxfId="35" priority="5228" stopIfTrue="1">
      <formula>OR(AND(LEFT($A398, 14)="sensor_stream ", LEN($A398)&gt;14, NOT(ISNUMBER(SEARCH(" ", $A398, 15)))), AND(LEFT($A398, 17)="sensor_statistic ", LEN($A398)&gt;17, NOT(ISNUMBER(SEARCH(" ", $A398, 18)))))</formula>
    </cfRule>
  </conditionalFormatting>
  <conditionalFormatting sqref="A398:A401">
    <cfRule type="expression" dxfId="14" priority="5229" stopIfTrue="1">
      <formula>$A398="comments"</formula>
    </cfRule>
  </conditionalFormatting>
  <conditionalFormatting sqref="A398:A401">
    <cfRule type="expression" dxfId="15" priority="5230" stopIfTrue="1">
      <formula>OR($A398="audio", $A398="video")</formula>
    </cfRule>
  </conditionalFormatting>
  <conditionalFormatting sqref="A398:A401">
    <cfRule type="expression" dxfId="16" priority="5231" stopIfTrue="1">
      <formula>$A398="image"</formula>
    </cfRule>
  </conditionalFormatting>
  <conditionalFormatting sqref="A398:A401">
    <cfRule type="expression" dxfId="17" priority="5232" stopIfTrue="1">
      <formula>OR($A398="date", $A398="datetime", $A398="time")</formula>
    </cfRule>
  </conditionalFormatting>
  <conditionalFormatting sqref="A398:A401">
    <cfRule type="expression" dxfId="18" priority="5233" stopIfTrue="1">
      <formula>OR($A398="calculate", $A398="calculate_here")</formula>
    </cfRule>
  </conditionalFormatting>
  <conditionalFormatting sqref="A398:A401">
    <cfRule type="expression" dxfId="19" priority="5234" stopIfTrue="1">
      <formula>$A398="note"</formula>
    </cfRule>
  </conditionalFormatting>
  <conditionalFormatting sqref="A398:A401">
    <cfRule type="expression" dxfId="20" priority="5235" stopIfTrue="1">
      <formula>$A398="barcode"</formula>
    </cfRule>
  </conditionalFormatting>
  <conditionalFormatting sqref="A398:A401">
    <cfRule type="expression" dxfId="21" priority="5236" stopIfTrue="1">
      <formula>OR($A398="geopoint", $A398="geoshape", $A398="geotrace")</formula>
    </cfRule>
  </conditionalFormatting>
  <conditionalFormatting sqref="A398:A401">
    <cfRule type="expression" dxfId="22" priority="5237" stopIfTrue="1">
      <formula>OR($A398="audio audit", $A398="text audit", $A398="speed violations count", $A398="speed violations list", $A398="speed violations audit")</formula>
    </cfRule>
  </conditionalFormatting>
  <conditionalFormatting sqref="A398:A401">
    <cfRule type="expression" dxfId="23" priority="5238" stopIfTrue="1">
      <formula>OR($A398="username", $A398="phonenumber", $A398="start", $A398="end", $A398="deviceid", $A398="subscriberid", $A398="simserial", $A398="caseid")</formula>
    </cfRule>
  </conditionalFormatting>
  <conditionalFormatting sqref="A398:A401">
    <cfRule type="expression" dxfId="24" priority="5239" stopIfTrue="1">
      <formula>OR(AND(LEFT($A398, 16)="select_multiple ", LEN($A398)&gt;16, NOT(ISNUMBER(SEARCH(" ", $A398, 17)))), AND(LEFT($A398, 11)="select_one ", LEN($A398)&gt;11, NOT(ISNUMBER(SEARCH(" ", $A398, 12)))))</formula>
    </cfRule>
  </conditionalFormatting>
  <conditionalFormatting sqref="A398:A401">
    <cfRule type="expression" dxfId="25" priority="5240" stopIfTrue="1">
      <formula>$A398="decimal"</formula>
    </cfRule>
  </conditionalFormatting>
  <conditionalFormatting sqref="A398:A401">
    <cfRule type="expression" dxfId="26" priority="5241" stopIfTrue="1">
      <formula>$A398="integer"</formula>
    </cfRule>
  </conditionalFormatting>
  <conditionalFormatting sqref="A398:A401">
    <cfRule type="expression" dxfId="27" priority="5242" stopIfTrue="1">
      <formula>$A398="text"</formula>
    </cfRule>
  </conditionalFormatting>
  <conditionalFormatting sqref="A398:A401">
    <cfRule type="expression" dxfId="28" priority="5243" stopIfTrue="1">
      <formula>$A398="end repeat"</formula>
    </cfRule>
  </conditionalFormatting>
  <conditionalFormatting sqref="A398:A401">
    <cfRule type="expression" dxfId="28" priority="5244" stopIfTrue="1">
      <formula>$A398="begin repeat"</formula>
    </cfRule>
  </conditionalFormatting>
  <conditionalFormatting sqref="A398:A401">
    <cfRule type="expression" dxfId="29" priority="5245" stopIfTrue="1">
      <formula>$A398="end group"</formula>
    </cfRule>
  </conditionalFormatting>
  <conditionalFormatting sqref="A398:A401">
    <cfRule type="expression" dxfId="29" priority="5246" stopIfTrue="1">
      <formula>$A398="begin group"</formula>
    </cfRule>
  </conditionalFormatting>
  <conditionalFormatting sqref="A382:A394">
    <cfRule type="expression" dxfId="33" priority="5247" stopIfTrue="1">
      <formula>$A382="file"</formula>
    </cfRule>
  </conditionalFormatting>
  <conditionalFormatting sqref="A382:A394">
    <cfRule type="expression" dxfId="34" priority="5248" stopIfTrue="1">
      <formula>$A382="enumerator"</formula>
    </cfRule>
  </conditionalFormatting>
  <conditionalFormatting sqref="A382:A394">
    <cfRule type="expression" dxfId="35" priority="5249" stopIfTrue="1">
      <formula>OR(AND(LEFT($A382, 14)="sensor_stream ", LEN($A382)&gt;14, NOT(ISNUMBER(SEARCH(" ", $A382, 15)))), AND(LEFT($A382, 17)="sensor_statistic ", LEN($A382)&gt;17, NOT(ISNUMBER(SEARCH(" ", $A382, 18)))))</formula>
    </cfRule>
  </conditionalFormatting>
  <conditionalFormatting sqref="A382:A394">
    <cfRule type="expression" dxfId="14" priority="5250" stopIfTrue="1">
      <formula>$A382="comments"</formula>
    </cfRule>
  </conditionalFormatting>
  <conditionalFormatting sqref="A382:A394">
    <cfRule type="expression" dxfId="15" priority="5251" stopIfTrue="1">
      <formula>OR($A382="audio", $A382="video")</formula>
    </cfRule>
  </conditionalFormatting>
  <conditionalFormatting sqref="A382:A394">
    <cfRule type="expression" dxfId="16" priority="5252" stopIfTrue="1">
      <formula>$A382="image"</formula>
    </cfRule>
  </conditionalFormatting>
  <conditionalFormatting sqref="A382:A394">
    <cfRule type="expression" dxfId="17" priority="5253" stopIfTrue="1">
      <formula>OR($A382="date", $A382="datetime", $A382="time")</formula>
    </cfRule>
  </conditionalFormatting>
  <conditionalFormatting sqref="A382:A394">
    <cfRule type="expression" dxfId="18" priority="5254" stopIfTrue="1">
      <formula>OR($A382="calculate", $A382="calculate_here")</formula>
    </cfRule>
  </conditionalFormatting>
  <conditionalFormatting sqref="A382:A394">
    <cfRule type="expression" dxfId="19" priority="5255" stopIfTrue="1">
      <formula>$A382="note"</formula>
    </cfRule>
  </conditionalFormatting>
  <conditionalFormatting sqref="A382:A394">
    <cfRule type="expression" dxfId="20" priority="5256" stopIfTrue="1">
      <formula>$A382="barcode"</formula>
    </cfRule>
  </conditionalFormatting>
  <conditionalFormatting sqref="A382:A394">
    <cfRule type="expression" dxfId="21" priority="5257" stopIfTrue="1">
      <formula>OR($A382="geopoint", $A382="geoshape", $A382="geotrace")</formula>
    </cfRule>
  </conditionalFormatting>
  <conditionalFormatting sqref="A382:A394">
    <cfRule type="expression" dxfId="22" priority="5258" stopIfTrue="1">
      <formula>OR($A382="audio audit", $A382="text audit", $A382="speed violations count", $A382="speed violations list", $A382="speed violations audit")</formula>
    </cfRule>
  </conditionalFormatting>
  <conditionalFormatting sqref="A382:A394">
    <cfRule type="expression" dxfId="23" priority="5259" stopIfTrue="1">
      <formula>OR($A382="username", $A382="phonenumber", $A382="start", $A382="end", $A382="deviceid", $A382="subscriberid", $A382="simserial", $A382="caseid")</formula>
    </cfRule>
  </conditionalFormatting>
  <conditionalFormatting sqref="A382:A394">
    <cfRule type="expression" dxfId="24" priority="5260" stopIfTrue="1">
      <formula>OR(AND(LEFT($A382, 16)="select_multiple ", LEN($A382)&gt;16, NOT(ISNUMBER(SEARCH(" ", $A382, 17)))), AND(LEFT($A382, 11)="select_one ", LEN($A382)&gt;11, NOT(ISNUMBER(SEARCH(" ", $A382, 12)))))</formula>
    </cfRule>
  </conditionalFormatting>
  <conditionalFormatting sqref="A382:A394">
    <cfRule type="expression" dxfId="25" priority="5261" stopIfTrue="1">
      <formula>$A382="decimal"</formula>
    </cfRule>
  </conditionalFormatting>
  <conditionalFormatting sqref="A382:A394">
    <cfRule type="expression" dxfId="26" priority="5262" stopIfTrue="1">
      <formula>$A382="integer"</formula>
    </cfRule>
  </conditionalFormatting>
  <conditionalFormatting sqref="A382:A394">
    <cfRule type="expression" dxfId="27" priority="5263" stopIfTrue="1">
      <formula>$A382="text"</formula>
    </cfRule>
  </conditionalFormatting>
  <conditionalFormatting sqref="A382:A394">
    <cfRule type="expression" dxfId="28" priority="5264" stopIfTrue="1">
      <formula>$A382="end repeat"</formula>
    </cfRule>
  </conditionalFormatting>
  <conditionalFormatting sqref="A382:A394">
    <cfRule type="expression" dxfId="28" priority="5265" stopIfTrue="1">
      <formula>$A382="begin repeat"</formula>
    </cfRule>
  </conditionalFormatting>
  <conditionalFormatting sqref="A382:A394">
    <cfRule type="expression" dxfId="29" priority="5266" stopIfTrue="1">
      <formula>$A382="end group"</formula>
    </cfRule>
  </conditionalFormatting>
  <conditionalFormatting sqref="A382:A394">
    <cfRule type="expression" dxfId="29" priority="5267" stopIfTrue="1">
      <formula>$A382="begin group"</formula>
    </cfRule>
  </conditionalFormatting>
  <conditionalFormatting sqref="A366:A380">
    <cfRule type="expression" dxfId="33" priority="5268" stopIfTrue="1">
      <formula>$A366="file"</formula>
    </cfRule>
  </conditionalFormatting>
  <conditionalFormatting sqref="A366:A380">
    <cfRule type="expression" dxfId="34" priority="5269" stopIfTrue="1">
      <formula>$A366="enumerator"</formula>
    </cfRule>
  </conditionalFormatting>
  <conditionalFormatting sqref="A366:A380">
    <cfRule type="expression" dxfId="35" priority="5270" stopIfTrue="1">
      <formula>OR(AND(LEFT($A366, 14)="sensor_stream ", LEN($A366)&gt;14, NOT(ISNUMBER(SEARCH(" ", $A366, 15)))), AND(LEFT($A366, 17)="sensor_statistic ", LEN($A366)&gt;17, NOT(ISNUMBER(SEARCH(" ", $A366, 18)))))</formula>
    </cfRule>
  </conditionalFormatting>
  <conditionalFormatting sqref="A366:A380">
    <cfRule type="expression" dxfId="14" priority="5271" stopIfTrue="1">
      <formula>$A366="comments"</formula>
    </cfRule>
  </conditionalFormatting>
  <conditionalFormatting sqref="A366:A380">
    <cfRule type="expression" dxfId="15" priority="5272" stopIfTrue="1">
      <formula>OR($A366="audio", $A366="video")</formula>
    </cfRule>
  </conditionalFormatting>
  <conditionalFormatting sqref="A366:A380">
    <cfRule type="expression" dxfId="16" priority="5273" stopIfTrue="1">
      <formula>$A366="image"</formula>
    </cfRule>
  </conditionalFormatting>
  <conditionalFormatting sqref="A366:A380">
    <cfRule type="expression" dxfId="17" priority="5274" stopIfTrue="1">
      <formula>OR($A366="date", $A366="datetime", $A366="time")</formula>
    </cfRule>
  </conditionalFormatting>
  <conditionalFormatting sqref="A366:A380">
    <cfRule type="expression" dxfId="18" priority="5275" stopIfTrue="1">
      <formula>OR($A366="calculate", $A366="calculate_here")</formula>
    </cfRule>
  </conditionalFormatting>
  <conditionalFormatting sqref="A366:A380">
    <cfRule type="expression" dxfId="19" priority="5276" stopIfTrue="1">
      <formula>$A366="note"</formula>
    </cfRule>
  </conditionalFormatting>
  <conditionalFormatting sqref="A366:A380">
    <cfRule type="expression" dxfId="20" priority="5277" stopIfTrue="1">
      <formula>$A366="barcode"</formula>
    </cfRule>
  </conditionalFormatting>
  <conditionalFormatting sqref="A366:A380">
    <cfRule type="expression" dxfId="21" priority="5278" stopIfTrue="1">
      <formula>OR($A366="geopoint", $A366="geoshape", $A366="geotrace")</formula>
    </cfRule>
  </conditionalFormatting>
  <conditionalFormatting sqref="A366:A380">
    <cfRule type="expression" dxfId="22" priority="5279" stopIfTrue="1">
      <formula>OR($A366="audio audit", $A366="text audit", $A366="speed violations count", $A366="speed violations list", $A366="speed violations audit")</formula>
    </cfRule>
  </conditionalFormatting>
  <conditionalFormatting sqref="A366:A380">
    <cfRule type="expression" dxfId="23" priority="5280" stopIfTrue="1">
      <formula>OR($A366="username", $A366="phonenumber", $A366="start", $A366="end", $A366="deviceid", $A366="subscriberid", $A366="simserial", $A366="caseid")</formula>
    </cfRule>
  </conditionalFormatting>
  <conditionalFormatting sqref="A366:A380">
    <cfRule type="expression" dxfId="24" priority="5281" stopIfTrue="1">
      <formula>OR(AND(LEFT($A366, 16)="select_multiple ", LEN($A366)&gt;16, NOT(ISNUMBER(SEARCH(" ", $A366, 17)))), AND(LEFT($A366, 11)="select_one ", LEN($A366)&gt;11, NOT(ISNUMBER(SEARCH(" ", $A366, 12)))))</formula>
    </cfRule>
  </conditionalFormatting>
  <conditionalFormatting sqref="A366:A380">
    <cfRule type="expression" dxfId="25" priority="5282" stopIfTrue="1">
      <formula>$A366="decimal"</formula>
    </cfRule>
  </conditionalFormatting>
  <conditionalFormatting sqref="A366:A380">
    <cfRule type="expression" dxfId="26" priority="5283" stopIfTrue="1">
      <formula>$A366="integer"</formula>
    </cfRule>
  </conditionalFormatting>
  <conditionalFormatting sqref="A366:A380">
    <cfRule type="expression" dxfId="27" priority="5284" stopIfTrue="1">
      <formula>$A366="text"</formula>
    </cfRule>
  </conditionalFormatting>
  <conditionalFormatting sqref="A366:A380">
    <cfRule type="expression" dxfId="28" priority="5285" stopIfTrue="1">
      <formula>$A366="end repeat"</formula>
    </cfRule>
  </conditionalFormatting>
  <conditionalFormatting sqref="A366:A380">
    <cfRule type="expression" dxfId="28" priority="5286" stopIfTrue="1">
      <formula>$A366="begin repeat"</formula>
    </cfRule>
  </conditionalFormatting>
  <conditionalFormatting sqref="A366:A380">
    <cfRule type="expression" dxfId="29" priority="5287" stopIfTrue="1">
      <formula>$A366="end group"</formula>
    </cfRule>
  </conditionalFormatting>
  <conditionalFormatting sqref="A366:A380">
    <cfRule type="expression" dxfId="29" priority="5288" stopIfTrue="1">
      <formula>$A366="begin group"</formula>
    </cfRule>
  </conditionalFormatting>
  <conditionalFormatting sqref="A352">
    <cfRule type="expression" dxfId="33" priority="5289" stopIfTrue="1">
      <formula>$A352="file"</formula>
    </cfRule>
  </conditionalFormatting>
  <conditionalFormatting sqref="A352">
    <cfRule type="expression" dxfId="34" priority="5290" stopIfTrue="1">
      <formula>$A352="enumerator"</formula>
    </cfRule>
  </conditionalFormatting>
  <conditionalFormatting sqref="A352">
    <cfRule type="expression" dxfId="35" priority="5291" stopIfTrue="1">
      <formula>OR(AND(LEFT($A352, 14)="sensor_stream ", LEN($A352)&gt;14, NOT(ISNUMBER(SEARCH(" ", $A352, 15)))), AND(LEFT($A352, 17)="sensor_statistic ", LEN($A352)&gt;17, NOT(ISNUMBER(SEARCH(" ", $A352, 18)))))</formula>
    </cfRule>
  </conditionalFormatting>
  <conditionalFormatting sqref="A352">
    <cfRule type="expression" dxfId="14" priority="5292" stopIfTrue="1">
      <formula>$A352="comments"</formula>
    </cfRule>
  </conditionalFormatting>
  <conditionalFormatting sqref="A352">
    <cfRule type="expression" dxfId="15" priority="5293" stopIfTrue="1">
      <formula>OR($A352="audio", $A352="video")</formula>
    </cfRule>
  </conditionalFormatting>
  <conditionalFormatting sqref="A352">
    <cfRule type="expression" dxfId="16" priority="5294" stopIfTrue="1">
      <formula>$A352="image"</formula>
    </cfRule>
  </conditionalFormatting>
  <conditionalFormatting sqref="A352">
    <cfRule type="expression" dxfId="17" priority="5295" stopIfTrue="1">
      <formula>OR($A352="date", $A352="datetime", $A352="time")</formula>
    </cfRule>
  </conditionalFormatting>
  <conditionalFormatting sqref="A352">
    <cfRule type="expression" dxfId="18" priority="5296" stopIfTrue="1">
      <formula>OR($A352="calculate", $A352="calculate_here")</formula>
    </cfRule>
  </conditionalFormatting>
  <conditionalFormatting sqref="A352">
    <cfRule type="expression" dxfId="19" priority="5297" stopIfTrue="1">
      <formula>$A352="note"</formula>
    </cfRule>
  </conditionalFormatting>
  <conditionalFormatting sqref="A352">
    <cfRule type="expression" dxfId="20" priority="5298" stopIfTrue="1">
      <formula>$A352="barcode"</formula>
    </cfRule>
  </conditionalFormatting>
  <conditionalFormatting sqref="A352">
    <cfRule type="expression" dxfId="21" priority="5299" stopIfTrue="1">
      <formula>OR($A352="geopoint", $A352="geoshape", $A352="geotrace")</formula>
    </cfRule>
  </conditionalFormatting>
  <conditionalFormatting sqref="A352">
    <cfRule type="expression" dxfId="22" priority="5300" stopIfTrue="1">
      <formula>OR($A352="audio audit", $A352="text audit", $A352="speed violations count", $A352="speed violations list", $A352="speed violations audit")</formula>
    </cfRule>
  </conditionalFormatting>
  <conditionalFormatting sqref="A352">
    <cfRule type="expression" dxfId="23" priority="5301" stopIfTrue="1">
      <formula>OR($A352="username", $A352="phonenumber", $A352="start", $A352="end", $A352="deviceid", $A352="subscriberid", $A352="simserial", $A352="caseid")</formula>
    </cfRule>
  </conditionalFormatting>
  <conditionalFormatting sqref="A352">
    <cfRule type="expression" dxfId="24" priority="5302" stopIfTrue="1">
      <formula>OR(AND(LEFT($A352, 16)="select_multiple ", LEN($A352)&gt;16, NOT(ISNUMBER(SEARCH(" ", $A352, 17)))), AND(LEFT($A352, 11)="select_one ", LEN($A352)&gt;11, NOT(ISNUMBER(SEARCH(" ", $A352, 12)))))</formula>
    </cfRule>
  </conditionalFormatting>
  <conditionalFormatting sqref="A352">
    <cfRule type="expression" dxfId="25" priority="5303" stopIfTrue="1">
      <formula>$A352="decimal"</formula>
    </cfRule>
  </conditionalFormatting>
  <conditionalFormatting sqref="A352">
    <cfRule type="expression" dxfId="26" priority="5304" stopIfTrue="1">
      <formula>$A352="integer"</formula>
    </cfRule>
  </conditionalFormatting>
  <conditionalFormatting sqref="A352">
    <cfRule type="expression" dxfId="27" priority="5305" stopIfTrue="1">
      <formula>$A352="text"</formula>
    </cfRule>
  </conditionalFormatting>
  <conditionalFormatting sqref="A352">
    <cfRule type="expression" dxfId="28" priority="5306" stopIfTrue="1">
      <formula>$A352="end repeat"</formula>
    </cfRule>
  </conditionalFormatting>
  <conditionalFormatting sqref="A352">
    <cfRule type="expression" dxfId="28" priority="5307" stopIfTrue="1">
      <formula>$A352="begin repeat"</formula>
    </cfRule>
  </conditionalFormatting>
  <conditionalFormatting sqref="A352">
    <cfRule type="expression" dxfId="29" priority="5308" stopIfTrue="1">
      <formula>$A352="end group"</formula>
    </cfRule>
  </conditionalFormatting>
  <conditionalFormatting sqref="A352">
    <cfRule type="expression" dxfId="29" priority="5309" stopIfTrue="1">
      <formula>$A352="begin group"</formula>
    </cfRule>
  </conditionalFormatting>
  <conditionalFormatting sqref="A344:A346">
    <cfRule type="expression" dxfId="33" priority="5310" stopIfTrue="1">
      <formula>$A344="file"</formula>
    </cfRule>
  </conditionalFormatting>
  <conditionalFormatting sqref="A344:A346">
    <cfRule type="expression" dxfId="34" priority="5311" stopIfTrue="1">
      <formula>$A344="enumerator"</formula>
    </cfRule>
  </conditionalFormatting>
  <conditionalFormatting sqref="A344:A346">
    <cfRule type="expression" dxfId="35" priority="5312" stopIfTrue="1">
      <formula>OR(AND(LEFT($A344, 14)="sensor_stream ", LEN($A344)&gt;14, NOT(ISNUMBER(SEARCH(" ", $A344, 15)))), AND(LEFT($A344, 17)="sensor_statistic ", LEN($A344)&gt;17, NOT(ISNUMBER(SEARCH(" ", $A344, 18)))))</formula>
    </cfRule>
  </conditionalFormatting>
  <conditionalFormatting sqref="A344:A346">
    <cfRule type="expression" dxfId="14" priority="5313" stopIfTrue="1">
      <formula>$A344="comments"</formula>
    </cfRule>
  </conditionalFormatting>
  <conditionalFormatting sqref="A344:A346">
    <cfRule type="expression" dxfId="15" priority="5314" stopIfTrue="1">
      <formula>OR($A344="audio", $A344="video")</formula>
    </cfRule>
  </conditionalFormatting>
  <conditionalFormatting sqref="A344:A346">
    <cfRule type="expression" dxfId="16" priority="5315" stopIfTrue="1">
      <formula>$A344="image"</formula>
    </cfRule>
  </conditionalFormatting>
  <conditionalFormatting sqref="A344:A346">
    <cfRule type="expression" dxfId="17" priority="5316" stopIfTrue="1">
      <formula>OR($A344="date", $A344="datetime", $A344="time")</formula>
    </cfRule>
  </conditionalFormatting>
  <conditionalFormatting sqref="A344:A346">
    <cfRule type="expression" dxfId="18" priority="5317" stopIfTrue="1">
      <formula>OR($A344="calculate", $A344="calculate_here")</formula>
    </cfRule>
  </conditionalFormatting>
  <conditionalFormatting sqref="A344:A346">
    <cfRule type="expression" dxfId="19" priority="5318" stopIfTrue="1">
      <formula>$A344="note"</formula>
    </cfRule>
  </conditionalFormatting>
  <conditionalFormatting sqref="A344:A346">
    <cfRule type="expression" dxfId="20" priority="5319" stopIfTrue="1">
      <formula>$A344="barcode"</formula>
    </cfRule>
  </conditionalFormatting>
  <conditionalFormatting sqref="A344:A346">
    <cfRule type="expression" dxfId="21" priority="5320" stopIfTrue="1">
      <formula>OR($A344="geopoint", $A344="geoshape", $A344="geotrace")</formula>
    </cfRule>
  </conditionalFormatting>
  <conditionalFormatting sqref="A344:A346">
    <cfRule type="expression" dxfId="22" priority="5321" stopIfTrue="1">
      <formula>OR($A344="audio audit", $A344="text audit", $A344="speed violations count", $A344="speed violations list", $A344="speed violations audit")</formula>
    </cfRule>
  </conditionalFormatting>
  <conditionalFormatting sqref="A344:A346">
    <cfRule type="expression" dxfId="23" priority="5322" stopIfTrue="1">
      <formula>OR($A344="username", $A344="phonenumber", $A344="start", $A344="end", $A344="deviceid", $A344="subscriberid", $A344="simserial", $A344="caseid")</formula>
    </cfRule>
  </conditionalFormatting>
  <conditionalFormatting sqref="A344:A346">
    <cfRule type="expression" dxfId="24" priority="5323" stopIfTrue="1">
      <formula>OR(AND(LEFT($A344, 16)="select_multiple ", LEN($A344)&gt;16, NOT(ISNUMBER(SEARCH(" ", $A344, 17)))), AND(LEFT($A344, 11)="select_one ", LEN($A344)&gt;11, NOT(ISNUMBER(SEARCH(" ", $A344, 12)))))</formula>
    </cfRule>
  </conditionalFormatting>
  <conditionalFormatting sqref="A344:A346">
    <cfRule type="expression" dxfId="25" priority="5324" stopIfTrue="1">
      <formula>$A344="decimal"</formula>
    </cfRule>
  </conditionalFormatting>
  <conditionalFormatting sqref="A344:A346">
    <cfRule type="expression" dxfId="26" priority="5325" stopIfTrue="1">
      <formula>$A344="integer"</formula>
    </cfRule>
  </conditionalFormatting>
  <conditionalFormatting sqref="A344:A346">
    <cfRule type="expression" dxfId="27" priority="5326" stopIfTrue="1">
      <formula>$A344="text"</formula>
    </cfRule>
  </conditionalFormatting>
  <conditionalFormatting sqref="A344:A346">
    <cfRule type="expression" dxfId="28" priority="5327" stopIfTrue="1">
      <formula>$A344="end repeat"</formula>
    </cfRule>
  </conditionalFormatting>
  <conditionalFormatting sqref="A344:A346">
    <cfRule type="expression" dxfId="28" priority="5328" stopIfTrue="1">
      <formula>$A344="begin repeat"</formula>
    </cfRule>
  </conditionalFormatting>
  <conditionalFormatting sqref="A344:A346">
    <cfRule type="expression" dxfId="29" priority="5329" stopIfTrue="1">
      <formula>$A344="end group"</formula>
    </cfRule>
  </conditionalFormatting>
  <conditionalFormatting sqref="A344:A346">
    <cfRule type="expression" dxfId="29" priority="5330" stopIfTrue="1">
      <formula>$A344="begin group"</formula>
    </cfRule>
  </conditionalFormatting>
  <conditionalFormatting sqref="A340:A341">
    <cfRule type="expression" dxfId="33" priority="5331" stopIfTrue="1">
      <formula>$A340="file"</formula>
    </cfRule>
  </conditionalFormatting>
  <conditionalFormatting sqref="A340:A341">
    <cfRule type="expression" dxfId="34" priority="5332" stopIfTrue="1">
      <formula>$A340="enumerator"</formula>
    </cfRule>
  </conditionalFormatting>
  <conditionalFormatting sqref="A340:A341">
    <cfRule type="expression" dxfId="35" priority="5333" stopIfTrue="1">
      <formula>OR(AND(LEFT($A340, 14)="sensor_stream ", LEN($A340)&gt;14, NOT(ISNUMBER(SEARCH(" ", $A340, 15)))), AND(LEFT($A340, 17)="sensor_statistic ", LEN($A340)&gt;17, NOT(ISNUMBER(SEARCH(" ", $A340, 18)))))</formula>
    </cfRule>
  </conditionalFormatting>
  <conditionalFormatting sqref="A340:A341">
    <cfRule type="expression" dxfId="14" priority="5334" stopIfTrue="1">
      <formula>$A340="comments"</formula>
    </cfRule>
  </conditionalFormatting>
  <conditionalFormatting sqref="A340:A341">
    <cfRule type="expression" dxfId="15" priority="5335" stopIfTrue="1">
      <formula>OR($A340="audio", $A340="video")</formula>
    </cfRule>
  </conditionalFormatting>
  <conditionalFormatting sqref="A340:A341">
    <cfRule type="expression" dxfId="16" priority="5336" stopIfTrue="1">
      <formula>$A340="image"</formula>
    </cfRule>
  </conditionalFormatting>
  <conditionalFormatting sqref="A340:A341">
    <cfRule type="expression" dxfId="17" priority="5337" stopIfTrue="1">
      <formula>OR($A340="date", $A340="datetime", $A340="time")</formula>
    </cfRule>
  </conditionalFormatting>
  <conditionalFormatting sqref="A340:A341">
    <cfRule type="expression" dxfId="18" priority="5338" stopIfTrue="1">
      <formula>OR($A340="calculate", $A340="calculate_here")</formula>
    </cfRule>
  </conditionalFormatting>
  <conditionalFormatting sqref="A340:A341">
    <cfRule type="expression" dxfId="19" priority="5339" stopIfTrue="1">
      <formula>$A340="note"</formula>
    </cfRule>
  </conditionalFormatting>
  <conditionalFormatting sqref="A340:A341">
    <cfRule type="expression" dxfId="20" priority="5340" stopIfTrue="1">
      <formula>$A340="barcode"</formula>
    </cfRule>
  </conditionalFormatting>
  <conditionalFormatting sqref="A340:A341">
    <cfRule type="expression" dxfId="21" priority="5341" stopIfTrue="1">
      <formula>OR($A340="geopoint", $A340="geoshape", $A340="geotrace")</formula>
    </cfRule>
  </conditionalFormatting>
  <conditionalFormatting sqref="A340:A341">
    <cfRule type="expression" dxfId="22" priority="5342" stopIfTrue="1">
      <formula>OR($A340="audio audit", $A340="text audit", $A340="speed violations count", $A340="speed violations list", $A340="speed violations audit")</formula>
    </cfRule>
  </conditionalFormatting>
  <conditionalFormatting sqref="A340:A341">
    <cfRule type="expression" dxfId="23" priority="5343" stopIfTrue="1">
      <formula>OR($A340="username", $A340="phonenumber", $A340="start", $A340="end", $A340="deviceid", $A340="subscriberid", $A340="simserial", $A340="caseid")</formula>
    </cfRule>
  </conditionalFormatting>
  <conditionalFormatting sqref="A340:A341">
    <cfRule type="expression" dxfId="24" priority="5344" stopIfTrue="1">
      <formula>OR(AND(LEFT($A340, 16)="select_multiple ", LEN($A340)&gt;16, NOT(ISNUMBER(SEARCH(" ", $A340, 17)))), AND(LEFT($A340, 11)="select_one ", LEN($A340)&gt;11, NOT(ISNUMBER(SEARCH(" ", $A340, 12)))))</formula>
    </cfRule>
  </conditionalFormatting>
  <conditionalFormatting sqref="A340:A341">
    <cfRule type="expression" dxfId="25" priority="5345" stopIfTrue="1">
      <formula>$A340="decimal"</formula>
    </cfRule>
  </conditionalFormatting>
  <conditionalFormatting sqref="A340:A341">
    <cfRule type="expression" dxfId="26" priority="5346" stopIfTrue="1">
      <formula>$A340="integer"</formula>
    </cfRule>
  </conditionalFormatting>
  <conditionalFormatting sqref="A340:A341">
    <cfRule type="expression" dxfId="27" priority="5347" stopIfTrue="1">
      <formula>$A340="text"</formula>
    </cfRule>
  </conditionalFormatting>
  <conditionalFormatting sqref="A340:A341">
    <cfRule type="expression" dxfId="28" priority="5348" stopIfTrue="1">
      <formula>$A340="end repeat"</formula>
    </cfRule>
  </conditionalFormatting>
  <conditionalFormatting sqref="A340:A341">
    <cfRule type="expression" dxfId="28" priority="5349" stopIfTrue="1">
      <formula>$A340="begin repeat"</formula>
    </cfRule>
  </conditionalFormatting>
  <conditionalFormatting sqref="A340:A341">
    <cfRule type="expression" dxfId="29" priority="5350" stopIfTrue="1">
      <formula>$A340="end group"</formula>
    </cfRule>
  </conditionalFormatting>
  <conditionalFormatting sqref="A340:A341">
    <cfRule type="expression" dxfId="29" priority="5351" stopIfTrue="1">
      <formula>$A340="begin group"</formula>
    </cfRule>
  </conditionalFormatting>
  <conditionalFormatting sqref="A330:A332">
    <cfRule type="expression" dxfId="33" priority="5352" stopIfTrue="1">
      <formula>$A330="file"</formula>
    </cfRule>
  </conditionalFormatting>
  <conditionalFormatting sqref="A330:A332">
    <cfRule type="expression" dxfId="34" priority="5353" stopIfTrue="1">
      <formula>$A330="enumerator"</formula>
    </cfRule>
  </conditionalFormatting>
  <conditionalFormatting sqref="A330:A332">
    <cfRule type="expression" dxfId="35" priority="5354" stopIfTrue="1">
      <formula>OR(AND(LEFT($A330, 14)="sensor_stream ", LEN($A330)&gt;14, NOT(ISNUMBER(SEARCH(" ", $A330, 15)))), AND(LEFT($A330, 17)="sensor_statistic ", LEN($A330)&gt;17, NOT(ISNUMBER(SEARCH(" ", $A330, 18)))))</formula>
    </cfRule>
  </conditionalFormatting>
  <conditionalFormatting sqref="A330:A332">
    <cfRule type="expression" dxfId="14" priority="5355" stopIfTrue="1">
      <formula>$A330="comments"</formula>
    </cfRule>
  </conditionalFormatting>
  <conditionalFormatting sqref="A330:A332">
    <cfRule type="expression" dxfId="15" priority="5356" stopIfTrue="1">
      <formula>OR($A330="audio", $A330="video")</formula>
    </cfRule>
  </conditionalFormatting>
  <conditionalFormatting sqref="A330:A332">
    <cfRule type="expression" dxfId="16" priority="5357" stopIfTrue="1">
      <formula>$A330="image"</formula>
    </cfRule>
  </conditionalFormatting>
  <conditionalFormatting sqref="A330:A332">
    <cfRule type="expression" dxfId="17" priority="5358" stopIfTrue="1">
      <formula>OR($A330="date", $A330="datetime", $A330="time")</formula>
    </cfRule>
  </conditionalFormatting>
  <conditionalFormatting sqref="A330:A332">
    <cfRule type="expression" dxfId="18" priority="5359" stopIfTrue="1">
      <formula>OR($A330="calculate", $A330="calculate_here")</formula>
    </cfRule>
  </conditionalFormatting>
  <conditionalFormatting sqref="A330:A332">
    <cfRule type="expression" dxfId="19" priority="5360" stopIfTrue="1">
      <formula>$A330="note"</formula>
    </cfRule>
  </conditionalFormatting>
  <conditionalFormatting sqref="A330:A332">
    <cfRule type="expression" dxfId="20" priority="5361" stopIfTrue="1">
      <formula>$A330="barcode"</formula>
    </cfRule>
  </conditionalFormatting>
  <conditionalFormatting sqref="A330:A332">
    <cfRule type="expression" dxfId="21" priority="5362" stopIfTrue="1">
      <formula>OR($A330="geopoint", $A330="geoshape", $A330="geotrace")</formula>
    </cfRule>
  </conditionalFormatting>
  <conditionalFormatting sqref="A330:A332">
    <cfRule type="expression" dxfId="22" priority="5363" stopIfTrue="1">
      <formula>OR($A330="audio audit", $A330="text audit", $A330="speed violations count", $A330="speed violations list", $A330="speed violations audit")</formula>
    </cfRule>
  </conditionalFormatting>
  <conditionalFormatting sqref="A330:A332">
    <cfRule type="expression" dxfId="23" priority="5364" stopIfTrue="1">
      <formula>OR($A330="username", $A330="phonenumber", $A330="start", $A330="end", $A330="deviceid", $A330="subscriberid", $A330="simserial", $A330="caseid")</formula>
    </cfRule>
  </conditionalFormatting>
  <conditionalFormatting sqref="A330:A332">
    <cfRule type="expression" dxfId="24" priority="5365" stopIfTrue="1">
      <formula>OR(AND(LEFT($A330, 16)="select_multiple ", LEN($A330)&gt;16, NOT(ISNUMBER(SEARCH(" ", $A330, 17)))), AND(LEFT($A330, 11)="select_one ", LEN($A330)&gt;11, NOT(ISNUMBER(SEARCH(" ", $A330, 12)))))</formula>
    </cfRule>
  </conditionalFormatting>
  <conditionalFormatting sqref="A330:A332">
    <cfRule type="expression" dxfId="25" priority="5366" stopIfTrue="1">
      <formula>$A330="decimal"</formula>
    </cfRule>
  </conditionalFormatting>
  <conditionalFormatting sqref="A330:A332">
    <cfRule type="expression" dxfId="26" priority="5367" stopIfTrue="1">
      <formula>$A330="integer"</formula>
    </cfRule>
  </conditionalFormatting>
  <conditionalFormatting sqref="A330:A332">
    <cfRule type="expression" dxfId="27" priority="5368" stopIfTrue="1">
      <formula>$A330="text"</formula>
    </cfRule>
  </conditionalFormatting>
  <conditionalFormatting sqref="A330:A332">
    <cfRule type="expression" dxfId="28" priority="5369" stopIfTrue="1">
      <formula>$A330="end repeat"</formula>
    </cfRule>
  </conditionalFormatting>
  <conditionalFormatting sqref="A330:A332">
    <cfRule type="expression" dxfId="28" priority="5370" stopIfTrue="1">
      <formula>$A330="begin repeat"</formula>
    </cfRule>
  </conditionalFormatting>
  <conditionalFormatting sqref="A330:A332">
    <cfRule type="expression" dxfId="29" priority="5371" stopIfTrue="1">
      <formula>$A330="end group"</formula>
    </cfRule>
  </conditionalFormatting>
  <conditionalFormatting sqref="A330:A332">
    <cfRule type="expression" dxfId="29" priority="5372" stopIfTrue="1">
      <formula>$A330="begin group"</formula>
    </cfRule>
  </conditionalFormatting>
  <conditionalFormatting sqref="A320">
    <cfRule type="expression" dxfId="33" priority="5373" stopIfTrue="1">
      <formula>$A320="file"</formula>
    </cfRule>
  </conditionalFormatting>
  <conditionalFormatting sqref="A320">
    <cfRule type="expression" dxfId="34" priority="5374" stopIfTrue="1">
      <formula>$A320="enumerator"</formula>
    </cfRule>
  </conditionalFormatting>
  <conditionalFormatting sqref="A320">
    <cfRule type="expression" dxfId="35" priority="5375" stopIfTrue="1">
      <formula>OR(AND(LEFT($A320, 14)="sensor_stream ", LEN($A320)&gt;14, NOT(ISNUMBER(SEARCH(" ", $A320, 15)))), AND(LEFT($A320, 17)="sensor_statistic ", LEN($A320)&gt;17, NOT(ISNUMBER(SEARCH(" ", $A320, 18)))))</formula>
    </cfRule>
  </conditionalFormatting>
  <conditionalFormatting sqref="A320">
    <cfRule type="expression" dxfId="14" priority="5376" stopIfTrue="1">
      <formula>$A320="comments"</formula>
    </cfRule>
  </conditionalFormatting>
  <conditionalFormatting sqref="A320">
    <cfRule type="expression" dxfId="15" priority="5377" stopIfTrue="1">
      <formula>OR($A320="audio", $A320="video")</formula>
    </cfRule>
  </conditionalFormatting>
  <conditionalFormatting sqref="A320">
    <cfRule type="expression" dxfId="16" priority="5378" stopIfTrue="1">
      <formula>$A320="image"</formula>
    </cfRule>
  </conditionalFormatting>
  <conditionalFormatting sqref="A320">
    <cfRule type="expression" dxfId="17" priority="5379" stopIfTrue="1">
      <formula>OR($A320="date", $A320="datetime", $A320="time")</formula>
    </cfRule>
  </conditionalFormatting>
  <conditionalFormatting sqref="A320">
    <cfRule type="expression" dxfId="18" priority="5380" stopIfTrue="1">
      <formula>OR($A320="calculate", $A320="calculate_here")</formula>
    </cfRule>
  </conditionalFormatting>
  <conditionalFormatting sqref="A320">
    <cfRule type="expression" dxfId="19" priority="5381" stopIfTrue="1">
      <formula>$A320="note"</formula>
    </cfRule>
  </conditionalFormatting>
  <conditionalFormatting sqref="A320">
    <cfRule type="expression" dxfId="20" priority="5382" stopIfTrue="1">
      <formula>$A320="barcode"</formula>
    </cfRule>
  </conditionalFormatting>
  <conditionalFormatting sqref="A320">
    <cfRule type="expression" dxfId="21" priority="5383" stopIfTrue="1">
      <formula>OR($A320="geopoint", $A320="geoshape", $A320="geotrace")</formula>
    </cfRule>
  </conditionalFormatting>
  <conditionalFormatting sqref="A320">
    <cfRule type="expression" dxfId="22" priority="5384" stopIfTrue="1">
      <formula>OR($A320="audio audit", $A320="text audit", $A320="speed violations count", $A320="speed violations list", $A320="speed violations audit")</formula>
    </cfRule>
  </conditionalFormatting>
  <conditionalFormatting sqref="A320">
    <cfRule type="expression" dxfId="23" priority="5385" stopIfTrue="1">
      <formula>OR($A320="username", $A320="phonenumber", $A320="start", $A320="end", $A320="deviceid", $A320="subscriberid", $A320="simserial", $A320="caseid")</formula>
    </cfRule>
  </conditionalFormatting>
  <conditionalFormatting sqref="A320">
    <cfRule type="expression" dxfId="24" priority="5386" stopIfTrue="1">
      <formula>OR(AND(LEFT($A320, 16)="select_multiple ", LEN($A320)&gt;16, NOT(ISNUMBER(SEARCH(" ", $A320, 17)))), AND(LEFT($A320, 11)="select_one ", LEN($A320)&gt;11, NOT(ISNUMBER(SEARCH(" ", $A320, 12)))))</formula>
    </cfRule>
  </conditionalFormatting>
  <conditionalFormatting sqref="A320">
    <cfRule type="expression" dxfId="25" priority="5387" stopIfTrue="1">
      <formula>$A320="decimal"</formula>
    </cfRule>
  </conditionalFormatting>
  <conditionalFormatting sqref="A320">
    <cfRule type="expression" dxfId="26" priority="5388" stopIfTrue="1">
      <formula>$A320="integer"</formula>
    </cfRule>
  </conditionalFormatting>
  <conditionalFormatting sqref="A320">
    <cfRule type="expression" dxfId="27" priority="5389" stopIfTrue="1">
      <formula>$A320="text"</formula>
    </cfRule>
  </conditionalFormatting>
  <conditionalFormatting sqref="A320">
    <cfRule type="expression" dxfId="28" priority="5390" stopIfTrue="1">
      <formula>$A320="end repeat"</formula>
    </cfRule>
  </conditionalFormatting>
  <conditionalFormatting sqref="A320">
    <cfRule type="expression" dxfId="28" priority="5391" stopIfTrue="1">
      <formula>$A320="begin repeat"</formula>
    </cfRule>
  </conditionalFormatting>
  <conditionalFormatting sqref="A320">
    <cfRule type="expression" dxfId="29" priority="5392" stopIfTrue="1">
      <formula>$A320="end group"</formula>
    </cfRule>
  </conditionalFormatting>
  <conditionalFormatting sqref="A320">
    <cfRule type="expression" dxfId="29" priority="5393" stopIfTrue="1">
      <formula>$A320="begin group"</formula>
    </cfRule>
  </conditionalFormatting>
  <conditionalFormatting sqref="A312">
    <cfRule type="expression" dxfId="33" priority="5394" stopIfTrue="1">
      <formula>$A312="file"</formula>
    </cfRule>
  </conditionalFormatting>
  <conditionalFormatting sqref="A312">
    <cfRule type="expression" dxfId="34" priority="5395" stopIfTrue="1">
      <formula>$A312="enumerator"</formula>
    </cfRule>
  </conditionalFormatting>
  <conditionalFormatting sqref="A312">
    <cfRule type="expression" dxfId="35" priority="5396" stopIfTrue="1">
      <formula>OR(AND(LEFT($A312, 14)="sensor_stream ", LEN($A312)&gt;14, NOT(ISNUMBER(SEARCH(" ", $A312, 15)))), AND(LEFT($A312, 17)="sensor_statistic ", LEN($A312)&gt;17, NOT(ISNUMBER(SEARCH(" ", $A312, 18)))))</formula>
    </cfRule>
  </conditionalFormatting>
  <conditionalFormatting sqref="A312">
    <cfRule type="expression" dxfId="14" priority="5397" stopIfTrue="1">
      <formula>$A312="comments"</formula>
    </cfRule>
  </conditionalFormatting>
  <conditionalFormatting sqref="A312">
    <cfRule type="expression" dxfId="15" priority="5398" stopIfTrue="1">
      <formula>OR($A312="audio", $A312="video")</formula>
    </cfRule>
  </conditionalFormatting>
  <conditionalFormatting sqref="A312">
    <cfRule type="expression" dxfId="16" priority="5399" stopIfTrue="1">
      <formula>$A312="image"</formula>
    </cfRule>
  </conditionalFormatting>
  <conditionalFormatting sqref="A312">
    <cfRule type="expression" dxfId="17" priority="5400" stopIfTrue="1">
      <formula>OR($A312="date", $A312="datetime", $A312="time")</formula>
    </cfRule>
  </conditionalFormatting>
  <conditionalFormatting sqref="A312">
    <cfRule type="expression" dxfId="18" priority="5401" stopIfTrue="1">
      <formula>OR($A312="calculate", $A312="calculate_here")</formula>
    </cfRule>
  </conditionalFormatting>
  <conditionalFormatting sqref="A312">
    <cfRule type="expression" dxfId="19" priority="5402" stopIfTrue="1">
      <formula>$A312="note"</formula>
    </cfRule>
  </conditionalFormatting>
  <conditionalFormatting sqref="A312">
    <cfRule type="expression" dxfId="20" priority="5403" stopIfTrue="1">
      <formula>$A312="barcode"</formula>
    </cfRule>
  </conditionalFormatting>
  <conditionalFormatting sqref="A312">
    <cfRule type="expression" dxfId="21" priority="5404" stopIfTrue="1">
      <formula>OR($A312="geopoint", $A312="geoshape", $A312="geotrace")</formula>
    </cfRule>
  </conditionalFormatting>
  <conditionalFormatting sqref="A312">
    <cfRule type="expression" dxfId="22" priority="5405" stopIfTrue="1">
      <formula>OR($A312="audio audit", $A312="text audit", $A312="speed violations count", $A312="speed violations list", $A312="speed violations audit")</formula>
    </cfRule>
  </conditionalFormatting>
  <conditionalFormatting sqref="A312">
    <cfRule type="expression" dxfId="23" priority="5406" stopIfTrue="1">
      <formula>OR($A312="username", $A312="phonenumber", $A312="start", $A312="end", $A312="deviceid", $A312="subscriberid", $A312="simserial", $A312="caseid")</formula>
    </cfRule>
  </conditionalFormatting>
  <conditionalFormatting sqref="A312">
    <cfRule type="expression" dxfId="24" priority="5407" stopIfTrue="1">
      <formula>OR(AND(LEFT($A312, 16)="select_multiple ", LEN($A312)&gt;16, NOT(ISNUMBER(SEARCH(" ", $A312, 17)))), AND(LEFT($A312, 11)="select_one ", LEN($A312)&gt;11, NOT(ISNUMBER(SEARCH(" ", $A312, 12)))))</formula>
    </cfRule>
  </conditionalFormatting>
  <conditionalFormatting sqref="A312">
    <cfRule type="expression" dxfId="25" priority="5408" stopIfTrue="1">
      <formula>$A312="decimal"</formula>
    </cfRule>
  </conditionalFormatting>
  <conditionalFormatting sqref="A312">
    <cfRule type="expression" dxfId="26" priority="5409" stopIfTrue="1">
      <formula>$A312="integer"</formula>
    </cfRule>
  </conditionalFormatting>
  <conditionalFormatting sqref="A312">
    <cfRule type="expression" dxfId="27" priority="5410" stopIfTrue="1">
      <formula>$A312="text"</formula>
    </cfRule>
  </conditionalFormatting>
  <conditionalFormatting sqref="A312">
    <cfRule type="expression" dxfId="28" priority="5411" stopIfTrue="1">
      <formula>$A312="end repeat"</formula>
    </cfRule>
  </conditionalFormatting>
  <conditionalFormatting sqref="A312">
    <cfRule type="expression" dxfId="28" priority="5412" stopIfTrue="1">
      <formula>$A312="begin repeat"</formula>
    </cfRule>
  </conditionalFormatting>
  <conditionalFormatting sqref="A312">
    <cfRule type="expression" dxfId="29" priority="5413" stopIfTrue="1">
      <formula>$A312="end group"</formula>
    </cfRule>
  </conditionalFormatting>
  <conditionalFormatting sqref="A312">
    <cfRule type="expression" dxfId="29" priority="5414" stopIfTrue="1">
      <formula>$A312="begin group"</formula>
    </cfRule>
  </conditionalFormatting>
  <conditionalFormatting sqref="A299:A309">
    <cfRule type="expression" dxfId="33" priority="5415" stopIfTrue="1">
      <formula>$A299="file"</formula>
    </cfRule>
  </conditionalFormatting>
  <conditionalFormatting sqref="A299:A309">
    <cfRule type="expression" dxfId="34" priority="5416" stopIfTrue="1">
      <formula>$A299="enumerator"</formula>
    </cfRule>
  </conditionalFormatting>
  <conditionalFormatting sqref="A299:A309">
    <cfRule type="expression" dxfId="35" priority="5417" stopIfTrue="1">
      <formula>OR(AND(LEFT($A299, 14)="sensor_stream ", LEN($A299)&gt;14, NOT(ISNUMBER(SEARCH(" ", $A299, 15)))), AND(LEFT($A299, 17)="sensor_statistic ", LEN($A299)&gt;17, NOT(ISNUMBER(SEARCH(" ", $A299, 18)))))</formula>
    </cfRule>
  </conditionalFormatting>
  <conditionalFormatting sqref="A299:A309">
    <cfRule type="expression" dxfId="14" priority="5418" stopIfTrue="1">
      <formula>$A299="comments"</formula>
    </cfRule>
  </conditionalFormatting>
  <conditionalFormatting sqref="A299:A309">
    <cfRule type="expression" dxfId="15" priority="5419" stopIfTrue="1">
      <formula>OR($A299="audio", $A299="video")</formula>
    </cfRule>
  </conditionalFormatting>
  <conditionalFormatting sqref="A299:A309">
    <cfRule type="expression" dxfId="16" priority="5420" stopIfTrue="1">
      <formula>$A299="image"</formula>
    </cfRule>
  </conditionalFormatting>
  <conditionalFormatting sqref="A299:A309">
    <cfRule type="expression" dxfId="17" priority="5421" stopIfTrue="1">
      <formula>OR($A299="date", $A299="datetime", $A299="time")</formula>
    </cfRule>
  </conditionalFormatting>
  <conditionalFormatting sqref="A299:A309">
    <cfRule type="expression" dxfId="18" priority="5422" stopIfTrue="1">
      <formula>OR($A299="calculate", $A299="calculate_here")</formula>
    </cfRule>
  </conditionalFormatting>
  <conditionalFormatting sqref="A299:A309">
    <cfRule type="expression" dxfId="19" priority="5423" stopIfTrue="1">
      <formula>$A299="note"</formula>
    </cfRule>
  </conditionalFormatting>
  <conditionalFormatting sqref="A299:A309">
    <cfRule type="expression" dxfId="20" priority="5424" stopIfTrue="1">
      <formula>$A299="barcode"</formula>
    </cfRule>
  </conditionalFormatting>
  <conditionalFormatting sqref="A299:A309">
    <cfRule type="expression" dxfId="21" priority="5425" stopIfTrue="1">
      <formula>OR($A299="geopoint", $A299="geoshape", $A299="geotrace")</formula>
    </cfRule>
  </conditionalFormatting>
  <conditionalFormatting sqref="A299:A309">
    <cfRule type="expression" dxfId="22" priority="5426" stopIfTrue="1">
      <formula>OR($A299="audio audit", $A299="text audit", $A299="speed violations count", $A299="speed violations list", $A299="speed violations audit")</formula>
    </cfRule>
  </conditionalFormatting>
  <conditionalFormatting sqref="A299:A309">
    <cfRule type="expression" dxfId="23" priority="5427" stopIfTrue="1">
      <formula>OR($A299="username", $A299="phonenumber", $A299="start", $A299="end", $A299="deviceid", $A299="subscriberid", $A299="simserial", $A299="caseid")</formula>
    </cfRule>
  </conditionalFormatting>
  <conditionalFormatting sqref="A299:A309">
    <cfRule type="expression" dxfId="24" priority="5428" stopIfTrue="1">
      <formula>OR(AND(LEFT($A299, 16)="select_multiple ", LEN($A299)&gt;16, NOT(ISNUMBER(SEARCH(" ", $A299, 17)))), AND(LEFT($A299, 11)="select_one ", LEN($A299)&gt;11, NOT(ISNUMBER(SEARCH(" ", $A299, 12)))))</formula>
    </cfRule>
  </conditionalFormatting>
  <conditionalFormatting sqref="A299:A309">
    <cfRule type="expression" dxfId="25" priority="5429" stopIfTrue="1">
      <formula>$A299="decimal"</formula>
    </cfRule>
  </conditionalFormatting>
  <conditionalFormatting sqref="A299:A309">
    <cfRule type="expression" dxfId="26" priority="5430" stopIfTrue="1">
      <formula>$A299="integer"</formula>
    </cfRule>
  </conditionalFormatting>
  <conditionalFormatting sqref="A299:A309">
    <cfRule type="expression" dxfId="27" priority="5431" stopIfTrue="1">
      <formula>$A299="text"</formula>
    </cfRule>
  </conditionalFormatting>
  <conditionalFormatting sqref="A299:A309">
    <cfRule type="expression" dxfId="28" priority="5432" stopIfTrue="1">
      <formula>$A299="end repeat"</formula>
    </cfRule>
  </conditionalFormatting>
  <conditionalFormatting sqref="A299:A309">
    <cfRule type="expression" dxfId="28" priority="5433" stopIfTrue="1">
      <formula>$A299="begin repeat"</formula>
    </cfRule>
  </conditionalFormatting>
  <conditionalFormatting sqref="A299:A309">
    <cfRule type="expression" dxfId="29" priority="5434" stopIfTrue="1">
      <formula>$A299="end group"</formula>
    </cfRule>
  </conditionalFormatting>
  <conditionalFormatting sqref="A299:A309">
    <cfRule type="expression" dxfId="29" priority="5435" stopIfTrue="1">
      <formula>$A299="begin group"</formula>
    </cfRule>
  </conditionalFormatting>
  <conditionalFormatting sqref="A293:A296">
    <cfRule type="expression" dxfId="33" priority="5436" stopIfTrue="1">
      <formula>$A293="file"</formula>
    </cfRule>
  </conditionalFormatting>
  <conditionalFormatting sqref="A293:A296">
    <cfRule type="expression" dxfId="34" priority="5437" stopIfTrue="1">
      <formula>$A293="enumerator"</formula>
    </cfRule>
  </conditionalFormatting>
  <conditionalFormatting sqref="A293:A296">
    <cfRule type="expression" dxfId="35" priority="5438" stopIfTrue="1">
      <formula>OR(AND(LEFT($A293, 14)="sensor_stream ", LEN($A293)&gt;14, NOT(ISNUMBER(SEARCH(" ", $A293, 15)))), AND(LEFT($A293, 17)="sensor_statistic ", LEN($A293)&gt;17, NOT(ISNUMBER(SEARCH(" ", $A293, 18)))))</formula>
    </cfRule>
  </conditionalFormatting>
  <conditionalFormatting sqref="A293:A296">
    <cfRule type="expression" dxfId="14" priority="5439" stopIfTrue="1">
      <formula>$A293="comments"</formula>
    </cfRule>
  </conditionalFormatting>
  <conditionalFormatting sqref="A293:A296">
    <cfRule type="expression" dxfId="15" priority="5440" stopIfTrue="1">
      <formula>OR($A293="audio", $A293="video")</formula>
    </cfRule>
  </conditionalFormatting>
  <conditionalFormatting sqref="A293:A296">
    <cfRule type="expression" dxfId="16" priority="5441" stopIfTrue="1">
      <formula>$A293="image"</formula>
    </cfRule>
  </conditionalFormatting>
  <conditionalFormatting sqref="A293:A296">
    <cfRule type="expression" dxfId="17" priority="5442" stopIfTrue="1">
      <formula>OR($A293="date", $A293="datetime", $A293="time")</formula>
    </cfRule>
  </conditionalFormatting>
  <conditionalFormatting sqref="A293:A296">
    <cfRule type="expression" dxfId="18" priority="5443" stopIfTrue="1">
      <formula>OR($A293="calculate", $A293="calculate_here")</formula>
    </cfRule>
  </conditionalFormatting>
  <conditionalFormatting sqref="A293:A296">
    <cfRule type="expression" dxfId="19" priority="5444" stopIfTrue="1">
      <formula>$A293="note"</formula>
    </cfRule>
  </conditionalFormatting>
  <conditionalFormatting sqref="A293:A296">
    <cfRule type="expression" dxfId="20" priority="5445" stopIfTrue="1">
      <formula>$A293="barcode"</formula>
    </cfRule>
  </conditionalFormatting>
  <conditionalFormatting sqref="A293:A296">
    <cfRule type="expression" dxfId="21" priority="5446" stopIfTrue="1">
      <formula>OR($A293="geopoint", $A293="geoshape", $A293="geotrace")</formula>
    </cfRule>
  </conditionalFormatting>
  <conditionalFormatting sqref="A293:A296">
    <cfRule type="expression" dxfId="22" priority="5447" stopIfTrue="1">
      <formula>OR($A293="audio audit", $A293="text audit", $A293="speed violations count", $A293="speed violations list", $A293="speed violations audit")</formula>
    </cfRule>
  </conditionalFormatting>
  <conditionalFormatting sqref="A293:A296">
    <cfRule type="expression" dxfId="23" priority="5448" stopIfTrue="1">
      <formula>OR($A293="username", $A293="phonenumber", $A293="start", $A293="end", $A293="deviceid", $A293="subscriberid", $A293="simserial", $A293="caseid")</formula>
    </cfRule>
  </conditionalFormatting>
  <conditionalFormatting sqref="A293:A296">
    <cfRule type="expression" dxfId="24" priority="5449" stopIfTrue="1">
      <formula>OR(AND(LEFT($A293, 16)="select_multiple ", LEN($A293)&gt;16, NOT(ISNUMBER(SEARCH(" ", $A293, 17)))), AND(LEFT($A293, 11)="select_one ", LEN($A293)&gt;11, NOT(ISNUMBER(SEARCH(" ", $A293, 12)))))</formula>
    </cfRule>
  </conditionalFormatting>
  <conditionalFormatting sqref="A293:A296">
    <cfRule type="expression" dxfId="25" priority="5450" stopIfTrue="1">
      <formula>$A293="decimal"</formula>
    </cfRule>
  </conditionalFormatting>
  <conditionalFormatting sqref="A293:A296">
    <cfRule type="expression" dxfId="26" priority="5451" stopIfTrue="1">
      <formula>$A293="integer"</formula>
    </cfRule>
  </conditionalFormatting>
  <conditionalFormatting sqref="A293:A296">
    <cfRule type="expression" dxfId="27" priority="5452" stopIfTrue="1">
      <formula>$A293="text"</formula>
    </cfRule>
  </conditionalFormatting>
  <conditionalFormatting sqref="A293:A296">
    <cfRule type="expression" dxfId="28" priority="5453" stopIfTrue="1">
      <formula>$A293="end repeat"</formula>
    </cfRule>
  </conditionalFormatting>
  <conditionalFormatting sqref="A293:A296">
    <cfRule type="expression" dxfId="28" priority="5454" stopIfTrue="1">
      <formula>$A293="begin repeat"</formula>
    </cfRule>
  </conditionalFormatting>
  <conditionalFormatting sqref="A293:A296">
    <cfRule type="expression" dxfId="29" priority="5455" stopIfTrue="1">
      <formula>$A293="end group"</formula>
    </cfRule>
  </conditionalFormatting>
  <conditionalFormatting sqref="A293:A296">
    <cfRule type="expression" dxfId="29" priority="5456" stopIfTrue="1">
      <formula>$A293="begin group"</formula>
    </cfRule>
  </conditionalFormatting>
  <conditionalFormatting sqref="A287:A290">
    <cfRule type="expression" dxfId="33" priority="5457" stopIfTrue="1">
      <formula>$A287="file"</formula>
    </cfRule>
  </conditionalFormatting>
  <conditionalFormatting sqref="A287:A290">
    <cfRule type="expression" dxfId="34" priority="5458" stopIfTrue="1">
      <formula>$A287="enumerator"</formula>
    </cfRule>
  </conditionalFormatting>
  <conditionalFormatting sqref="A287:A290">
    <cfRule type="expression" dxfId="35" priority="5459" stopIfTrue="1">
      <formula>OR(AND(LEFT($A287, 14)="sensor_stream ", LEN($A287)&gt;14, NOT(ISNUMBER(SEARCH(" ", $A287, 15)))), AND(LEFT($A287, 17)="sensor_statistic ", LEN($A287)&gt;17, NOT(ISNUMBER(SEARCH(" ", $A287, 18)))))</formula>
    </cfRule>
  </conditionalFormatting>
  <conditionalFormatting sqref="A287:A290">
    <cfRule type="expression" dxfId="14" priority="5460" stopIfTrue="1">
      <formula>$A287="comments"</formula>
    </cfRule>
  </conditionalFormatting>
  <conditionalFormatting sqref="A287:A290">
    <cfRule type="expression" dxfId="15" priority="5461" stopIfTrue="1">
      <formula>OR($A287="audio", $A287="video")</formula>
    </cfRule>
  </conditionalFormatting>
  <conditionalFormatting sqref="A287:A290">
    <cfRule type="expression" dxfId="16" priority="5462" stopIfTrue="1">
      <formula>$A287="image"</formula>
    </cfRule>
  </conditionalFormatting>
  <conditionalFormatting sqref="A287:A290">
    <cfRule type="expression" dxfId="17" priority="5463" stopIfTrue="1">
      <formula>OR($A287="date", $A287="datetime", $A287="time")</formula>
    </cfRule>
  </conditionalFormatting>
  <conditionalFormatting sqref="A287:A290">
    <cfRule type="expression" dxfId="18" priority="5464" stopIfTrue="1">
      <formula>OR($A287="calculate", $A287="calculate_here")</formula>
    </cfRule>
  </conditionalFormatting>
  <conditionalFormatting sqref="A287:A290">
    <cfRule type="expression" dxfId="19" priority="5465" stopIfTrue="1">
      <formula>$A287="note"</formula>
    </cfRule>
  </conditionalFormatting>
  <conditionalFormatting sqref="A287:A290">
    <cfRule type="expression" dxfId="20" priority="5466" stopIfTrue="1">
      <formula>$A287="barcode"</formula>
    </cfRule>
  </conditionalFormatting>
  <conditionalFormatting sqref="A287:A290">
    <cfRule type="expression" dxfId="21" priority="5467" stopIfTrue="1">
      <formula>OR($A287="geopoint", $A287="geoshape", $A287="geotrace")</formula>
    </cfRule>
  </conditionalFormatting>
  <conditionalFormatting sqref="A287:A290">
    <cfRule type="expression" dxfId="22" priority="5468" stopIfTrue="1">
      <formula>OR($A287="audio audit", $A287="text audit", $A287="speed violations count", $A287="speed violations list", $A287="speed violations audit")</formula>
    </cfRule>
  </conditionalFormatting>
  <conditionalFormatting sqref="A287:A290">
    <cfRule type="expression" dxfId="23" priority="5469" stopIfTrue="1">
      <formula>OR($A287="username", $A287="phonenumber", $A287="start", $A287="end", $A287="deviceid", $A287="subscriberid", $A287="simserial", $A287="caseid")</formula>
    </cfRule>
  </conditionalFormatting>
  <conditionalFormatting sqref="A287:A290">
    <cfRule type="expression" dxfId="24" priority="5470" stopIfTrue="1">
      <formula>OR(AND(LEFT($A287, 16)="select_multiple ", LEN($A287)&gt;16, NOT(ISNUMBER(SEARCH(" ", $A287, 17)))), AND(LEFT($A287, 11)="select_one ", LEN($A287)&gt;11, NOT(ISNUMBER(SEARCH(" ", $A287, 12)))))</formula>
    </cfRule>
  </conditionalFormatting>
  <conditionalFormatting sqref="A287:A290">
    <cfRule type="expression" dxfId="25" priority="5471" stopIfTrue="1">
      <formula>$A287="decimal"</formula>
    </cfRule>
  </conditionalFormatting>
  <conditionalFormatting sqref="A287:A290">
    <cfRule type="expression" dxfId="26" priority="5472" stopIfTrue="1">
      <formula>$A287="integer"</formula>
    </cfRule>
  </conditionalFormatting>
  <conditionalFormatting sqref="A287:A290">
    <cfRule type="expression" dxfId="27" priority="5473" stopIfTrue="1">
      <formula>$A287="text"</formula>
    </cfRule>
  </conditionalFormatting>
  <conditionalFormatting sqref="A287:A290">
    <cfRule type="expression" dxfId="28" priority="5474" stopIfTrue="1">
      <formula>$A287="end repeat"</formula>
    </cfRule>
  </conditionalFormatting>
  <conditionalFormatting sqref="A287:A290">
    <cfRule type="expression" dxfId="28" priority="5475" stopIfTrue="1">
      <formula>$A287="begin repeat"</formula>
    </cfRule>
  </conditionalFormatting>
  <conditionalFormatting sqref="A287:A290">
    <cfRule type="expression" dxfId="29" priority="5476" stopIfTrue="1">
      <formula>$A287="end group"</formula>
    </cfRule>
  </conditionalFormatting>
  <conditionalFormatting sqref="A287:A290">
    <cfRule type="expression" dxfId="29" priority="5477" stopIfTrue="1">
      <formula>$A287="begin group"</formula>
    </cfRule>
  </conditionalFormatting>
  <conditionalFormatting sqref="A279:A281">
    <cfRule type="expression" dxfId="33" priority="5478" stopIfTrue="1">
      <formula>$A279="file"</formula>
    </cfRule>
  </conditionalFormatting>
  <conditionalFormatting sqref="A279:A281">
    <cfRule type="expression" dxfId="34" priority="5479" stopIfTrue="1">
      <formula>$A279="enumerator"</formula>
    </cfRule>
  </conditionalFormatting>
  <conditionalFormatting sqref="A279:A281">
    <cfRule type="expression" dxfId="35" priority="5480" stopIfTrue="1">
      <formula>OR(AND(LEFT($A279, 14)="sensor_stream ", LEN($A279)&gt;14, NOT(ISNUMBER(SEARCH(" ", $A279, 15)))), AND(LEFT($A279, 17)="sensor_statistic ", LEN($A279)&gt;17, NOT(ISNUMBER(SEARCH(" ", $A279, 18)))))</formula>
    </cfRule>
  </conditionalFormatting>
  <conditionalFormatting sqref="A279:A281">
    <cfRule type="expression" dxfId="14" priority="5481" stopIfTrue="1">
      <formula>$A279="comments"</formula>
    </cfRule>
  </conditionalFormatting>
  <conditionalFormatting sqref="A279:A281">
    <cfRule type="expression" dxfId="15" priority="5482" stopIfTrue="1">
      <formula>OR($A279="audio", $A279="video")</formula>
    </cfRule>
  </conditionalFormatting>
  <conditionalFormatting sqref="A279:A281">
    <cfRule type="expression" dxfId="16" priority="5483" stopIfTrue="1">
      <formula>$A279="image"</formula>
    </cfRule>
  </conditionalFormatting>
  <conditionalFormatting sqref="A279:A281">
    <cfRule type="expression" dxfId="17" priority="5484" stopIfTrue="1">
      <formula>OR($A279="date", $A279="datetime", $A279="time")</formula>
    </cfRule>
  </conditionalFormatting>
  <conditionalFormatting sqref="A279:A281">
    <cfRule type="expression" dxfId="18" priority="5485" stopIfTrue="1">
      <formula>OR($A279="calculate", $A279="calculate_here")</formula>
    </cfRule>
  </conditionalFormatting>
  <conditionalFormatting sqref="A279:A281">
    <cfRule type="expression" dxfId="19" priority="5486" stopIfTrue="1">
      <formula>$A279="note"</formula>
    </cfRule>
  </conditionalFormatting>
  <conditionalFormatting sqref="A279:A281">
    <cfRule type="expression" dxfId="20" priority="5487" stopIfTrue="1">
      <formula>$A279="barcode"</formula>
    </cfRule>
  </conditionalFormatting>
  <conditionalFormatting sqref="A279:A281">
    <cfRule type="expression" dxfId="21" priority="5488" stopIfTrue="1">
      <formula>OR($A279="geopoint", $A279="geoshape", $A279="geotrace")</formula>
    </cfRule>
  </conditionalFormatting>
  <conditionalFormatting sqref="A279:A281">
    <cfRule type="expression" dxfId="22" priority="5489" stopIfTrue="1">
      <formula>OR($A279="audio audit", $A279="text audit", $A279="speed violations count", $A279="speed violations list", $A279="speed violations audit")</formula>
    </cfRule>
  </conditionalFormatting>
  <conditionalFormatting sqref="A279:A281">
    <cfRule type="expression" dxfId="23" priority="5490" stopIfTrue="1">
      <formula>OR($A279="username", $A279="phonenumber", $A279="start", $A279="end", $A279="deviceid", $A279="subscriberid", $A279="simserial", $A279="caseid")</formula>
    </cfRule>
  </conditionalFormatting>
  <conditionalFormatting sqref="A279:A281">
    <cfRule type="expression" dxfId="24" priority="5491" stopIfTrue="1">
      <formula>OR(AND(LEFT($A279, 16)="select_multiple ", LEN($A279)&gt;16, NOT(ISNUMBER(SEARCH(" ", $A279, 17)))), AND(LEFT($A279, 11)="select_one ", LEN($A279)&gt;11, NOT(ISNUMBER(SEARCH(" ", $A279, 12)))))</formula>
    </cfRule>
  </conditionalFormatting>
  <conditionalFormatting sqref="A279:A281">
    <cfRule type="expression" dxfId="25" priority="5492" stopIfTrue="1">
      <formula>$A279="decimal"</formula>
    </cfRule>
  </conditionalFormatting>
  <conditionalFormatting sqref="A279:A281">
    <cfRule type="expression" dxfId="26" priority="5493" stopIfTrue="1">
      <formula>$A279="integer"</formula>
    </cfRule>
  </conditionalFormatting>
  <conditionalFormatting sqref="A279:A281">
    <cfRule type="expression" dxfId="27" priority="5494" stopIfTrue="1">
      <formula>$A279="text"</formula>
    </cfRule>
  </conditionalFormatting>
  <conditionalFormatting sqref="A279:A281">
    <cfRule type="expression" dxfId="28" priority="5495" stopIfTrue="1">
      <formula>$A279="end repeat"</formula>
    </cfRule>
  </conditionalFormatting>
  <conditionalFormatting sqref="A279:A281">
    <cfRule type="expression" dxfId="28" priority="5496" stopIfTrue="1">
      <formula>$A279="begin repeat"</formula>
    </cfRule>
  </conditionalFormatting>
  <conditionalFormatting sqref="A279:A281">
    <cfRule type="expression" dxfId="29" priority="5497" stopIfTrue="1">
      <formula>$A279="end group"</formula>
    </cfRule>
  </conditionalFormatting>
  <conditionalFormatting sqref="A279:A281">
    <cfRule type="expression" dxfId="29" priority="5498" stopIfTrue="1">
      <formula>$A279="begin group"</formula>
    </cfRule>
  </conditionalFormatting>
  <conditionalFormatting sqref="A273:A274">
    <cfRule type="expression" dxfId="33" priority="5499" stopIfTrue="1">
      <formula>$A273="file"</formula>
    </cfRule>
  </conditionalFormatting>
  <conditionalFormatting sqref="A273:A274">
    <cfRule type="expression" dxfId="34" priority="5500" stopIfTrue="1">
      <formula>$A273="enumerator"</formula>
    </cfRule>
  </conditionalFormatting>
  <conditionalFormatting sqref="A273:A274">
    <cfRule type="expression" dxfId="35" priority="5501" stopIfTrue="1">
      <formula>OR(AND(LEFT($A273, 14)="sensor_stream ", LEN($A273)&gt;14, NOT(ISNUMBER(SEARCH(" ", $A273, 15)))), AND(LEFT($A273, 17)="sensor_statistic ", LEN($A273)&gt;17, NOT(ISNUMBER(SEARCH(" ", $A273, 18)))))</formula>
    </cfRule>
  </conditionalFormatting>
  <conditionalFormatting sqref="A273:A274">
    <cfRule type="expression" dxfId="14" priority="5502" stopIfTrue="1">
      <formula>$A273="comments"</formula>
    </cfRule>
  </conditionalFormatting>
  <conditionalFormatting sqref="A273:A274">
    <cfRule type="expression" dxfId="15" priority="5503" stopIfTrue="1">
      <formula>OR($A273="audio", $A273="video")</formula>
    </cfRule>
  </conditionalFormatting>
  <conditionalFormatting sqref="A273:A274">
    <cfRule type="expression" dxfId="16" priority="5504" stopIfTrue="1">
      <formula>$A273="image"</formula>
    </cfRule>
  </conditionalFormatting>
  <conditionalFormatting sqref="A273:A274">
    <cfRule type="expression" dxfId="17" priority="5505" stopIfTrue="1">
      <formula>OR($A273="date", $A273="datetime", $A273="time")</formula>
    </cfRule>
  </conditionalFormatting>
  <conditionalFormatting sqref="A273:A274">
    <cfRule type="expression" dxfId="18" priority="5506" stopIfTrue="1">
      <formula>OR($A273="calculate", $A273="calculate_here")</formula>
    </cfRule>
  </conditionalFormatting>
  <conditionalFormatting sqref="A273:A274">
    <cfRule type="expression" dxfId="19" priority="5507" stopIfTrue="1">
      <formula>$A273="note"</formula>
    </cfRule>
  </conditionalFormatting>
  <conditionalFormatting sqref="A273:A274">
    <cfRule type="expression" dxfId="20" priority="5508" stopIfTrue="1">
      <formula>$A273="barcode"</formula>
    </cfRule>
  </conditionalFormatting>
  <conditionalFormatting sqref="A273:A274">
    <cfRule type="expression" dxfId="21" priority="5509" stopIfTrue="1">
      <formula>OR($A273="geopoint", $A273="geoshape", $A273="geotrace")</formula>
    </cfRule>
  </conditionalFormatting>
  <conditionalFormatting sqref="A273:A274">
    <cfRule type="expression" dxfId="22" priority="5510" stopIfTrue="1">
      <formula>OR($A273="audio audit", $A273="text audit", $A273="speed violations count", $A273="speed violations list", $A273="speed violations audit")</formula>
    </cfRule>
  </conditionalFormatting>
  <conditionalFormatting sqref="A273:A274">
    <cfRule type="expression" dxfId="23" priority="5511" stopIfTrue="1">
      <formula>OR($A273="username", $A273="phonenumber", $A273="start", $A273="end", $A273="deviceid", $A273="subscriberid", $A273="simserial", $A273="caseid")</formula>
    </cfRule>
  </conditionalFormatting>
  <conditionalFormatting sqref="A273:A274">
    <cfRule type="expression" dxfId="24" priority="5512" stopIfTrue="1">
      <formula>OR(AND(LEFT($A273, 16)="select_multiple ", LEN($A273)&gt;16, NOT(ISNUMBER(SEARCH(" ", $A273, 17)))), AND(LEFT($A273, 11)="select_one ", LEN($A273)&gt;11, NOT(ISNUMBER(SEARCH(" ", $A273, 12)))))</formula>
    </cfRule>
  </conditionalFormatting>
  <conditionalFormatting sqref="A273:A274">
    <cfRule type="expression" dxfId="25" priority="5513" stopIfTrue="1">
      <formula>$A273="decimal"</formula>
    </cfRule>
  </conditionalFormatting>
  <conditionalFormatting sqref="A273:A274">
    <cfRule type="expression" dxfId="26" priority="5514" stopIfTrue="1">
      <formula>$A273="integer"</formula>
    </cfRule>
  </conditionalFormatting>
  <conditionalFormatting sqref="A273:A274">
    <cfRule type="expression" dxfId="27" priority="5515" stopIfTrue="1">
      <formula>$A273="text"</formula>
    </cfRule>
  </conditionalFormatting>
  <conditionalFormatting sqref="A273:A274">
    <cfRule type="expression" dxfId="28" priority="5516" stopIfTrue="1">
      <formula>$A273="end repeat"</formula>
    </cfRule>
  </conditionalFormatting>
  <conditionalFormatting sqref="A273:A274">
    <cfRule type="expression" dxfId="28" priority="5517" stopIfTrue="1">
      <formula>$A273="begin repeat"</formula>
    </cfRule>
  </conditionalFormatting>
  <conditionalFormatting sqref="A273:A274">
    <cfRule type="expression" dxfId="29" priority="5518" stopIfTrue="1">
      <formula>$A273="end group"</formula>
    </cfRule>
  </conditionalFormatting>
  <conditionalFormatting sqref="A273:A274">
    <cfRule type="expression" dxfId="29" priority="5519" stopIfTrue="1">
      <formula>$A273="begin group"</formula>
    </cfRule>
  </conditionalFormatting>
  <conditionalFormatting sqref="A267:A271">
    <cfRule type="expression" dxfId="33" priority="5520" stopIfTrue="1">
      <formula>$A267="file"</formula>
    </cfRule>
  </conditionalFormatting>
  <conditionalFormatting sqref="A267:A271">
    <cfRule type="expression" dxfId="34" priority="5521" stopIfTrue="1">
      <formula>$A267="enumerator"</formula>
    </cfRule>
  </conditionalFormatting>
  <conditionalFormatting sqref="A267:A271">
    <cfRule type="expression" dxfId="35" priority="5522" stopIfTrue="1">
      <formula>OR(AND(LEFT($A267, 14)="sensor_stream ", LEN($A267)&gt;14, NOT(ISNUMBER(SEARCH(" ", $A267, 15)))), AND(LEFT($A267, 17)="sensor_statistic ", LEN($A267)&gt;17, NOT(ISNUMBER(SEARCH(" ", $A267, 18)))))</formula>
    </cfRule>
  </conditionalFormatting>
  <conditionalFormatting sqref="A267:A271">
    <cfRule type="expression" dxfId="14" priority="5523" stopIfTrue="1">
      <formula>$A267="comments"</formula>
    </cfRule>
  </conditionalFormatting>
  <conditionalFormatting sqref="A267:A271">
    <cfRule type="expression" dxfId="15" priority="5524" stopIfTrue="1">
      <formula>OR($A267="audio", $A267="video")</formula>
    </cfRule>
  </conditionalFormatting>
  <conditionalFormatting sqref="A267:A271">
    <cfRule type="expression" dxfId="16" priority="5525" stopIfTrue="1">
      <formula>$A267="image"</formula>
    </cfRule>
  </conditionalFormatting>
  <conditionalFormatting sqref="A267:A271">
    <cfRule type="expression" dxfId="17" priority="5526" stopIfTrue="1">
      <formula>OR($A267="date", $A267="datetime", $A267="time")</formula>
    </cfRule>
  </conditionalFormatting>
  <conditionalFormatting sqref="A267:A271">
    <cfRule type="expression" dxfId="18" priority="5527" stopIfTrue="1">
      <formula>OR($A267="calculate", $A267="calculate_here")</formula>
    </cfRule>
  </conditionalFormatting>
  <conditionalFormatting sqref="A267:A271">
    <cfRule type="expression" dxfId="19" priority="5528" stopIfTrue="1">
      <formula>$A267="note"</formula>
    </cfRule>
  </conditionalFormatting>
  <conditionalFormatting sqref="A267:A271">
    <cfRule type="expression" dxfId="20" priority="5529" stopIfTrue="1">
      <formula>$A267="barcode"</formula>
    </cfRule>
  </conditionalFormatting>
  <conditionalFormatting sqref="A267:A271">
    <cfRule type="expression" dxfId="21" priority="5530" stopIfTrue="1">
      <formula>OR($A267="geopoint", $A267="geoshape", $A267="geotrace")</formula>
    </cfRule>
  </conditionalFormatting>
  <conditionalFormatting sqref="A267:A271">
    <cfRule type="expression" dxfId="22" priority="5531" stopIfTrue="1">
      <formula>OR($A267="audio audit", $A267="text audit", $A267="speed violations count", $A267="speed violations list", $A267="speed violations audit")</formula>
    </cfRule>
  </conditionalFormatting>
  <conditionalFormatting sqref="A267:A271">
    <cfRule type="expression" dxfId="23" priority="5532" stopIfTrue="1">
      <formula>OR($A267="username", $A267="phonenumber", $A267="start", $A267="end", $A267="deviceid", $A267="subscriberid", $A267="simserial", $A267="caseid")</formula>
    </cfRule>
  </conditionalFormatting>
  <conditionalFormatting sqref="A267:A271">
    <cfRule type="expression" dxfId="24" priority="5533" stopIfTrue="1">
      <formula>OR(AND(LEFT($A267, 16)="select_multiple ", LEN($A267)&gt;16, NOT(ISNUMBER(SEARCH(" ", $A267, 17)))), AND(LEFT($A267, 11)="select_one ", LEN($A267)&gt;11, NOT(ISNUMBER(SEARCH(" ", $A267, 12)))))</formula>
    </cfRule>
  </conditionalFormatting>
  <conditionalFormatting sqref="A267:A271">
    <cfRule type="expression" dxfId="25" priority="5534" stopIfTrue="1">
      <formula>$A267="decimal"</formula>
    </cfRule>
  </conditionalFormatting>
  <conditionalFormatting sqref="A267:A271">
    <cfRule type="expression" dxfId="26" priority="5535" stopIfTrue="1">
      <formula>$A267="integer"</formula>
    </cfRule>
  </conditionalFormatting>
  <conditionalFormatting sqref="A267:A271">
    <cfRule type="expression" dxfId="27" priority="5536" stopIfTrue="1">
      <formula>$A267="text"</formula>
    </cfRule>
  </conditionalFormatting>
  <conditionalFormatting sqref="A267:A271">
    <cfRule type="expression" dxfId="28" priority="5537" stopIfTrue="1">
      <formula>$A267="end repeat"</formula>
    </cfRule>
  </conditionalFormatting>
  <conditionalFormatting sqref="A267:A271">
    <cfRule type="expression" dxfId="28" priority="5538" stopIfTrue="1">
      <formula>$A267="begin repeat"</formula>
    </cfRule>
  </conditionalFormatting>
  <conditionalFormatting sqref="A267:A271">
    <cfRule type="expression" dxfId="29" priority="5539" stopIfTrue="1">
      <formula>$A267="end group"</formula>
    </cfRule>
  </conditionalFormatting>
  <conditionalFormatting sqref="A267:A271">
    <cfRule type="expression" dxfId="29" priority="5540" stopIfTrue="1">
      <formula>$A267="begin group"</formula>
    </cfRule>
  </conditionalFormatting>
  <conditionalFormatting sqref="A225:A265">
    <cfRule type="expression" dxfId="33" priority="5541" stopIfTrue="1">
      <formula>$A225="file"</formula>
    </cfRule>
  </conditionalFormatting>
  <conditionalFormatting sqref="A225:A265">
    <cfRule type="expression" dxfId="34" priority="5542" stopIfTrue="1">
      <formula>$A225="enumerator"</formula>
    </cfRule>
  </conditionalFormatting>
  <conditionalFormatting sqref="A225:A265">
    <cfRule type="expression" dxfId="35" priority="5543" stopIfTrue="1">
      <formula>OR(AND(LEFT($A225, 14)="sensor_stream ", LEN($A225)&gt;14, NOT(ISNUMBER(SEARCH(" ", $A225, 15)))), AND(LEFT($A225, 17)="sensor_statistic ", LEN($A225)&gt;17, NOT(ISNUMBER(SEARCH(" ", $A225, 18)))))</formula>
    </cfRule>
  </conditionalFormatting>
  <conditionalFormatting sqref="A225:A265">
    <cfRule type="expression" dxfId="14" priority="5544" stopIfTrue="1">
      <formula>$A225="comments"</formula>
    </cfRule>
  </conditionalFormatting>
  <conditionalFormatting sqref="A225:A265">
    <cfRule type="expression" dxfId="15" priority="5545" stopIfTrue="1">
      <formula>OR($A225="audio", $A225="video")</formula>
    </cfRule>
  </conditionalFormatting>
  <conditionalFormatting sqref="A225:A265">
    <cfRule type="expression" dxfId="16" priority="5546" stopIfTrue="1">
      <formula>$A225="image"</formula>
    </cfRule>
  </conditionalFormatting>
  <conditionalFormatting sqref="A225:A265">
    <cfRule type="expression" dxfId="17" priority="5547" stopIfTrue="1">
      <formula>OR($A225="date", $A225="datetime", $A225="time")</formula>
    </cfRule>
  </conditionalFormatting>
  <conditionalFormatting sqref="A225:A265">
    <cfRule type="expression" dxfId="18" priority="5548" stopIfTrue="1">
      <formula>OR($A225="calculate", $A225="calculate_here")</formula>
    </cfRule>
  </conditionalFormatting>
  <conditionalFormatting sqref="A225:A265">
    <cfRule type="expression" dxfId="19" priority="5549" stopIfTrue="1">
      <formula>$A225="note"</formula>
    </cfRule>
  </conditionalFormatting>
  <conditionalFormatting sqref="A225:A265">
    <cfRule type="expression" dxfId="20" priority="5550" stopIfTrue="1">
      <formula>$A225="barcode"</formula>
    </cfRule>
  </conditionalFormatting>
  <conditionalFormatting sqref="A225:A265">
    <cfRule type="expression" dxfId="21" priority="5551" stopIfTrue="1">
      <formula>OR($A225="geopoint", $A225="geoshape", $A225="geotrace")</formula>
    </cfRule>
  </conditionalFormatting>
  <conditionalFormatting sqref="A225:A265">
    <cfRule type="expression" dxfId="22" priority="5552" stopIfTrue="1">
      <formula>OR($A225="audio audit", $A225="text audit", $A225="speed violations count", $A225="speed violations list", $A225="speed violations audit")</formula>
    </cfRule>
  </conditionalFormatting>
  <conditionalFormatting sqref="A225:A265">
    <cfRule type="expression" dxfId="23" priority="5553" stopIfTrue="1">
      <formula>OR($A225="username", $A225="phonenumber", $A225="start", $A225="end", $A225="deviceid", $A225="subscriberid", $A225="simserial", $A225="caseid")</formula>
    </cfRule>
  </conditionalFormatting>
  <conditionalFormatting sqref="A225:A265">
    <cfRule type="expression" dxfId="24" priority="5554" stopIfTrue="1">
      <formula>OR(AND(LEFT($A225, 16)="select_multiple ", LEN($A225)&gt;16, NOT(ISNUMBER(SEARCH(" ", $A225, 17)))), AND(LEFT($A225, 11)="select_one ", LEN($A225)&gt;11, NOT(ISNUMBER(SEARCH(" ", $A225, 12)))))</formula>
    </cfRule>
  </conditionalFormatting>
  <conditionalFormatting sqref="A225:A265">
    <cfRule type="expression" dxfId="25" priority="5555" stopIfTrue="1">
      <formula>$A225="decimal"</formula>
    </cfRule>
  </conditionalFormatting>
  <conditionalFormatting sqref="A225:A265">
    <cfRule type="expression" dxfId="26" priority="5556" stopIfTrue="1">
      <formula>$A225="integer"</formula>
    </cfRule>
  </conditionalFormatting>
  <conditionalFormatting sqref="A225:A265">
    <cfRule type="expression" dxfId="27" priority="5557" stopIfTrue="1">
      <formula>$A225="text"</formula>
    </cfRule>
  </conditionalFormatting>
  <conditionalFormatting sqref="A225:A265">
    <cfRule type="expression" dxfId="28" priority="5558" stopIfTrue="1">
      <formula>$A225="end repeat"</formula>
    </cfRule>
  </conditionalFormatting>
  <conditionalFormatting sqref="A225:A265">
    <cfRule type="expression" dxfId="28" priority="5559" stopIfTrue="1">
      <formula>$A225="begin repeat"</formula>
    </cfRule>
  </conditionalFormatting>
  <conditionalFormatting sqref="A225:A265">
    <cfRule type="expression" dxfId="29" priority="5560" stopIfTrue="1">
      <formula>$A225="end group"</formula>
    </cfRule>
  </conditionalFormatting>
  <conditionalFormatting sqref="A225:A265">
    <cfRule type="expression" dxfId="29" priority="5561" stopIfTrue="1">
      <formula>$A225="begin group"</formula>
    </cfRule>
  </conditionalFormatting>
  <conditionalFormatting sqref="A217:A223">
    <cfRule type="expression" dxfId="33" priority="5562" stopIfTrue="1">
      <formula>$A217="file"</formula>
    </cfRule>
  </conditionalFormatting>
  <conditionalFormatting sqref="A217:A223">
    <cfRule type="expression" dxfId="34" priority="5563" stopIfTrue="1">
      <formula>$A217="enumerator"</formula>
    </cfRule>
  </conditionalFormatting>
  <conditionalFormatting sqref="A217:A223">
    <cfRule type="expression" dxfId="35" priority="5564" stopIfTrue="1">
      <formula>OR(AND(LEFT($A217, 14)="sensor_stream ", LEN($A217)&gt;14, NOT(ISNUMBER(SEARCH(" ", $A217, 15)))), AND(LEFT($A217, 17)="sensor_statistic ", LEN($A217)&gt;17, NOT(ISNUMBER(SEARCH(" ", $A217, 18)))))</formula>
    </cfRule>
  </conditionalFormatting>
  <conditionalFormatting sqref="A217:A223">
    <cfRule type="expression" dxfId="14" priority="5565" stopIfTrue="1">
      <formula>$A217="comments"</formula>
    </cfRule>
  </conditionalFormatting>
  <conditionalFormatting sqref="A217:A223">
    <cfRule type="expression" dxfId="15" priority="5566" stopIfTrue="1">
      <formula>OR($A217="audio", $A217="video")</formula>
    </cfRule>
  </conditionalFormatting>
  <conditionalFormatting sqref="A217:A223">
    <cfRule type="expression" dxfId="16" priority="5567" stopIfTrue="1">
      <formula>$A217="image"</formula>
    </cfRule>
  </conditionalFormatting>
  <conditionalFormatting sqref="A217:A223">
    <cfRule type="expression" dxfId="17" priority="5568" stopIfTrue="1">
      <formula>OR($A217="date", $A217="datetime", $A217="time")</formula>
    </cfRule>
  </conditionalFormatting>
  <conditionalFormatting sqref="A217:A223">
    <cfRule type="expression" dxfId="18" priority="5569" stopIfTrue="1">
      <formula>OR($A217="calculate", $A217="calculate_here")</formula>
    </cfRule>
  </conditionalFormatting>
  <conditionalFormatting sqref="A217:A223">
    <cfRule type="expression" dxfId="19" priority="5570" stopIfTrue="1">
      <formula>$A217="note"</formula>
    </cfRule>
  </conditionalFormatting>
  <conditionalFormatting sqref="A217:A223">
    <cfRule type="expression" dxfId="20" priority="5571" stopIfTrue="1">
      <formula>$A217="barcode"</formula>
    </cfRule>
  </conditionalFormatting>
  <conditionalFormatting sqref="A217:A223">
    <cfRule type="expression" dxfId="21" priority="5572" stopIfTrue="1">
      <formula>OR($A217="geopoint", $A217="geoshape", $A217="geotrace")</formula>
    </cfRule>
  </conditionalFormatting>
  <conditionalFormatting sqref="A217:A223">
    <cfRule type="expression" dxfId="22" priority="5573" stopIfTrue="1">
      <formula>OR($A217="audio audit", $A217="text audit", $A217="speed violations count", $A217="speed violations list", $A217="speed violations audit")</formula>
    </cfRule>
  </conditionalFormatting>
  <conditionalFormatting sqref="A217:A223">
    <cfRule type="expression" dxfId="23" priority="5574" stopIfTrue="1">
      <formula>OR($A217="username", $A217="phonenumber", $A217="start", $A217="end", $A217="deviceid", $A217="subscriberid", $A217="simserial", $A217="caseid")</formula>
    </cfRule>
  </conditionalFormatting>
  <conditionalFormatting sqref="A217:A223">
    <cfRule type="expression" dxfId="24" priority="5575" stopIfTrue="1">
      <formula>OR(AND(LEFT($A217, 16)="select_multiple ", LEN($A217)&gt;16, NOT(ISNUMBER(SEARCH(" ", $A217, 17)))), AND(LEFT($A217, 11)="select_one ", LEN($A217)&gt;11, NOT(ISNUMBER(SEARCH(" ", $A217, 12)))))</formula>
    </cfRule>
  </conditionalFormatting>
  <conditionalFormatting sqref="A217:A223">
    <cfRule type="expression" dxfId="25" priority="5576" stopIfTrue="1">
      <formula>$A217="decimal"</formula>
    </cfRule>
  </conditionalFormatting>
  <conditionalFormatting sqref="A217:A223">
    <cfRule type="expression" dxfId="26" priority="5577" stopIfTrue="1">
      <formula>$A217="integer"</formula>
    </cfRule>
  </conditionalFormatting>
  <conditionalFormatting sqref="A217:A223">
    <cfRule type="expression" dxfId="27" priority="5578" stopIfTrue="1">
      <formula>$A217="text"</formula>
    </cfRule>
  </conditionalFormatting>
  <conditionalFormatting sqref="A217:A223">
    <cfRule type="expression" dxfId="28" priority="5579" stopIfTrue="1">
      <formula>$A217="end repeat"</formula>
    </cfRule>
  </conditionalFormatting>
  <conditionalFormatting sqref="A217:A223">
    <cfRule type="expression" dxfId="28" priority="5580" stopIfTrue="1">
      <formula>$A217="begin repeat"</formula>
    </cfRule>
  </conditionalFormatting>
  <conditionalFormatting sqref="A217:A223">
    <cfRule type="expression" dxfId="29" priority="5581" stopIfTrue="1">
      <formula>$A217="end group"</formula>
    </cfRule>
  </conditionalFormatting>
  <conditionalFormatting sqref="A217:A223">
    <cfRule type="expression" dxfId="29" priority="5582" stopIfTrue="1">
      <formula>$A217="begin group"</formula>
    </cfRule>
  </conditionalFormatting>
  <conditionalFormatting sqref="A215">
    <cfRule type="expression" dxfId="33" priority="5583" stopIfTrue="1">
      <formula>$A215="file"</formula>
    </cfRule>
  </conditionalFormatting>
  <conditionalFormatting sqref="A215">
    <cfRule type="expression" dxfId="34" priority="5584" stopIfTrue="1">
      <formula>$A215="enumerator"</formula>
    </cfRule>
  </conditionalFormatting>
  <conditionalFormatting sqref="A215">
    <cfRule type="expression" dxfId="35" priority="5585" stopIfTrue="1">
      <formula>OR(AND(LEFT($A215, 14)="sensor_stream ", LEN($A215)&gt;14, NOT(ISNUMBER(SEARCH(" ", $A215, 15)))), AND(LEFT($A215, 17)="sensor_statistic ", LEN($A215)&gt;17, NOT(ISNUMBER(SEARCH(" ", $A215, 18)))))</formula>
    </cfRule>
  </conditionalFormatting>
  <conditionalFormatting sqref="A215">
    <cfRule type="expression" dxfId="14" priority="5586" stopIfTrue="1">
      <formula>$A215="comments"</formula>
    </cfRule>
  </conditionalFormatting>
  <conditionalFormatting sqref="A215">
    <cfRule type="expression" dxfId="15" priority="5587" stopIfTrue="1">
      <formula>OR($A215="audio", $A215="video")</formula>
    </cfRule>
  </conditionalFormatting>
  <conditionalFormatting sqref="A215">
    <cfRule type="expression" dxfId="16" priority="5588" stopIfTrue="1">
      <formula>$A215="image"</formula>
    </cfRule>
  </conditionalFormatting>
  <conditionalFormatting sqref="A215">
    <cfRule type="expression" dxfId="17" priority="5589" stopIfTrue="1">
      <formula>OR($A215="date", $A215="datetime", $A215="time")</formula>
    </cfRule>
  </conditionalFormatting>
  <conditionalFormatting sqref="A215">
    <cfRule type="expression" dxfId="18" priority="5590" stopIfTrue="1">
      <formula>OR($A215="calculate", $A215="calculate_here")</formula>
    </cfRule>
  </conditionalFormatting>
  <conditionalFormatting sqref="A215">
    <cfRule type="expression" dxfId="19" priority="5591" stopIfTrue="1">
      <formula>$A215="note"</formula>
    </cfRule>
  </conditionalFormatting>
  <conditionalFormatting sqref="A215">
    <cfRule type="expression" dxfId="20" priority="5592" stopIfTrue="1">
      <formula>$A215="barcode"</formula>
    </cfRule>
  </conditionalFormatting>
  <conditionalFormatting sqref="A215">
    <cfRule type="expression" dxfId="21" priority="5593" stopIfTrue="1">
      <formula>OR($A215="geopoint", $A215="geoshape", $A215="geotrace")</formula>
    </cfRule>
  </conditionalFormatting>
  <conditionalFormatting sqref="A215">
    <cfRule type="expression" dxfId="22" priority="5594" stopIfTrue="1">
      <formula>OR($A215="audio audit", $A215="text audit", $A215="speed violations count", $A215="speed violations list", $A215="speed violations audit")</formula>
    </cfRule>
  </conditionalFormatting>
  <conditionalFormatting sqref="A215">
    <cfRule type="expression" dxfId="23" priority="5595" stopIfTrue="1">
      <formula>OR($A215="username", $A215="phonenumber", $A215="start", $A215="end", $A215="deviceid", $A215="subscriberid", $A215="simserial", $A215="caseid")</formula>
    </cfRule>
  </conditionalFormatting>
  <conditionalFormatting sqref="A215">
    <cfRule type="expression" dxfId="24" priority="5596" stopIfTrue="1">
      <formula>OR(AND(LEFT($A215, 16)="select_multiple ", LEN($A215)&gt;16, NOT(ISNUMBER(SEARCH(" ", $A215, 17)))), AND(LEFT($A215, 11)="select_one ", LEN($A215)&gt;11, NOT(ISNUMBER(SEARCH(" ", $A215, 12)))))</formula>
    </cfRule>
  </conditionalFormatting>
  <conditionalFormatting sqref="A215">
    <cfRule type="expression" dxfId="25" priority="5597" stopIfTrue="1">
      <formula>$A215="decimal"</formula>
    </cfRule>
  </conditionalFormatting>
  <conditionalFormatting sqref="A215">
    <cfRule type="expression" dxfId="26" priority="5598" stopIfTrue="1">
      <formula>$A215="integer"</formula>
    </cfRule>
  </conditionalFormatting>
  <conditionalFormatting sqref="A215">
    <cfRule type="expression" dxfId="27" priority="5599" stopIfTrue="1">
      <formula>$A215="text"</formula>
    </cfRule>
  </conditionalFormatting>
  <conditionalFormatting sqref="A215">
    <cfRule type="expression" dxfId="28" priority="5600" stopIfTrue="1">
      <formula>$A215="end repeat"</formula>
    </cfRule>
  </conditionalFormatting>
  <conditionalFormatting sqref="A215">
    <cfRule type="expression" dxfId="28" priority="5601" stopIfTrue="1">
      <formula>$A215="begin repeat"</formula>
    </cfRule>
  </conditionalFormatting>
  <conditionalFormatting sqref="A215">
    <cfRule type="expression" dxfId="29" priority="5602" stopIfTrue="1">
      <formula>$A215="end group"</formula>
    </cfRule>
  </conditionalFormatting>
  <conditionalFormatting sqref="A215">
    <cfRule type="expression" dxfId="29" priority="5603" stopIfTrue="1">
      <formula>$A215="begin group"</formula>
    </cfRule>
  </conditionalFormatting>
  <conditionalFormatting sqref="A208:A211">
    <cfRule type="expression" dxfId="33" priority="5604" stopIfTrue="1">
      <formula>$A208="file"</formula>
    </cfRule>
  </conditionalFormatting>
  <conditionalFormatting sqref="A208:A211">
    <cfRule type="expression" dxfId="34" priority="5605" stopIfTrue="1">
      <formula>$A208="enumerator"</formula>
    </cfRule>
  </conditionalFormatting>
  <conditionalFormatting sqref="A208:A211">
    <cfRule type="expression" dxfId="35" priority="5606" stopIfTrue="1">
      <formula>OR(AND(LEFT($A208, 14)="sensor_stream ", LEN($A208)&gt;14, NOT(ISNUMBER(SEARCH(" ", $A208, 15)))), AND(LEFT($A208, 17)="sensor_statistic ", LEN($A208)&gt;17, NOT(ISNUMBER(SEARCH(" ", $A208, 18)))))</formula>
    </cfRule>
  </conditionalFormatting>
  <conditionalFormatting sqref="A208:A211">
    <cfRule type="expression" dxfId="14" priority="5607" stopIfTrue="1">
      <formula>$A208="comments"</formula>
    </cfRule>
  </conditionalFormatting>
  <conditionalFormatting sqref="A208:A211">
    <cfRule type="expression" dxfId="15" priority="5608" stopIfTrue="1">
      <formula>OR($A208="audio", $A208="video")</formula>
    </cfRule>
  </conditionalFormatting>
  <conditionalFormatting sqref="A208:A211">
    <cfRule type="expression" dxfId="16" priority="5609" stopIfTrue="1">
      <formula>$A208="image"</formula>
    </cfRule>
  </conditionalFormatting>
  <conditionalFormatting sqref="A208:A211">
    <cfRule type="expression" dxfId="17" priority="5610" stopIfTrue="1">
      <formula>OR($A208="date", $A208="datetime", $A208="time")</formula>
    </cfRule>
  </conditionalFormatting>
  <conditionalFormatting sqref="A208:A211">
    <cfRule type="expression" dxfId="18" priority="5611" stopIfTrue="1">
      <formula>OR($A208="calculate", $A208="calculate_here")</formula>
    </cfRule>
  </conditionalFormatting>
  <conditionalFormatting sqref="A208:A211">
    <cfRule type="expression" dxfId="19" priority="5612" stopIfTrue="1">
      <formula>$A208="note"</formula>
    </cfRule>
  </conditionalFormatting>
  <conditionalFormatting sqref="A208:A211">
    <cfRule type="expression" dxfId="20" priority="5613" stopIfTrue="1">
      <formula>$A208="barcode"</formula>
    </cfRule>
  </conditionalFormatting>
  <conditionalFormatting sqref="A208:A211">
    <cfRule type="expression" dxfId="21" priority="5614" stopIfTrue="1">
      <formula>OR($A208="geopoint", $A208="geoshape", $A208="geotrace")</formula>
    </cfRule>
  </conditionalFormatting>
  <conditionalFormatting sqref="A208:A211">
    <cfRule type="expression" dxfId="22" priority="5615" stopIfTrue="1">
      <formula>OR($A208="audio audit", $A208="text audit", $A208="speed violations count", $A208="speed violations list", $A208="speed violations audit")</formula>
    </cfRule>
  </conditionalFormatting>
  <conditionalFormatting sqref="A208:A211">
    <cfRule type="expression" dxfId="23" priority="5616" stopIfTrue="1">
      <formula>OR($A208="username", $A208="phonenumber", $A208="start", $A208="end", $A208="deviceid", $A208="subscriberid", $A208="simserial", $A208="caseid")</formula>
    </cfRule>
  </conditionalFormatting>
  <conditionalFormatting sqref="A208:A211">
    <cfRule type="expression" dxfId="24" priority="5617" stopIfTrue="1">
      <formula>OR(AND(LEFT($A208, 16)="select_multiple ", LEN($A208)&gt;16, NOT(ISNUMBER(SEARCH(" ", $A208, 17)))), AND(LEFT($A208, 11)="select_one ", LEN($A208)&gt;11, NOT(ISNUMBER(SEARCH(" ", $A208, 12)))))</formula>
    </cfRule>
  </conditionalFormatting>
  <conditionalFormatting sqref="A208:A211">
    <cfRule type="expression" dxfId="25" priority="5618" stopIfTrue="1">
      <formula>$A208="decimal"</formula>
    </cfRule>
  </conditionalFormatting>
  <conditionalFormatting sqref="A208:A211">
    <cfRule type="expression" dxfId="26" priority="5619" stopIfTrue="1">
      <formula>$A208="integer"</formula>
    </cfRule>
  </conditionalFormatting>
  <conditionalFormatting sqref="A208:A211">
    <cfRule type="expression" dxfId="27" priority="5620" stopIfTrue="1">
      <formula>$A208="text"</formula>
    </cfRule>
  </conditionalFormatting>
  <conditionalFormatting sqref="A208:A211">
    <cfRule type="expression" dxfId="28" priority="5621" stopIfTrue="1">
      <formula>$A208="end repeat"</formula>
    </cfRule>
  </conditionalFormatting>
  <conditionalFormatting sqref="A208:A211">
    <cfRule type="expression" dxfId="28" priority="5622" stopIfTrue="1">
      <formula>$A208="begin repeat"</formula>
    </cfRule>
  </conditionalFormatting>
  <conditionalFormatting sqref="A208:A211">
    <cfRule type="expression" dxfId="29" priority="5623" stopIfTrue="1">
      <formula>$A208="end group"</formula>
    </cfRule>
  </conditionalFormatting>
  <conditionalFormatting sqref="A208:A211">
    <cfRule type="expression" dxfId="29" priority="5624" stopIfTrue="1">
      <formula>$A208="begin group"</formula>
    </cfRule>
  </conditionalFormatting>
  <conditionalFormatting sqref="A201:A205">
    <cfRule type="expression" dxfId="33" priority="5625" stopIfTrue="1">
      <formula>$A201="file"</formula>
    </cfRule>
  </conditionalFormatting>
  <conditionalFormatting sqref="A201:A205">
    <cfRule type="expression" dxfId="34" priority="5626" stopIfTrue="1">
      <formula>$A201="enumerator"</formula>
    </cfRule>
  </conditionalFormatting>
  <conditionalFormatting sqref="A201:A205">
    <cfRule type="expression" dxfId="35" priority="5627" stopIfTrue="1">
      <formula>OR(AND(LEFT($A201, 14)="sensor_stream ", LEN($A201)&gt;14, NOT(ISNUMBER(SEARCH(" ", $A201, 15)))), AND(LEFT($A201, 17)="sensor_statistic ", LEN($A201)&gt;17, NOT(ISNUMBER(SEARCH(" ", $A201, 18)))))</formula>
    </cfRule>
  </conditionalFormatting>
  <conditionalFormatting sqref="A201:A205">
    <cfRule type="expression" dxfId="14" priority="5628" stopIfTrue="1">
      <formula>$A201="comments"</formula>
    </cfRule>
  </conditionalFormatting>
  <conditionalFormatting sqref="A201:A205">
    <cfRule type="expression" dxfId="15" priority="5629" stopIfTrue="1">
      <formula>OR($A201="audio", $A201="video")</formula>
    </cfRule>
  </conditionalFormatting>
  <conditionalFormatting sqref="A201:A205">
    <cfRule type="expression" dxfId="16" priority="5630" stopIfTrue="1">
      <formula>$A201="image"</formula>
    </cfRule>
  </conditionalFormatting>
  <conditionalFormatting sqref="A201:A205">
    <cfRule type="expression" dxfId="17" priority="5631" stopIfTrue="1">
      <formula>OR($A201="date", $A201="datetime", $A201="time")</formula>
    </cfRule>
  </conditionalFormatting>
  <conditionalFormatting sqref="A201:A205">
    <cfRule type="expression" dxfId="18" priority="5632" stopIfTrue="1">
      <formula>OR($A201="calculate", $A201="calculate_here")</formula>
    </cfRule>
  </conditionalFormatting>
  <conditionalFormatting sqref="A201:A205">
    <cfRule type="expression" dxfId="19" priority="5633" stopIfTrue="1">
      <formula>$A201="note"</formula>
    </cfRule>
  </conditionalFormatting>
  <conditionalFormatting sqref="A201:A205">
    <cfRule type="expression" dxfId="20" priority="5634" stopIfTrue="1">
      <formula>$A201="barcode"</formula>
    </cfRule>
  </conditionalFormatting>
  <conditionalFormatting sqref="A201:A205">
    <cfRule type="expression" dxfId="21" priority="5635" stopIfTrue="1">
      <formula>OR($A201="geopoint", $A201="geoshape", $A201="geotrace")</formula>
    </cfRule>
  </conditionalFormatting>
  <conditionalFormatting sqref="A201:A205">
    <cfRule type="expression" dxfId="22" priority="5636" stopIfTrue="1">
      <formula>OR($A201="audio audit", $A201="text audit", $A201="speed violations count", $A201="speed violations list", $A201="speed violations audit")</formula>
    </cfRule>
  </conditionalFormatting>
  <conditionalFormatting sqref="A201:A205">
    <cfRule type="expression" dxfId="23" priority="5637" stopIfTrue="1">
      <formula>OR($A201="username", $A201="phonenumber", $A201="start", $A201="end", $A201="deviceid", $A201="subscriberid", $A201="simserial", $A201="caseid")</formula>
    </cfRule>
  </conditionalFormatting>
  <conditionalFormatting sqref="A201:A205">
    <cfRule type="expression" dxfId="24" priority="5638" stopIfTrue="1">
      <formula>OR(AND(LEFT($A201, 16)="select_multiple ", LEN($A201)&gt;16, NOT(ISNUMBER(SEARCH(" ", $A201, 17)))), AND(LEFT($A201, 11)="select_one ", LEN($A201)&gt;11, NOT(ISNUMBER(SEARCH(" ", $A201, 12)))))</formula>
    </cfRule>
  </conditionalFormatting>
  <conditionalFormatting sqref="A201:A205">
    <cfRule type="expression" dxfId="25" priority="5639" stopIfTrue="1">
      <formula>$A201="decimal"</formula>
    </cfRule>
  </conditionalFormatting>
  <conditionalFormatting sqref="A201:A205">
    <cfRule type="expression" dxfId="26" priority="5640" stopIfTrue="1">
      <formula>$A201="integer"</formula>
    </cfRule>
  </conditionalFormatting>
  <conditionalFormatting sqref="A201:A205">
    <cfRule type="expression" dxfId="27" priority="5641" stopIfTrue="1">
      <formula>$A201="text"</formula>
    </cfRule>
  </conditionalFormatting>
  <conditionalFormatting sqref="A201:A205">
    <cfRule type="expression" dxfId="28" priority="5642" stopIfTrue="1">
      <formula>$A201="end repeat"</formula>
    </cfRule>
  </conditionalFormatting>
  <conditionalFormatting sqref="A201:A205">
    <cfRule type="expression" dxfId="28" priority="5643" stopIfTrue="1">
      <formula>$A201="begin repeat"</formula>
    </cfRule>
  </conditionalFormatting>
  <conditionalFormatting sqref="A201:A205">
    <cfRule type="expression" dxfId="29" priority="5644" stopIfTrue="1">
      <formula>$A201="end group"</formula>
    </cfRule>
  </conditionalFormatting>
  <conditionalFormatting sqref="A201:A205">
    <cfRule type="expression" dxfId="29" priority="5645" stopIfTrue="1">
      <formula>$A201="begin group"</formula>
    </cfRule>
  </conditionalFormatting>
  <conditionalFormatting sqref="A196:A197">
    <cfRule type="expression" dxfId="33" priority="5646" stopIfTrue="1">
      <formula>$A196="file"</formula>
    </cfRule>
  </conditionalFormatting>
  <conditionalFormatting sqref="A196:A197">
    <cfRule type="expression" dxfId="34" priority="5647" stopIfTrue="1">
      <formula>$A196="enumerator"</formula>
    </cfRule>
  </conditionalFormatting>
  <conditionalFormatting sqref="A196:A197">
    <cfRule type="expression" dxfId="35" priority="5648" stopIfTrue="1">
      <formula>OR(AND(LEFT($A196, 14)="sensor_stream ", LEN($A196)&gt;14, NOT(ISNUMBER(SEARCH(" ", $A196, 15)))), AND(LEFT($A196, 17)="sensor_statistic ", LEN($A196)&gt;17, NOT(ISNUMBER(SEARCH(" ", $A196, 18)))))</formula>
    </cfRule>
  </conditionalFormatting>
  <conditionalFormatting sqref="A196:A197">
    <cfRule type="expression" dxfId="14" priority="5649" stopIfTrue="1">
      <formula>$A196="comments"</formula>
    </cfRule>
  </conditionalFormatting>
  <conditionalFormatting sqref="A196:A197">
    <cfRule type="expression" dxfId="15" priority="5650" stopIfTrue="1">
      <formula>OR($A196="audio", $A196="video")</formula>
    </cfRule>
  </conditionalFormatting>
  <conditionalFormatting sqref="A196:A197">
    <cfRule type="expression" dxfId="16" priority="5651" stopIfTrue="1">
      <formula>$A196="image"</formula>
    </cfRule>
  </conditionalFormatting>
  <conditionalFormatting sqref="A196:A197">
    <cfRule type="expression" dxfId="17" priority="5652" stopIfTrue="1">
      <formula>OR($A196="date", $A196="datetime", $A196="time")</formula>
    </cfRule>
  </conditionalFormatting>
  <conditionalFormatting sqref="A196:A197">
    <cfRule type="expression" dxfId="18" priority="5653" stopIfTrue="1">
      <formula>OR($A196="calculate", $A196="calculate_here")</formula>
    </cfRule>
  </conditionalFormatting>
  <conditionalFormatting sqref="A196:A197">
    <cfRule type="expression" dxfId="19" priority="5654" stopIfTrue="1">
      <formula>$A196="note"</formula>
    </cfRule>
  </conditionalFormatting>
  <conditionalFormatting sqref="A196:A197">
    <cfRule type="expression" dxfId="20" priority="5655" stopIfTrue="1">
      <formula>$A196="barcode"</formula>
    </cfRule>
  </conditionalFormatting>
  <conditionalFormatting sqref="A196:A197">
    <cfRule type="expression" dxfId="21" priority="5656" stopIfTrue="1">
      <formula>OR($A196="geopoint", $A196="geoshape", $A196="geotrace")</formula>
    </cfRule>
  </conditionalFormatting>
  <conditionalFormatting sqref="A196:A197">
    <cfRule type="expression" dxfId="22" priority="5657" stopIfTrue="1">
      <formula>OR($A196="audio audit", $A196="text audit", $A196="speed violations count", $A196="speed violations list", $A196="speed violations audit")</formula>
    </cfRule>
  </conditionalFormatting>
  <conditionalFormatting sqref="A196:A197">
    <cfRule type="expression" dxfId="23" priority="5658" stopIfTrue="1">
      <formula>OR($A196="username", $A196="phonenumber", $A196="start", $A196="end", $A196="deviceid", $A196="subscriberid", $A196="simserial", $A196="caseid")</formula>
    </cfRule>
  </conditionalFormatting>
  <conditionalFormatting sqref="A196:A197">
    <cfRule type="expression" dxfId="24" priority="5659" stopIfTrue="1">
      <formula>OR(AND(LEFT($A196, 16)="select_multiple ", LEN($A196)&gt;16, NOT(ISNUMBER(SEARCH(" ", $A196, 17)))), AND(LEFT($A196, 11)="select_one ", LEN($A196)&gt;11, NOT(ISNUMBER(SEARCH(" ", $A196, 12)))))</formula>
    </cfRule>
  </conditionalFormatting>
  <conditionalFormatting sqref="A196:A197">
    <cfRule type="expression" dxfId="25" priority="5660" stopIfTrue="1">
      <formula>$A196="decimal"</formula>
    </cfRule>
  </conditionalFormatting>
  <conditionalFormatting sqref="A196:A197">
    <cfRule type="expression" dxfId="26" priority="5661" stopIfTrue="1">
      <formula>$A196="integer"</formula>
    </cfRule>
  </conditionalFormatting>
  <conditionalFormatting sqref="A196:A197">
    <cfRule type="expression" dxfId="27" priority="5662" stopIfTrue="1">
      <formula>$A196="text"</formula>
    </cfRule>
  </conditionalFormatting>
  <conditionalFormatting sqref="A196:A197">
    <cfRule type="expression" dxfId="28" priority="5663" stopIfTrue="1">
      <formula>$A196="end repeat"</formula>
    </cfRule>
  </conditionalFormatting>
  <conditionalFormatting sqref="A196:A197">
    <cfRule type="expression" dxfId="28" priority="5664" stopIfTrue="1">
      <formula>$A196="begin repeat"</formula>
    </cfRule>
  </conditionalFormatting>
  <conditionalFormatting sqref="A196:A197">
    <cfRule type="expression" dxfId="29" priority="5665" stopIfTrue="1">
      <formula>$A196="end group"</formula>
    </cfRule>
  </conditionalFormatting>
  <conditionalFormatting sqref="A196:A197">
    <cfRule type="expression" dxfId="29" priority="5666" stopIfTrue="1">
      <formula>$A196="begin group"</formula>
    </cfRule>
  </conditionalFormatting>
  <conditionalFormatting sqref="A188:A192">
    <cfRule type="expression" dxfId="33" priority="5667" stopIfTrue="1">
      <formula>$A188="file"</formula>
    </cfRule>
  </conditionalFormatting>
  <conditionalFormatting sqref="A188:A192">
    <cfRule type="expression" dxfId="34" priority="5668" stopIfTrue="1">
      <formula>$A188="enumerator"</formula>
    </cfRule>
  </conditionalFormatting>
  <conditionalFormatting sqref="A188:A192">
    <cfRule type="expression" dxfId="35" priority="5669" stopIfTrue="1">
      <formula>OR(AND(LEFT($A188, 14)="sensor_stream ", LEN($A188)&gt;14, NOT(ISNUMBER(SEARCH(" ", $A188, 15)))), AND(LEFT($A188, 17)="sensor_statistic ", LEN($A188)&gt;17, NOT(ISNUMBER(SEARCH(" ", $A188, 18)))))</formula>
    </cfRule>
  </conditionalFormatting>
  <conditionalFormatting sqref="A188:A192">
    <cfRule type="expression" dxfId="14" priority="5670" stopIfTrue="1">
      <formula>$A188="comments"</formula>
    </cfRule>
  </conditionalFormatting>
  <conditionalFormatting sqref="A188:A192">
    <cfRule type="expression" dxfId="15" priority="5671" stopIfTrue="1">
      <formula>OR($A188="audio", $A188="video")</formula>
    </cfRule>
  </conditionalFormatting>
  <conditionalFormatting sqref="A188:A192">
    <cfRule type="expression" dxfId="16" priority="5672" stopIfTrue="1">
      <formula>$A188="image"</formula>
    </cfRule>
  </conditionalFormatting>
  <conditionalFormatting sqref="A188:A192">
    <cfRule type="expression" dxfId="17" priority="5673" stopIfTrue="1">
      <formula>OR($A188="date", $A188="datetime", $A188="time")</formula>
    </cfRule>
  </conditionalFormatting>
  <conditionalFormatting sqref="A188:A192">
    <cfRule type="expression" dxfId="18" priority="5674" stopIfTrue="1">
      <formula>OR($A188="calculate", $A188="calculate_here")</formula>
    </cfRule>
  </conditionalFormatting>
  <conditionalFormatting sqref="A188:A192">
    <cfRule type="expression" dxfId="19" priority="5675" stopIfTrue="1">
      <formula>$A188="note"</formula>
    </cfRule>
  </conditionalFormatting>
  <conditionalFormatting sqref="A188:A192">
    <cfRule type="expression" dxfId="20" priority="5676" stopIfTrue="1">
      <formula>$A188="barcode"</formula>
    </cfRule>
  </conditionalFormatting>
  <conditionalFormatting sqref="A188:A192">
    <cfRule type="expression" dxfId="21" priority="5677" stopIfTrue="1">
      <formula>OR($A188="geopoint", $A188="geoshape", $A188="geotrace")</formula>
    </cfRule>
  </conditionalFormatting>
  <conditionalFormatting sqref="A188:A192">
    <cfRule type="expression" dxfId="22" priority="5678" stopIfTrue="1">
      <formula>OR($A188="audio audit", $A188="text audit", $A188="speed violations count", $A188="speed violations list", $A188="speed violations audit")</formula>
    </cfRule>
  </conditionalFormatting>
  <conditionalFormatting sqref="A188:A192">
    <cfRule type="expression" dxfId="23" priority="5679" stopIfTrue="1">
      <formula>OR($A188="username", $A188="phonenumber", $A188="start", $A188="end", $A188="deviceid", $A188="subscriberid", $A188="simserial", $A188="caseid")</formula>
    </cfRule>
  </conditionalFormatting>
  <conditionalFormatting sqref="A188:A192">
    <cfRule type="expression" dxfId="24" priority="5680" stopIfTrue="1">
      <formula>OR(AND(LEFT($A188, 16)="select_multiple ", LEN($A188)&gt;16, NOT(ISNUMBER(SEARCH(" ", $A188, 17)))), AND(LEFT($A188, 11)="select_one ", LEN($A188)&gt;11, NOT(ISNUMBER(SEARCH(" ", $A188, 12)))))</formula>
    </cfRule>
  </conditionalFormatting>
  <conditionalFormatting sqref="A188:A192">
    <cfRule type="expression" dxfId="25" priority="5681" stopIfTrue="1">
      <formula>$A188="decimal"</formula>
    </cfRule>
  </conditionalFormatting>
  <conditionalFormatting sqref="A188:A192">
    <cfRule type="expression" dxfId="26" priority="5682" stopIfTrue="1">
      <formula>$A188="integer"</formula>
    </cfRule>
  </conditionalFormatting>
  <conditionalFormatting sqref="A188:A192">
    <cfRule type="expression" dxfId="27" priority="5683" stopIfTrue="1">
      <formula>$A188="text"</formula>
    </cfRule>
  </conditionalFormatting>
  <conditionalFormatting sqref="A188:A192">
    <cfRule type="expression" dxfId="28" priority="5684" stopIfTrue="1">
      <formula>$A188="end repeat"</formula>
    </cfRule>
  </conditionalFormatting>
  <conditionalFormatting sqref="A188:A192">
    <cfRule type="expression" dxfId="28" priority="5685" stopIfTrue="1">
      <formula>$A188="begin repeat"</formula>
    </cfRule>
  </conditionalFormatting>
  <conditionalFormatting sqref="A188:A192">
    <cfRule type="expression" dxfId="29" priority="5686" stopIfTrue="1">
      <formula>$A188="end group"</formula>
    </cfRule>
  </conditionalFormatting>
  <conditionalFormatting sqref="A188:A192">
    <cfRule type="expression" dxfId="29" priority="5687" stopIfTrue="1">
      <formula>$A188="begin group"</formula>
    </cfRule>
  </conditionalFormatting>
  <conditionalFormatting sqref="A185">
    <cfRule type="expression" dxfId="33" priority="5688" stopIfTrue="1">
      <formula>$A185="file"</formula>
    </cfRule>
  </conditionalFormatting>
  <conditionalFormatting sqref="A185">
    <cfRule type="expression" dxfId="34" priority="5689" stopIfTrue="1">
      <formula>$A185="enumerator"</formula>
    </cfRule>
  </conditionalFormatting>
  <conditionalFormatting sqref="A185">
    <cfRule type="expression" dxfId="35" priority="5690" stopIfTrue="1">
      <formula>OR(AND(LEFT($A185, 14)="sensor_stream ", LEN($A185)&gt;14, NOT(ISNUMBER(SEARCH(" ", $A185, 15)))), AND(LEFT($A185, 17)="sensor_statistic ", LEN($A185)&gt;17, NOT(ISNUMBER(SEARCH(" ", $A185, 18)))))</formula>
    </cfRule>
  </conditionalFormatting>
  <conditionalFormatting sqref="A185">
    <cfRule type="expression" dxfId="14" priority="5691" stopIfTrue="1">
      <formula>$A185="comments"</formula>
    </cfRule>
  </conditionalFormatting>
  <conditionalFormatting sqref="A185">
    <cfRule type="expression" dxfId="15" priority="5692" stopIfTrue="1">
      <formula>OR($A185="audio", $A185="video")</formula>
    </cfRule>
  </conditionalFormatting>
  <conditionalFormatting sqref="A185">
    <cfRule type="expression" dxfId="16" priority="5693" stopIfTrue="1">
      <formula>$A185="image"</formula>
    </cfRule>
  </conditionalFormatting>
  <conditionalFormatting sqref="A185">
    <cfRule type="expression" dxfId="17" priority="5694" stopIfTrue="1">
      <formula>OR($A185="date", $A185="datetime", $A185="time")</formula>
    </cfRule>
  </conditionalFormatting>
  <conditionalFormatting sqref="A185">
    <cfRule type="expression" dxfId="18" priority="5695" stopIfTrue="1">
      <formula>OR($A185="calculate", $A185="calculate_here")</formula>
    </cfRule>
  </conditionalFormatting>
  <conditionalFormatting sqref="A185">
    <cfRule type="expression" dxfId="19" priority="5696" stopIfTrue="1">
      <formula>$A185="note"</formula>
    </cfRule>
  </conditionalFormatting>
  <conditionalFormatting sqref="A185">
    <cfRule type="expression" dxfId="20" priority="5697" stopIfTrue="1">
      <formula>$A185="barcode"</formula>
    </cfRule>
  </conditionalFormatting>
  <conditionalFormatting sqref="A185">
    <cfRule type="expression" dxfId="21" priority="5698" stopIfTrue="1">
      <formula>OR($A185="geopoint", $A185="geoshape", $A185="geotrace")</formula>
    </cfRule>
  </conditionalFormatting>
  <conditionalFormatting sqref="A185">
    <cfRule type="expression" dxfId="22" priority="5699" stopIfTrue="1">
      <formula>OR($A185="audio audit", $A185="text audit", $A185="speed violations count", $A185="speed violations list", $A185="speed violations audit")</formula>
    </cfRule>
  </conditionalFormatting>
  <conditionalFormatting sqref="A185">
    <cfRule type="expression" dxfId="23" priority="5700" stopIfTrue="1">
      <formula>OR($A185="username", $A185="phonenumber", $A185="start", $A185="end", $A185="deviceid", $A185="subscriberid", $A185="simserial", $A185="caseid")</formula>
    </cfRule>
  </conditionalFormatting>
  <conditionalFormatting sqref="A185">
    <cfRule type="expression" dxfId="24" priority="5701" stopIfTrue="1">
      <formula>OR(AND(LEFT($A185, 16)="select_multiple ", LEN($A185)&gt;16, NOT(ISNUMBER(SEARCH(" ", $A185, 17)))), AND(LEFT($A185, 11)="select_one ", LEN($A185)&gt;11, NOT(ISNUMBER(SEARCH(" ", $A185, 12)))))</formula>
    </cfRule>
  </conditionalFormatting>
  <conditionalFormatting sqref="A185">
    <cfRule type="expression" dxfId="25" priority="5702" stopIfTrue="1">
      <formula>$A185="decimal"</formula>
    </cfRule>
  </conditionalFormatting>
  <conditionalFormatting sqref="A185">
    <cfRule type="expression" dxfId="26" priority="5703" stopIfTrue="1">
      <formula>$A185="integer"</formula>
    </cfRule>
  </conditionalFormatting>
  <conditionalFormatting sqref="A185">
    <cfRule type="expression" dxfId="27" priority="5704" stopIfTrue="1">
      <formula>$A185="text"</formula>
    </cfRule>
  </conditionalFormatting>
  <conditionalFormatting sqref="A185">
    <cfRule type="expression" dxfId="28" priority="5705" stopIfTrue="1">
      <formula>$A185="end repeat"</formula>
    </cfRule>
  </conditionalFormatting>
  <conditionalFormatting sqref="A185">
    <cfRule type="expression" dxfId="28" priority="5706" stopIfTrue="1">
      <formula>$A185="begin repeat"</formula>
    </cfRule>
  </conditionalFormatting>
  <conditionalFormatting sqref="A185">
    <cfRule type="expression" dxfId="29" priority="5707" stopIfTrue="1">
      <formula>$A185="end group"</formula>
    </cfRule>
  </conditionalFormatting>
  <conditionalFormatting sqref="A185">
    <cfRule type="expression" dxfId="29" priority="5708" stopIfTrue="1">
      <formula>$A185="begin group"</formula>
    </cfRule>
  </conditionalFormatting>
  <conditionalFormatting sqref="A182">
    <cfRule type="expression" dxfId="33" priority="5709" stopIfTrue="1">
      <formula>$A182="file"</formula>
    </cfRule>
  </conditionalFormatting>
  <conditionalFormatting sqref="A182">
    <cfRule type="expression" dxfId="34" priority="5710" stopIfTrue="1">
      <formula>$A182="enumerator"</formula>
    </cfRule>
  </conditionalFormatting>
  <conditionalFormatting sqref="A182">
    <cfRule type="expression" dxfId="35" priority="5711" stopIfTrue="1">
      <formula>OR(AND(LEFT($A182, 14)="sensor_stream ", LEN($A182)&gt;14, NOT(ISNUMBER(SEARCH(" ", $A182, 15)))), AND(LEFT($A182, 17)="sensor_statistic ", LEN($A182)&gt;17, NOT(ISNUMBER(SEARCH(" ", $A182, 18)))))</formula>
    </cfRule>
  </conditionalFormatting>
  <conditionalFormatting sqref="A182">
    <cfRule type="expression" dxfId="14" priority="5712" stopIfTrue="1">
      <formula>$A182="comments"</formula>
    </cfRule>
  </conditionalFormatting>
  <conditionalFormatting sqref="A182">
    <cfRule type="expression" dxfId="15" priority="5713" stopIfTrue="1">
      <formula>OR($A182="audio", $A182="video")</formula>
    </cfRule>
  </conditionalFormatting>
  <conditionalFormatting sqref="A182">
    <cfRule type="expression" dxfId="16" priority="5714" stopIfTrue="1">
      <formula>$A182="image"</formula>
    </cfRule>
  </conditionalFormatting>
  <conditionalFormatting sqref="A182">
    <cfRule type="expression" dxfId="17" priority="5715" stopIfTrue="1">
      <formula>OR($A182="date", $A182="datetime", $A182="time")</formula>
    </cfRule>
  </conditionalFormatting>
  <conditionalFormatting sqref="A182">
    <cfRule type="expression" dxfId="18" priority="5716" stopIfTrue="1">
      <formula>OR($A182="calculate", $A182="calculate_here")</formula>
    </cfRule>
  </conditionalFormatting>
  <conditionalFormatting sqref="A182">
    <cfRule type="expression" dxfId="19" priority="5717" stopIfTrue="1">
      <formula>$A182="note"</formula>
    </cfRule>
  </conditionalFormatting>
  <conditionalFormatting sqref="A182">
    <cfRule type="expression" dxfId="20" priority="5718" stopIfTrue="1">
      <formula>$A182="barcode"</formula>
    </cfRule>
  </conditionalFormatting>
  <conditionalFormatting sqref="A182">
    <cfRule type="expression" dxfId="21" priority="5719" stopIfTrue="1">
      <formula>OR($A182="geopoint", $A182="geoshape", $A182="geotrace")</formula>
    </cfRule>
  </conditionalFormatting>
  <conditionalFormatting sqref="A182">
    <cfRule type="expression" dxfId="22" priority="5720" stopIfTrue="1">
      <formula>OR($A182="audio audit", $A182="text audit", $A182="speed violations count", $A182="speed violations list", $A182="speed violations audit")</formula>
    </cfRule>
  </conditionalFormatting>
  <conditionalFormatting sqref="A182">
    <cfRule type="expression" dxfId="23" priority="5721" stopIfTrue="1">
      <formula>OR($A182="username", $A182="phonenumber", $A182="start", $A182="end", $A182="deviceid", $A182="subscriberid", $A182="simserial", $A182="caseid")</formula>
    </cfRule>
  </conditionalFormatting>
  <conditionalFormatting sqref="A182">
    <cfRule type="expression" dxfId="24" priority="5722" stopIfTrue="1">
      <formula>OR(AND(LEFT($A182, 16)="select_multiple ", LEN($A182)&gt;16, NOT(ISNUMBER(SEARCH(" ", $A182, 17)))), AND(LEFT($A182, 11)="select_one ", LEN($A182)&gt;11, NOT(ISNUMBER(SEARCH(" ", $A182, 12)))))</formula>
    </cfRule>
  </conditionalFormatting>
  <conditionalFormatting sqref="A182">
    <cfRule type="expression" dxfId="25" priority="5723" stopIfTrue="1">
      <formula>$A182="decimal"</formula>
    </cfRule>
  </conditionalFormatting>
  <conditionalFormatting sqref="A182">
    <cfRule type="expression" dxfId="26" priority="5724" stopIfTrue="1">
      <formula>$A182="integer"</formula>
    </cfRule>
  </conditionalFormatting>
  <conditionalFormatting sqref="A182">
    <cfRule type="expression" dxfId="27" priority="5725" stopIfTrue="1">
      <formula>$A182="text"</formula>
    </cfRule>
  </conditionalFormatting>
  <conditionalFormatting sqref="A182">
    <cfRule type="expression" dxfId="28" priority="5726" stopIfTrue="1">
      <formula>$A182="end repeat"</formula>
    </cfRule>
  </conditionalFormatting>
  <conditionalFormatting sqref="A182">
    <cfRule type="expression" dxfId="28" priority="5727" stopIfTrue="1">
      <formula>$A182="begin repeat"</formula>
    </cfRule>
  </conditionalFormatting>
  <conditionalFormatting sqref="A182">
    <cfRule type="expression" dxfId="29" priority="5728" stopIfTrue="1">
      <formula>$A182="end group"</formula>
    </cfRule>
  </conditionalFormatting>
  <conditionalFormatting sqref="A182">
    <cfRule type="expression" dxfId="29" priority="5729" stopIfTrue="1">
      <formula>$A182="begin group"</formula>
    </cfRule>
  </conditionalFormatting>
  <conditionalFormatting sqref="A180">
    <cfRule type="expression" dxfId="33" priority="5730" stopIfTrue="1">
      <formula>$A180="file"</formula>
    </cfRule>
  </conditionalFormatting>
  <conditionalFormatting sqref="A180">
    <cfRule type="expression" dxfId="34" priority="5731" stopIfTrue="1">
      <formula>$A180="enumerator"</formula>
    </cfRule>
  </conditionalFormatting>
  <conditionalFormatting sqref="A180">
    <cfRule type="expression" dxfId="35" priority="5732" stopIfTrue="1">
      <formula>OR(AND(LEFT($A180, 14)="sensor_stream ", LEN($A180)&gt;14, NOT(ISNUMBER(SEARCH(" ", $A180, 15)))), AND(LEFT($A180, 17)="sensor_statistic ", LEN($A180)&gt;17, NOT(ISNUMBER(SEARCH(" ", $A180, 18)))))</formula>
    </cfRule>
  </conditionalFormatting>
  <conditionalFormatting sqref="A180">
    <cfRule type="expression" dxfId="14" priority="5733" stopIfTrue="1">
      <formula>$A180="comments"</formula>
    </cfRule>
  </conditionalFormatting>
  <conditionalFormatting sqref="A180">
    <cfRule type="expression" dxfId="15" priority="5734" stopIfTrue="1">
      <formula>OR($A180="audio", $A180="video")</formula>
    </cfRule>
  </conditionalFormatting>
  <conditionalFormatting sqref="A180">
    <cfRule type="expression" dxfId="16" priority="5735" stopIfTrue="1">
      <formula>$A180="image"</formula>
    </cfRule>
  </conditionalFormatting>
  <conditionalFormatting sqref="A180">
    <cfRule type="expression" dxfId="17" priority="5736" stopIfTrue="1">
      <formula>OR($A180="date", $A180="datetime", $A180="time")</formula>
    </cfRule>
  </conditionalFormatting>
  <conditionalFormatting sqref="A180">
    <cfRule type="expression" dxfId="18" priority="5737" stopIfTrue="1">
      <formula>OR($A180="calculate", $A180="calculate_here")</formula>
    </cfRule>
  </conditionalFormatting>
  <conditionalFormatting sqref="A180">
    <cfRule type="expression" dxfId="19" priority="5738" stopIfTrue="1">
      <formula>$A180="note"</formula>
    </cfRule>
  </conditionalFormatting>
  <conditionalFormatting sqref="A180">
    <cfRule type="expression" dxfId="20" priority="5739" stopIfTrue="1">
      <formula>$A180="barcode"</formula>
    </cfRule>
  </conditionalFormatting>
  <conditionalFormatting sqref="A180">
    <cfRule type="expression" dxfId="21" priority="5740" stopIfTrue="1">
      <formula>OR($A180="geopoint", $A180="geoshape", $A180="geotrace")</formula>
    </cfRule>
  </conditionalFormatting>
  <conditionalFormatting sqref="A180">
    <cfRule type="expression" dxfId="22" priority="5741" stopIfTrue="1">
      <formula>OR($A180="audio audit", $A180="text audit", $A180="speed violations count", $A180="speed violations list", $A180="speed violations audit")</formula>
    </cfRule>
  </conditionalFormatting>
  <conditionalFormatting sqref="A180">
    <cfRule type="expression" dxfId="23" priority="5742" stopIfTrue="1">
      <formula>OR($A180="username", $A180="phonenumber", $A180="start", $A180="end", $A180="deviceid", $A180="subscriberid", $A180="simserial", $A180="caseid")</formula>
    </cfRule>
  </conditionalFormatting>
  <conditionalFormatting sqref="A180">
    <cfRule type="expression" dxfId="24" priority="5743" stopIfTrue="1">
      <formula>OR(AND(LEFT($A180, 16)="select_multiple ", LEN($A180)&gt;16, NOT(ISNUMBER(SEARCH(" ", $A180, 17)))), AND(LEFT($A180, 11)="select_one ", LEN($A180)&gt;11, NOT(ISNUMBER(SEARCH(" ", $A180, 12)))))</formula>
    </cfRule>
  </conditionalFormatting>
  <conditionalFormatting sqref="A180">
    <cfRule type="expression" dxfId="25" priority="5744" stopIfTrue="1">
      <formula>$A180="decimal"</formula>
    </cfRule>
  </conditionalFormatting>
  <conditionalFormatting sqref="A180">
    <cfRule type="expression" dxfId="26" priority="5745" stopIfTrue="1">
      <formula>$A180="integer"</formula>
    </cfRule>
  </conditionalFormatting>
  <conditionalFormatting sqref="A180">
    <cfRule type="expression" dxfId="27" priority="5746" stopIfTrue="1">
      <formula>$A180="text"</formula>
    </cfRule>
  </conditionalFormatting>
  <conditionalFormatting sqref="A180">
    <cfRule type="expression" dxfId="28" priority="5747" stopIfTrue="1">
      <formula>$A180="end repeat"</formula>
    </cfRule>
  </conditionalFormatting>
  <conditionalFormatting sqref="A180">
    <cfRule type="expression" dxfId="28" priority="5748" stopIfTrue="1">
      <formula>$A180="begin repeat"</formula>
    </cfRule>
  </conditionalFormatting>
  <conditionalFormatting sqref="A180">
    <cfRule type="expression" dxfId="29" priority="5749" stopIfTrue="1">
      <formula>$A180="end group"</formula>
    </cfRule>
  </conditionalFormatting>
  <conditionalFormatting sqref="A180">
    <cfRule type="expression" dxfId="29" priority="5750" stopIfTrue="1">
      <formula>$A180="begin group"</formula>
    </cfRule>
  </conditionalFormatting>
  <conditionalFormatting sqref="A177">
    <cfRule type="expression" dxfId="33" priority="5751" stopIfTrue="1">
      <formula>$A177="file"</formula>
    </cfRule>
  </conditionalFormatting>
  <conditionalFormatting sqref="A177">
    <cfRule type="expression" dxfId="34" priority="5752" stopIfTrue="1">
      <formula>$A177="enumerator"</formula>
    </cfRule>
  </conditionalFormatting>
  <conditionalFormatting sqref="A177">
    <cfRule type="expression" dxfId="35" priority="5753" stopIfTrue="1">
      <formula>OR(AND(LEFT($A177, 14)="sensor_stream ", LEN($A177)&gt;14, NOT(ISNUMBER(SEARCH(" ", $A177, 15)))), AND(LEFT($A177, 17)="sensor_statistic ", LEN($A177)&gt;17, NOT(ISNUMBER(SEARCH(" ", $A177, 18)))))</formula>
    </cfRule>
  </conditionalFormatting>
  <conditionalFormatting sqref="A177">
    <cfRule type="expression" dxfId="14" priority="5754" stopIfTrue="1">
      <formula>$A177="comments"</formula>
    </cfRule>
  </conditionalFormatting>
  <conditionalFormatting sqref="A177">
    <cfRule type="expression" dxfId="15" priority="5755" stopIfTrue="1">
      <formula>OR($A177="audio", $A177="video")</formula>
    </cfRule>
  </conditionalFormatting>
  <conditionalFormatting sqref="A177">
    <cfRule type="expression" dxfId="16" priority="5756" stopIfTrue="1">
      <formula>$A177="image"</formula>
    </cfRule>
  </conditionalFormatting>
  <conditionalFormatting sqref="A177">
    <cfRule type="expression" dxfId="17" priority="5757" stopIfTrue="1">
      <formula>OR($A177="date", $A177="datetime", $A177="time")</formula>
    </cfRule>
  </conditionalFormatting>
  <conditionalFormatting sqref="A177">
    <cfRule type="expression" dxfId="18" priority="5758" stopIfTrue="1">
      <formula>OR($A177="calculate", $A177="calculate_here")</formula>
    </cfRule>
  </conditionalFormatting>
  <conditionalFormatting sqref="A177">
    <cfRule type="expression" dxfId="19" priority="5759" stopIfTrue="1">
      <formula>$A177="note"</formula>
    </cfRule>
  </conditionalFormatting>
  <conditionalFormatting sqref="A177">
    <cfRule type="expression" dxfId="20" priority="5760" stopIfTrue="1">
      <formula>$A177="barcode"</formula>
    </cfRule>
  </conditionalFormatting>
  <conditionalFormatting sqref="A177">
    <cfRule type="expression" dxfId="21" priority="5761" stopIfTrue="1">
      <formula>OR($A177="geopoint", $A177="geoshape", $A177="geotrace")</formula>
    </cfRule>
  </conditionalFormatting>
  <conditionalFormatting sqref="A177">
    <cfRule type="expression" dxfId="22" priority="5762" stopIfTrue="1">
      <formula>OR($A177="audio audit", $A177="text audit", $A177="speed violations count", $A177="speed violations list", $A177="speed violations audit")</formula>
    </cfRule>
  </conditionalFormatting>
  <conditionalFormatting sqref="A177">
    <cfRule type="expression" dxfId="23" priority="5763" stopIfTrue="1">
      <formula>OR($A177="username", $A177="phonenumber", $A177="start", $A177="end", $A177="deviceid", $A177="subscriberid", $A177="simserial", $A177="caseid")</formula>
    </cfRule>
  </conditionalFormatting>
  <conditionalFormatting sqref="A177">
    <cfRule type="expression" dxfId="24" priority="5764" stopIfTrue="1">
      <formula>OR(AND(LEFT($A177, 16)="select_multiple ", LEN($A177)&gt;16, NOT(ISNUMBER(SEARCH(" ", $A177, 17)))), AND(LEFT($A177, 11)="select_one ", LEN($A177)&gt;11, NOT(ISNUMBER(SEARCH(" ", $A177, 12)))))</formula>
    </cfRule>
  </conditionalFormatting>
  <conditionalFormatting sqref="A177">
    <cfRule type="expression" dxfId="25" priority="5765" stopIfTrue="1">
      <formula>$A177="decimal"</formula>
    </cfRule>
  </conditionalFormatting>
  <conditionalFormatting sqref="A177">
    <cfRule type="expression" dxfId="26" priority="5766" stopIfTrue="1">
      <formula>$A177="integer"</formula>
    </cfRule>
  </conditionalFormatting>
  <conditionalFormatting sqref="A177">
    <cfRule type="expression" dxfId="27" priority="5767" stopIfTrue="1">
      <formula>$A177="text"</formula>
    </cfRule>
  </conditionalFormatting>
  <conditionalFormatting sqref="A177">
    <cfRule type="expression" dxfId="28" priority="5768" stopIfTrue="1">
      <formula>$A177="end repeat"</formula>
    </cfRule>
  </conditionalFormatting>
  <conditionalFormatting sqref="A177">
    <cfRule type="expression" dxfId="28" priority="5769" stopIfTrue="1">
      <formula>$A177="begin repeat"</formula>
    </cfRule>
  </conditionalFormatting>
  <conditionalFormatting sqref="A177">
    <cfRule type="expression" dxfId="29" priority="5770" stopIfTrue="1">
      <formula>$A177="end group"</formula>
    </cfRule>
  </conditionalFormatting>
  <conditionalFormatting sqref="A177">
    <cfRule type="expression" dxfId="29" priority="5771" stopIfTrue="1">
      <formula>$A177="begin group"</formula>
    </cfRule>
  </conditionalFormatting>
  <conditionalFormatting sqref="A164:A174">
    <cfRule type="expression" dxfId="33" priority="5772" stopIfTrue="1">
      <formula>$A164="file"</formula>
    </cfRule>
  </conditionalFormatting>
  <conditionalFormatting sqref="A164:A174">
    <cfRule type="expression" dxfId="34" priority="5773" stopIfTrue="1">
      <formula>$A164="enumerator"</formula>
    </cfRule>
  </conditionalFormatting>
  <conditionalFormatting sqref="A164:A174">
    <cfRule type="expression" dxfId="35" priority="5774" stopIfTrue="1">
      <formula>OR(AND(LEFT($A164, 14)="sensor_stream ", LEN($A164)&gt;14, NOT(ISNUMBER(SEARCH(" ", $A164, 15)))), AND(LEFT($A164, 17)="sensor_statistic ", LEN($A164)&gt;17, NOT(ISNUMBER(SEARCH(" ", $A164, 18)))))</formula>
    </cfRule>
  </conditionalFormatting>
  <conditionalFormatting sqref="A164:A174">
    <cfRule type="expression" dxfId="14" priority="5775" stopIfTrue="1">
      <formula>$A164="comments"</formula>
    </cfRule>
  </conditionalFormatting>
  <conditionalFormatting sqref="A164:A174">
    <cfRule type="expression" dxfId="15" priority="5776" stopIfTrue="1">
      <formula>OR($A164="audio", $A164="video")</formula>
    </cfRule>
  </conditionalFormatting>
  <conditionalFormatting sqref="A164:A174">
    <cfRule type="expression" dxfId="16" priority="5777" stopIfTrue="1">
      <formula>$A164="image"</formula>
    </cfRule>
  </conditionalFormatting>
  <conditionalFormatting sqref="A164:A174">
    <cfRule type="expression" dxfId="17" priority="5778" stopIfTrue="1">
      <formula>OR($A164="date", $A164="datetime", $A164="time")</formula>
    </cfRule>
  </conditionalFormatting>
  <conditionalFormatting sqref="A164:A174">
    <cfRule type="expression" dxfId="18" priority="5779" stopIfTrue="1">
      <formula>OR($A164="calculate", $A164="calculate_here")</formula>
    </cfRule>
  </conditionalFormatting>
  <conditionalFormatting sqref="A164:A174">
    <cfRule type="expression" dxfId="19" priority="5780" stopIfTrue="1">
      <formula>$A164="note"</formula>
    </cfRule>
  </conditionalFormatting>
  <conditionalFormatting sqref="A164:A174">
    <cfRule type="expression" dxfId="20" priority="5781" stopIfTrue="1">
      <formula>$A164="barcode"</formula>
    </cfRule>
  </conditionalFormatting>
  <conditionalFormatting sqref="A164:A174">
    <cfRule type="expression" dxfId="21" priority="5782" stopIfTrue="1">
      <formula>OR($A164="geopoint", $A164="geoshape", $A164="geotrace")</formula>
    </cfRule>
  </conditionalFormatting>
  <conditionalFormatting sqref="A164:A174">
    <cfRule type="expression" dxfId="22" priority="5783" stopIfTrue="1">
      <formula>OR($A164="audio audit", $A164="text audit", $A164="speed violations count", $A164="speed violations list", $A164="speed violations audit")</formula>
    </cfRule>
  </conditionalFormatting>
  <conditionalFormatting sqref="A164:A174">
    <cfRule type="expression" dxfId="23" priority="5784" stopIfTrue="1">
      <formula>OR($A164="username", $A164="phonenumber", $A164="start", $A164="end", $A164="deviceid", $A164="subscriberid", $A164="simserial", $A164="caseid")</formula>
    </cfRule>
  </conditionalFormatting>
  <conditionalFormatting sqref="A164:A174">
    <cfRule type="expression" dxfId="24" priority="5785" stopIfTrue="1">
      <formula>OR(AND(LEFT($A164, 16)="select_multiple ", LEN($A164)&gt;16, NOT(ISNUMBER(SEARCH(" ", $A164, 17)))), AND(LEFT($A164, 11)="select_one ", LEN($A164)&gt;11, NOT(ISNUMBER(SEARCH(" ", $A164, 12)))))</formula>
    </cfRule>
  </conditionalFormatting>
  <conditionalFormatting sqref="A164:A174">
    <cfRule type="expression" dxfId="25" priority="5786" stopIfTrue="1">
      <formula>$A164="decimal"</formula>
    </cfRule>
  </conditionalFormatting>
  <conditionalFormatting sqref="A164:A174">
    <cfRule type="expression" dxfId="26" priority="5787" stopIfTrue="1">
      <formula>$A164="integer"</formula>
    </cfRule>
  </conditionalFormatting>
  <conditionalFormatting sqref="A164:A174">
    <cfRule type="expression" dxfId="27" priority="5788" stopIfTrue="1">
      <formula>$A164="text"</formula>
    </cfRule>
  </conditionalFormatting>
  <conditionalFormatting sqref="A164:A174">
    <cfRule type="expression" dxfId="28" priority="5789" stopIfTrue="1">
      <formula>$A164="end repeat"</formula>
    </cfRule>
  </conditionalFormatting>
  <conditionalFormatting sqref="A164:A174">
    <cfRule type="expression" dxfId="28" priority="5790" stopIfTrue="1">
      <formula>$A164="begin repeat"</formula>
    </cfRule>
  </conditionalFormatting>
  <conditionalFormatting sqref="A164:A174">
    <cfRule type="expression" dxfId="29" priority="5791" stopIfTrue="1">
      <formula>$A164="end group"</formula>
    </cfRule>
  </conditionalFormatting>
  <conditionalFormatting sqref="A164:A174">
    <cfRule type="expression" dxfId="29" priority="5792" stopIfTrue="1">
      <formula>$A164="begin group"</formula>
    </cfRule>
  </conditionalFormatting>
  <conditionalFormatting sqref="A157:A161">
    <cfRule type="expression" dxfId="33" priority="5793" stopIfTrue="1">
      <formula>$A157="file"</formula>
    </cfRule>
  </conditionalFormatting>
  <conditionalFormatting sqref="A157:A161">
    <cfRule type="expression" dxfId="34" priority="5794" stopIfTrue="1">
      <formula>$A157="enumerator"</formula>
    </cfRule>
  </conditionalFormatting>
  <conditionalFormatting sqref="A157:A161">
    <cfRule type="expression" dxfId="35" priority="5795" stopIfTrue="1">
      <formula>OR(AND(LEFT($A157, 14)="sensor_stream ", LEN($A157)&gt;14, NOT(ISNUMBER(SEARCH(" ", $A157, 15)))), AND(LEFT($A157, 17)="sensor_statistic ", LEN($A157)&gt;17, NOT(ISNUMBER(SEARCH(" ", $A157, 18)))))</formula>
    </cfRule>
  </conditionalFormatting>
  <conditionalFormatting sqref="A157:A161">
    <cfRule type="expression" dxfId="14" priority="5796" stopIfTrue="1">
      <formula>$A157="comments"</formula>
    </cfRule>
  </conditionalFormatting>
  <conditionalFormatting sqref="A157:A161">
    <cfRule type="expression" dxfId="15" priority="5797" stopIfTrue="1">
      <formula>OR($A157="audio", $A157="video")</formula>
    </cfRule>
  </conditionalFormatting>
  <conditionalFormatting sqref="A157:A161">
    <cfRule type="expression" dxfId="16" priority="5798" stopIfTrue="1">
      <formula>$A157="image"</formula>
    </cfRule>
  </conditionalFormatting>
  <conditionalFormatting sqref="A157:A161">
    <cfRule type="expression" dxfId="17" priority="5799" stopIfTrue="1">
      <formula>OR($A157="date", $A157="datetime", $A157="time")</formula>
    </cfRule>
  </conditionalFormatting>
  <conditionalFormatting sqref="A157:A161">
    <cfRule type="expression" dxfId="18" priority="5800" stopIfTrue="1">
      <formula>OR($A157="calculate", $A157="calculate_here")</formula>
    </cfRule>
  </conditionalFormatting>
  <conditionalFormatting sqref="A157:A161">
    <cfRule type="expression" dxfId="19" priority="5801" stopIfTrue="1">
      <formula>$A157="note"</formula>
    </cfRule>
  </conditionalFormatting>
  <conditionalFormatting sqref="A157:A161">
    <cfRule type="expression" dxfId="20" priority="5802" stopIfTrue="1">
      <formula>$A157="barcode"</formula>
    </cfRule>
  </conditionalFormatting>
  <conditionalFormatting sqref="A157:A161">
    <cfRule type="expression" dxfId="21" priority="5803" stopIfTrue="1">
      <formula>OR($A157="geopoint", $A157="geoshape", $A157="geotrace")</formula>
    </cfRule>
  </conditionalFormatting>
  <conditionalFormatting sqref="A157:A161">
    <cfRule type="expression" dxfId="22" priority="5804" stopIfTrue="1">
      <formula>OR($A157="audio audit", $A157="text audit", $A157="speed violations count", $A157="speed violations list", $A157="speed violations audit")</formula>
    </cfRule>
  </conditionalFormatting>
  <conditionalFormatting sqref="A157:A161">
    <cfRule type="expression" dxfId="23" priority="5805" stopIfTrue="1">
      <formula>OR($A157="username", $A157="phonenumber", $A157="start", $A157="end", $A157="deviceid", $A157="subscriberid", $A157="simserial", $A157="caseid")</formula>
    </cfRule>
  </conditionalFormatting>
  <conditionalFormatting sqref="A157:A161">
    <cfRule type="expression" dxfId="24" priority="5806" stopIfTrue="1">
      <formula>OR(AND(LEFT($A157, 16)="select_multiple ", LEN($A157)&gt;16, NOT(ISNUMBER(SEARCH(" ", $A157, 17)))), AND(LEFT($A157, 11)="select_one ", LEN($A157)&gt;11, NOT(ISNUMBER(SEARCH(" ", $A157, 12)))))</formula>
    </cfRule>
  </conditionalFormatting>
  <conditionalFormatting sqref="A157:A161">
    <cfRule type="expression" dxfId="25" priority="5807" stopIfTrue="1">
      <formula>$A157="decimal"</formula>
    </cfRule>
  </conditionalFormatting>
  <conditionalFormatting sqref="A157:A161">
    <cfRule type="expression" dxfId="26" priority="5808" stopIfTrue="1">
      <formula>$A157="integer"</formula>
    </cfRule>
  </conditionalFormatting>
  <conditionalFormatting sqref="A157:A161">
    <cfRule type="expression" dxfId="27" priority="5809" stopIfTrue="1">
      <formula>$A157="text"</formula>
    </cfRule>
  </conditionalFormatting>
  <conditionalFormatting sqref="A157:A161">
    <cfRule type="expression" dxfId="28" priority="5810" stopIfTrue="1">
      <formula>$A157="end repeat"</formula>
    </cfRule>
  </conditionalFormatting>
  <conditionalFormatting sqref="A157:A161">
    <cfRule type="expression" dxfId="28" priority="5811" stopIfTrue="1">
      <formula>$A157="begin repeat"</formula>
    </cfRule>
  </conditionalFormatting>
  <conditionalFormatting sqref="A157:A161">
    <cfRule type="expression" dxfId="29" priority="5812" stopIfTrue="1">
      <formula>$A157="end group"</formula>
    </cfRule>
  </conditionalFormatting>
  <conditionalFormatting sqref="A157:A161">
    <cfRule type="expression" dxfId="29" priority="5813" stopIfTrue="1">
      <formula>$A157="begin group"</formula>
    </cfRule>
  </conditionalFormatting>
  <conditionalFormatting sqref="A150:A154">
    <cfRule type="expression" dxfId="33" priority="5814" stopIfTrue="1">
      <formula>$A150="file"</formula>
    </cfRule>
  </conditionalFormatting>
  <conditionalFormatting sqref="A150:A154">
    <cfRule type="expression" dxfId="34" priority="5815" stopIfTrue="1">
      <formula>$A150="enumerator"</formula>
    </cfRule>
  </conditionalFormatting>
  <conditionalFormatting sqref="A150:A154">
    <cfRule type="expression" dxfId="35" priority="5816" stopIfTrue="1">
      <formula>OR(AND(LEFT($A150, 14)="sensor_stream ", LEN($A150)&gt;14, NOT(ISNUMBER(SEARCH(" ", $A150, 15)))), AND(LEFT($A150, 17)="sensor_statistic ", LEN($A150)&gt;17, NOT(ISNUMBER(SEARCH(" ", $A150, 18)))))</formula>
    </cfRule>
  </conditionalFormatting>
  <conditionalFormatting sqref="A150:A154">
    <cfRule type="expression" dxfId="14" priority="5817" stopIfTrue="1">
      <formula>$A150="comments"</formula>
    </cfRule>
  </conditionalFormatting>
  <conditionalFormatting sqref="A150:A154">
    <cfRule type="expression" dxfId="15" priority="5818" stopIfTrue="1">
      <formula>OR($A150="audio", $A150="video")</formula>
    </cfRule>
  </conditionalFormatting>
  <conditionalFormatting sqref="A150:A154">
    <cfRule type="expression" dxfId="16" priority="5819" stopIfTrue="1">
      <formula>$A150="image"</formula>
    </cfRule>
  </conditionalFormatting>
  <conditionalFormatting sqref="A150:A154">
    <cfRule type="expression" dxfId="17" priority="5820" stopIfTrue="1">
      <formula>OR($A150="date", $A150="datetime", $A150="time")</formula>
    </cfRule>
  </conditionalFormatting>
  <conditionalFormatting sqref="A150:A154">
    <cfRule type="expression" dxfId="18" priority="5821" stopIfTrue="1">
      <formula>OR($A150="calculate", $A150="calculate_here")</formula>
    </cfRule>
  </conditionalFormatting>
  <conditionalFormatting sqref="A150:A154">
    <cfRule type="expression" dxfId="19" priority="5822" stopIfTrue="1">
      <formula>$A150="note"</formula>
    </cfRule>
  </conditionalFormatting>
  <conditionalFormatting sqref="A150:A154">
    <cfRule type="expression" dxfId="20" priority="5823" stopIfTrue="1">
      <formula>$A150="barcode"</formula>
    </cfRule>
  </conditionalFormatting>
  <conditionalFormatting sqref="A150:A154">
    <cfRule type="expression" dxfId="21" priority="5824" stopIfTrue="1">
      <formula>OR($A150="geopoint", $A150="geoshape", $A150="geotrace")</formula>
    </cfRule>
  </conditionalFormatting>
  <conditionalFormatting sqref="A150:A154">
    <cfRule type="expression" dxfId="22" priority="5825" stopIfTrue="1">
      <formula>OR($A150="audio audit", $A150="text audit", $A150="speed violations count", $A150="speed violations list", $A150="speed violations audit")</formula>
    </cfRule>
  </conditionalFormatting>
  <conditionalFormatting sqref="A150:A154">
    <cfRule type="expression" dxfId="23" priority="5826" stopIfTrue="1">
      <formula>OR($A150="username", $A150="phonenumber", $A150="start", $A150="end", $A150="deviceid", $A150="subscriberid", $A150="simserial", $A150="caseid")</formula>
    </cfRule>
  </conditionalFormatting>
  <conditionalFormatting sqref="A150:A154">
    <cfRule type="expression" dxfId="24" priority="5827" stopIfTrue="1">
      <formula>OR(AND(LEFT($A150, 16)="select_multiple ", LEN($A150)&gt;16, NOT(ISNUMBER(SEARCH(" ", $A150, 17)))), AND(LEFT($A150, 11)="select_one ", LEN($A150)&gt;11, NOT(ISNUMBER(SEARCH(" ", $A150, 12)))))</formula>
    </cfRule>
  </conditionalFormatting>
  <conditionalFormatting sqref="A150:A154">
    <cfRule type="expression" dxfId="25" priority="5828" stopIfTrue="1">
      <formula>$A150="decimal"</formula>
    </cfRule>
  </conditionalFormatting>
  <conditionalFormatting sqref="A150:A154">
    <cfRule type="expression" dxfId="26" priority="5829" stopIfTrue="1">
      <formula>$A150="integer"</formula>
    </cfRule>
  </conditionalFormatting>
  <conditionalFormatting sqref="A150:A154">
    <cfRule type="expression" dxfId="27" priority="5830" stopIfTrue="1">
      <formula>$A150="text"</formula>
    </cfRule>
  </conditionalFormatting>
  <conditionalFormatting sqref="A150:A154">
    <cfRule type="expression" dxfId="28" priority="5831" stopIfTrue="1">
      <formula>$A150="end repeat"</formula>
    </cfRule>
  </conditionalFormatting>
  <conditionalFormatting sqref="A150:A154">
    <cfRule type="expression" dxfId="28" priority="5832" stopIfTrue="1">
      <formula>$A150="begin repeat"</formula>
    </cfRule>
  </conditionalFormatting>
  <conditionalFormatting sqref="A150:A154">
    <cfRule type="expression" dxfId="29" priority="5833" stopIfTrue="1">
      <formula>$A150="end group"</formula>
    </cfRule>
  </conditionalFormatting>
  <conditionalFormatting sqref="A150:A154">
    <cfRule type="expression" dxfId="29" priority="5834" stopIfTrue="1">
      <formula>$A150="begin group"</formula>
    </cfRule>
  </conditionalFormatting>
  <conditionalFormatting sqref="A145:A147">
    <cfRule type="expression" dxfId="33" priority="5835" stopIfTrue="1">
      <formula>$A145="file"</formula>
    </cfRule>
  </conditionalFormatting>
  <conditionalFormatting sqref="A145:A147">
    <cfRule type="expression" dxfId="34" priority="5836" stopIfTrue="1">
      <formula>$A145="enumerator"</formula>
    </cfRule>
  </conditionalFormatting>
  <conditionalFormatting sqref="A145:A147">
    <cfRule type="expression" dxfId="35" priority="5837" stopIfTrue="1">
      <formula>OR(AND(LEFT($A145, 14)="sensor_stream ", LEN($A145)&gt;14, NOT(ISNUMBER(SEARCH(" ", $A145, 15)))), AND(LEFT($A145, 17)="sensor_statistic ", LEN($A145)&gt;17, NOT(ISNUMBER(SEARCH(" ", $A145, 18)))))</formula>
    </cfRule>
  </conditionalFormatting>
  <conditionalFormatting sqref="A145:A147">
    <cfRule type="expression" dxfId="14" priority="5838" stopIfTrue="1">
      <formula>$A145="comments"</formula>
    </cfRule>
  </conditionalFormatting>
  <conditionalFormatting sqref="A145:A147">
    <cfRule type="expression" dxfId="15" priority="5839" stopIfTrue="1">
      <formula>OR($A145="audio", $A145="video")</formula>
    </cfRule>
  </conditionalFormatting>
  <conditionalFormatting sqref="A145:A147">
    <cfRule type="expression" dxfId="16" priority="5840" stopIfTrue="1">
      <formula>$A145="image"</formula>
    </cfRule>
  </conditionalFormatting>
  <conditionalFormatting sqref="A145:A147">
    <cfRule type="expression" dxfId="17" priority="5841" stopIfTrue="1">
      <formula>OR($A145="date", $A145="datetime", $A145="time")</formula>
    </cfRule>
  </conditionalFormatting>
  <conditionalFormatting sqref="A145:A147">
    <cfRule type="expression" dxfId="18" priority="5842" stopIfTrue="1">
      <formula>OR($A145="calculate", $A145="calculate_here")</formula>
    </cfRule>
  </conditionalFormatting>
  <conditionalFormatting sqref="A145:A147">
    <cfRule type="expression" dxfId="19" priority="5843" stopIfTrue="1">
      <formula>$A145="note"</formula>
    </cfRule>
  </conditionalFormatting>
  <conditionalFormatting sqref="A145:A147">
    <cfRule type="expression" dxfId="20" priority="5844" stopIfTrue="1">
      <formula>$A145="barcode"</formula>
    </cfRule>
  </conditionalFormatting>
  <conditionalFormatting sqref="A145:A147">
    <cfRule type="expression" dxfId="21" priority="5845" stopIfTrue="1">
      <formula>OR($A145="geopoint", $A145="geoshape", $A145="geotrace")</formula>
    </cfRule>
  </conditionalFormatting>
  <conditionalFormatting sqref="A145:A147">
    <cfRule type="expression" dxfId="22" priority="5846" stopIfTrue="1">
      <formula>OR($A145="audio audit", $A145="text audit", $A145="speed violations count", $A145="speed violations list", $A145="speed violations audit")</formula>
    </cfRule>
  </conditionalFormatting>
  <conditionalFormatting sqref="A145:A147">
    <cfRule type="expression" dxfId="23" priority="5847" stopIfTrue="1">
      <formula>OR($A145="username", $A145="phonenumber", $A145="start", $A145="end", $A145="deviceid", $A145="subscriberid", $A145="simserial", $A145="caseid")</formula>
    </cfRule>
  </conditionalFormatting>
  <conditionalFormatting sqref="A145:A147">
    <cfRule type="expression" dxfId="24" priority="5848" stopIfTrue="1">
      <formula>OR(AND(LEFT($A145, 16)="select_multiple ", LEN($A145)&gt;16, NOT(ISNUMBER(SEARCH(" ", $A145, 17)))), AND(LEFT($A145, 11)="select_one ", LEN($A145)&gt;11, NOT(ISNUMBER(SEARCH(" ", $A145, 12)))))</formula>
    </cfRule>
  </conditionalFormatting>
  <conditionalFormatting sqref="A145:A147">
    <cfRule type="expression" dxfId="25" priority="5849" stopIfTrue="1">
      <formula>$A145="decimal"</formula>
    </cfRule>
  </conditionalFormatting>
  <conditionalFormatting sqref="A145:A147">
    <cfRule type="expression" dxfId="26" priority="5850" stopIfTrue="1">
      <formula>$A145="integer"</formula>
    </cfRule>
  </conditionalFormatting>
  <conditionalFormatting sqref="A145:A147">
    <cfRule type="expression" dxfId="27" priority="5851" stopIfTrue="1">
      <formula>$A145="text"</formula>
    </cfRule>
  </conditionalFormatting>
  <conditionalFormatting sqref="A145:A147">
    <cfRule type="expression" dxfId="28" priority="5852" stopIfTrue="1">
      <formula>$A145="end repeat"</formula>
    </cfRule>
  </conditionalFormatting>
  <conditionalFormatting sqref="A145:A147">
    <cfRule type="expression" dxfId="28" priority="5853" stopIfTrue="1">
      <formula>$A145="begin repeat"</formula>
    </cfRule>
  </conditionalFormatting>
  <conditionalFormatting sqref="A145:A147">
    <cfRule type="expression" dxfId="29" priority="5854" stopIfTrue="1">
      <formula>$A145="end group"</formula>
    </cfRule>
  </conditionalFormatting>
  <conditionalFormatting sqref="A145:A147">
    <cfRule type="expression" dxfId="29" priority="5855" stopIfTrue="1">
      <formula>$A145="begin group"</formula>
    </cfRule>
  </conditionalFormatting>
  <conditionalFormatting sqref="A131:A142">
    <cfRule type="expression" dxfId="33" priority="5856" stopIfTrue="1">
      <formula>$A131="file"</formula>
    </cfRule>
  </conditionalFormatting>
  <conditionalFormatting sqref="A131:A142">
    <cfRule type="expression" dxfId="34" priority="5857" stopIfTrue="1">
      <formula>$A131="enumerator"</formula>
    </cfRule>
  </conditionalFormatting>
  <conditionalFormatting sqref="A131:A142">
    <cfRule type="expression" dxfId="35" priority="5858" stopIfTrue="1">
      <formula>OR(AND(LEFT($A131, 14)="sensor_stream ", LEN($A131)&gt;14, NOT(ISNUMBER(SEARCH(" ", $A131, 15)))), AND(LEFT($A131, 17)="sensor_statistic ", LEN($A131)&gt;17, NOT(ISNUMBER(SEARCH(" ", $A131, 18)))))</formula>
    </cfRule>
  </conditionalFormatting>
  <conditionalFormatting sqref="A131:A142">
    <cfRule type="expression" dxfId="14" priority="5859" stopIfTrue="1">
      <formula>$A131="comments"</formula>
    </cfRule>
  </conditionalFormatting>
  <conditionalFormatting sqref="A131:A142">
    <cfRule type="expression" dxfId="15" priority="5860" stopIfTrue="1">
      <formula>OR($A131="audio", $A131="video")</formula>
    </cfRule>
  </conditionalFormatting>
  <conditionalFormatting sqref="A131:A142">
    <cfRule type="expression" dxfId="16" priority="5861" stopIfTrue="1">
      <formula>$A131="image"</formula>
    </cfRule>
  </conditionalFormatting>
  <conditionalFormatting sqref="A131:A142">
    <cfRule type="expression" dxfId="17" priority="5862" stopIfTrue="1">
      <formula>OR($A131="date", $A131="datetime", $A131="time")</formula>
    </cfRule>
  </conditionalFormatting>
  <conditionalFormatting sqref="A131:A142">
    <cfRule type="expression" dxfId="18" priority="5863" stopIfTrue="1">
      <formula>OR($A131="calculate", $A131="calculate_here")</formula>
    </cfRule>
  </conditionalFormatting>
  <conditionalFormatting sqref="A131:A142">
    <cfRule type="expression" dxfId="19" priority="5864" stopIfTrue="1">
      <formula>$A131="note"</formula>
    </cfRule>
  </conditionalFormatting>
  <conditionalFormatting sqref="A131:A142">
    <cfRule type="expression" dxfId="20" priority="5865" stopIfTrue="1">
      <formula>$A131="barcode"</formula>
    </cfRule>
  </conditionalFormatting>
  <conditionalFormatting sqref="A131:A142">
    <cfRule type="expression" dxfId="21" priority="5866" stopIfTrue="1">
      <formula>OR($A131="geopoint", $A131="geoshape", $A131="geotrace")</formula>
    </cfRule>
  </conditionalFormatting>
  <conditionalFormatting sqref="A131:A142">
    <cfRule type="expression" dxfId="22" priority="5867" stopIfTrue="1">
      <formula>OR($A131="audio audit", $A131="text audit", $A131="speed violations count", $A131="speed violations list", $A131="speed violations audit")</formula>
    </cfRule>
  </conditionalFormatting>
  <conditionalFormatting sqref="A131:A142">
    <cfRule type="expression" dxfId="23" priority="5868" stopIfTrue="1">
      <formula>OR($A131="username", $A131="phonenumber", $A131="start", $A131="end", $A131="deviceid", $A131="subscriberid", $A131="simserial", $A131="caseid")</formula>
    </cfRule>
  </conditionalFormatting>
  <conditionalFormatting sqref="A131:A142">
    <cfRule type="expression" dxfId="24" priority="5869" stopIfTrue="1">
      <formula>OR(AND(LEFT($A131, 16)="select_multiple ", LEN($A131)&gt;16, NOT(ISNUMBER(SEARCH(" ", $A131, 17)))), AND(LEFT($A131, 11)="select_one ", LEN($A131)&gt;11, NOT(ISNUMBER(SEARCH(" ", $A131, 12)))))</formula>
    </cfRule>
  </conditionalFormatting>
  <conditionalFormatting sqref="A131:A142">
    <cfRule type="expression" dxfId="25" priority="5870" stopIfTrue="1">
      <formula>$A131="decimal"</formula>
    </cfRule>
  </conditionalFormatting>
  <conditionalFormatting sqref="A131:A142">
    <cfRule type="expression" dxfId="26" priority="5871" stopIfTrue="1">
      <formula>$A131="integer"</formula>
    </cfRule>
  </conditionalFormatting>
  <conditionalFormatting sqref="A131:A142">
    <cfRule type="expression" dxfId="27" priority="5872" stopIfTrue="1">
      <formula>$A131="text"</formula>
    </cfRule>
  </conditionalFormatting>
  <conditionalFormatting sqref="A131:A142">
    <cfRule type="expression" dxfId="28" priority="5873" stopIfTrue="1">
      <formula>$A131="end repeat"</formula>
    </cfRule>
  </conditionalFormatting>
  <conditionalFormatting sqref="A131:A142">
    <cfRule type="expression" dxfId="28" priority="5874" stopIfTrue="1">
      <formula>$A131="begin repeat"</formula>
    </cfRule>
  </conditionalFormatting>
  <conditionalFormatting sqref="A131:A142">
    <cfRule type="expression" dxfId="29" priority="5875" stopIfTrue="1">
      <formula>$A131="end group"</formula>
    </cfRule>
  </conditionalFormatting>
  <conditionalFormatting sqref="A131:A142">
    <cfRule type="expression" dxfId="29" priority="5876" stopIfTrue="1">
      <formula>$A131="begin group"</formula>
    </cfRule>
  </conditionalFormatting>
  <conditionalFormatting sqref="A128">
    <cfRule type="expression" dxfId="33" priority="5877" stopIfTrue="1">
      <formula>$A128="file"</formula>
    </cfRule>
  </conditionalFormatting>
  <conditionalFormatting sqref="A128">
    <cfRule type="expression" dxfId="34" priority="5878" stopIfTrue="1">
      <formula>$A128="enumerator"</formula>
    </cfRule>
  </conditionalFormatting>
  <conditionalFormatting sqref="A128">
    <cfRule type="expression" dxfId="35" priority="5879" stopIfTrue="1">
      <formula>OR(AND(LEFT($A128, 14)="sensor_stream ", LEN($A128)&gt;14, NOT(ISNUMBER(SEARCH(" ", $A128, 15)))), AND(LEFT($A128, 17)="sensor_statistic ", LEN($A128)&gt;17, NOT(ISNUMBER(SEARCH(" ", $A128, 18)))))</formula>
    </cfRule>
  </conditionalFormatting>
  <conditionalFormatting sqref="A128">
    <cfRule type="expression" dxfId="14" priority="5880" stopIfTrue="1">
      <formula>$A128="comments"</formula>
    </cfRule>
  </conditionalFormatting>
  <conditionalFormatting sqref="A128">
    <cfRule type="expression" dxfId="15" priority="5881" stopIfTrue="1">
      <formula>OR($A128="audio", $A128="video")</formula>
    </cfRule>
  </conditionalFormatting>
  <conditionalFormatting sqref="A128">
    <cfRule type="expression" dxfId="16" priority="5882" stopIfTrue="1">
      <formula>$A128="image"</formula>
    </cfRule>
  </conditionalFormatting>
  <conditionalFormatting sqref="A128">
    <cfRule type="expression" dxfId="17" priority="5883" stopIfTrue="1">
      <formula>OR($A128="date", $A128="datetime", $A128="time")</formula>
    </cfRule>
  </conditionalFormatting>
  <conditionalFormatting sqref="A128">
    <cfRule type="expression" dxfId="18" priority="5884" stopIfTrue="1">
      <formula>OR($A128="calculate", $A128="calculate_here")</formula>
    </cfRule>
  </conditionalFormatting>
  <conditionalFormatting sqref="A128">
    <cfRule type="expression" dxfId="19" priority="5885" stopIfTrue="1">
      <formula>$A128="note"</formula>
    </cfRule>
  </conditionalFormatting>
  <conditionalFormatting sqref="A128">
    <cfRule type="expression" dxfId="20" priority="5886" stopIfTrue="1">
      <formula>$A128="barcode"</formula>
    </cfRule>
  </conditionalFormatting>
  <conditionalFormatting sqref="A128">
    <cfRule type="expression" dxfId="21" priority="5887" stopIfTrue="1">
      <formula>OR($A128="geopoint", $A128="geoshape", $A128="geotrace")</formula>
    </cfRule>
  </conditionalFormatting>
  <conditionalFormatting sqref="A128">
    <cfRule type="expression" dxfId="22" priority="5888" stopIfTrue="1">
      <formula>OR($A128="audio audit", $A128="text audit", $A128="speed violations count", $A128="speed violations list", $A128="speed violations audit")</formula>
    </cfRule>
  </conditionalFormatting>
  <conditionalFormatting sqref="A128">
    <cfRule type="expression" dxfId="23" priority="5889" stopIfTrue="1">
      <formula>OR($A128="username", $A128="phonenumber", $A128="start", $A128="end", $A128="deviceid", $A128="subscriberid", $A128="simserial", $A128="caseid")</formula>
    </cfRule>
  </conditionalFormatting>
  <conditionalFormatting sqref="A128">
    <cfRule type="expression" dxfId="24" priority="5890" stopIfTrue="1">
      <formula>OR(AND(LEFT($A128, 16)="select_multiple ", LEN($A128)&gt;16, NOT(ISNUMBER(SEARCH(" ", $A128, 17)))), AND(LEFT($A128, 11)="select_one ", LEN($A128)&gt;11, NOT(ISNUMBER(SEARCH(" ", $A128, 12)))))</formula>
    </cfRule>
  </conditionalFormatting>
  <conditionalFormatting sqref="A128">
    <cfRule type="expression" dxfId="25" priority="5891" stopIfTrue="1">
      <formula>$A128="decimal"</formula>
    </cfRule>
  </conditionalFormatting>
  <conditionalFormatting sqref="A128">
    <cfRule type="expression" dxfId="26" priority="5892" stopIfTrue="1">
      <formula>$A128="integer"</formula>
    </cfRule>
  </conditionalFormatting>
  <conditionalFormatting sqref="A128">
    <cfRule type="expression" dxfId="27" priority="5893" stopIfTrue="1">
      <formula>$A128="text"</formula>
    </cfRule>
  </conditionalFormatting>
  <conditionalFormatting sqref="A128">
    <cfRule type="expression" dxfId="28" priority="5894" stopIfTrue="1">
      <formula>$A128="end repeat"</formula>
    </cfRule>
  </conditionalFormatting>
  <conditionalFormatting sqref="A128">
    <cfRule type="expression" dxfId="28" priority="5895" stopIfTrue="1">
      <formula>$A128="begin repeat"</formula>
    </cfRule>
  </conditionalFormatting>
  <conditionalFormatting sqref="A128">
    <cfRule type="expression" dxfId="29" priority="5896" stopIfTrue="1">
      <formula>$A128="end group"</formula>
    </cfRule>
  </conditionalFormatting>
  <conditionalFormatting sqref="A128">
    <cfRule type="expression" dxfId="29" priority="5897" stopIfTrue="1">
      <formula>$A128="begin group"</formula>
    </cfRule>
  </conditionalFormatting>
  <conditionalFormatting sqref="A124:A126">
    <cfRule type="expression" dxfId="33" priority="5898" stopIfTrue="1">
      <formula>$A124="file"</formula>
    </cfRule>
  </conditionalFormatting>
  <conditionalFormatting sqref="A124:A126">
    <cfRule type="expression" dxfId="34" priority="5899" stopIfTrue="1">
      <formula>$A124="enumerator"</formula>
    </cfRule>
  </conditionalFormatting>
  <conditionalFormatting sqref="A124:A126">
    <cfRule type="expression" dxfId="35" priority="5900" stopIfTrue="1">
      <formula>OR(AND(LEFT($A124, 14)="sensor_stream ", LEN($A124)&gt;14, NOT(ISNUMBER(SEARCH(" ", $A124, 15)))), AND(LEFT($A124, 17)="sensor_statistic ", LEN($A124)&gt;17, NOT(ISNUMBER(SEARCH(" ", $A124, 18)))))</formula>
    </cfRule>
  </conditionalFormatting>
  <conditionalFormatting sqref="A124:A126">
    <cfRule type="expression" dxfId="14" priority="5901" stopIfTrue="1">
      <formula>$A124="comments"</formula>
    </cfRule>
  </conditionalFormatting>
  <conditionalFormatting sqref="A124:A126">
    <cfRule type="expression" dxfId="15" priority="5902" stopIfTrue="1">
      <formula>OR($A124="audio", $A124="video")</formula>
    </cfRule>
  </conditionalFormatting>
  <conditionalFormatting sqref="A124:A126">
    <cfRule type="expression" dxfId="16" priority="5903" stopIfTrue="1">
      <formula>$A124="image"</formula>
    </cfRule>
  </conditionalFormatting>
  <conditionalFormatting sqref="A124:A126">
    <cfRule type="expression" dxfId="17" priority="5904" stopIfTrue="1">
      <formula>OR($A124="date", $A124="datetime", $A124="time")</formula>
    </cfRule>
  </conditionalFormatting>
  <conditionalFormatting sqref="A124:A126">
    <cfRule type="expression" dxfId="18" priority="5905" stopIfTrue="1">
      <formula>OR($A124="calculate", $A124="calculate_here")</formula>
    </cfRule>
  </conditionalFormatting>
  <conditionalFormatting sqref="A124:A126">
    <cfRule type="expression" dxfId="19" priority="5906" stopIfTrue="1">
      <formula>$A124="note"</formula>
    </cfRule>
  </conditionalFormatting>
  <conditionalFormatting sqref="A124:A126">
    <cfRule type="expression" dxfId="20" priority="5907" stopIfTrue="1">
      <formula>$A124="barcode"</formula>
    </cfRule>
  </conditionalFormatting>
  <conditionalFormatting sqref="A124:A126">
    <cfRule type="expression" dxfId="21" priority="5908" stopIfTrue="1">
      <formula>OR($A124="geopoint", $A124="geoshape", $A124="geotrace")</formula>
    </cfRule>
  </conditionalFormatting>
  <conditionalFormatting sqref="A124:A126">
    <cfRule type="expression" dxfId="22" priority="5909" stopIfTrue="1">
      <formula>OR($A124="audio audit", $A124="text audit", $A124="speed violations count", $A124="speed violations list", $A124="speed violations audit")</formula>
    </cfRule>
  </conditionalFormatting>
  <conditionalFormatting sqref="A124:A126">
    <cfRule type="expression" dxfId="23" priority="5910" stopIfTrue="1">
      <formula>OR($A124="username", $A124="phonenumber", $A124="start", $A124="end", $A124="deviceid", $A124="subscriberid", $A124="simserial", $A124="caseid")</formula>
    </cfRule>
  </conditionalFormatting>
  <conditionalFormatting sqref="A124:A126">
    <cfRule type="expression" dxfId="24" priority="5911" stopIfTrue="1">
      <formula>OR(AND(LEFT($A124, 16)="select_multiple ", LEN($A124)&gt;16, NOT(ISNUMBER(SEARCH(" ", $A124, 17)))), AND(LEFT($A124, 11)="select_one ", LEN($A124)&gt;11, NOT(ISNUMBER(SEARCH(" ", $A124, 12)))))</formula>
    </cfRule>
  </conditionalFormatting>
  <conditionalFormatting sqref="A124:A126">
    <cfRule type="expression" dxfId="25" priority="5912" stopIfTrue="1">
      <formula>$A124="decimal"</formula>
    </cfRule>
  </conditionalFormatting>
  <conditionalFormatting sqref="A124:A126">
    <cfRule type="expression" dxfId="26" priority="5913" stopIfTrue="1">
      <formula>$A124="integer"</formula>
    </cfRule>
  </conditionalFormatting>
  <conditionalFormatting sqref="A124:A126">
    <cfRule type="expression" dxfId="27" priority="5914" stopIfTrue="1">
      <formula>$A124="text"</formula>
    </cfRule>
  </conditionalFormatting>
  <conditionalFormatting sqref="A124:A126">
    <cfRule type="expression" dxfId="28" priority="5915" stopIfTrue="1">
      <formula>$A124="end repeat"</formula>
    </cfRule>
  </conditionalFormatting>
  <conditionalFormatting sqref="A124:A126">
    <cfRule type="expression" dxfId="28" priority="5916" stopIfTrue="1">
      <formula>$A124="begin repeat"</formula>
    </cfRule>
  </conditionalFormatting>
  <conditionalFormatting sqref="A124:A126">
    <cfRule type="expression" dxfId="29" priority="5917" stopIfTrue="1">
      <formula>$A124="end group"</formula>
    </cfRule>
  </conditionalFormatting>
  <conditionalFormatting sqref="A124:A126">
    <cfRule type="expression" dxfId="29" priority="5918" stopIfTrue="1">
      <formula>$A124="begin group"</formula>
    </cfRule>
  </conditionalFormatting>
  <conditionalFormatting sqref="A114:A121">
    <cfRule type="expression" dxfId="33" priority="5919" stopIfTrue="1">
      <formula>$A114="file"</formula>
    </cfRule>
  </conditionalFormatting>
  <conditionalFormatting sqref="A114:A121">
    <cfRule type="expression" dxfId="34" priority="5920" stopIfTrue="1">
      <formula>$A114="enumerator"</formula>
    </cfRule>
  </conditionalFormatting>
  <conditionalFormatting sqref="A114:A121">
    <cfRule type="expression" dxfId="35" priority="5921" stopIfTrue="1">
      <formula>OR(AND(LEFT($A114, 14)="sensor_stream ", LEN($A114)&gt;14, NOT(ISNUMBER(SEARCH(" ", $A114, 15)))), AND(LEFT($A114, 17)="sensor_statistic ", LEN($A114)&gt;17, NOT(ISNUMBER(SEARCH(" ", $A114, 18)))))</formula>
    </cfRule>
  </conditionalFormatting>
  <conditionalFormatting sqref="A114:A121">
    <cfRule type="expression" dxfId="14" priority="5922" stopIfTrue="1">
      <formula>$A114="comments"</formula>
    </cfRule>
  </conditionalFormatting>
  <conditionalFormatting sqref="A114:A121">
    <cfRule type="expression" dxfId="15" priority="5923" stopIfTrue="1">
      <formula>OR($A114="audio", $A114="video")</formula>
    </cfRule>
  </conditionalFormatting>
  <conditionalFormatting sqref="A114:A121">
    <cfRule type="expression" dxfId="16" priority="5924" stopIfTrue="1">
      <formula>$A114="image"</formula>
    </cfRule>
  </conditionalFormatting>
  <conditionalFormatting sqref="A114:A121">
    <cfRule type="expression" dxfId="17" priority="5925" stopIfTrue="1">
      <formula>OR($A114="date", $A114="datetime", $A114="time")</formula>
    </cfRule>
  </conditionalFormatting>
  <conditionalFormatting sqref="A114:A121">
    <cfRule type="expression" dxfId="18" priority="5926" stopIfTrue="1">
      <formula>OR($A114="calculate", $A114="calculate_here")</formula>
    </cfRule>
  </conditionalFormatting>
  <conditionalFormatting sqref="A114:A121">
    <cfRule type="expression" dxfId="19" priority="5927" stopIfTrue="1">
      <formula>$A114="note"</formula>
    </cfRule>
  </conditionalFormatting>
  <conditionalFormatting sqref="A114:A121">
    <cfRule type="expression" dxfId="20" priority="5928" stopIfTrue="1">
      <formula>$A114="barcode"</formula>
    </cfRule>
  </conditionalFormatting>
  <conditionalFormatting sqref="A114:A121">
    <cfRule type="expression" dxfId="21" priority="5929" stopIfTrue="1">
      <formula>OR($A114="geopoint", $A114="geoshape", $A114="geotrace")</formula>
    </cfRule>
  </conditionalFormatting>
  <conditionalFormatting sqref="A114:A121">
    <cfRule type="expression" dxfId="22" priority="5930" stopIfTrue="1">
      <formula>OR($A114="audio audit", $A114="text audit", $A114="speed violations count", $A114="speed violations list", $A114="speed violations audit")</formula>
    </cfRule>
  </conditionalFormatting>
  <conditionalFormatting sqref="A114:A121">
    <cfRule type="expression" dxfId="23" priority="5931" stopIfTrue="1">
      <formula>OR($A114="username", $A114="phonenumber", $A114="start", $A114="end", $A114="deviceid", $A114="subscriberid", $A114="simserial", $A114="caseid")</formula>
    </cfRule>
  </conditionalFormatting>
  <conditionalFormatting sqref="A114:A121">
    <cfRule type="expression" dxfId="24" priority="5932" stopIfTrue="1">
      <formula>OR(AND(LEFT($A114, 16)="select_multiple ", LEN($A114)&gt;16, NOT(ISNUMBER(SEARCH(" ", $A114, 17)))), AND(LEFT($A114, 11)="select_one ", LEN($A114)&gt;11, NOT(ISNUMBER(SEARCH(" ", $A114, 12)))))</formula>
    </cfRule>
  </conditionalFormatting>
  <conditionalFormatting sqref="A114:A121">
    <cfRule type="expression" dxfId="25" priority="5933" stopIfTrue="1">
      <formula>$A114="decimal"</formula>
    </cfRule>
  </conditionalFormatting>
  <conditionalFormatting sqref="A114:A121">
    <cfRule type="expression" dxfId="26" priority="5934" stopIfTrue="1">
      <formula>$A114="integer"</formula>
    </cfRule>
  </conditionalFormatting>
  <conditionalFormatting sqref="A114:A121">
    <cfRule type="expression" dxfId="27" priority="5935" stopIfTrue="1">
      <formula>$A114="text"</formula>
    </cfRule>
  </conditionalFormatting>
  <conditionalFormatting sqref="A114:A121">
    <cfRule type="expression" dxfId="28" priority="5936" stopIfTrue="1">
      <formula>$A114="end repeat"</formula>
    </cfRule>
  </conditionalFormatting>
  <conditionalFormatting sqref="A114:A121">
    <cfRule type="expression" dxfId="28" priority="5937" stopIfTrue="1">
      <formula>$A114="begin repeat"</formula>
    </cfRule>
  </conditionalFormatting>
  <conditionalFormatting sqref="A114:A121">
    <cfRule type="expression" dxfId="29" priority="5938" stopIfTrue="1">
      <formula>$A114="end group"</formula>
    </cfRule>
  </conditionalFormatting>
  <conditionalFormatting sqref="A114:A121">
    <cfRule type="expression" dxfId="29" priority="5939" stopIfTrue="1">
      <formula>$A114="begin group"</formula>
    </cfRule>
  </conditionalFormatting>
  <conditionalFormatting sqref="A101:A111">
    <cfRule type="expression" dxfId="33" priority="5940" stopIfTrue="1">
      <formula>$A101="file"</formula>
    </cfRule>
  </conditionalFormatting>
  <conditionalFormatting sqref="A101:A111">
    <cfRule type="expression" dxfId="34" priority="5941" stopIfTrue="1">
      <formula>$A101="enumerator"</formula>
    </cfRule>
  </conditionalFormatting>
  <conditionalFormatting sqref="A101:A111">
    <cfRule type="expression" dxfId="35" priority="5942" stopIfTrue="1">
      <formula>OR(AND(LEFT($A101, 14)="sensor_stream ", LEN($A101)&gt;14, NOT(ISNUMBER(SEARCH(" ", $A101, 15)))), AND(LEFT($A101, 17)="sensor_statistic ", LEN($A101)&gt;17, NOT(ISNUMBER(SEARCH(" ", $A101, 18)))))</formula>
    </cfRule>
  </conditionalFormatting>
  <conditionalFormatting sqref="A101:A111">
    <cfRule type="expression" dxfId="14" priority="5943" stopIfTrue="1">
      <formula>$A101="comments"</formula>
    </cfRule>
  </conditionalFormatting>
  <conditionalFormatting sqref="A101:A111">
    <cfRule type="expression" dxfId="15" priority="5944" stopIfTrue="1">
      <formula>OR($A101="audio", $A101="video")</formula>
    </cfRule>
  </conditionalFormatting>
  <conditionalFormatting sqref="A101:A111">
    <cfRule type="expression" dxfId="16" priority="5945" stopIfTrue="1">
      <formula>$A101="image"</formula>
    </cfRule>
  </conditionalFormatting>
  <conditionalFormatting sqref="A101:A111">
    <cfRule type="expression" dxfId="17" priority="5946" stopIfTrue="1">
      <formula>OR($A101="date", $A101="datetime", $A101="time")</formula>
    </cfRule>
  </conditionalFormatting>
  <conditionalFormatting sqref="A101:A111">
    <cfRule type="expression" dxfId="18" priority="5947" stopIfTrue="1">
      <formula>OR($A101="calculate", $A101="calculate_here")</formula>
    </cfRule>
  </conditionalFormatting>
  <conditionalFormatting sqref="A101:A111">
    <cfRule type="expression" dxfId="19" priority="5948" stopIfTrue="1">
      <formula>$A101="note"</formula>
    </cfRule>
  </conditionalFormatting>
  <conditionalFormatting sqref="A101:A111">
    <cfRule type="expression" dxfId="20" priority="5949" stopIfTrue="1">
      <formula>$A101="barcode"</formula>
    </cfRule>
  </conditionalFormatting>
  <conditionalFormatting sqref="A101:A111">
    <cfRule type="expression" dxfId="21" priority="5950" stopIfTrue="1">
      <formula>OR($A101="geopoint", $A101="geoshape", $A101="geotrace")</formula>
    </cfRule>
  </conditionalFormatting>
  <conditionalFormatting sqref="A101:A111">
    <cfRule type="expression" dxfId="22" priority="5951" stopIfTrue="1">
      <formula>OR($A101="audio audit", $A101="text audit", $A101="speed violations count", $A101="speed violations list", $A101="speed violations audit")</formula>
    </cfRule>
  </conditionalFormatting>
  <conditionalFormatting sqref="A101:A111">
    <cfRule type="expression" dxfId="23" priority="5952" stopIfTrue="1">
      <formula>OR($A101="username", $A101="phonenumber", $A101="start", $A101="end", $A101="deviceid", $A101="subscriberid", $A101="simserial", $A101="caseid")</formula>
    </cfRule>
  </conditionalFormatting>
  <conditionalFormatting sqref="A101:A111">
    <cfRule type="expression" dxfId="24" priority="5953" stopIfTrue="1">
      <formula>OR(AND(LEFT($A101, 16)="select_multiple ", LEN($A101)&gt;16, NOT(ISNUMBER(SEARCH(" ", $A101, 17)))), AND(LEFT($A101, 11)="select_one ", LEN($A101)&gt;11, NOT(ISNUMBER(SEARCH(" ", $A101, 12)))))</formula>
    </cfRule>
  </conditionalFormatting>
  <conditionalFormatting sqref="A101:A111">
    <cfRule type="expression" dxfId="25" priority="5954" stopIfTrue="1">
      <formula>$A101="decimal"</formula>
    </cfRule>
  </conditionalFormatting>
  <conditionalFormatting sqref="A101:A111">
    <cfRule type="expression" dxfId="26" priority="5955" stopIfTrue="1">
      <formula>$A101="integer"</formula>
    </cfRule>
  </conditionalFormatting>
  <conditionalFormatting sqref="A101:A111">
    <cfRule type="expression" dxfId="27" priority="5956" stopIfTrue="1">
      <formula>$A101="text"</formula>
    </cfRule>
  </conditionalFormatting>
  <conditionalFormatting sqref="A101:A111">
    <cfRule type="expression" dxfId="28" priority="5957" stopIfTrue="1">
      <formula>$A101="end repeat"</formula>
    </cfRule>
  </conditionalFormatting>
  <conditionalFormatting sqref="A101:A111">
    <cfRule type="expression" dxfId="28" priority="5958" stopIfTrue="1">
      <formula>$A101="begin repeat"</formula>
    </cfRule>
  </conditionalFormatting>
  <conditionalFormatting sqref="A101:A111">
    <cfRule type="expression" dxfId="29" priority="5959" stopIfTrue="1">
      <formula>$A101="end group"</formula>
    </cfRule>
  </conditionalFormatting>
  <conditionalFormatting sqref="A101:A111">
    <cfRule type="expression" dxfId="29" priority="5960" stopIfTrue="1">
      <formula>$A101="begin group"</formula>
    </cfRule>
  </conditionalFormatting>
  <conditionalFormatting sqref="A93:A94">
    <cfRule type="expression" dxfId="33" priority="5961" stopIfTrue="1">
      <formula>$A93="file"</formula>
    </cfRule>
  </conditionalFormatting>
  <conditionalFormatting sqref="A93:A94">
    <cfRule type="expression" dxfId="34" priority="5962" stopIfTrue="1">
      <formula>$A93="enumerator"</formula>
    </cfRule>
  </conditionalFormatting>
  <conditionalFormatting sqref="A93:A94">
    <cfRule type="expression" dxfId="35" priority="5963" stopIfTrue="1">
      <formula>OR(AND(LEFT($A93, 14)="sensor_stream ", LEN($A93)&gt;14, NOT(ISNUMBER(SEARCH(" ", $A93, 15)))), AND(LEFT($A93, 17)="sensor_statistic ", LEN($A93)&gt;17, NOT(ISNUMBER(SEARCH(" ", $A93, 18)))))</formula>
    </cfRule>
  </conditionalFormatting>
  <conditionalFormatting sqref="A93:A94">
    <cfRule type="expression" dxfId="14" priority="5964" stopIfTrue="1">
      <formula>$A93="comments"</formula>
    </cfRule>
  </conditionalFormatting>
  <conditionalFormatting sqref="A93:A94">
    <cfRule type="expression" dxfId="15" priority="5965" stopIfTrue="1">
      <formula>OR($A93="audio", $A93="video")</formula>
    </cfRule>
  </conditionalFormatting>
  <conditionalFormatting sqref="A93:A94">
    <cfRule type="expression" dxfId="16" priority="5966" stopIfTrue="1">
      <formula>$A93="image"</formula>
    </cfRule>
  </conditionalFormatting>
  <conditionalFormatting sqref="A93:A94">
    <cfRule type="expression" dxfId="17" priority="5967" stopIfTrue="1">
      <formula>OR($A93="date", $A93="datetime", $A93="time")</formula>
    </cfRule>
  </conditionalFormatting>
  <conditionalFormatting sqref="A93:A94">
    <cfRule type="expression" dxfId="18" priority="5968" stopIfTrue="1">
      <formula>OR($A93="calculate", $A93="calculate_here")</formula>
    </cfRule>
  </conditionalFormatting>
  <conditionalFormatting sqref="A93:A94">
    <cfRule type="expression" dxfId="19" priority="5969" stopIfTrue="1">
      <formula>$A93="note"</formula>
    </cfRule>
  </conditionalFormatting>
  <conditionalFormatting sqref="A93:A94">
    <cfRule type="expression" dxfId="20" priority="5970" stopIfTrue="1">
      <formula>$A93="barcode"</formula>
    </cfRule>
  </conditionalFormatting>
  <conditionalFormatting sqref="A93:A94">
    <cfRule type="expression" dxfId="21" priority="5971" stopIfTrue="1">
      <formula>OR($A93="geopoint", $A93="geoshape", $A93="geotrace")</formula>
    </cfRule>
  </conditionalFormatting>
  <conditionalFormatting sqref="A93:A94">
    <cfRule type="expression" dxfId="22" priority="5972" stopIfTrue="1">
      <formula>OR($A93="audio audit", $A93="text audit", $A93="speed violations count", $A93="speed violations list", $A93="speed violations audit")</formula>
    </cfRule>
  </conditionalFormatting>
  <conditionalFormatting sqref="A93:A94">
    <cfRule type="expression" dxfId="23" priority="5973" stopIfTrue="1">
      <formula>OR($A93="username", $A93="phonenumber", $A93="start", $A93="end", $A93="deviceid", $A93="subscriberid", $A93="simserial", $A93="caseid")</formula>
    </cfRule>
  </conditionalFormatting>
  <conditionalFormatting sqref="A93:A94">
    <cfRule type="expression" dxfId="24" priority="5974" stopIfTrue="1">
      <formula>OR(AND(LEFT($A93, 16)="select_multiple ", LEN($A93)&gt;16, NOT(ISNUMBER(SEARCH(" ", $A93, 17)))), AND(LEFT($A93, 11)="select_one ", LEN($A93)&gt;11, NOT(ISNUMBER(SEARCH(" ", $A93, 12)))))</formula>
    </cfRule>
  </conditionalFormatting>
  <conditionalFormatting sqref="A93:A94">
    <cfRule type="expression" dxfId="25" priority="5975" stopIfTrue="1">
      <formula>$A93="decimal"</formula>
    </cfRule>
  </conditionalFormatting>
  <conditionalFormatting sqref="A93:A94">
    <cfRule type="expression" dxfId="26" priority="5976" stopIfTrue="1">
      <formula>$A93="integer"</formula>
    </cfRule>
  </conditionalFormatting>
  <conditionalFormatting sqref="A93:A94">
    <cfRule type="expression" dxfId="27" priority="5977" stopIfTrue="1">
      <formula>$A93="text"</formula>
    </cfRule>
  </conditionalFormatting>
  <conditionalFormatting sqref="A93:A94">
    <cfRule type="expression" dxfId="28" priority="5978" stopIfTrue="1">
      <formula>$A93="end repeat"</formula>
    </cfRule>
  </conditionalFormatting>
  <conditionalFormatting sqref="A93:A94">
    <cfRule type="expression" dxfId="28" priority="5979" stopIfTrue="1">
      <formula>$A93="begin repeat"</formula>
    </cfRule>
  </conditionalFormatting>
  <conditionalFormatting sqref="A93:A94">
    <cfRule type="expression" dxfId="29" priority="5980" stopIfTrue="1">
      <formula>$A93="end group"</formula>
    </cfRule>
  </conditionalFormatting>
  <conditionalFormatting sqref="A93:A94">
    <cfRule type="expression" dxfId="29" priority="5981" stopIfTrue="1">
      <formula>$A93="begin group"</formula>
    </cfRule>
  </conditionalFormatting>
  <conditionalFormatting sqref="A88:A90">
    <cfRule type="expression" dxfId="33" priority="5982" stopIfTrue="1">
      <formula>$A88="file"</formula>
    </cfRule>
  </conditionalFormatting>
  <conditionalFormatting sqref="A88:A90">
    <cfRule type="expression" dxfId="34" priority="5983" stopIfTrue="1">
      <formula>$A88="enumerator"</formula>
    </cfRule>
  </conditionalFormatting>
  <conditionalFormatting sqref="A88:A90">
    <cfRule type="expression" dxfId="35" priority="5984" stopIfTrue="1">
      <formula>OR(AND(LEFT($A88, 14)="sensor_stream ", LEN($A88)&gt;14, NOT(ISNUMBER(SEARCH(" ", $A88, 15)))), AND(LEFT($A88, 17)="sensor_statistic ", LEN($A88)&gt;17, NOT(ISNUMBER(SEARCH(" ", $A88, 18)))))</formula>
    </cfRule>
  </conditionalFormatting>
  <conditionalFormatting sqref="A88:A90">
    <cfRule type="expression" dxfId="14" priority="5985" stopIfTrue="1">
      <formula>$A88="comments"</formula>
    </cfRule>
  </conditionalFormatting>
  <conditionalFormatting sqref="A88:A90">
    <cfRule type="expression" dxfId="15" priority="5986" stopIfTrue="1">
      <formula>OR($A88="audio", $A88="video")</formula>
    </cfRule>
  </conditionalFormatting>
  <conditionalFormatting sqref="A88:A90">
    <cfRule type="expression" dxfId="16" priority="5987" stopIfTrue="1">
      <formula>$A88="image"</formula>
    </cfRule>
  </conditionalFormatting>
  <conditionalFormatting sqref="A88:A90">
    <cfRule type="expression" dxfId="17" priority="5988" stopIfTrue="1">
      <formula>OR($A88="date", $A88="datetime", $A88="time")</formula>
    </cfRule>
  </conditionalFormatting>
  <conditionalFormatting sqref="A88:A90">
    <cfRule type="expression" dxfId="18" priority="5989" stopIfTrue="1">
      <formula>OR($A88="calculate", $A88="calculate_here")</formula>
    </cfRule>
  </conditionalFormatting>
  <conditionalFormatting sqref="A88:A90">
    <cfRule type="expression" dxfId="19" priority="5990" stopIfTrue="1">
      <formula>$A88="note"</formula>
    </cfRule>
  </conditionalFormatting>
  <conditionalFormatting sqref="A88:A90">
    <cfRule type="expression" dxfId="20" priority="5991" stopIfTrue="1">
      <formula>$A88="barcode"</formula>
    </cfRule>
  </conditionalFormatting>
  <conditionalFormatting sqref="A88:A90">
    <cfRule type="expression" dxfId="21" priority="5992" stopIfTrue="1">
      <formula>OR($A88="geopoint", $A88="geoshape", $A88="geotrace")</formula>
    </cfRule>
  </conditionalFormatting>
  <conditionalFormatting sqref="A88:A90">
    <cfRule type="expression" dxfId="22" priority="5993" stopIfTrue="1">
      <formula>OR($A88="audio audit", $A88="text audit", $A88="speed violations count", $A88="speed violations list", $A88="speed violations audit")</formula>
    </cfRule>
  </conditionalFormatting>
  <conditionalFormatting sqref="A88:A90">
    <cfRule type="expression" dxfId="23" priority="5994" stopIfTrue="1">
      <formula>OR($A88="username", $A88="phonenumber", $A88="start", $A88="end", $A88="deviceid", $A88="subscriberid", $A88="simserial", $A88="caseid")</formula>
    </cfRule>
  </conditionalFormatting>
  <conditionalFormatting sqref="A88:A90">
    <cfRule type="expression" dxfId="24" priority="5995" stopIfTrue="1">
      <formula>OR(AND(LEFT($A88, 16)="select_multiple ", LEN($A88)&gt;16, NOT(ISNUMBER(SEARCH(" ", $A88, 17)))), AND(LEFT($A88, 11)="select_one ", LEN($A88)&gt;11, NOT(ISNUMBER(SEARCH(" ", $A88, 12)))))</formula>
    </cfRule>
  </conditionalFormatting>
  <conditionalFormatting sqref="A88:A90">
    <cfRule type="expression" dxfId="25" priority="5996" stopIfTrue="1">
      <formula>$A88="decimal"</formula>
    </cfRule>
  </conditionalFormatting>
  <conditionalFormatting sqref="A88:A90">
    <cfRule type="expression" dxfId="26" priority="5997" stopIfTrue="1">
      <formula>$A88="integer"</formula>
    </cfRule>
  </conditionalFormatting>
  <conditionalFormatting sqref="A88:A90">
    <cfRule type="expression" dxfId="27" priority="5998" stopIfTrue="1">
      <formula>$A88="text"</formula>
    </cfRule>
  </conditionalFormatting>
  <conditionalFormatting sqref="A88:A90">
    <cfRule type="expression" dxfId="28" priority="5999" stopIfTrue="1">
      <formula>$A88="end repeat"</formula>
    </cfRule>
  </conditionalFormatting>
  <conditionalFormatting sqref="A88:A90">
    <cfRule type="expression" dxfId="28" priority="6000" stopIfTrue="1">
      <formula>$A88="begin repeat"</formula>
    </cfRule>
  </conditionalFormatting>
  <conditionalFormatting sqref="A88:A90">
    <cfRule type="expression" dxfId="29" priority="6001" stopIfTrue="1">
      <formula>$A88="end group"</formula>
    </cfRule>
  </conditionalFormatting>
  <conditionalFormatting sqref="A88:A90">
    <cfRule type="expression" dxfId="29" priority="6002" stopIfTrue="1">
      <formula>$A88="begin group"</formula>
    </cfRule>
  </conditionalFormatting>
  <conditionalFormatting sqref="A68:A84">
    <cfRule type="expression" dxfId="33" priority="6003" stopIfTrue="1">
      <formula>$A68="file"</formula>
    </cfRule>
  </conditionalFormatting>
  <conditionalFormatting sqref="A68:A84">
    <cfRule type="expression" dxfId="34" priority="6004" stopIfTrue="1">
      <formula>$A68="enumerator"</formula>
    </cfRule>
  </conditionalFormatting>
  <conditionalFormatting sqref="A68:A84">
    <cfRule type="expression" dxfId="35" priority="6005" stopIfTrue="1">
      <formula>OR(AND(LEFT($A68, 14)="sensor_stream ", LEN($A68)&gt;14, NOT(ISNUMBER(SEARCH(" ", $A68, 15)))), AND(LEFT($A68, 17)="sensor_statistic ", LEN($A68)&gt;17, NOT(ISNUMBER(SEARCH(" ", $A68, 18)))))</formula>
    </cfRule>
  </conditionalFormatting>
  <conditionalFormatting sqref="A68:A84">
    <cfRule type="expression" dxfId="14" priority="6006" stopIfTrue="1">
      <formula>$A68="comments"</formula>
    </cfRule>
  </conditionalFormatting>
  <conditionalFormatting sqref="A68:A84">
    <cfRule type="expression" dxfId="15" priority="6007" stopIfTrue="1">
      <formula>OR($A68="audio", $A68="video")</formula>
    </cfRule>
  </conditionalFormatting>
  <conditionalFormatting sqref="A68:A84">
    <cfRule type="expression" dxfId="16" priority="6008" stopIfTrue="1">
      <formula>$A68="image"</formula>
    </cfRule>
  </conditionalFormatting>
  <conditionalFormatting sqref="A68:A84">
    <cfRule type="expression" dxfId="17" priority="6009" stopIfTrue="1">
      <formula>OR($A68="date", $A68="datetime", $A68="time")</formula>
    </cfRule>
  </conditionalFormatting>
  <conditionalFormatting sqref="A68:A84">
    <cfRule type="expression" dxfId="18" priority="6010" stopIfTrue="1">
      <formula>OR($A68="calculate", $A68="calculate_here")</formula>
    </cfRule>
  </conditionalFormatting>
  <conditionalFormatting sqref="A68:A84">
    <cfRule type="expression" dxfId="19" priority="6011" stopIfTrue="1">
      <formula>$A68="note"</formula>
    </cfRule>
  </conditionalFormatting>
  <conditionalFormatting sqref="A68:A84">
    <cfRule type="expression" dxfId="20" priority="6012" stopIfTrue="1">
      <formula>$A68="barcode"</formula>
    </cfRule>
  </conditionalFormatting>
  <conditionalFormatting sqref="A68:A84">
    <cfRule type="expression" dxfId="21" priority="6013" stopIfTrue="1">
      <formula>OR($A68="geopoint", $A68="geoshape", $A68="geotrace")</formula>
    </cfRule>
  </conditionalFormatting>
  <conditionalFormatting sqref="A68:A84">
    <cfRule type="expression" dxfId="22" priority="6014" stopIfTrue="1">
      <formula>OR($A68="audio audit", $A68="text audit", $A68="speed violations count", $A68="speed violations list", $A68="speed violations audit")</formula>
    </cfRule>
  </conditionalFormatting>
  <conditionalFormatting sqref="A68:A84">
    <cfRule type="expression" dxfId="23" priority="6015" stopIfTrue="1">
      <formula>OR($A68="username", $A68="phonenumber", $A68="start", $A68="end", $A68="deviceid", $A68="subscriberid", $A68="simserial", $A68="caseid")</formula>
    </cfRule>
  </conditionalFormatting>
  <conditionalFormatting sqref="A68:A84">
    <cfRule type="expression" dxfId="24" priority="6016" stopIfTrue="1">
      <formula>OR(AND(LEFT($A68, 16)="select_multiple ", LEN($A68)&gt;16, NOT(ISNUMBER(SEARCH(" ", $A68, 17)))), AND(LEFT($A68, 11)="select_one ", LEN($A68)&gt;11, NOT(ISNUMBER(SEARCH(" ", $A68, 12)))))</formula>
    </cfRule>
  </conditionalFormatting>
  <conditionalFormatting sqref="A68:A84">
    <cfRule type="expression" dxfId="25" priority="6017" stopIfTrue="1">
      <formula>$A68="decimal"</formula>
    </cfRule>
  </conditionalFormatting>
  <conditionalFormatting sqref="A68:A84">
    <cfRule type="expression" dxfId="26" priority="6018" stopIfTrue="1">
      <formula>$A68="integer"</formula>
    </cfRule>
  </conditionalFormatting>
  <conditionalFormatting sqref="A68:A84">
    <cfRule type="expression" dxfId="27" priority="6019" stopIfTrue="1">
      <formula>$A68="text"</formula>
    </cfRule>
  </conditionalFormatting>
  <conditionalFormatting sqref="A68:A84">
    <cfRule type="expression" dxfId="28" priority="6020" stopIfTrue="1">
      <formula>$A68="end repeat"</formula>
    </cfRule>
  </conditionalFormatting>
  <conditionalFormatting sqref="A68:A84">
    <cfRule type="expression" dxfId="28" priority="6021" stopIfTrue="1">
      <formula>$A68="begin repeat"</formula>
    </cfRule>
  </conditionalFormatting>
  <conditionalFormatting sqref="A68:A84">
    <cfRule type="expression" dxfId="29" priority="6022" stopIfTrue="1">
      <formula>$A68="end group"</formula>
    </cfRule>
  </conditionalFormatting>
  <conditionalFormatting sqref="A68:A84">
    <cfRule type="expression" dxfId="29" priority="6023" stopIfTrue="1">
      <formula>$A68="begin group"</formula>
    </cfRule>
  </conditionalFormatting>
  <conditionalFormatting sqref="A66">
    <cfRule type="expression" dxfId="33" priority="6024" stopIfTrue="1">
      <formula>$A66="file"</formula>
    </cfRule>
  </conditionalFormatting>
  <conditionalFormatting sqref="A66">
    <cfRule type="expression" dxfId="34" priority="6025" stopIfTrue="1">
      <formula>$A66="enumerator"</formula>
    </cfRule>
  </conditionalFormatting>
  <conditionalFormatting sqref="A66">
    <cfRule type="expression" dxfId="35" priority="6026" stopIfTrue="1">
      <formula>OR(AND(LEFT($A66, 14)="sensor_stream ", LEN($A66)&gt;14, NOT(ISNUMBER(SEARCH(" ", $A66, 15)))), AND(LEFT($A66, 17)="sensor_statistic ", LEN($A66)&gt;17, NOT(ISNUMBER(SEARCH(" ", $A66, 18)))))</formula>
    </cfRule>
  </conditionalFormatting>
  <conditionalFormatting sqref="A66">
    <cfRule type="expression" dxfId="14" priority="6027" stopIfTrue="1">
      <formula>$A66="comments"</formula>
    </cfRule>
  </conditionalFormatting>
  <conditionalFormatting sqref="A66">
    <cfRule type="expression" dxfId="15" priority="6028" stopIfTrue="1">
      <formula>OR($A66="audio", $A66="video")</formula>
    </cfRule>
  </conditionalFormatting>
  <conditionalFormatting sqref="A66">
    <cfRule type="expression" dxfId="16" priority="6029" stopIfTrue="1">
      <formula>$A66="image"</formula>
    </cfRule>
  </conditionalFormatting>
  <conditionalFormatting sqref="A66">
    <cfRule type="expression" dxfId="17" priority="6030" stopIfTrue="1">
      <formula>OR($A66="date", $A66="datetime", $A66="time")</formula>
    </cfRule>
  </conditionalFormatting>
  <conditionalFormatting sqref="A66">
    <cfRule type="expression" dxfId="18" priority="6031" stopIfTrue="1">
      <formula>OR($A66="calculate", $A66="calculate_here")</formula>
    </cfRule>
  </conditionalFormatting>
  <conditionalFormatting sqref="A66">
    <cfRule type="expression" dxfId="19" priority="6032" stopIfTrue="1">
      <formula>$A66="note"</formula>
    </cfRule>
  </conditionalFormatting>
  <conditionalFormatting sqref="A66">
    <cfRule type="expression" dxfId="20" priority="6033" stopIfTrue="1">
      <formula>$A66="barcode"</formula>
    </cfRule>
  </conditionalFormatting>
  <conditionalFormatting sqref="A66">
    <cfRule type="expression" dxfId="21" priority="6034" stopIfTrue="1">
      <formula>OR($A66="geopoint", $A66="geoshape", $A66="geotrace")</formula>
    </cfRule>
  </conditionalFormatting>
  <conditionalFormatting sqref="A66">
    <cfRule type="expression" dxfId="22" priority="6035" stopIfTrue="1">
      <formula>OR($A66="audio audit", $A66="text audit", $A66="speed violations count", $A66="speed violations list", $A66="speed violations audit")</formula>
    </cfRule>
  </conditionalFormatting>
  <conditionalFormatting sqref="A66">
    <cfRule type="expression" dxfId="23" priority="6036" stopIfTrue="1">
      <formula>OR($A66="username", $A66="phonenumber", $A66="start", $A66="end", $A66="deviceid", $A66="subscriberid", $A66="simserial", $A66="caseid")</formula>
    </cfRule>
  </conditionalFormatting>
  <conditionalFormatting sqref="A66">
    <cfRule type="expression" dxfId="24" priority="6037" stopIfTrue="1">
      <formula>OR(AND(LEFT($A66, 16)="select_multiple ", LEN($A66)&gt;16, NOT(ISNUMBER(SEARCH(" ", $A66, 17)))), AND(LEFT($A66, 11)="select_one ", LEN($A66)&gt;11, NOT(ISNUMBER(SEARCH(" ", $A66, 12)))))</formula>
    </cfRule>
  </conditionalFormatting>
  <conditionalFormatting sqref="A66">
    <cfRule type="expression" dxfId="25" priority="6038" stopIfTrue="1">
      <formula>$A66="decimal"</formula>
    </cfRule>
  </conditionalFormatting>
  <conditionalFormatting sqref="A66">
    <cfRule type="expression" dxfId="26" priority="6039" stopIfTrue="1">
      <formula>$A66="integer"</formula>
    </cfRule>
  </conditionalFormatting>
  <conditionalFormatting sqref="A66">
    <cfRule type="expression" dxfId="27" priority="6040" stopIfTrue="1">
      <formula>$A66="text"</formula>
    </cfRule>
  </conditionalFormatting>
  <conditionalFormatting sqref="A66">
    <cfRule type="expression" dxfId="28" priority="6041" stopIfTrue="1">
      <formula>$A66="end repeat"</formula>
    </cfRule>
  </conditionalFormatting>
  <conditionalFormatting sqref="A66">
    <cfRule type="expression" dxfId="28" priority="6042" stopIfTrue="1">
      <formula>$A66="begin repeat"</formula>
    </cfRule>
  </conditionalFormatting>
  <conditionalFormatting sqref="A66">
    <cfRule type="expression" dxfId="29" priority="6043" stopIfTrue="1">
      <formula>$A66="end group"</formula>
    </cfRule>
  </conditionalFormatting>
  <conditionalFormatting sqref="A66">
    <cfRule type="expression" dxfId="29" priority="6044" stopIfTrue="1">
      <formula>$A66="begin group"</formula>
    </cfRule>
  </conditionalFormatting>
  <conditionalFormatting sqref="A58">
    <cfRule type="expression" dxfId="33" priority="6045" stopIfTrue="1">
      <formula>$A58="file"</formula>
    </cfRule>
  </conditionalFormatting>
  <conditionalFormatting sqref="A58">
    <cfRule type="expression" dxfId="34" priority="6046" stopIfTrue="1">
      <formula>$A58="enumerator"</formula>
    </cfRule>
  </conditionalFormatting>
  <conditionalFormatting sqref="A58">
    <cfRule type="expression" dxfId="35" priority="6047" stopIfTrue="1">
      <formula>OR(AND(LEFT($A58, 14)="sensor_stream ", LEN($A58)&gt;14, NOT(ISNUMBER(SEARCH(" ", $A58, 15)))), AND(LEFT($A58, 17)="sensor_statistic ", LEN($A58)&gt;17, NOT(ISNUMBER(SEARCH(" ", $A58, 18)))))</formula>
    </cfRule>
  </conditionalFormatting>
  <conditionalFormatting sqref="A58">
    <cfRule type="expression" dxfId="14" priority="6048" stopIfTrue="1">
      <formula>$A58="comments"</formula>
    </cfRule>
  </conditionalFormatting>
  <conditionalFormatting sqref="A58">
    <cfRule type="expression" dxfId="15" priority="6049" stopIfTrue="1">
      <formula>OR($A58="audio", $A58="video")</formula>
    </cfRule>
  </conditionalFormatting>
  <conditionalFormatting sqref="A58">
    <cfRule type="expression" dxfId="16" priority="6050" stopIfTrue="1">
      <formula>$A58="image"</formula>
    </cfRule>
  </conditionalFormatting>
  <conditionalFormatting sqref="A58">
    <cfRule type="expression" dxfId="17" priority="6051" stopIfTrue="1">
      <formula>OR($A58="date", $A58="datetime", $A58="time")</formula>
    </cfRule>
  </conditionalFormatting>
  <conditionalFormatting sqref="A58">
    <cfRule type="expression" dxfId="18" priority="6052" stopIfTrue="1">
      <formula>OR($A58="calculate", $A58="calculate_here")</formula>
    </cfRule>
  </conditionalFormatting>
  <conditionalFormatting sqref="A58">
    <cfRule type="expression" dxfId="19" priority="6053" stopIfTrue="1">
      <formula>$A58="note"</formula>
    </cfRule>
  </conditionalFormatting>
  <conditionalFormatting sqref="A58">
    <cfRule type="expression" dxfId="20" priority="6054" stopIfTrue="1">
      <formula>$A58="barcode"</formula>
    </cfRule>
  </conditionalFormatting>
  <conditionalFormatting sqref="A58">
    <cfRule type="expression" dxfId="21" priority="6055" stopIfTrue="1">
      <formula>OR($A58="geopoint", $A58="geoshape", $A58="geotrace")</formula>
    </cfRule>
  </conditionalFormatting>
  <conditionalFormatting sqref="A58">
    <cfRule type="expression" dxfId="22" priority="6056" stopIfTrue="1">
      <formula>OR($A58="audio audit", $A58="text audit", $A58="speed violations count", $A58="speed violations list", $A58="speed violations audit")</formula>
    </cfRule>
  </conditionalFormatting>
  <conditionalFormatting sqref="A58">
    <cfRule type="expression" dxfId="23" priority="6057" stopIfTrue="1">
      <formula>OR($A58="username", $A58="phonenumber", $A58="start", $A58="end", $A58="deviceid", $A58="subscriberid", $A58="simserial", $A58="caseid")</formula>
    </cfRule>
  </conditionalFormatting>
  <conditionalFormatting sqref="A58">
    <cfRule type="expression" dxfId="24" priority="6058" stopIfTrue="1">
      <formula>OR(AND(LEFT($A58, 16)="select_multiple ", LEN($A58)&gt;16, NOT(ISNUMBER(SEARCH(" ", $A58, 17)))), AND(LEFT($A58, 11)="select_one ", LEN($A58)&gt;11, NOT(ISNUMBER(SEARCH(" ", $A58, 12)))))</formula>
    </cfRule>
  </conditionalFormatting>
  <conditionalFormatting sqref="A58">
    <cfRule type="expression" dxfId="25" priority="6059" stopIfTrue="1">
      <formula>$A58="decimal"</formula>
    </cfRule>
  </conditionalFormatting>
  <conditionalFormatting sqref="A58">
    <cfRule type="expression" dxfId="26" priority="6060" stopIfTrue="1">
      <formula>$A58="integer"</formula>
    </cfRule>
  </conditionalFormatting>
  <conditionalFormatting sqref="A58">
    <cfRule type="expression" dxfId="27" priority="6061" stopIfTrue="1">
      <formula>$A58="text"</formula>
    </cfRule>
  </conditionalFormatting>
  <conditionalFormatting sqref="A58">
    <cfRule type="expression" dxfId="28" priority="6062" stopIfTrue="1">
      <formula>$A58="end repeat"</formula>
    </cfRule>
  </conditionalFormatting>
  <conditionalFormatting sqref="A58">
    <cfRule type="expression" dxfId="28" priority="6063" stopIfTrue="1">
      <formula>$A58="begin repeat"</formula>
    </cfRule>
  </conditionalFormatting>
  <conditionalFormatting sqref="A58">
    <cfRule type="expression" dxfId="29" priority="6064" stopIfTrue="1">
      <formula>$A58="end group"</formula>
    </cfRule>
  </conditionalFormatting>
  <conditionalFormatting sqref="A58">
    <cfRule type="expression" dxfId="29" priority="6065" stopIfTrue="1">
      <formula>$A58="begin group"</formula>
    </cfRule>
  </conditionalFormatting>
  <conditionalFormatting sqref="A51:A56">
    <cfRule type="expression" dxfId="33" priority="6066" stopIfTrue="1">
      <formula>$A51="file"</formula>
    </cfRule>
  </conditionalFormatting>
  <conditionalFormatting sqref="A51:A56">
    <cfRule type="expression" dxfId="34" priority="6067" stopIfTrue="1">
      <formula>$A51="enumerator"</formula>
    </cfRule>
  </conditionalFormatting>
  <conditionalFormatting sqref="A51:A56">
    <cfRule type="expression" dxfId="35" priority="6068" stopIfTrue="1">
      <formula>OR(AND(LEFT($A51, 14)="sensor_stream ", LEN($A51)&gt;14, NOT(ISNUMBER(SEARCH(" ", $A51, 15)))), AND(LEFT($A51, 17)="sensor_statistic ", LEN($A51)&gt;17, NOT(ISNUMBER(SEARCH(" ", $A51, 18)))))</formula>
    </cfRule>
  </conditionalFormatting>
  <conditionalFormatting sqref="A51:A56">
    <cfRule type="expression" dxfId="14" priority="6069" stopIfTrue="1">
      <formula>$A51="comments"</formula>
    </cfRule>
  </conditionalFormatting>
  <conditionalFormatting sqref="A51:A56">
    <cfRule type="expression" dxfId="15" priority="6070" stopIfTrue="1">
      <formula>OR($A51="audio", $A51="video")</formula>
    </cfRule>
  </conditionalFormatting>
  <conditionalFormatting sqref="A51:A56">
    <cfRule type="expression" dxfId="16" priority="6071" stopIfTrue="1">
      <formula>$A51="image"</formula>
    </cfRule>
  </conditionalFormatting>
  <conditionalFormatting sqref="A51:A56">
    <cfRule type="expression" dxfId="17" priority="6072" stopIfTrue="1">
      <formula>OR($A51="date", $A51="datetime", $A51="time")</formula>
    </cfRule>
  </conditionalFormatting>
  <conditionalFormatting sqref="A51:A56">
    <cfRule type="expression" dxfId="18" priority="6073" stopIfTrue="1">
      <formula>OR($A51="calculate", $A51="calculate_here")</formula>
    </cfRule>
  </conditionalFormatting>
  <conditionalFormatting sqref="A51:A56">
    <cfRule type="expression" dxfId="19" priority="6074" stopIfTrue="1">
      <formula>$A51="note"</formula>
    </cfRule>
  </conditionalFormatting>
  <conditionalFormatting sqref="A51:A56">
    <cfRule type="expression" dxfId="20" priority="6075" stopIfTrue="1">
      <formula>$A51="barcode"</formula>
    </cfRule>
  </conditionalFormatting>
  <conditionalFormatting sqref="A51:A56">
    <cfRule type="expression" dxfId="21" priority="6076" stopIfTrue="1">
      <formula>OR($A51="geopoint", $A51="geoshape", $A51="geotrace")</formula>
    </cfRule>
  </conditionalFormatting>
  <conditionalFormatting sqref="A51:A56">
    <cfRule type="expression" dxfId="22" priority="6077" stopIfTrue="1">
      <formula>OR($A51="audio audit", $A51="text audit", $A51="speed violations count", $A51="speed violations list", $A51="speed violations audit")</formula>
    </cfRule>
  </conditionalFormatting>
  <conditionalFormatting sqref="A51:A56">
    <cfRule type="expression" dxfId="23" priority="6078" stopIfTrue="1">
      <formula>OR($A51="username", $A51="phonenumber", $A51="start", $A51="end", $A51="deviceid", $A51="subscriberid", $A51="simserial", $A51="caseid")</formula>
    </cfRule>
  </conditionalFormatting>
  <conditionalFormatting sqref="A51:A56">
    <cfRule type="expression" dxfId="24" priority="6079" stopIfTrue="1">
      <formula>OR(AND(LEFT($A51, 16)="select_multiple ", LEN($A51)&gt;16, NOT(ISNUMBER(SEARCH(" ", $A51, 17)))), AND(LEFT($A51, 11)="select_one ", LEN($A51)&gt;11, NOT(ISNUMBER(SEARCH(" ", $A51, 12)))))</formula>
    </cfRule>
  </conditionalFormatting>
  <conditionalFormatting sqref="A51:A56">
    <cfRule type="expression" dxfId="25" priority="6080" stopIfTrue="1">
      <formula>$A51="decimal"</formula>
    </cfRule>
  </conditionalFormatting>
  <conditionalFormatting sqref="A51:A56">
    <cfRule type="expression" dxfId="26" priority="6081" stopIfTrue="1">
      <formula>$A51="integer"</formula>
    </cfRule>
  </conditionalFormatting>
  <conditionalFormatting sqref="A51:A56">
    <cfRule type="expression" dxfId="27" priority="6082" stopIfTrue="1">
      <formula>$A51="text"</formula>
    </cfRule>
  </conditionalFormatting>
  <conditionalFormatting sqref="A51:A56">
    <cfRule type="expression" dxfId="28" priority="6083" stopIfTrue="1">
      <formula>$A51="end repeat"</formula>
    </cfRule>
  </conditionalFormatting>
  <conditionalFormatting sqref="A51:A56">
    <cfRule type="expression" dxfId="28" priority="6084" stopIfTrue="1">
      <formula>$A51="begin repeat"</formula>
    </cfRule>
  </conditionalFormatting>
  <conditionalFormatting sqref="A51:A56">
    <cfRule type="expression" dxfId="29" priority="6085" stopIfTrue="1">
      <formula>$A51="end group"</formula>
    </cfRule>
  </conditionalFormatting>
  <conditionalFormatting sqref="A51:A56">
    <cfRule type="expression" dxfId="29" priority="6086" stopIfTrue="1">
      <formula>$A51="begin group"</formula>
    </cfRule>
  </conditionalFormatting>
  <conditionalFormatting sqref="A49">
    <cfRule type="expression" dxfId="33" priority="6087" stopIfTrue="1">
      <formula>$A49="file"</formula>
    </cfRule>
  </conditionalFormatting>
  <conditionalFormatting sqref="A49">
    <cfRule type="expression" dxfId="34" priority="6088" stopIfTrue="1">
      <formula>$A49="enumerator"</formula>
    </cfRule>
  </conditionalFormatting>
  <conditionalFormatting sqref="A49">
    <cfRule type="expression" dxfId="35" priority="6089" stopIfTrue="1">
      <formula>OR(AND(LEFT($A49, 14)="sensor_stream ", LEN($A49)&gt;14, NOT(ISNUMBER(SEARCH(" ", $A49, 15)))), AND(LEFT($A49, 17)="sensor_statistic ", LEN($A49)&gt;17, NOT(ISNUMBER(SEARCH(" ", $A49, 18)))))</formula>
    </cfRule>
  </conditionalFormatting>
  <conditionalFormatting sqref="A49">
    <cfRule type="expression" dxfId="14" priority="6090" stopIfTrue="1">
      <formula>$A49="comments"</formula>
    </cfRule>
  </conditionalFormatting>
  <conditionalFormatting sqref="A49">
    <cfRule type="expression" dxfId="15" priority="6091" stopIfTrue="1">
      <formula>OR($A49="audio", $A49="video")</formula>
    </cfRule>
  </conditionalFormatting>
  <conditionalFormatting sqref="A49">
    <cfRule type="expression" dxfId="16" priority="6092" stopIfTrue="1">
      <formula>$A49="image"</formula>
    </cfRule>
  </conditionalFormatting>
  <conditionalFormatting sqref="A49">
    <cfRule type="expression" dxfId="17" priority="6093" stopIfTrue="1">
      <formula>OR($A49="date", $A49="datetime", $A49="time")</formula>
    </cfRule>
  </conditionalFormatting>
  <conditionalFormatting sqref="A49">
    <cfRule type="expression" dxfId="18" priority="6094" stopIfTrue="1">
      <formula>OR($A49="calculate", $A49="calculate_here")</formula>
    </cfRule>
  </conditionalFormatting>
  <conditionalFormatting sqref="A49">
    <cfRule type="expression" dxfId="19" priority="6095" stopIfTrue="1">
      <formula>$A49="note"</formula>
    </cfRule>
  </conditionalFormatting>
  <conditionalFormatting sqref="A49">
    <cfRule type="expression" dxfId="20" priority="6096" stopIfTrue="1">
      <formula>$A49="barcode"</formula>
    </cfRule>
  </conditionalFormatting>
  <conditionalFormatting sqref="A49">
    <cfRule type="expression" dxfId="21" priority="6097" stopIfTrue="1">
      <formula>OR($A49="geopoint", $A49="geoshape", $A49="geotrace")</formula>
    </cfRule>
  </conditionalFormatting>
  <conditionalFormatting sqref="A49">
    <cfRule type="expression" dxfId="22" priority="6098" stopIfTrue="1">
      <formula>OR($A49="audio audit", $A49="text audit", $A49="speed violations count", $A49="speed violations list", $A49="speed violations audit")</formula>
    </cfRule>
  </conditionalFormatting>
  <conditionalFormatting sqref="A49">
    <cfRule type="expression" dxfId="23" priority="6099" stopIfTrue="1">
      <formula>OR($A49="username", $A49="phonenumber", $A49="start", $A49="end", $A49="deviceid", $A49="subscriberid", $A49="simserial", $A49="caseid")</formula>
    </cfRule>
  </conditionalFormatting>
  <conditionalFormatting sqref="A49">
    <cfRule type="expression" dxfId="24" priority="6100" stopIfTrue="1">
      <formula>OR(AND(LEFT($A49, 16)="select_multiple ", LEN($A49)&gt;16, NOT(ISNUMBER(SEARCH(" ", $A49, 17)))), AND(LEFT($A49, 11)="select_one ", LEN($A49)&gt;11, NOT(ISNUMBER(SEARCH(" ", $A49, 12)))))</formula>
    </cfRule>
  </conditionalFormatting>
  <conditionalFormatting sqref="A49">
    <cfRule type="expression" dxfId="25" priority="6101" stopIfTrue="1">
      <formula>$A49="decimal"</formula>
    </cfRule>
  </conditionalFormatting>
  <conditionalFormatting sqref="A49">
    <cfRule type="expression" dxfId="26" priority="6102" stopIfTrue="1">
      <formula>$A49="integer"</formula>
    </cfRule>
  </conditionalFormatting>
  <conditionalFormatting sqref="A49">
    <cfRule type="expression" dxfId="27" priority="6103" stopIfTrue="1">
      <formula>$A49="text"</formula>
    </cfRule>
  </conditionalFormatting>
  <conditionalFormatting sqref="A49">
    <cfRule type="expression" dxfId="28" priority="6104" stopIfTrue="1">
      <formula>$A49="end repeat"</formula>
    </cfRule>
  </conditionalFormatting>
  <conditionalFormatting sqref="A49">
    <cfRule type="expression" dxfId="28" priority="6105" stopIfTrue="1">
      <formula>$A49="begin repeat"</formula>
    </cfRule>
  </conditionalFormatting>
  <conditionalFormatting sqref="A49">
    <cfRule type="expression" dxfId="29" priority="6106" stopIfTrue="1">
      <formula>$A49="end group"</formula>
    </cfRule>
  </conditionalFormatting>
  <conditionalFormatting sqref="A49">
    <cfRule type="expression" dxfId="29" priority="6107" stopIfTrue="1">
      <formula>$A49="begin group"</formula>
    </cfRule>
  </conditionalFormatting>
  <conditionalFormatting sqref="A34">
    <cfRule type="expression" dxfId="33" priority="6108" stopIfTrue="1">
      <formula>$A34="file"</formula>
    </cfRule>
  </conditionalFormatting>
  <conditionalFormatting sqref="A34">
    <cfRule type="expression" dxfId="34" priority="6109" stopIfTrue="1">
      <formula>$A34="enumerator"</formula>
    </cfRule>
  </conditionalFormatting>
  <conditionalFormatting sqref="A34">
    <cfRule type="expression" dxfId="35" priority="6110" stopIfTrue="1">
      <formula>OR(AND(LEFT($A34, 14)="sensor_stream ", LEN($A34)&gt;14, NOT(ISNUMBER(SEARCH(" ", $A34, 15)))), AND(LEFT($A34, 17)="sensor_statistic ", LEN($A34)&gt;17, NOT(ISNUMBER(SEARCH(" ", $A34, 18)))))</formula>
    </cfRule>
  </conditionalFormatting>
  <conditionalFormatting sqref="A34">
    <cfRule type="expression" dxfId="14" priority="6111" stopIfTrue="1">
      <formula>$A34="comments"</formula>
    </cfRule>
  </conditionalFormatting>
  <conditionalFormatting sqref="A34">
    <cfRule type="expression" dxfId="15" priority="6112" stopIfTrue="1">
      <formula>OR($A34="audio", $A34="video")</formula>
    </cfRule>
  </conditionalFormatting>
  <conditionalFormatting sqref="A34">
    <cfRule type="expression" dxfId="16" priority="6113" stopIfTrue="1">
      <formula>$A34="image"</formula>
    </cfRule>
  </conditionalFormatting>
  <conditionalFormatting sqref="A34">
    <cfRule type="expression" dxfId="17" priority="6114" stopIfTrue="1">
      <formula>OR($A34="date", $A34="datetime", $A34="time")</formula>
    </cfRule>
  </conditionalFormatting>
  <conditionalFormatting sqref="A34">
    <cfRule type="expression" dxfId="18" priority="6115" stopIfTrue="1">
      <formula>OR($A34="calculate", $A34="calculate_here")</formula>
    </cfRule>
  </conditionalFormatting>
  <conditionalFormatting sqref="A34">
    <cfRule type="expression" dxfId="19" priority="6116" stopIfTrue="1">
      <formula>$A34="note"</formula>
    </cfRule>
  </conditionalFormatting>
  <conditionalFormatting sqref="A34">
    <cfRule type="expression" dxfId="20" priority="6117" stopIfTrue="1">
      <formula>$A34="barcode"</formula>
    </cfRule>
  </conditionalFormatting>
  <conditionalFormatting sqref="A34">
    <cfRule type="expression" dxfId="21" priority="6118" stopIfTrue="1">
      <formula>OR($A34="geopoint", $A34="geoshape", $A34="geotrace")</formula>
    </cfRule>
  </conditionalFormatting>
  <conditionalFormatting sqref="A34">
    <cfRule type="expression" dxfId="22" priority="6119" stopIfTrue="1">
      <formula>OR($A34="audio audit", $A34="text audit", $A34="speed violations count", $A34="speed violations list", $A34="speed violations audit")</formula>
    </cfRule>
  </conditionalFormatting>
  <conditionalFormatting sqref="A34">
    <cfRule type="expression" dxfId="23" priority="6120" stopIfTrue="1">
      <formula>OR($A34="username", $A34="phonenumber", $A34="start", $A34="end", $A34="deviceid", $A34="subscriberid", $A34="simserial", $A34="caseid")</formula>
    </cfRule>
  </conditionalFormatting>
  <conditionalFormatting sqref="A34">
    <cfRule type="expression" dxfId="24" priority="6121" stopIfTrue="1">
      <formula>OR(AND(LEFT($A34, 16)="select_multiple ", LEN($A34)&gt;16, NOT(ISNUMBER(SEARCH(" ", $A34, 17)))), AND(LEFT($A34, 11)="select_one ", LEN($A34)&gt;11, NOT(ISNUMBER(SEARCH(" ", $A34, 12)))))</formula>
    </cfRule>
  </conditionalFormatting>
  <conditionalFormatting sqref="A34">
    <cfRule type="expression" dxfId="25" priority="6122" stopIfTrue="1">
      <formula>$A34="decimal"</formula>
    </cfRule>
  </conditionalFormatting>
  <conditionalFormatting sqref="A34">
    <cfRule type="expression" dxfId="26" priority="6123" stopIfTrue="1">
      <formula>$A34="integer"</formula>
    </cfRule>
  </conditionalFormatting>
  <conditionalFormatting sqref="A34">
    <cfRule type="expression" dxfId="27" priority="6124" stopIfTrue="1">
      <formula>$A34="text"</formula>
    </cfRule>
  </conditionalFormatting>
  <conditionalFormatting sqref="A34">
    <cfRule type="expression" dxfId="28" priority="6125" stopIfTrue="1">
      <formula>$A34="end repeat"</formula>
    </cfRule>
  </conditionalFormatting>
  <conditionalFormatting sqref="A34">
    <cfRule type="expression" dxfId="28" priority="6126" stopIfTrue="1">
      <formula>$A34="begin repeat"</formula>
    </cfRule>
  </conditionalFormatting>
  <conditionalFormatting sqref="A34">
    <cfRule type="expression" dxfId="29" priority="6127" stopIfTrue="1">
      <formula>$A34="end group"</formula>
    </cfRule>
  </conditionalFormatting>
  <conditionalFormatting sqref="A34">
    <cfRule type="expression" dxfId="29" priority="6128" stopIfTrue="1">
      <formula>$A34="begin group"</formula>
    </cfRule>
  </conditionalFormatting>
  <conditionalFormatting sqref="A24">
    <cfRule type="expression" dxfId="33" priority="6129" stopIfTrue="1">
      <formula>$A24="file"</formula>
    </cfRule>
  </conditionalFormatting>
  <conditionalFormatting sqref="A24">
    <cfRule type="expression" dxfId="34" priority="6130" stopIfTrue="1">
      <formula>$A24="enumerator"</formula>
    </cfRule>
  </conditionalFormatting>
  <conditionalFormatting sqref="A24">
    <cfRule type="expression" dxfId="35" priority="6131" stopIfTrue="1">
      <formula>OR(AND(LEFT($A24, 14)="sensor_stream ", LEN($A24)&gt;14, NOT(ISNUMBER(SEARCH(" ", $A24, 15)))), AND(LEFT($A24, 17)="sensor_statistic ", LEN($A24)&gt;17, NOT(ISNUMBER(SEARCH(" ", $A24, 18)))))</formula>
    </cfRule>
  </conditionalFormatting>
  <conditionalFormatting sqref="A24">
    <cfRule type="expression" dxfId="14" priority="6132" stopIfTrue="1">
      <formula>$A24="comments"</formula>
    </cfRule>
  </conditionalFormatting>
  <conditionalFormatting sqref="A24">
    <cfRule type="expression" dxfId="15" priority="6133" stopIfTrue="1">
      <formula>OR($A24="audio", $A24="video")</formula>
    </cfRule>
  </conditionalFormatting>
  <conditionalFormatting sqref="A24">
    <cfRule type="expression" dxfId="16" priority="6134" stopIfTrue="1">
      <formula>$A24="image"</formula>
    </cfRule>
  </conditionalFormatting>
  <conditionalFormatting sqref="A24">
    <cfRule type="expression" dxfId="17" priority="6135" stopIfTrue="1">
      <formula>OR($A24="date", $A24="datetime", $A24="time")</formula>
    </cfRule>
  </conditionalFormatting>
  <conditionalFormatting sqref="A24">
    <cfRule type="expression" dxfId="18" priority="6136" stopIfTrue="1">
      <formula>OR($A24="calculate", $A24="calculate_here")</formula>
    </cfRule>
  </conditionalFormatting>
  <conditionalFormatting sqref="A24">
    <cfRule type="expression" dxfId="19" priority="6137" stopIfTrue="1">
      <formula>$A24="note"</formula>
    </cfRule>
  </conditionalFormatting>
  <conditionalFormatting sqref="A24">
    <cfRule type="expression" dxfId="20" priority="6138" stopIfTrue="1">
      <formula>$A24="barcode"</formula>
    </cfRule>
  </conditionalFormatting>
  <conditionalFormatting sqref="A24">
    <cfRule type="expression" dxfId="21" priority="6139" stopIfTrue="1">
      <formula>OR($A24="geopoint", $A24="geoshape", $A24="geotrace")</formula>
    </cfRule>
  </conditionalFormatting>
  <conditionalFormatting sqref="A24">
    <cfRule type="expression" dxfId="22" priority="6140" stopIfTrue="1">
      <formula>OR($A24="audio audit", $A24="text audit", $A24="speed violations count", $A24="speed violations list", $A24="speed violations audit")</formula>
    </cfRule>
  </conditionalFormatting>
  <conditionalFormatting sqref="A24">
    <cfRule type="expression" dxfId="23" priority="6141" stopIfTrue="1">
      <formula>OR($A24="username", $A24="phonenumber", $A24="start", $A24="end", $A24="deviceid", $A24="subscriberid", $A24="simserial", $A24="caseid")</formula>
    </cfRule>
  </conditionalFormatting>
  <conditionalFormatting sqref="A24">
    <cfRule type="expression" dxfId="24" priority="6142" stopIfTrue="1">
      <formula>OR(AND(LEFT($A24, 16)="select_multiple ", LEN($A24)&gt;16, NOT(ISNUMBER(SEARCH(" ", $A24, 17)))), AND(LEFT($A24, 11)="select_one ", LEN($A24)&gt;11, NOT(ISNUMBER(SEARCH(" ", $A24, 12)))))</formula>
    </cfRule>
  </conditionalFormatting>
  <conditionalFormatting sqref="A24">
    <cfRule type="expression" dxfId="25" priority="6143" stopIfTrue="1">
      <formula>$A24="decimal"</formula>
    </cfRule>
  </conditionalFormatting>
  <conditionalFormatting sqref="A24">
    <cfRule type="expression" dxfId="26" priority="6144" stopIfTrue="1">
      <formula>$A24="integer"</formula>
    </cfRule>
  </conditionalFormatting>
  <conditionalFormatting sqref="A24">
    <cfRule type="expression" dxfId="27" priority="6145" stopIfTrue="1">
      <formula>$A24="text"</formula>
    </cfRule>
  </conditionalFormatting>
  <conditionalFormatting sqref="A24">
    <cfRule type="expression" dxfId="28" priority="6146" stopIfTrue="1">
      <formula>$A24="end repeat"</formula>
    </cfRule>
  </conditionalFormatting>
  <conditionalFormatting sqref="A24">
    <cfRule type="expression" dxfId="28" priority="6147" stopIfTrue="1">
      <formula>$A24="begin repeat"</formula>
    </cfRule>
  </conditionalFormatting>
  <conditionalFormatting sqref="A24">
    <cfRule type="expression" dxfId="29" priority="6148" stopIfTrue="1">
      <formula>$A24="end group"</formula>
    </cfRule>
  </conditionalFormatting>
  <conditionalFormatting sqref="A24">
    <cfRule type="expression" dxfId="29" priority="6149" stopIfTrue="1">
      <formula>$A24="begin group"</formula>
    </cfRule>
  </conditionalFormatting>
  <conditionalFormatting sqref="A20">
    <cfRule type="expression" dxfId="33" priority="6150" stopIfTrue="1">
      <formula>$A20="file"</formula>
    </cfRule>
  </conditionalFormatting>
  <conditionalFormatting sqref="A20">
    <cfRule type="expression" dxfId="34" priority="6151" stopIfTrue="1">
      <formula>$A20="enumerator"</formula>
    </cfRule>
  </conditionalFormatting>
  <conditionalFormatting sqref="A20">
    <cfRule type="expression" dxfId="35" priority="6152" stopIfTrue="1">
      <formula>OR(AND(LEFT($A20, 14)="sensor_stream ", LEN($A20)&gt;14, NOT(ISNUMBER(SEARCH(" ", $A20, 15)))), AND(LEFT($A20, 17)="sensor_statistic ", LEN($A20)&gt;17, NOT(ISNUMBER(SEARCH(" ", $A20, 18)))))</formula>
    </cfRule>
  </conditionalFormatting>
  <conditionalFormatting sqref="A20">
    <cfRule type="expression" dxfId="14" priority="6153" stopIfTrue="1">
      <formula>$A20="comments"</formula>
    </cfRule>
  </conditionalFormatting>
  <conditionalFormatting sqref="A20">
    <cfRule type="expression" dxfId="15" priority="6154" stopIfTrue="1">
      <formula>OR($A20="audio", $A20="video")</formula>
    </cfRule>
  </conditionalFormatting>
  <conditionalFormatting sqref="A20">
    <cfRule type="expression" dxfId="16" priority="6155" stopIfTrue="1">
      <formula>$A20="image"</formula>
    </cfRule>
  </conditionalFormatting>
  <conditionalFormatting sqref="A20">
    <cfRule type="expression" dxfId="17" priority="6156" stopIfTrue="1">
      <formula>OR($A20="date", $A20="datetime", $A20="time")</formula>
    </cfRule>
  </conditionalFormatting>
  <conditionalFormatting sqref="A20">
    <cfRule type="expression" dxfId="18" priority="6157" stopIfTrue="1">
      <formula>OR($A20="calculate", $A20="calculate_here")</formula>
    </cfRule>
  </conditionalFormatting>
  <conditionalFormatting sqref="A20">
    <cfRule type="expression" dxfId="19" priority="6158" stopIfTrue="1">
      <formula>$A20="note"</formula>
    </cfRule>
  </conditionalFormatting>
  <conditionalFormatting sqref="A20">
    <cfRule type="expression" dxfId="20" priority="6159" stopIfTrue="1">
      <formula>$A20="barcode"</formula>
    </cfRule>
  </conditionalFormatting>
  <conditionalFormatting sqref="A20">
    <cfRule type="expression" dxfId="21" priority="6160" stopIfTrue="1">
      <formula>OR($A20="geopoint", $A20="geoshape", $A20="geotrace")</formula>
    </cfRule>
  </conditionalFormatting>
  <conditionalFormatting sqref="A20">
    <cfRule type="expression" dxfId="22" priority="6161" stopIfTrue="1">
      <formula>OR($A20="audio audit", $A20="text audit", $A20="speed violations count", $A20="speed violations list", $A20="speed violations audit")</formula>
    </cfRule>
  </conditionalFormatting>
  <conditionalFormatting sqref="A20">
    <cfRule type="expression" dxfId="23" priority="6162" stopIfTrue="1">
      <formula>OR($A20="username", $A20="phonenumber", $A20="start", $A20="end", $A20="deviceid", $A20="subscriberid", $A20="simserial", $A20="caseid")</formula>
    </cfRule>
  </conditionalFormatting>
  <conditionalFormatting sqref="A20">
    <cfRule type="expression" dxfId="24" priority="6163" stopIfTrue="1">
      <formula>OR(AND(LEFT($A20, 16)="select_multiple ", LEN($A20)&gt;16, NOT(ISNUMBER(SEARCH(" ", $A20, 17)))), AND(LEFT($A20, 11)="select_one ", LEN($A20)&gt;11, NOT(ISNUMBER(SEARCH(" ", $A20, 12)))))</formula>
    </cfRule>
  </conditionalFormatting>
  <conditionalFormatting sqref="A20">
    <cfRule type="expression" dxfId="25" priority="6164" stopIfTrue="1">
      <formula>$A20="decimal"</formula>
    </cfRule>
  </conditionalFormatting>
  <conditionalFormatting sqref="A20">
    <cfRule type="expression" dxfId="26" priority="6165" stopIfTrue="1">
      <formula>$A20="integer"</formula>
    </cfRule>
  </conditionalFormatting>
  <conditionalFormatting sqref="A20">
    <cfRule type="expression" dxfId="27" priority="6166" stopIfTrue="1">
      <formula>$A20="text"</formula>
    </cfRule>
  </conditionalFormatting>
  <conditionalFormatting sqref="A20">
    <cfRule type="expression" dxfId="28" priority="6167" stopIfTrue="1">
      <formula>$A20="end repeat"</formula>
    </cfRule>
  </conditionalFormatting>
  <conditionalFormatting sqref="A20">
    <cfRule type="expression" dxfId="28" priority="6168" stopIfTrue="1">
      <formula>$A20="begin repeat"</formula>
    </cfRule>
  </conditionalFormatting>
  <conditionalFormatting sqref="A20">
    <cfRule type="expression" dxfId="29" priority="6169" stopIfTrue="1">
      <formula>$A20="end group"</formula>
    </cfRule>
  </conditionalFormatting>
  <conditionalFormatting sqref="A20">
    <cfRule type="expression" dxfId="29" priority="6170" stopIfTrue="1">
      <formula>$A20="begin group"</formula>
    </cfRule>
  </conditionalFormatting>
  <conditionalFormatting sqref="A18">
    <cfRule type="expression" dxfId="33" priority="6171" stopIfTrue="1">
      <formula>$A18="file"</formula>
    </cfRule>
  </conditionalFormatting>
  <conditionalFormatting sqref="A18">
    <cfRule type="expression" dxfId="34" priority="6172" stopIfTrue="1">
      <formula>$A18="enumerator"</formula>
    </cfRule>
  </conditionalFormatting>
  <conditionalFormatting sqref="A18">
    <cfRule type="expression" dxfId="35" priority="6173" stopIfTrue="1">
      <formula>OR(AND(LEFT($A18, 14)="sensor_stream ", LEN($A18)&gt;14, NOT(ISNUMBER(SEARCH(" ", $A18, 15)))), AND(LEFT($A18, 17)="sensor_statistic ", LEN($A18)&gt;17, NOT(ISNUMBER(SEARCH(" ", $A18, 18)))))</formula>
    </cfRule>
  </conditionalFormatting>
  <conditionalFormatting sqref="A18">
    <cfRule type="expression" dxfId="14" priority="6174" stopIfTrue="1">
      <formula>$A18="comments"</formula>
    </cfRule>
  </conditionalFormatting>
  <conditionalFormatting sqref="A18">
    <cfRule type="expression" dxfId="15" priority="6175" stopIfTrue="1">
      <formula>OR($A18="audio", $A18="video")</formula>
    </cfRule>
  </conditionalFormatting>
  <conditionalFormatting sqref="A18">
    <cfRule type="expression" dxfId="16" priority="6176" stopIfTrue="1">
      <formula>$A18="image"</formula>
    </cfRule>
  </conditionalFormatting>
  <conditionalFormatting sqref="A18">
    <cfRule type="expression" dxfId="17" priority="6177" stopIfTrue="1">
      <formula>OR($A18="date", $A18="datetime", $A18="time")</formula>
    </cfRule>
  </conditionalFormatting>
  <conditionalFormatting sqref="A18">
    <cfRule type="expression" dxfId="18" priority="6178" stopIfTrue="1">
      <formula>OR($A18="calculate", $A18="calculate_here")</formula>
    </cfRule>
  </conditionalFormatting>
  <conditionalFormatting sqref="A18">
    <cfRule type="expression" dxfId="19" priority="6179" stopIfTrue="1">
      <formula>$A18="note"</formula>
    </cfRule>
  </conditionalFormatting>
  <conditionalFormatting sqref="A18">
    <cfRule type="expression" dxfId="20" priority="6180" stopIfTrue="1">
      <formula>$A18="barcode"</formula>
    </cfRule>
  </conditionalFormatting>
  <conditionalFormatting sqref="A18">
    <cfRule type="expression" dxfId="21" priority="6181" stopIfTrue="1">
      <formula>OR($A18="geopoint", $A18="geoshape", $A18="geotrace")</formula>
    </cfRule>
  </conditionalFormatting>
  <conditionalFormatting sqref="A18">
    <cfRule type="expression" dxfId="22" priority="6182" stopIfTrue="1">
      <formula>OR($A18="audio audit", $A18="text audit", $A18="speed violations count", $A18="speed violations list", $A18="speed violations audit")</formula>
    </cfRule>
  </conditionalFormatting>
  <conditionalFormatting sqref="A18">
    <cfRule type="expression" dxfId="23" priority="6183" stopIfTrue="1">
      <formula>OR($A18="username", $A18="phonenumber", $A18="start", $A18="end", $A18="deviceid", $A18="subscriberid", $A18="simserial", $A18="caseid")</formula>
    </cfRule>
  </conditionalFormatting>
  <conditionalFormatting sqref="A18">
    <cfRule type="expression" dxfId="24" priority="6184" stopIfTrue="1">
      <formula>OR(AND(LEFT($A18, 16)="select_multiple ", LEN($A18)&gt;16, NOT(ISNUMBER(SEARCH(" ", $A18, 17)))), AND(LEFT($A18, 11)="select_one ", LEN($A18)&gt;11, NOT(ISNUMBER(SEARCH(" ", $A18, 12)))))</formula>
    </cfRule>
  </conditionalFormatting>
  <conditionalFormatting sqref="A18">
    <cfRule type="expression" dxfId="25" priority="6185" stopIfTrue="1">
      <formula>$A18="decimal"</formula>
    </cfRule>
  </conditionalFormatting>
  <conditionalFormatting sqref="A18">
    <cfRule type="expression" dxfId="26" priority="6186" stopIfTrue="1">
      <formula>$A18="integer"</formula>
    </cfRule>
  </conditionalFormatting>
  <conditionalFormatting sqref="A18">
    <cfRule type="expression" dxfId="27" priority="6187" stopIfTrue="1">
      <formula>$A18="text"</formula>
    </cfRule>
  </conditionalFormatting>
  <conditionalFormatting sqref="A18">
    <cfRule type="expression" dxfId="28" priority="6188" stopIfTrue="1">
      <formula>$A18="end repeat"</formula>
    </cfRule>
  </conditionalFormatting>
  <conditionalFormatting sqref="A18">
    <cfRule type="expression" dxfId="28" priority="6189" stopIfTrue="1">
      <formula>$A18="begin repeat"</formula>
    </cfRule>
  </conditionalFormatting>
  <conditionalFormatting sqref="A18">
    <cfRule type="expression" dxfId="29" priority="6190" stopIfTrue="1">
      <formula>$A18="end group"</formula>
    </cfRule>
  </conditionalFormatting>
  <conditionalFormatting sqref="A18">
    <cfRule type="expression" dxfId="29" priority="6191" stopIfTrue="1">
      <formula>$A18="begin group"</formula>
    </cfRule>
  </conditionalFormatting>
  <conditionalFormatting sqref="A14:A16">
    <cfRule type="expression" dxfId="33" priority="6192" stopIfTrue="1">
      <formula>$A14="file"</formula>
    </cfRule>
  </conditionalFormatting>
  <conditionalFormatting sqref="A14:A16">
    <cfRule type="expression" dxfId="34" priority="6193" stopIfTrue="1">
      <formula>$A14="enumerator"</formula>
    </cfRule>
  </conditionalFormatting>
  <conditionalFormatting sqref="A14:A16">
    <cfRule type="expression" dxfId="35" priority="6194" stopIfTrue="1">
      <formula>OR(AND(LEFT($A14, 14)="sensor_stream ", LEN($A14)&gt;14, NOT(ISNUMBER(SEARCH(" ", $A14, 15)))), AND(LEFT($A14, 17)="sensor_statistic ", LEN($A14)&gt;17, NOT(ISNUMBER(SEARCH(" ", $A14, 18)))))</formula>
    </cfRule>
  </conditionalFormatting>
  <conditionalFormatting sqref="A14:A16">
    <cfRule type="expression" dxfId="14" priority="6195" stopIfTrue="1">
      <formula>$A14="comments"</formula>
    </cfRule>
  </conditionalFormatting>
  <conditionalFormatting sqref="A14:A16">
    <cfRule type="expression" dxfId="15" priority="6196" stopIfTrue="1">
      <formula>OR($A14="audio", $A14="video")</formula>
    </cfRule>
  </conditionalFormatting>
  <conditionalFormatting sqref="A14:A16">
    <cfRule type="expression" dxfId="16" priority="6197" stopIfTrue="1">
      <formula>$A14="image"</formula>
    </cfRule>
  </conditionalFormatting>
  <conditionalFormatting sqref="A14:A16">
    <cfRule type="expression" dxfId="17" priority="6198" stopIfTrue="1">
      <formula>OR($A14="date", $A14="datetime", $A14="time")</formula>
    </cfRule>
  </conditionalFormatting>
  <conditionalFormatting sqref="A14:A16">
    <cfRule type="expression" dxfId="18" priority="6199" stopIfTrue="1">
      <formula>OR($A14="calculate", $A14="calculate_here")</formula>
    </cfRule>
  </conditionalFormatting>
  <conditionalFormatting sqref="A14:A16">
    <cfRule type="expression" dxfId="19" priority="6200" stopIfTrue="1">
      <formula>$A14="note"</formula>
    </cfRule>
  </conditionalFormatting>
  <conditionalFormatting sqref="A14:A16">
    <cfRule type="expression" dxfId="20" priority="6201" stopIfTrue="1">
      <formula>$A14="barcode"</formula>
    </cfRule>
  </conditionalFormatting>
  <conditionalFormatting sqref="A14:A16">
    <cfRule type="expression" dxfId="21" priority="6202" stopIfTrue="1">
      <formula>OR($A14="geopoint", $A14="geoshape", $A14="geotrace")</formula>
    </cfRule>
  </conditionalFormatting>
  <conditionalFormatting sqref="A14:A16">
    <cfRule type="expression" dxfId="22" priority="6203" stopIfTrue="1">
      <formula>OR($A14="audio audit", $A14="text audit", $A14="speed violations count", $A14="speed violations list", $A14="speed violations audit")</formula>
    </cfRule>
  </conditionalFormatting>
  <conditionalFormatting sqref="A14:A16">
    <cfRule type="expression" dxfId="23" priority="6204" stopIfTrue="1">
      <formula>OR($A14="username", $A14="phonenumber", $A14="start", $A14="end", $A14="deviceid", $A14="subscriberid", $A14="simserial", $A14="caseid")</formula>
    </cfRule>
  </conditionalFormatting>
  <conditionalFormatting sqref="A14:A16">
    <cfRule type="expression" dxfId="24" priority="6205" stopIfTrue="1">
      <formula>OR(AND(LEFT($A14, 16)="select_multiple ", LEN($A14)&gt;16, NOT(ISNUMBER(SEARCH(" ", $A14, 17)))), AND(LEFT($A14, 11)="select_one ", LEN($A14)&gt;11, NOT(ISNUMBER(SEARCH(" ", $A14, 12)))))</formula>
    </cfRule>
  </conditionalFormatting>
  <conditionalFormatting sqref="A14:A16">
    <cfRule type="expression" dxfId="25" priority="6206" stopIfTrue="1">
      <formula>$A14="decimal"</formula>
    </cfRule>
  </conditionalFormatting>
  <conditionalFormatting sqref="A14:A16">
    <cfRule type="expression" dxfId="26" priority="6207" stopIfTrue="1">
      <formula>$A14="integer"</formula>
    </cfRule>
  </conditionalFormatting>
  <conditionalFormatting sqref="A14:A16">
    <cfRule type="expression" dxfId="27" priority="6208" stopIfTrue="1">
      <formula>$A14="text"</formula>
    </cfRule>
  </conditionalFormatting>
  <conditionalFormatting sqref="A14:A16">
    <cfRule type="expression" dxfId="28" priority="6209" stopIfTrue="1">
      <formula>$A14="end repeat"</formula>
    </cfRule>
  </conditionalFormatting>
  <conditionalFormatting sqref="A14:A16">
    <cfRule type="expression" dxfId="28" priority="6210" stopIfTrue="1">
      <formula>$A14="begin repeat"</formula>
    </cfRule>
  </conditionalFormatting>
  <conditionalFormatting sqref="A14:A16">
    <cfRule type="expression" dxfId="29" priority="6211" stopIfTrue="1">
      <formula>$A14="end group"</formula>
    </cfRule>
  </conditionalFormatting>
  <conditionalFormatting sqref="A14:A16">
    <cfRule type="expression" dxfId="29" priority="6212" stopIfTrue="1">
      <formula>$A14="begin group"</formula>
    </cfRule>
  </conditionalFormatting>
  <conditionalFormatting sqref="A10">
    <cfRule type="expression" dxfId="33" priority="6213" stopIfTrue="1">
      <formula>$A10="file"</formula>
    </cfRule>
  </conditionalFormatting>
  <conditionalFormatting sqref="A10">
    <cfRule type="expression" dxfId="34" priority="6214" stopIfTrue="1">
      <formula>$A10="enumerator"</formula>
    </cfRule>
  </conditionalFormatting>
  <conditionalFormatting sqref="A10">
    <cfRule type="expression" dxfId="35" priority="6215" stopIfTrue="1">
      <formula>OR(AND(LEFT($A10, 14)="sensor_stream ", LEN($A10)&gt;14, NOT(ISNUMBER(SEARCH(" ", $A10, 15)))), AND(LEFT($A10, 17)="sensor_statistic ", LEN($A10)&gt;17, NOT(ISNUMBER(SEARCH(" ", $A10, 18)))))</formula>
    </cfRule>
  </conditionalFormatting>
  <conditionalFormatting sqref="A10">
    <cfRule type="expression" dxfId="14" priority="6216" stopIfTrue="1">
      <formula>$A10="comments"</formula>
    </cfRule>
  </conditionalFormatting>
  <conditionalFormatting sqref="A10">
    <cfRule type="expression" dxfId="15" priority="6217" stopIfTrue="1">
      <formula>OR($A10="audio", $A10="video")</formula>
    </cfRule>
  </conditionalFormatting>
  <conditionalFormatting sqref="A10">
    <cfRule type="expression" dxfId="16" priority="6218" stopIfTrue="1">
      <formula>$A10="image"</formula>
    </cfRule>
  </conditionalFormatting>
  <conditionalFormatting sqref="A10">
    <cfRule type="expression" dxfId="17" priority="6219" stopIfTrue="1">
      <formula>OR($A10="date", $A10="datetime", $A10="time")</formula>
    </cfRule>
  </conditionalFormatting>
  <conditionalFormatting sqref="A10">
    <cfRule type="expression" dxfId="18" priority="6220" stopIfTrue="1">
      <formula>OR($A10="calculate", $A10="calculate_here")</formula>
    </cfRule>
  </conditionalFormatting>
  <conditionalFormatting sqref="A10">
    <cfRule type="expression" dxfId="19" priority="6221" stopIfTrue="1">
      <formula>$A10="note"</formula>
    </cfRule>
  </conditionalFormatting>
  <conditionalFormatting sqref="A10">
    <cfRule type="expression" dxfId="20" priority="6222" stopIfTrue="1">
      <formula>$A10="barcode"</formula>
    </cfRule>
  </conditionalFormatting>
  <conditionalFormatting sqref="A10">
    <cfRule type="expression" dxfId="21" priority="6223" stopIfTrue="1">
      <formula>OR($A10="geopoint", $A10="geoshape", $A10="geotrace")</formula>
    </cfRule>
  </conditionalFormatting>
  <conditionalFormatting sqref="A10">
    <cfRule type="expression" dxfId="22" priority="6224" stopIfTrue="1">
      <formula>OR($A10="audio audit", $A10="text audit", $A10="speed violations count", $A10="speed violations list", $A10="speed violations audit")</formula>
    </cfRule>
  </conditionalFormatting>
  <conditionalFormatting sqref="A10">
    <cfRule type="expression" dxfId="23" priority="6225" stopIfTrue="1">
      <formula>OR($A10="username", $A10="phonenumber", $A10="start", $A10="end", $A10="deviceid", $A10="subscriberid", $A10="simserial", $A10="caseid")</formula>
    </cfRule>
  </conditionalFormatting>
  <conditionalFormatting sqref="A10">
    <cfRule type="expression" dxfId="24" priority="6226" stopIfTrue="1">
      <formula>OR(AND(LEFT($A10, 16)="select_multiple ", LEN($A10)&gt;16, NOT(ISNUMBER(SEARCH(" ", $A10, 17)))), AND(LEFT($A10, 11)="select_one ", LEN($A10)&gt;11, NOT(ISNUMBER(SEARCH(" ", $A10, 12)))))</formula>
    </cfRule>
  </conditionalFormatting>
  <conditionalFormatting sqref="A10">
    <cfRule type="expression" dxfId="25" priority="6227" stopIfTrue="1">
      <formula>$A10="decimal"</formula>
    </cfRule>
  </conditionalFormatting>
  <conditionalFormatting sqref="A10">
    <cfRule type="expression" dxfId="26" priority="6228" stopIfTrue="1">
      <formula>$A10="integer"</formula>
    </cfRule>
  </conditionalFormatting>
  <conditionalFormatting sqref="A10">
    <cfRule type="expression" dxfId="27" priority="6229" stopIfTrue="1">
      <formula>$A10="text"</formula>
    </cfRule>
  </conditionalFormatting>
  <conditionalFormatting sqref="A10">
    <cfRule type="expression" dxfId="28" priority="6230" stopIfTrue="1">
      <formula>$A10="end repeat"</formula>
    </cfRule>
  </conditionalFormatting>
  <conditionalFormatting sqref="A10">
    <cfRule type="expression" dxfId="28" priority="6231" stopIfTrue="1">
      <formula>$A10="begin repeat"</formula>
    </cfRule>
  </conditionalFormatting>
  <conditionalFormatting sqref="A10">
    <cfRule type="expression" dxfId="29" priority="6232" stopIfTrue="1">
      <formula>$A10="end group"</formula>
    </cfRule>
  </conditionalFormatting>
  <conditionalFormatting sqref="A10">
    <cfRule type="expression" dxfId="29" priority="6233" stopIfTrue="1">
      <formula>$A10="begin group"</formula>
    </cfRule>
  </conditionalFormatting>
  <conditionalFormatting sqref="A1">
    <cfRule type="expression" dxfId="33" priority="6234" stopIfTrue="1">
      <formula>$A1="file"</formula>
    </cfRule>
  </conditionalFormatting>
  <conditionalFormatting sqref="A1">
    <cfRule type="expression" dxfId="34" priority="6235" stopIfTrue="1">
      <formula>$A1="enumerator"</formula>
    </cfRule>
  </conditionalFormatting>
  <conditionalFormatting sqref="A1">
    <cfRule type="expression" dxfId="35" priority="6236" stopIfTrue="1">
      <formula>OR(AND(LEFT($A1, 14)="sensor_stream ", LEN($A1)&gt;14, NOT(ISNUMBER(SEARCH(" ", $A1, 15)))), AND(LEFT($A1, 17)="sensor_statistic ", LEN($A1)&gt;17, NOT(ISNUMBER(SEARCH(" ", $A1, 18)))))</formula>
    </cfRule>
  </conditionalFormatting>
  <conditionalFormatting sqref="A1">
    <cfRule type="expression" dxfId="14" priority="6237" stopIfTrue="1">
      <formula>$A1="comments"</formula>
    </cfRule>
  </conditionalFormatting>
  <conditionalFormatting sqref="A1">
    <cfRule type="expression" dxfId="15" priority="6238" stopIfTrue="1">
      <formula>OR($A1="audio", $A1="video")</formula>
    </cfRule>
  </conditionalFormatting>
  <conditionalFormatting sqref="A1">
    <cfRule type="expression" dxfId="16" priority="6239" stopIfTrue="1">
      <formula>$A1="image"</formula>
    </cfRule>
  </conditionalFormatting>
  <conditionalFormatting sqref="A1">
    <cfRule type="expression" dxfId="17" priority="6240" stopIfTrue="1">
      <formula>OR($A1="date", $A1="datetime", $A1="time")</formula>
    </cfRule>
  </conditionalFormatting>
  <conditionalFormatting sqref="A1">
    <cfRule type="expression" dxfId="18" priority="6241" stopIfTrue="1">
      <formula>OR($A1="calculate", $A1="calculate_here")</formula>
    </cfRule>
  </conditionalFormatting>
  <conditionalFormatting sqref="A1">
    <cfRule type="expression" dxfId="19" priority="6242" stopIfTrue="1">
      <formula>$A1="note"</formula>
    </cfRule>
  </conditionalFormatting>
  <conditionalFormatting sqref="A1">
    <cfRule type="expression" dxfId="20" priority="6243" stopIfTrue="1">
      <formula>$A1="barcode"</formula>
    </cfRule>
  </conditionalFormatting>
  <conditionalFormatting sqref="A1">
    <cfRule type="expression" dxfId="21" priority="6244" stopIfTrue="1">
      <formula>OR($A1="geopoint", $A1="geoshape", $A1="geotrace")</formula>
    </cfRule>
  </conditionalFormatting>
  <conditionalFormatting sqref="A1">
    <cfRule type="expression" dxfId="22" priority="6245" stopIfTrue="1">
      <formula>OR($A1="audio audit", $A1="text audit", $A1="speed violations count", $A1="speed violations list", $A1="speed violations audit")</formula>
    </cfRule>
  </conditionalFormatting>
  <conditionalFormatting sqref="A1">
    <cfRule type="expression" dxfId="23" priority="6246" stopIfTrue="1">
      <formula>OR($A1="username", $A1="phonenumber", $A1="start", $A1="end", $A1="deviceid", $A1="subscriberid", $A1="simserial", $A1="caseid")</formula>
    </cfRule>
  </conditionalFormatting>
  <conditionalFormatting sqref="A1">
    <cfRule type="expression" dxfId="24" priority="6247" stopIfTrue="1">
      <formula>OR(AND(LEFT($A1, 16)="select_multiple ", LEN($A1)&gt;16, NOT(ISNUMBER(SEARCH(" ", $A1, 17)))), AND(LEFT($A1, 11)="select_one ", LEN($A1)&gt;11, NOT(ISNUMBER(SEARCH(" ", $A1, 12)))))</formula>
    </cfRule>
  </conditionalFormatting>
  <conditionalFormatting sqref="A1">
    <cfRule type="expression" dxfId="25" priority="6248" stopIfTrue="1">
      <formula>$A1="decimal"</formula>
    </cfRule>
  </conditionalFormatting>
  <conditionalFormatting sqref="A1">
    <cfRule type="expression" dxfId="26" priority="6249" stopIfTrue="1">
      <formula>$A1="integer"</formula>
    </cfRule>
  </conditionalFormatting>
  <conditionalFormatting sqref="A1">
    <cfRule type="expression" dxfId="27" priority="6250" stopIfTrue="1">
      <formula>$A1="text"</formula>
    </cfRule>
  </conditionalFormatting>
  <conditionalFormatting sqref="A1">
    <cfRule type="expression" dxfId="28" priority="6251" stopIfTrue="1">
      <formula>$A1="end repeat"</formula>
    </cfRule>
  </conditionalFormatting>
  <conditionalFormatting sqref="A1">
    <cfRule type="expression" dxfId="28" priority="6252" stopIfTrue="1">
      <formula>$A1="begin repeat"</formula>
    </cfRule>
  </conditionalFormatting>
  <conditionalFormatting sqref="A1">
    <cfRule type="expression" dxfId="29" priority="6253" stopIfTrue="1">
      <formula>$A1="end group"</formula>
    </cfRule>
  </conditionalFormatting>
  <conditionalFormatting sqref="A1">
    <cfRule type="expression" dxfId="29" priority="6254" stopIfTrue="1">
      <formula>$A1="begin group"</formula>
    </cfRule>
  </conditionalFormatting>
  <hyperlinks>
    <hyperlink r:id="rId1" ref="E298"/>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6" t="s">
        <v>2215</v>
      </c>
      <c r="B1" s="7"/>
      <c r="C1" s="11"/>
      <c r="D1" s="11"/>
      <c r="E1" s="11"/>
      <c r="F1" s="11"/>
      <c r="G1" s="11"/>
      <c r="H1" s="11"/>
      <c r="I1" s="11"/>
      <c r="J1" s="11"/>
      <c r="K1" s="11"/>
      <c r="L1" s="11"/>
      <c r="M1" s="11"/>
      <c r="N1" s="11"/>
      <c r="O1" s="11"/>
      <c r="P1" s="11"/>
      <c r="Q1" s="11"/>
      <c r="R1" s="11"/>
      <c r="S1" s="11"/>
      <c r="T1" s="11"/>
      <c r="U1" s="11"/>
      <c r="V1" s="11"/>
      <c r="W1" s="11"/>
      <c r="X1" s="11"/>
      <c r="Y1" s="11"/>
      <c r="Z1" s="11"/>
    </row>
    <row r="2" ht="18.0" customHeight="1">
      <c r="A2" s="220"/>
      <c r="B2" s="221"/>
      <c r="C2" s="11"/>
      <c r="D2" s="11"/>
      <c r="E2" s="11"/>
      <c r="F2" s="11"/>
      <c r="G2" s="11"/>
      <c r="H2" s="11"/>
      <c r="I2" s="11"/>
      <c r="J2" s="11"/>
      <c r="K2" s="11"/>
      <c r="L2" s="11"/>
      <c r="M2" s="11"/>
      <c r="N2" s="11"/>
      <c r="O2" s="11"/>
      <c r="P2" s="11"/>
      <c r="Q2" s="11"/>
      <c r="R2" s="11"/>
      <c r="S2" s="11"/>
      <c r="T2" s="11"/>
      <c r="U2" s="11"/>
      <c r="V2" s="11"/>
      <c r="W2" s="11"/>
      <c r="X2" s="11"/>
      <c r="Y2" s="11"/>
      <c r="Z2" s="11"/>
    </row>
    <row r="3" ht="36.0" customHeight="1">
      <c r="A3" s="26" t="s">
        <v>2232</v>
      </c>
      <c r="B3" s="21"/>
      <c r="C3" s="11"/>
      <c r="D3" s="11"/>
      <c r="E3" s="11"/>
      <c r="F3" s="11"/>
      <c r="G3" s="11"/>
      <c r="H3" s="11"/>
      <c r="I3" s="11"/>
      <c r="J3" s="11"/>
      <c r="K3" s="11"/>
      <c r="L3" s="11"/>
      <c r="M3" s="11"/>
      <c r="N3" s="11"/>
      <c r="O3" s="11"/>
      <c r="P3" s="11"/>
      <c r="Q3" s="11"/>
      <c r="R3" s="11"/>
      <c r="S3" s="11"/>
      <c r="T3" s="11"/>
      <c r="U3" s="11"/>
      <c r="V3" s="11"/>
      <c r="W3" s="11"/>
      <c r="X3" s="11"/>
      <c r="Y3" s="11"/>
      <c r="Z3" s="11"/>
    </row>
    <row r="4" ht="18.75" customHeight="1">
      <c r="A4" s="222" t="s">
        <v>2240</v>
      </c>
      <c r="B4" s="21"/>
      <c r="C4" s="11"/>
      <c r="D4" s="11"/>
      <c r="E4" s="11"/>
      <c r="F4" s="11"/>
      <c r="G4" s="11"/>
      <c r="H4" s="11"/>
      <c r="I4" s="11"/>
      <c r="J4" s="11"/>
      <c r="K4" s="11"/>
      <c r="L4" s="11"/>
      <c r="M4" s="11"/>
      <c r="N4" s="11"/>
      <c r="O4" s="11"/>
      <c r="P4" s="11"/>
      <c r="Q4" s="11"/>
      <c r="R4" s="11"/>
      <c r="S4" s="11"/>
      <c r="T4" s="11"/>
      <c r="U4" s="11"/>
      <c r="V4" s="11"/>
      <c r="W4" s="11"/>
      <c r="X4" s="11"/>
      <c r="Y4" s="11"/>
      <c r="Z4" s="11"/>
    </row>
    <row r="5" ht="18.75" customHeight="1">
      <c r="A5" s="222" t="s">
        <v>2255</v>
      </c>
      <c r="B5" s="21"/>
      <c r="C5" s="11"/>
      <c r="D5" s="11"/>
      <c r="E5" s="11"/>
      <c r="F5" s="11"/>
      <c r="G5" s="11"/>
      <c r="H5" s="11"/>
      <c r="I5" s="11"/>
      <c r="J5" s="11"/>
      <c r="K5" s="11"/>
      <c r="L5" s="11"/>
      <c r="M5" s="11"/>
      <c r="N5" s="11"/>
      <c r="O5" s="11"/>
      <c r="P5" s="11"/>
      <c r="Q5" s="11"/>
      <c r="R5" s="11"/>
      <c r="S5" s="11"/>
      <c r="T5" s="11"/>
      <c r="U5" s="11"/>
      <c r="V5" s="11"/>
      <c r="W5" s="11"/>
      <c r="X5" s="11"/>
      <c r="Y5" s="11"/>
      <c r="Z5" s="11"/>
    </row>
    <row r="6" ht="19.5" customHeight="1">
      <c r="A6" s="32" t="s">
        <v>2259</v>
      </c>
      <c r="B6" s="34"/>
      <c r="C6" s="11"/>
      <c r="D6" s="11"/>
      <c r="E6" s="11"/>
      <c r="F6" s="11"/>
      <c r="G6" s="11"/>
      <c r="H6" s="11"/>
      <c r="I6" s="11"/>
      <c r="J6" s="11"/>
      <c r="K6" s="11"/>
      <c r="L6" s="11"/>
      <c r="M6" s="11"/>
      <c r="N6" s="11"/>
      <c r="O6" s="11"/>
      <c r="P6" s="11"/>
      <c r="Q6" s="11"/>
      <c r="R6" s="11"/>
      <c r="S6" s="11"/>
      <c r="T6" s="11"/>
      <c r="U6" s="11"/>
      <c r="V6" s="11"/>
      <c r="W6" s="11"/>
      <c r="X6" s="11"/>
      <c r="Y6" s="11"/>
      <c r="Z6" s="11"/>
    </row>
    <row r="7"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row>
    <row r="8" ht="18.0" customHeight="1">
      <c r="A8" s="223" t="s">
        <v>1</v>
      </c>
      <c r="B8" s="223" t="s">
        <v>4</v>
      </c>
      <c r="C8" s="224" t="s">
        <v>7</v>
      </c>
      <c r="D8" s="224" t="s">
        <v>60</v>
      </c>
      <c r="E8" s="223" t="s">
        <v>11</v>
      </c>
      <c r="F8" s="223" t="s">
        <v>2278</v>
      </c>
      <c r="G8" s="223" t="s">
        <v>12</v>
      </c>
      <c r="H8" s="47"/>
      <c r="I8" s="47"/>
      <c r="J8" s="47"/>
      <c r="K8" s="47"/>
      <c r="L8" s="47"/>
      <c r="M8" s="47"/>
      <c r="N8" s="47"/>
      <c r="O8" s="47"/>
      <c r="P8" s="47"/>
      <c r="Q8" s="47"/>
      <c r="R8" s="47"/>
      <c r="S8" s="47"/>
      <c r="T8" s="47"/>
      <c r="U8" s="47"/>
      <c r="V8" s="47"/>
      <c r="W8" s="47"/>
      <c r="X8" s="47"/>
      <c r="Y8" s="47"/>
      <c r="Z8" s="47"/>
    </row>
    <row r="9" ht="15.75" customHeight="1">
      <c r="A9" s="225" t="s">
        <v>2315</v>
      </c>
      <c r="B9" s="225" t="s">
        <v>2316</v>
      </c>
      <c r="C9" s="225" t="s">
        <v>2320</v>
      </c>
      <c r="D9" s="225" t="s">
        <v>2321</v>
      </c>
      <c r="E9" s="225" t="s">
        <v>2322</v>
      </c>
      <c r="F9" s="225" t="s">
        <v>2323</v>
      </c>
      <c r="G9" s="225" t="s">
        <v>2325</v>
      </c>
      <c r="H9" s="225"/>
      <c r="I9" s="226"/>
      <c r="J9" s="226"/>
      <c r="K9" s="226"/>
      <c r="L9" s="226"/>
      <c r="M9" s="226"/>
      <c r="N9" s="226"/>
      <c r="O9" s="226"/>
      <c r="P9" s="226"/>
      <c r="Q9" s="226"/>
      <c r="R9" s="226"/>
      <c r="S9" s="226"/>
      <c r="T9" s="226"/>
      <c r="U9" s="226"/>
      <c r="V9" s="226"/>
      <c r="W9" s="226"/>
      <c r="X9" s="226"/>
      <c r="Y9" s="226"/>
      <c r="Z9" s="226"/>
    </row>
    <row r="10" ht="15.75" customHeight="1">
      <c r="A10" s="227"/>
      <c r="B10" s="227"/>
      <c r="C10" s="227"/>
      <c r="D10" s="228" t="s">
        <v>110</v>
      </c>
      <c r="E10" s="229" t="s">
        <v>132</v>
      </c>
      <c r="F10" s="227"/>
      <c r="G10" s="229" t="s">
        <v>136</v>
      </c>
      <c r="H10" s="227"/>
      <c r="I10" s="227"/>
      <c r="J10" s="227"/>
      <c r="K10" s="227"/>
      <c r="L10" s="227"/>
      <c r="M10" s="227"/>
      <c r="N10" s="227"/>
      <c r="O10" s="227"/>
      <c r="P10" s="227"/>
      <c r="Q10" s="227"/>
      <c r="R10" s="227"/>
      <c r="S10" s="227"/>
      <c r="T10" s="227"/>
      <c r="U10" s="227"/>
      <c r="V10" s="227"/>
      <c r="W10" s="227"/>
      <c r="X10" s="227"/>
      <c r="Y10" s="227"/>
      <c r="Z10" s="227"/>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231" t="s">
        <v>2487</v>
      </c>
      <c r="B1" s="232"/>
      <c r="C1" s="233"/>
      <c r="D1" s="233"/>
      <c r="E1" s="233"/>
      <c r="F1" s="233"/>
      <c r="G1" s="11"/>
      <c r="H1" s="11"/>
      <c r="I1" s="11"/>
      <c r="J1" s="11"/>
      <c r="K1" s="11"/>
      <c r="L1" s="11"/>
      <c r="M1" s="11"/>
      <c r="N1" s="11"/>
      <c r="O1" s="11"/>
      <c r="P1" s="11"/>
      <c r="Q1" s="11"/>
      <c r="R1" s="11"/>
      <c r="S1" s="11"/>
      <c r="T1" s="11"/>
      <c r="U1" s="11"/>
      <c r="V1" s="11"/>
      <c r="W1" s="11"/>
      <c r="X1" s="11"/>
      <c r="Y1" s="11"/>
      <c r="Z1" s="11"/>
    </row>
    <row r="2" ht="15.75" customHeight="1">
      <c r="A2" s="234"/>
      <c r="B2" s="235"/>
      <c r="C2" s="233"/>
      <c r="D2" s="233"/>
      <c r="E2" s="233"/>
      <c r="F2" s="233"/>
      <c r="G2" s="11"/>
      <c r="H2" s="11"/>
      <c r="I2" s="11"/>
      <c r="J2" s="11"/>
      <c r="K2" s="11"/>
      <c r="L2" s="11"/>
      <c r="M2" s="11"/>
      <c r="N2" s="11"/>
      <c r="O2" s="11"/>
      <c r="P2" s="11"/>
      <c r="Q2" s="11"/>
      <c r="R2" s="11"/>
      <c r="S2" s="11"/>
      <c r="T2" s="11"/>
      <c r="U2" s="11"/>
      <c r="V2" s="11"/>
      <c r="W2" s="11"/>
      <c r="X2" s="11"/>
      <c r="Y2" s="11"/>
      <c r="Z2" s="11"/>
    </row>
    <row r="3" ht="54.75" customHeight="1">
      <c r="A3" s="236" t="s">
        <v>2494</v>
      </c>
      <c r="B3" s="237"/>
      <c r="C3" s="233"/>
      <c r="D3" s="233"/>
      <c r="E3" s="233"/>
      <c r="F3" s="233"/>
      <c r="G3" s="11"/>
      <c r="H3" s="11"/>
      <c r="I3" s="11"/>
      <c r="J3" s="11"/>
      <c r="K3" s="11"/>
      <c r="L3" s="11"/>
      <c r="M3" s="11"/>
      <c r="N3" s="11"/>
      <c r="O3" s="11"/>
      <c r="P3" s="11"/>
      <c r="Q3" s="11"/>
      <c r="R3" s="11"/>
      <c r="S3" s="11"/>
      <c r="T3" s="11"/>
      <c r="U3" s="11"/>
      <c r="V3" s="11"/>
      <c r="W3" s="11"/>
      <c r="X3" s="11"/>
      <c r="Y3" s="11"/>
      <c r="Z3" s="11"/>
    </row>
    <row r="4" ht="15.75" customHeight="1">
      <c r="A4" s="233"/>
      <c r="B4" s="233"/>
      <c r="C4" s="233"/>
      <c r="D4" s="233"/>
      <c r="E4" s="233"/>
      <c r="F4" s="233"/>
      <c r="G4" s="11"/>
      <c r="H4" s="11"/>
      <c r="I4" s="11"/>
      <c r="J4" s="11"/>
      <c r="K4" s="11"/>
      <c r="L4" s="11"/>
      <c r="M4" s="11"/>
      <c r="N4" s="11"/>
      <c r="O4" s="11"/>
      <c r="P4" s="11"/>
      <c r="Q4" s="11"/>
      <c r="R4" s="11"/>
      <c r="S4" s="11"/>
      <c r="T4" s="11"/>
      <c r="U4" s="11"/>
      <c r="V4" s="11"/>
      <c r="W4" s="11"/>
      <c r="X4" s="11"/>
      <c r="Y4" s="11"/>
      <c r="Z4" s="11"/>
    </row>
    <row r="5" ht="18.0" customHeight="1">
      <c r="A5" s="238" t="s">
        <v>0</v>
      </c>
      <c r="B5" s="238" t="s">
        <v>3</v>
      </c>
      <c r="C5" s="238" t="s">
        <v>6</v>
      </c>
      <c r="D5" s="238" t="s">
        <v>14</v>
      </c>
      <c r="E5" s="238" t="s">
        <v>16</v>
      </c>
      <c r="F5" s="239" t="s">
        <v>18</v>
      </c>
      <c r="G5" s="240"/>
      <c r="H5" s="241"/>
      <c r="I5" s="240"/>
      <c r="J5" s="240"/>
      <c r="K5" s="240"/>
      <c r="L5" s="240"/>
      <c r="M5" s="240"/>
      <c r="N5" s="240"/>
      <c r="O5" s="240"/>
      <c r="P5" s="240"/>
      <c r="Q5" s="240"/>
      <c r="R5" s="240"/>
      <c r="S5" s="240"/>
      <c r="T5" s="240"/>
      <c r="U5" s="240"/>
      <c r="V5" s="240"/>
      <c r="W5" s="240"/>
      <c r="X5" s="240"/>
      <c r="Y5" s="240"/>
      <c r="Z5" s="240"/>
    </row>
    <row r="6" ht="15.75" customHeight="1">
      <c r="A6" s="49" t="s">
        <v>2509</v>
      </c>
      <c r="B6" s="49" t="s">
        <v>2513</v>
      </c>
      <c r="C6" s="49" t="s">
        <v>2514</v>
      </c>
      <c r="D6" s="49" t="s">
        <v>2516</v>
      </c>
      <c r="E6" s="49" t="s">
        <v>2517</v>
      </c>
      <c r="F6" s="49" t="s">
        <v>2518</v>
      </c>
      <c r="G6" s="59"/>
      <c r="H6" s="59"/>
      <c r="I6" s="59"/>
      <c r="J6" s="59"/>
      <c r="K6" s="59"/>
      <c r="L6" s="59"/>
      <c r="M6" s="59"/>
      <c r="N6" s="59"/>
      <c r="O6" s="59"/>
      <c r="P6" s="59"/>
      <c r="Q6" s="59"/>
      <c r="R6" s="59"/>
      <c r="S6" s="59"/>
      <c r="T6" s="59"/>
      <c r="U6" s="59"/>
      <c r="V6" s="59"/>
      <c r="W6" s="59"/>
      <c r="X6" s="59"/>
      <c r="Y6" s="59"/>
      <c r="Z6" s="59"/>
    </row>
    <row r="7" ht="15.75" customHeight="1">
      <c r="A7" s="68" t="s">
        <v>2525</v>
      </c>
      <c r="B7" s="244"/>
      <c r="C7" s="68" t="s">
        <v>2527</v>
      </c>
      <c r="D7" s="68" t="s">
        <v>138</v>
      </c>
      <c r="E7" s="68" t="s">
        <v>138</v>
      </c>
      <c r="F7" s="68" t="s">
        <v>110</v>
      </c>
      <c r="G7" s="59"/>
      <c r="H7" s="59"/>
      <c r="I7" s="59"/>
      <c r="J7" s="59"/>
      <c r="K7" s="59"/>
      <c r="L7" s="59"/>
      <c r="M7" s="59"/>
      <c r="N7" s="59"/>
      <c r="O7" s="59"/>
      <c r="P7" s="59"/>
      <c r="Q7" s="59"/>
      <c r="R7" s="59"/>
      <c r="S7" s="59"/>
      <c r="T7" s="59"/>
      <c r="U7" s="59"/>
      <c r="V7" s="59"/>
      <c r="W7" s="59"/>
      <c r="X7" s="59"/>
      <c r="Y7" s="59"/>
      <c r="Z7" s="59"/>
    </row>
    <row r="8" ht="15.75" customHeight="1">
      <c r="A8" s="246"/>
      <c r="B8" s="246"/>
      <c r="C8" s="246"/>
      <c r="D8" s="246"/>
      <c r="E8" s="246"/>
      <c r="F8" s="246"/>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